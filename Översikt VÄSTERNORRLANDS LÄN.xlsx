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46185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46185</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46185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46185</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24987-2024</t>
        </is>
      </c>
      <c r="B6" s="1" t="n">
        <v>45461</v>
      </c>
      <c r="C6" s="1" t="n">
        <v>46185</v>
      </c>
      <c r="D6" t="inlineStr">
        <is>
          <t>VÄSTERNORRLANDS LÄN</t>
        </is>
      </c>
      <c r="E6" t="inlineStr">
        <is>
          <t>SUNDSVALL</t>
        </is>
      </c>
      <c r="G6" t="n">
        <v>12.8</v>
      </c>
      <c r="H6" t="n">
        <v>6</v>
      </c>
      <c r="I6" t="n">
        <v>15</v>
      </c>
      <c r="J6" t="n">
        <v>16</v>
      </c>
      <c r="K6" t="n">
        <v>3</v>
      </c>
      <c r="L6" t="n">
        <v>0</v>
      </c>
      <c r="M6" t="n">
        <v>0</v>
      </c>
      <c r="N6" t="n">
        <v>0</v>
      </c>
      <c r="O6" t="n">
        <v>19</v>
      </c>
      <c r="P6" t="n">
        <v>3</v>
      </c>
      <c r="Q6" t="n">
        <v>36</v>
      </c>
      <c r="R6"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6">
        <f>HYPERLINK("https://klasma.github.io/Logging_2281/artfynd/A 24987-2024 artfynd.xlsx", "A 24987-2024")</f>
        <v/>
      </c>
      <c r="T6">
        <f>HYPERLINK("https://klasma.github.io/Logging_2281/kartor/A 24987-2024 karta.png", "A 24987-2024")</f>
        <v/>
      </c>
      <c r="U6">
        <f>HYPERLINK("https://klasma.github.io/Logging_2281/knärot/A 24987-2024 karta knärot.png", "A 24987-2024")</f>
        <v/>
      </c>
      <c r="V6">
        <f>HYPERLINK("https://klasma.github.io/Logging_2281/klagomål/A 24987-2024 FSC-klagomål.docx", "A 24987-2024")</f>
        <v/>
      </c>
      <c r="W6">
        <f>HYPERLINK("https://klasma.github.io/Logging_2281/klagomålsmail/A 24987-2024 FSC-klagomål mail.docx", "A 24987-2024")</f>
        <v/>
      </c>
      <c r="X6">
        <f>HYPERLINK("https://klasma.github.io/Logging_2281/tillsyn/A 24987-2024 tillsynsbegäran.docx", "A 24987-2024")</f>
        <v/>
      </c>
      <c r="Y6">
        <f>HYPERLINK("https://klasma.github.io/Logging_2281/tillsynsmail/A 24987-2024 tillsynsbegäran mail.docx", "A 24987-2024")</f>
        <v/>
      </c>
      <c r="Z6">
        <f>HYPERLINK("https://klasma.github.io/Logging_2281/fåglar/A 24987-2024 prioriterade fågelarter.docx", "A 24987-2024")</f>
        <v/>
      </c>
    </row>
    <row r="7" ht="15" customHeight="1">
      <c r="A7" t="inlineStr">
        <is>
          <t>A 26476-2025</t>
        </is>
      </c>
      <c r="B7" s="1" t="n">
        <v>45807</v>
      </c>
      <c r="C7" s="1" t="n">
        <v>46185</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64514-2023</t>
        </is>
      </c>
      <c r="B8" s="1" t="n">
        <v>45281</v>
      </c>
      <c r="C8" s="1" t="n">
        <v>46185</v>
      </c>
      <c r="D8" t="inlineStr">
        <is>
          <t>VÄSTERNORRLANDS LÄN</t>
        </is>
      </c>
      <c r="E8" t="inlineStr">
        <is>
          <t>ÅNGE</t>
        </is>
      </c>
      <c r="G8" t="n">
        <v>82.09999999999999</v>
      </c>
      <c r="H8" t="n">
        <v>4</v>
      </c>
      <c r="I8" t="n">
        <v>7</v>
      </c>
      <c r="J8" t="n">
        <v>18</v>
      </c>
      <c r="K8" t="n">
        <v>6</v>
      </c>
      <c r="L8" t="n">
        <v>0</v>
      </c>
      <c r="M8" t="n">
        <v>0</v>
      </c>
      <c r="N8" t="n">
        <v>0</v>
      </c>
      <c r="O8" t="n">
        <v>24</v>
      </c>
      <c r="P8" t="n">
        <v>6</v>
      </c>
      <c r="Q8" t="n">
        <v>32</v>
      </c>
      <c r="R8"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34866-2024</t>
        </is>
      </c>
      <c r="B9" s="1" t="n">
        <v>45527</v>
      </c>
      <c r="C9" s="1" t="n">
        <v>46185</v>
      </c>
      <c r="D9" t="inlineStr">
        <is>
          <t>VÄSTERNORRLANDS LÄN</t>
        </is>
      </c>
      <c r="E9" t="inlineStr">
        <is>
          <t>SUNDSVALL</t>
        </is>
      </c>
      <c r="F9" t="inlineStr">
        <is>
          <t>SCA</t>
        </is>
      </c>
      <c r="G9" t="n">
        <v>7.6</v>
      </c>
      <c r="H9" t="n">
        <v>6</v>
      </c>
      <c r="I9" t="n">
        <v>12</v>
      </c>
      <c r="J9" t="n">
        <v>15</v>
      </c>
      <c r="K9" t="n">
        <v>3</v>
      </c>
      <c r="L9" t="n">
        <v>0</v>
      </c>
      <c r="M9" t="n">
        <v>0</v>
      </c>
      <c r="N9" t="n">
        <v>0</v>
      </c>
      <c r="O9" t="n">
        <v>18</v>
      </c>
      <c r="P9" t="n">
        <v>3</v>
      </c>
      <c r="Q9" t="n">
        <v>32</v>
      </c>
      <c r="R9"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9">
        <f>HYPERLINK("https://klasma.github.io/Logging_2281/artfynd/A 34866-2024 artfynd.xlsx", "A 34866-2024")</f>
        <v/>
      </c>
      <c r="T9">
        <f>HYPERLINK("https://klasma.github.io/Logging_2281/kartor/A 34866-2024 karta.png", "A 34866-2024")</f>
        <v/>
      </c>
      <c r="V9">
        <f>HYPERLINK("https://klasma.github.io/Logging_2281/klagomål/A 34866-2024 FSC-klagomål.docx", "A 34866-2024")</f>
        <v/>
      </c>
      <c r="W9">
        <f>HYPERLINK("https://klasma.github.io/Logging_2281/klagomålsmail/A 34866-2024 FSC-klagomål mail.docx", "A 34866-2024")</f>
        <v/>
      </c>
      <c r="X9">
        <f>HYPERLINK("https://klasma.github.io/Logging_2281/tillsyn/A 34866-2024 tillsynsbegäran.docx", "A 34866-2024")</f>
        <v/>
      </c>
      <c r="Y9">
        <f>HYPERLINK("https://klasma.github.io/Logging_2281/tillsynsmail/A 34866-2024 tillsynsbegäran mail.docx", "A 34866-2024")</f>
        <v/>
      </c>
      <c r="Z9">
        <f>HYPERLINK("https://klasma.github.io/Logging_2281/fåglar/A 34866-2024 prioriterade fågelarter.docx", "A 34866-2024")</f>
        <v/>
      </c>
    </row>
    <row r="10" ht="15" customHeight="1">
      <c r="A10" t="inlineStr">
        <is>
          <t>A 40639-2022</t>
        </is>
      </c>
      <c r="B10" s="1" t="n">
        <v>44824</v>
      </c>
      <c r="C10" s="1" t="n">
        <v>46185</v>
      </c>
      <c r="D10" t="inlineStr">
        <is>
          <t>VÄSTERNORRLANDS LÄN</t>
        </is>
      </c>
      <c r="E10" t="inlineStr">
        <is>
          <t>SOLLEFTEÅ</t>
        </is>
      </c>
      <c r="F10" t="inlineStr">
        <is>
          <t>Holmen skog AB</t>
        </is>
      </c>
      <c r="G10" t="n">
        <v>17.9</v>
      </c>
      <c r="H10" t="n">
        <v>8</v>
      </c>
      <c r="I10" t="n">
        <v>8</v>
      </c>
      <c r="J10" t="n">
        <v>16</v>
      </c>
      <c r="K10" t="n">
        <v>3</v>
      </c>
      <c r="L10" t="n">
        <v>0</v>
      </c>
      <c r="M10" t="n">
        <v>1</v>
      </c>
      <c r="N10" t="n">
        <v>0</v>
      </c>
      <c r="O10" t="n">
        <v>20</v>
      </c>
      <c r="P10" t="n">
        <v>4</v>
      </c>
      <c r="Q10" t="n">
        <v>31</v>
      </c>
      <c r="R10"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0">
        <f>HYPERLINK("https://klasma.github.io/Logging_2283/artfynd/A 40639-2022 artfynd.xlsx", "A 40639-2022")</f>
        <v/>
      </c>
      <c r="T10">
        <f>HYPERLINK("https://klasma.github.io/Logging_2283/kartor/A 40639-2022 karta.png", "A 40639-2022")</f>
        <v/>
      </c>
      <c r="U10">
        <f>HYPERLINK("https://klasma.github.io/Logging_2283/knärot/A 40639-2022 karta knärot.png", "A 40639-2022")</f>
        <v/>
      </c>
      <c r="V10">
        <f>HYPERLINK("https://klasma.github.io/Logging_2283/klagomål/A 40639-2022 FSC-klagomål.docx", "A 40639-2022")</f>
        <v/>
      </c>
      <c r="W10">
        <f>HYPERLINK("https://klasma.github.io/Logging_2283/klagomålsmail/A 40639-2022 FSC-klagomål mail.docx", "A 40639-2022")</f>
        <v/>
      </c>
      <c r="X10">
        <f>HYPERLINK("https://klasma.github.io/Logging_2283/tillsyn/A 40639-2022 tillsynsbegäran.docx", "A 40639-2022")</f>
        <v/>
      </c>
      <c r="Y10">
        <f>HYPERLINK("https://klasma.github.io/Logging_2283/tillsynsmail/A 40639-2022 tillsynsbegäran mail.docx", "A 40639-2022")</f>
        <v/>
      </c>
      <c r="Z10">
        <f>HYPERLINK("https://klasma.github.io/Logging_2283/fåglar/A 40639-2022 prioriterade fågelarter.docx", "A 40639-2022")</f>
        <v/>
      </c>
    </row>
    <row r="11" ht="15" customHeight="1">
      <c r="A11" t="inlineStr">
        <is>
          <t>A 55860-2024</t>
        </is>
      </c>
      <c r="B11" s="1" t="n">
        <v>45623</v>
      </c>
      <c r="C11" s="1" t="n">
        <v>46185</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1">
        <f>HYPERLINK("https://klasma.github.io/Logging_2260/artfynd/A 55860-2024 artfynd.xlsx", "A 55860-2024")</f>
        <v/>
      </c>
      <c r="T11">
        <f>HYPERLINK("https://klasma.github.io/Logging_2260/kartor/A 55860-2024 karta.png", "A 55860-2024")</f>
        <v/>
      </c>
      <c r="U11">
        <f>HYPERLINK("https://klasma.github.io/Logging_2260/knärot/A 55860-2024 karta knärot.png", "A 55860-2024")</f>
        <v/>
      </c>
      <c r="V11">
        <f>HYPERLINK("https://klasma.github.io/Logging_2260/klagomål/A 55860-2024 FSC-klagomål.docx", "A 55860-2024")</f>
        <v/>
      </c>
      <c r="W11">
        <f>HYPERLINK("https://klasma.github.io/Logging_2260/klagomålsmail/A 55860-2024 FSC-klagomål mail.docx", "A 55860-2024")</f>
        <v/>
      </c>
      <c r="X11">
        <f>HYPERLINK("https://klasma.github.io/Logging_2260/tillsyn/A 55860-2024 tillsynsbegäran.docx", "A 55860-2024")</f>
        <v/>
      </c>
      <c r="Y11">
        <f>HYPERLINK("https://klasma.github.io/Logging_2260/tillsynsmail/A 55860-2024 tillsynsbegäran mail.docx", "A 55860-2024")</f>
        <v/>
      </c>
      <c r="Z11">
        <f>HYPERLINK("https://klasma.github.io/Logging_2260/fåglar/A 55860-2024 prioriterade fågelarter.docx", "A 55860-2024")</f>
        <v/>
      </c>
    </row>
    <row r="12" ht="15" customHeight="1">
      <c r="A12" t="inlineStr">
        <is>
          <t>A 43329-2025</t>
        </is>
      </c>
      <c r="B12" s="1" t="n">
        <v>45910.6775</v>
      </c>
      <c r="C12" s="1" t="n">
        <v>46185</v>
      </c>
      <c r="D12" t="inlineStr">
        <is>
          <t>VÄSTERNORRLANDS LÄN</t>
        </is>
      </c>
      <c r="E12" t="inlineStr">
        <is>
          <t>SOLLEFTEÅ</t>
        </is>
      </c>
      <c r="F12" t="inlineStr">
        <is>
          <t>SCA</t>
        </is>
      </c>
      <c r="G12" t="n">
        <v>22.5</v>
      </c>
      <c r="H12" t="n">
        <v>7</v>
      </c>
      <c r="I12" t="n">
        <v>10</v>
      </c>
      <c r="J12" t="n">
        <v>14</v>
      </c>
      <c r="K12" t="n">
        <v>2</v>
      </c>
      <c r="L12" t="n">
        <v>0</v>
      </c>
      <c r="M12" t="n">
        <v>0</v>
      </c>
      <c r="N12" t="n">
        <v>0</v>
      </c>
      <c r="O12" t="n">
        <v>16</v>
      </c>
      <c r="P12" t="n">
        <v>2</v>
      </c>
      <c r="Q12" t="n">
        <v>28</v>
      </c>
      <c r="R12" s="2" t="inlineStr">
        <is>
          <t>Doftticka
Knärot
Blå taggsvamp
Garnlav
Granticka
Gränsticka
Järpe
Kolflarnlav
Lunglav
Mörk kolflarnlav
Rosenticka
Skogshare
Spillkråka
Stjärntagging
Tretåig hackspett
Ullticka
Bårdlav
Dropptaggsvamp
Fjällig taggsvamp s.str.
Luddlav
Mindre märgborre
Norrlandslav
Rävticka
Skinnlav
Stuplav
Vedticka
Tjäder
Revlummer</t>
        </is>
      </c>
      <c r="S12">
        <f>HYPERLINK("https://klasma.github.io/Logging_2283/artfynd/A 43329-2025 artfynd.xlsx", "A 43329-2025")</f>
        <v/>
      </c>
      <c r="T12">
        <f>HYPERLINK("https://klasma.github.io/Logging_2283/kartor/A 43329-2025 karta.png", "A 43329-2025")</f>
        <v/>
      </c>
      <c r="U12">
        <f>HYPERLINK("https://klasma.github.io/Logging_2283/knärot/A 43329-2025 karta knärot.png", "A 43329-2025")</f>
        <v/>
      </c>
      <c r="V12">
        <f>HYPERLINK("https://klasma.github.io/Logging_2283/klagomål/A 43329-2025 FSC-klagomål.docx", "A 43329-2025")</f>
        <v/>
      </c>
      <c r="W12">
        <f>HYPERLINK("https://klasma.github.io/Logging_2283/klagomålsmail/A 43329-2025 FSC-klagomål mail.docx", "A 43329-2025")</f>
        <v/>
      </c>
      <c r="X12">
        <f>HYPERLINK("https://klasma.github.io/Logging_2283/tillsyn/A 43329-2025 tillsynsbegäran.docx", "A 43329-2025")</f>
        <v/>
      </c>
      <c r="Y12">
        <f>HYPERLINK("https://klasma.github.io/Logging_2283/tillsynsmail/A 43329-2025 tillsynsbegäran mail.docx", "A 43329-2025")</f>
        <v/>
      </c>
      <c r="Z12">
        <f>HYPERLINK("https://klasma.github.io/Logging_2283/fåglar/A 43329-2025 prioriterade fågelarter.docx", "A 43329-2025")</f>
        <v/>
      </c>
    </row>
    <row r="13" ht="15" customHeight="1">
      <c r="A13" t="inlineStr">
        <is>
          <t>A 20828-2024</t>
        </is>
      </c>
      <c r="B13" s="1" t="n">
        <v>45439</v>
      </c>
      <c r="C13" s="1" t="n">
        <v>46185</v>
      </c>
      <c r="D13" t="inlineStr">
        <is>
          <t>VÄSTERNORRLANDS LÄN</t>
        </is>
      </c>
      <c r="E13" t="inlineStr">
        <is>
          <t>SOLLEFTEÅ</t>
        </is>
      </c>
      <c r="G13" t="n">
        <v>4.7</v>
      </c>
      <c r="H13" t="n">
        <v>4</v>
      </c>
      <c r="I13" t="n">
        <v>7</v>
      </c>
      <c r="J13" t="n">
        <v>16</v>
      </c>
      <c r="K13" t="n">
        <v>4</v>
      </c>
      <c r="L13" t="n">
        <v>0</v>
      </c>
      <c r="M13" t="n">
        <v>0</v>
      </c>
      <c r="N13" t="n">
        <v>0</v>
      </c>
      <c r="O13" t="n">
        <v>20</v>
      </c>
      <c r="P13" t="n">
        <v>4</v>
      </c>
      <c r="Q13" t="n">
        <v>27</v>
      </c>
      <c r="R13"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3">
        <f>HYPERLINK("https://klasma.github.io/Logging_2283/artfynd/A 20828-2024 artfynd.xlsx", "A 20828-2024")</f>
        <v/>
      </c>
      <c r="T13">
        <f>HYPERLINK("https://klasma.github.io/Logging_2283/kartor/A 20828-2024 karta.png", "A 20828-2024")</f>
        <v/>
      </c>
      <c r="U13">
        <f>HYPERLINK("https://klasma.github.io/Logging_2283/knärot/A 20828-2024 karta knärot.png", "A 20828-2024")</f>
        <v/>
      </c>
      <c r="V13">
        <f>HYPERLINK("https://klasma.github.io/Logging_2283/klagomål/A 20828-2024 FSC-klagomål.docx", "A 20828-2024")</f>
        <v/>
      </c>
      <c r="W13">
        <f>HYPERLINK("https://klasma.github.io/Logging_2283/klagomålsmail/A 20828-2024 FSC-klagomål mail.docx", "A 20828-2024")</f>
        <v/>
      </c>
      <c r="X13">
        <f>HYPERLINK("https://klasma.github.io/Logging_2283/tillsyn/A 20828-2024 tillsynsbegäran.docx", "A 20828-2024")</f>
        <v/>
      </c>
      <c r="Y13">
        <f>HYPERLINK("https://klasma.github.io/Logging_2283/tillsynsmail/A 20828-2024 tillsynsbegäran mail.docx", "A 20828-2024")</f>
        <v/>
      </c>
      <c r="Z13">
        <f>HYPERLINK("https://klasma.github.io/Logging_2283/fåglar/A 20828-2024 prioriterade fågelarter.docx", "A 20828-2024")</f>
        <v/>
      </c>
    </row>
    <row r="14" ht="15" customHeight="1">
      <c r="A14" t="inlineStr">
        <is>
          <t>A 44245-2021</t>
        </is>
      </c>
      <c r="B14" s="1" t="n">
        <v>44434</v>
      </c>
      <c r="C14" s="1" t="n">
        <v>46185</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42099-2024</t>
        </is>
      </c>
      <c r="B15" s="1" t="n">
        <v>45562</v>
      </c>
      <c r="C15" s="1" t="n">
        <v>46185</v>
      </c>
      <c r="D15" t="inlineStr">
        <is>
          <t>VÄSTERNORRLANDS LÄN</t>
        </is>
      </c>
      <c r="E15" t="inlineStr">
        <is>
          <t>SOLLEFTEÅ</t>
        </is>
      </c>
      <c r="F15" t="inlineStr">
        <is>
          <t>SCA</t>
        </is>
      </c>
      <c r="G15" t="n">
        <v>23.8</v>
      </c>
      <c r="H15" t="n">
        <v>8</v>
      </c>
      <c r="I15" t="n">
        <v>7</v>
      </c>
      <c r="J15" t="n">
        <v>12</v>
      </c>
      <c r="K15" t="n">
        <v>5</v>
      </c>
      <c r="L15" t="n">
        <v>0</v>
      </c>
      <c r="M15" t="n">
        <v>0</v>
      </c>
      <c r="N15" t="n">
        <v>0</v>
      </c>
      <c r="O15" t="n">
        <v>17</v>
      </c>
      <c r="P15" t="n">
        <v>5</v>
      </c>
      <c r="Q15" t="n">
        <v>27</v>
      </c>
      <c r="R1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44652-2025</t>
        </is>
      </c>
      <c r="B16" s="1" t="n">
        <v>45917</v>
      </c>
      <c r="C16" s="1" t="n">
        <v>46185</v>
      </c>
      <c r="D16" t="inlineStr">
        <is>
          <t>VÄSTERNORRLANDS LÄN</t>
        </is>
      </c>
      <c r="E16" t="inlineStr">
        <is>
          <t>SOLLEFTEÅ</t>
        </is>
      </c>
      <c r="G16" t="n">
        <v>8.1</v>
      </c>
      <c r="H16" t="n">
        <v>4</v>
      </c>
      <c r="I16" t="n">
        <v>8</v>
      </c>
      <c r="J16" t="n">
        <v>13</v>
      </c>
      <c r="K16" t="n">
        <v>4</v>
      </c>
      <c r="L16" t="n">
        <v>0</v>
      </c>
      <c r="M16" t="n">
        <v>0</v>
      </c>
      <c r="N16" t="n">
        <v>0</v>
      </c>
      <c r="O16" t="n">
        <v>17</v>
      </c>
      <c r="P16" t="n">
        <v>4</v>
      </c>
      <c r="Q16" t="n">
        <v>26</v>
      </c>
      <c r="R1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6">
        <f>HYPERLINK("https://klasma.github.io/Logging_2283/artfynd/A 44652-2025 artfynd.xlsx", "A 44652-2025")</f>
        <v/>
      </c>
      <c r="T16">
        <f>HYPERLINK("https://klasma.github.io/Logging_2283/kartor/A 44652-2025 karta.png", "A 44652-2025")</f>
        <v/>
      </c>
      <c r="U16">
        <f>HYPERLINK("https://klasma.github.io/Logging_2283/knärot/A 44652-2025 karta knärot.png", "A 44652-2025")</f>
        <v/>
      </c>
      <c r="V16">
        <f>HYPERLINK("https://klasma.github.io/Logging_2283/klagomål/A 44652-2025 FSC-klagomål.docx", "A 44652-2025")</f>
        <v/>
      </c>
      <c r="W16">
        <f>HYPERLINK("https://klasma.github.io/Logging_2283/klagomålsmail/A 44652-2025 FSC-klagomål mail.docx", "A 44652-2025")</f>
        <v/>
      </c>
      <c r="X16">
        <f>HYPERLINK("https://klasma.github.io/Logging_2283/tillsyn/A 44652-2025 tillsynsbegäran.docx", "A 44652-2025")</f>
        <v/>
      </c>
      <c r="Y16">
        <f>HYPERLINK("https://klasma.github.io/Logging_2283/tillsynsmail/A 44652-2025 tillsynsbegäran mail.docx", "A 44652-2025")</f>
        <v/>
      </c>
      <c r="Z16">
        <f>HYPERLINK("https://klasma.github.io/Logging_2283/fåglar/A 44652-2025 prioriterade fågelarter.docx", "A 44652-2025")</f>
        <v/>
      </c>
    </row>
    <row r="17" ht="15" customHeight="1">
      <c r="A17" t="inlineStr">
        <is>
          <t>A 64523-2023</t>
        </is>
      </c>
      <c r="B17" s="1" t="n">
        <v>45281</v>
      </c>
      <c r="C17" s="1" t="n">
        <v>46185</v>
      </c>
      <c r="D17" t="inlineStr">
        <is>
          <t>VÄSTERNORRLANDS LÄN</t>
        </is>
      </c>
      <c r="E17" t="inlineStr">
        <is>
          <t>ÅNGE</t>
        </is>
      </c>
      <c r="G17" t="n">
        <v>62.6</v>
      </c>
      <c r="H17" t="n">
        <v>5</v>
      </c>
      <c r="I17" t="n">
        <v>8</v>
      </c>
      <c r="J17" t="n">
        <v>12</v>
      </c>
      <c r="K17" t="n">
        <v>4</v>
      </c>
      <c r="L17" t="n">
        <v>0</v>
      </c>
      <c r="M17" t="n">
        <v>0</v>
      </c>
      <c r="N17" t="n">
        <v>0</v>
      </c>
      <c r="O17" t="n">
        <v>16</v>
      </c>
      <c r="P17" t="n">
        <v>4</v>
      </c>
      <c r="Q17" t="n">
        <v>25</v>
      </c>
      <c r="R17"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7">
        <f>HYPERLINK("https://klasma.github.io/Logging_2260/artfynd/A 64523-2023 artfynd.xlsx", "A 64523-2023")</f>
        <v/>
      </c>
      <c r="T17">
        <f>HYPERLINK("https://klasma.github.io/Logging_2260/kartor/A 64523-2023 karta.png", "A 64523-2023")</f>
        <v/>
      </c>
      <c r="U17">
        <f>HYPERLINK("https://klasma.github.io/Logging_2260/knärot/A 64523-2023 karta knärot.png", "A 64523-2023")</f>
        <v/>
      </c>
      <c r="V17">
        <f>HYPERLINK("https://klasma.github.io/Logging_2260/klagomål/A 64523-2023 FSC-klagomål.docx", "A 64523-2023")</f>
        <v/>
      </c>
      <c r="W17">
        <f>HYPERLINK("https://klasma.github.io/Logging_2260/klagomålsmail/A 64523-2023 FSC-klagomål mail.docx", "A 64523-2023")</f>
        <v/>
      </c>
      <c r="X17">
        <f>HYPERLINK("https://klasma.github.io/Logging_2260/tillsyn/A 64523-2023 tillsynsbegäran.docx", "A 64523-2023")</f>
        <v/>
      </c>
      <c r="Y17">
        <f>HYPERLINK("https://klasma.github.io/Logging_2260/tillsynsmail/A 64523-2023 tillsynsbegäran mail.docx", "A 64523-2023")</f>
        <v/>
      </c>
      <c r="Z17">
        <f>HYPERLINK("https://klasma.github.io/Logging_2260/fåglar/A 64523-2023 prioriterade fågelarter.docx", "A 64523-2023")</f>
        <v/>
      </c>
    </row>
    <row r="18" ht="15" customHeight="1">
      <c r="A18" t="inlineStr">
        <is>
          <t>A 43968-2023</t>
        </is>
      </c>
      <c r="B18" s="1" t="n">
        <v>45187</v>
      </c>
      <c r="C18" s="1" t="n">
        <v>46185</v>
      </c>
      <c r="D18" t="inlineStr">
        <is>
          <t>VÄSTERNORRLANDS LÄN</t>
        </is>
      </c>
      <c r="E18" t="inlineStr">
        <is>
          <t>ÅNGE</t>
        </is>
      </c>
      <c r="F18" t="inlineStr">
        <is>
          <t>SCA</t>
        </is>
      </c>
      <c r="G18" t="n">
        <v>21.8</v>
      </c>
      <c r="H18" t="n">
        <v>0</v>
      </c>
      <c r="I18" t="n">
        <v>6</v>
      </c>
      <c r="J18" t="n">
        <v>13</v>
      </c>
      <c r="K18" t="n">
        <v>5</v>
      </c>
      <c r="L18" t="n">
        <v>1</v>
      </c>
      <c r="M18" t="n">
        <v>0</v>
      </c>
      <c r="N18" t="n">
        <v>0</v>
      </c>
      <c r="O18" t="n">
        <v>19</v>
      </c>
      <c r="P18" t="n">
        <v>6</v>
      </c>
      <c r="Q18" t="n">
        <v>25</v>
      </c>
      <c r="R1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8">
        <f>HYPERLINK("https://klasma.github.io/Logging_2260/artfynd/A 43968-2023 artfynd.xlsx", "A 43968-2023")</f>
        <v/>
      </c>
      <c r="T18">
        <f>HYPERLINK("https://klasma.github.io/Logging_2260/kartor/A 43968-2023 karta.png", "A 43968-2023")</f>
        <v/>
      </c>
      <c r="U18">
        <f>HYPERLINK("https://klasma.github.io/Logging_2260/knärot/A 43968-2023 karta knärot.png", "A 43968-2023")</f>
        <v/>
      </c>
      <c r="V18">
        <f>HYPERLINK("https://klasma.github.io/Logging_2260/klagomål/A 43968-2023 FSC-klagomål.docx", "A 43968-2023")</f>
        <v/>
      </c>
      <c r="W18">
        <f>HYPERLINK("https://klasma.github.io/Logging_2260/klagomålsmail/A 43968-2023 FSC-klagomål mail.docx", "A 43968-2023")</f>
        <v/>
      </c>
      <c r="X18">
        <f>HYPERLINK("https://klasma.github.io/Logging_2260/tillsyn/A 43968-2023 tillsynsbegäran.docx", "A 43968-2023")</f>
        <v/>
      </c>
      <c r="Y18">
        <f>HYPERLINK("https://klasma.github.io/Logging_2260/tillsynsmail/A 43968-2023 tillsynsbegäran mail.docx", "A 43968-2023")</f>
        <v/>
      </c>
    </row>
    <row r="19" ht="15" customHeight="1">
      <c r="A19" t="inlineStr">
        <is>
          <t>A 34481-2023</t>
        </is>
      </c>
      <c r="B19" s="1" t="n">
        <v>45139</v>
      </c>
      <c r="C19" s="1" t="n">
        <v>46185</v>
      </c>
      <c r="D19" t="inlineStr">
        <is>
          <t>VÄSTERNORRLANDS LÄN</t>
        </is>
      </c>
      <c r="E19" t="inlineStr">
        <is>
          <t>ÅNGE</t>
        </is>
      </c>
      <c r="G19" t="n">
        <v>8.699999999999999</v>
      </c>
      <c r="H19" t="n">
        <v>2</v>
      </c>
      <c r="I19" t="n">
        <v>5</v>
      </c>
      <c r="J19" t="n">
        <v>14</v>
      </c>
      <c r="K19" t="n">
        <v>5</v>
      </c>
      <c r="L19" t="n">
        <v>0</v>
      </c>
      <c r="M19" t="n">
        <v>0</v>
      </c>
      <c r="N19" t="n">
        <v>0</v>
      </c>
      <c r="O19" t="n">
        <v>19</v>
      </c>
      <c r="P19" t="n">
        <v>5</v>
      </c>
      <c r="Q19" t="n">
        <v>24</v>
      </c>
      <c r="R19"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9">
        <f>HYPERLINK("https://klasma.github.io/Logging_2260/artfynd/A 34481-2023 artfynd.xlsx", "A 34481-2023")</f>
        <v/>
      </c>
      <c r="T19">
        <f>HYPERLINK("https://klasma.github.io/Logging_2260/kartor/A 34481-2023 karta.png", "A 34481-2023")</f>
        <v/>
      </c>
      <c r="U19">
        <f>HYPERLINK("https://klasma.github.io/Logging_2260/knärot/A 34481-2023 karta knärot.png", "A 34481-2023")</f>
        <v/>
      </c>
      <c r="V19">
        <f>HYPERLINK("https://klasma.github.io/Logging_2260/klagomål/A 34481-2023 FSC-klagomål.docx", "A 34481-2023")</f>
        <v/>
      </c>
      <c r="W19">
        <f>HYPERLINK("https://klasma.github.io/Logging_2260/klagomålsmail/A 34481-2023 FSC-klagomål mail.docx", "A 34481-2023")</f>
        <v/>
      </c>
      <c r="X19">
        <f>HYPERLINK("https://klasma.github.io/Logging_2260/tillsyn/A 34481-2023 tillsynsbegäran.docx", "A 34481-2023")</f>
        <v/>
      </c>
      <c r="Y19">
        <f>HYPERLINK("https://klasma.github.io/Logging_2260/tillsynsmail/A 34481-2023 tillsynsbegäran mail.docx", "A 34481-2023")</f>
        <v/>
      </c>
    </row>
    <row r="20" ht="15" customHeight="1">
      <c r="A20" t="inlineStr">
        <is>
          <t>A 45998-2025</t>
        </is>
      </c>
      <c r="B20" s="1" t="n">
        <v>45924</v>
      </c>
      <c r="C20" s="1" t="n">
        <v>46185</v>
      </c>
      <c r="D20" t="inlineStr">
        <is>
          <t>VÄSTERNORRLANDS LÄN</t>
        </is>
      </c>
      <c r="E20" t="inlineStr">
        <is>
          <t>KRAMFORS</t>
        </is>
      </c>
      <c r="G20" t="n">
        <v>32.2</v>
      </c>
      <c r="H20" t="n">
        <v>8</v>
      </c>
      <c r="I20" t="n">
        <v>7</v>
      </c>
      <c r="J20" t="n">
        <v>9</v>
      </c>
      <c r="K20" t="n">
        <v>4</v>
      </c>
      <c r="L20" t="n">
        <v>0</v>
      </c>
      <c r="M20" t="n">
        <v>0</v>
      </c>
      <c r="N20" t="n">
        <v>0</v>
      </c>
      <c r="O20" t="n">
        <v>13</v>
      </c>
      <c r="P20" t="n">
        <v>4</v>
      </c>
      <c r="Q20" t="n">
        <v>24</v>
      </c>
      <c r="R20"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0">
        <f>HYPERLINK("https://klasma.github.io/Logging_2282/artfynd/A 45998-2025 artfynd.xlsx", "A 45998-2025")</f>
        <v/>
      </c>
      <c r="T20">
        <f>HYPERLINK("https://klasma.github.io/Logging_2282/kartor/A 45998-2025 karta.png", "A 45998-2025")</f>
        <v/>
      </c>
      <c r="U20">
        <f>HYPERLINK("https://klasma.github.io/Logging_2282/knärot/A 45998-2025 karta knärot.png", "A 45998-2025")</f>
        <v/>
      </c>
      <c r="V20">
        <f>HYPERLINK("https://klasma.github.io/Logging_2282/klagomål/A 45998-2025 FSC-klagomål.docx", "A 45998-2025")</f>
        <v/>
      </c>
      <c r="W20">
        <f>HYPERLINK("https://klasma.github.io/Logging_2282/klagomålsmail/A 45998-2025 FSC-klagomål mail.docx", "A 45998-2025")</f>
        <v/>
      </c>
      <c r="X20">
        <f>HYPERLINK("https://klasma.github.io/Logging_2282/tillsyn/A 45998-2025 tillsynsbegäran.docx", "A 45998-2025")</f>
        <v/>
      </c>
      <c r="Y20">
        <f>HYPERLINK("https://klasma.github.io/Logging_2282/tillsynsmail/A 45998-2025 tillsynsbegäran mail.docx", "A 45998-2025")</f>
        <v/>
      </c>
      <c r="Z20">
        <f>HYPERLINK("https://klasma.github.io/Logging_2282/fåglar/A 45998-2025 prioriterade fågelarter.docx", "A 45998-2025")</f>
        <v/>
      </c>
    </row>
    <row r="21" ht="15" customHeight="1">
      <c r="A21" t="inlineStr">
        <is>
          <t>A 29100-2024</t>
        </is>
      </c>
      <c r="B21" s="1" t="n">
        <v>45481</v>
      </c>
      <c r="C21" s="1" t="n">
        <v>46185</v>
      </c>
      <c r="D21" t="inlineStr">
        <is>
          <t>VÄSTERNORRLANDS LÄN</t>
        </is>
      </c>
      <c r="E21" t="inlineStr">
        <is>
          <t>SOLLEFTEÅ</t>
        </is>
      </c>
      <c r="F21" t="inlineStr">
        <is>
          <t>SCA</t>
        </is>
      </c>
      <c r="G21" t="n">
        <v>25.4</v>
      </c>
      <c r="H21" t="n">
        <v>7</v>
      </c>
      <c r="I21" t="n">
        <v>5</v>
      </c>
      <c r="J21" t="n">
        <v>14</v>
      </c>
      <c r="K21" t="n">
        <v>3</v>
      </c>
      <c r="L21" t="n">
        <v>0</v>
      </c>
      <c r="M21" t="n">
        <v>0</v>
      </c>
      <c r="N21" t="n">
        <v>0</v>
      </c>
      <c r="O21" t="n">
        <v>17</v>
      </c>
      <c r="P21" t="n">
        <v>3</v>
      </c>
      <c r="Q21" t="n">
        <v>24</v>
      </c>
      <c r="R21"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1">
        <f>HYPERLINK("https://klasma.github.io/Logging_2283/artfynd/A 29100-2024 artfynd.xlsx", "A 29100-2024")</f>
        <v/>
      </c>
      <c r="T21">
        <f>HYPERLINK("https://klasma.github.io/Logging_2283/kartor/A 29100-2024 karta.png", "A 29100-2024")</f>
        <v/>
      </c>
      <c r="U21">
        <f>HYPERLINK("https://klasma.github.io/Logging_2283/knärot/A 29100-2024 karta knärot.png", "A 29100-2024")</f>
        <v/>
      </c>
      <c r="V21">
        <f>HYPERLINK("https://klasma.github.io/Logging_2283/klagomål/A 29100-2024 FSC-klagomål.docx", "A 29100-2024")</f>
        <v/>
      </c>
      <c r="W21">
        <f>HYPERLINK("https://klasma.github.io/Logging_2283/klagomålsmail/A 29100-2024 FSC-klagomål mail.docx", "A 29100-2024")</f>
        <v/>
      </c>
      <c r="X21">
        <f>HYPERLINK("https://klasma.github.io/Logging_2283/tillsyn/A 29100-2024 tillsynsbegäran.docx", "A 29100-2024")</f>
        <v/>
      </c>
      <c r="Y21">
        <f>HYPERLINK("https://klasma.github.io/Logging_2283/tillsynsmail/A 29100-2024 tillsynsbegäran mail.docx", "A 29100-2024")</f>
        <v/>
      </c>
      <c r="Z21">
        <f>HYPERLINK("https://klasma.github.io/Logging_2283/fåglar/A 29100-2024 prioriterade fågelarter.docx", "A 29100-2024")</f>
        <v/>
      </c>
    </row>
    <row r="22" ht="15" customHeight="1">
      <c r="A22" t="inlineStr">
        <is>
          <t>A 57118-2024</t>
        </is>
      </c>
      <c r="B22" s="1" t="n">
        <v>45629</v>
      </c>
      <c r="C22" s="1" t="n">
        <v>46185</v>
      </c>
      <c r="D22" t="inlineStr">
        <is>
          <t>VÄSTERNORRLANDS LÄN</t>
        </is>
      </c>
      <c r="E22" t="inlineStr">
        <is>
          <t>ÅNGE</t>
        </is>
      </c>
      <c r="G22" t="n">
        <v>44.1</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57118-2024 artfynd.xlsx", "A 57118-2024")</f>
        <v/>
      </c>
      <c r="T22">
        <f>HYPERLINK("https://klasma.github.io/Logging_2260/kartor/A 57118-2024 karta.png", "A 57118-2024")</f>
        <v/>
      </c>
      <c r="U22">
        <f>HYPERLINK("https://klasma.github.io/Logging_2260/knärot/A 57118-2024 karta knärot.png", "A 57118-2024")</f>
        <v/>
      </c>
      <c r="V22">
        <f>HYPERLINK("https://klasma.github.io/Logging_2260/klagomål/A 57118-2024 FSC-klagomål.docx", "A 57118-2024")</f>
        <v/>
      </c>
      <c r="W22">
        <f>HYPERLINK("https://klasma.github.io/Logging_2260/klagomålsmail/A 57118-2024 FSC-klagomål mail.docx", "A 57118-2024")</f>
        <v/>
      </c>
      <c r="X22">
        <f>HYPERLINK("https://klasma.github.io/Logging_2260/tillsyn/A 57118-2024 tillsynsbegäran.docx", "A 57118-2024")</f>
        <v/>
      </c>
      <c r="Y22">
        <f>HYPERLINK("https://klasma.github.io/Logging_2260/tillsynsmail/A 57118-2024 tillsynsbegäran mail.docx", "A 57118-2024")</f>
        <v/>
      </c>
      <c r="Z22">
        <f>HYPERLINK("https://klasma.github.io/Logging_2260/fåglar/A 57118-2024 prioriterade fågelarter.docx", "A 57118-2024")</f>
        <v/>
      </c>
    </row>
    <row r="23" ht="15" customHeight="1">
      <c r="A23" t="inlineStr">
        <is>
          <t>A 38014-2024</t>
        </is>
      </c>
      <c r="B23" s="1" t="n">
        <v>45544</v>
      </c>
      <c r="C23" s="1" t="n">
        <v>46185</v>
      </c>
      <c r="D23" t="inlineStr">
        <is>
          <t>VÄSTERNORRLANDS LÄN</t>
        </is>
      </c>
      <c r="E23" t="inlineStr">
        <is>
          <t>KRAMFORS</t>
        </is>
      </c>
      <c r="G23" t="n">
        <v>4.8</v>
      </c>
      <c r="H23" t="n">
        <v>4</v>
      </c>
      <c r="I23" t="n">
        <v>14</v>
      </c>
      <c r="J23" t="n">
        <v>3</v>
      </c>
      <c r="K23" t="n">
        <v>2</v>
      </c>
      <c r="L23" t="n">
        <v>1</v>
      </c>
      <c r="M23" t="n">
        <v>0</v>
      </c>
      <c r="N23" t="n">
        <v>0</v>
      </c>
      <c r="O23" t="n">
        <v>7</v>
      </c>
      <c r="P23" t="n">
        <v>3</v>
      </c>
      <c r="Q23" t="n">
        <v>23</v>
      </c>
      <c r="R23"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3">
        <f>HYPERLINK("https://klasma.github.io/Logging_2282/artfynd/A 38014-2024 artfynd.xlsx", "A 38014-2024")</f>
        <v/>
      </c>
      <c r="T23">
        <f>HYPERLINK("https://klasma.github.io/Logging_2282/kartor/A 38014-2024 karta.png", "A 38014-2024")</f>
        <v/>
      </c>
      <c r="V23">
        <f>HYPERLINK("https://klasma.github.io/Logging_2282/klagomål/A 38014-2024 FSC-klagomål.docx", "A 38014-2024")</f>
        <v/>
      </c>
      <c r="W23">
        <f>HYPERLINK("https://klasma.github.io/Logging_2282/klagomålsmail/A 38014-2024 FSC-klagomål mail.docx", "A 38014-2024")</f>
        <v/>
      </c>
      <c r="X23">
        <f>HYPERLINK("https://klasma.github.io/Logging_2282/tillsyn/A 38014-2024 tillsynsbegäran.docx", "A 38014-2024")</f>
        <v/>
      </c>
      <c r="Y23">
        <f>HYPERLINK("https://klasma.github.io/Logging_2282/tillsynsmail/A 38014-2024 tillsynsbegäran mail.docx", "A 38014-2024")</f>
        <v/>
      </c>
      <c r="Z23">
        <f>HYPERLINK("https://klasma.github.io/Logging_2282/fåglar/A 38014-2024 prioriterade fågelarter.docx", "A 38014-2024")</f>
        <v/>
      </c>
    </row>
    <row r="24" ht="15" customHeight="1">
      <c r="A24" t="inlineStr">
        <is>
          <t>A 31322-2024</t>
        </is>
      </c>
      <c r="B24" s="1" t="n">
        <v>45504</v>
      </c>
      <c r="C24" s="1" t="n">
        <v>46185</v>
      </c>
      <c r="D24" t="inlineStr">
        <is>
          <t>VÄSTERNORRLANDS LÄN</t>
        </is>
      </c>
      <c r="E24" t="inlineStr">
        <is>
          <t>SOLLEFTEÅ</t>
        </is>
      </c>
      <c r="G24" t="n">
        <v>12.9</v>
      </c>
      <c r="H24" t="n">
        <v>6</v>
      </c>
      <c r="I24" t="n">
        <v>2</v>
      </c>
      <c r="J24" t="n">
        <v>14</v>
      </c>
      <c r="K24" t="n">
        <v>5</v>
      </c>
      <c r="L24" t="n">
        <v>0</v>
      </c>
      <c r="M24" t="n">
        <v>0</v>
      </c>
      <c r="N24" t="n">
        <v>0</v>
      </c>
      <c r="O24" t="n">
        <v>19</v>
      </c>
      <c r="P24" t="n">
        <v>5</v>
      </c>
      <c r="Q24" t="n">
        <v>23</v>
      </c>
      <c r="R24"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4">
        <f>HYPERLINK("https://klasma.github.io/Logging_2283/artfynd/A 31322-2024 artfynd.xlsx", "A 31322-2024")</f>
        <v/>
      </c>
      <c r="T24">
        <f>HYPERLINK("https://klasma.github.io/Logging_2283/kartor/A 31322-2024 karta.png", "A 31322-2024")</f>
        <v/>
      </c>
      <c r="U24">
        <f>HYPERLINK("https://klasma.github.io/Logging_2283/knärot/A 31322-2024 karta knärot.png", "A 31322-2024")</f>
        <v/>
      </c>
      <c r="V24">
        <f>HYPERLINK("https://klasma.github.io/Logging_2283/klagomål/A 31322-2024 FSC-klagomål.docx", "A 31322-2024")</f>
        <v/>
      </c>
      <c r="W24">
        <f>HYPERLINK("https://klasma.github.io/Logging_2283/klagomålsmail/A 31322-2024 FSC-klagomål mail.docx", "A 31322-2024")</f>
        <v/>
      </c>
      <c r="X24">
        <f>HYPERLINK("https://klasma.github.io/Logging_2283/tillsyn/A 31322-2024 tillsynsbegäran.docx", "A 31322-2024")</f>
        <v/>
      </c>
      <c r="Y24">
        <f>HYPERLINK("https://klasma.github.io/Logging_2283/tillsynsmail/A 31322-2024 tillsynsbegäran mail.docx", "A 31322-2024")</f>
        <v/>
      </c>
      <c r="Z24">
        <f>HYPERLINK("https://klasma.github.io/Logging_2283/fåglar/A 31322-2024 prioriterade fågelarter.docx", "A 31322-2024")</f>
        <v/>
      </c>
    </row>
    <row r="25" ht="15" customHeight="1">
      <c r="A25" t="inlineStr">
        <is>
          <t>A 21339-2024</t>
        </is>
      </c>
      <c r="B25" s="1" t="n">
        <v>45440</v>
      </c>
      <c r="C25" s="1" t="n">
        <v>46185</v>
      </c>
      <c r="D25" t="inlineStr">
        <is>
          <t>VÄSTERNORRLANDS LÄN</t>
        </is>
      </c>
      <c r="E25" t="inlineStr">
        <is>
          <t>SUNDSVALL</t>
        </is>
      </c>
      <c r="G25" t="n">
        <v>8.6</v>
      </c>
      <c r="H25" t="n">
        <v>4</v>
      </c>
      <c r="I25" t="n">
        <v>7</v>
      </c>
      <c r="J25" t="n">
        <v>14</v>
      </c>
      <c r="K25" t="n">
        <v>1</v>
      </c>
      <c r="L25" t="n">
        <v>0</v>
      </c>
      <c r="M25" t="n">
        <v>0</v>
      </c>
      <c r="N25" t="n">
        <v>0</v>
      </c>
      <c r="O25" t="n">
        <v>15</v>
      </c>
      <c r="P25" t="n">
        <v>1</v>
      </c>
      <c r="Q25" t="n">
        <v>23</v>
      </c>
      <c r="R2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5">
        <f>HYPERLINK("https://klasma.github.io/Logging_2281/artfynd/A 21339-2024 artfynd.xlsx", "A 21339-2024")</f>
        <v/>
      </c>
      <c r="T25">
        <f>HYPERLINK("https://klasma.github.io/Logging_2281/kartor/A 21339-2024 karta.png", "A 21339-2024")</f>
        <v/>
      </c>
      <c r="U25">
        <f>HYPERLINK("https://klasma.github.io/Logging_2281/knärot/A 21339-2024 karta knärot.png", "A 21339-2024")</f>
        <v/>
      </c>
      <c r="V25">
        <f>HYPERLINK("https://klasma.github.io/Logging_2281/klagomål/A 21339-2024 FSC-klagomål.docx", "A 21339-2024")</f>
        <v/>
      </c>
      <c r="W25">
        <f>HYPERLINK("https://klasma.github.io/Logging_2281/klagomålsmail/A 21339-2024 FSC-klagomål mail.docx", "A 21339-2024")</f>
        <v/>
      </c>
      <c r="X25">
        <f>HYPERLINK("https://klasma.github.io/Logging_2281/tillsyn/A 21339-2024 tillsynsbegäran.docx", "A 21339-2024")</f>
        <v/>
      </c>
      <c r="Y25">
        <f>HYPERLINK("https://klasma.github.io/Logging_2281/tillsynsmail/A 21339-2024 tillsynsbegäran mail.docx", "A 21339-2024")</f>
        <v/>
      </c>
      <c r="Z25">
        <f>HYPERLINK("https://klasma.github.io/Logging_2281/fåglar/A 21339-2024 prioriterade fågelarter.docx", "A 21339-2024")</f>
        <v/>
      </c>
    </row>
    <row r="26" ht="15" customHeight="1">
      <c r="A26" t="inlineStr">
        <is>
          <t>A 57942-2021</t>
        </is>
      </c>
      <c r="B26" s="1" t="n">
        <v>44487</v>
      </c>
      <c r="C26" s="1" t="n">
        <v>46185</v>
      </c>
      <c r="D26" t="inlineStr">
        <is>
          <t>VÄSTERNORRLANDS LÄN</t>
        </is>
      </c>
      <c r="E26" t="inlineStr">
        <is>
          <t>SOLLEFTEÅ</t>
        </is>
      </c>
      <c r="F26" t="inlineStr">
        <is>
          <t>Holmen skog AB</t>
        </is>
      </c>
      <c r="G26" t="n">
        <v>14.2</v>
      </c>
      <c r="H26" t="n">
        <v>7</v>
      </c>
      <c r="I26" t="n">
        <v>5</v>
      </c>
      <c r="J26" t="n">
        <v>14</v>
      </c>
      <c r="K26" t="n">
        <v>4</v>
      </c>
      <c r="L26" t="n">
        <v>0</v>
      </c>
      <c r="M26" t="n">
        <v>0</v>
      </c>
      <c r="N26" t="n">
        <v>0</v>
      </c>
      <c r="O26" t="n">
        <v>18</v>
      </c>
      <c r="P26" t="n">
        <v>4</v>
      </c>
      <c r="Q26" t="n">
        <v>23</v>
      </c>
      <c r="R26"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6">
        <f>HYPERLINK("https://klasma.github.io/Logging_2283/artfynd/A 57942-2021 artfynd.xlsx", "A 57942-2021")</f>
        <v/>
      </c>
      <c r="T26">
        <f>HYPERLINK("https://klasma.github.io/Logging_2283/kartor/A 57942-2021 karta.png", "A 57942-2021")</f>
        <v/>
      </c>
      <c r="U26">
        <f>HYPERLINK("https://klasma.github.io/Logging_2283/knärot/A 57942-2021 karta knärot.png", "A 57942-2021")</f>
        <v/>
      </c>
      <c r="V26">
        <f>HYPERLINK("https://klasma.github.io/Logging_2283/klagomål/A 57942-2021 FSC-klagomål.docx", "A 57942-2021")</f>
        <v/>
      </c>
      <c r="W26">
        <f>HYPERLINK("https://klasma.github.io/Logging_2283/klagomålsmail/A 57942-2021 FSC-klagomål mail.docx", "A 57942-2021")</f>
        <v/>
      </c>
      <c r="X26">
        <f>HYPERLINK("https://klasma.github.io/Logging_2283/tillsyn/A 57942-2021 tillsynsbegäran.docx", "A 57942-2021")</f>
        <v/>
      </c>
      <c r="Y26">
        <f>HYPERLINK("https://klasma.github.io/Logging_2283/tillsynsmail/A 57942-2021 tillsynsbegäran mail.docx", "A 57942-2021")</f>
        <v/>
      </c>
      <c r="Z26">
        <f>HYPERLINK("https://klasma.github.io/Logging_2283/fåglar/A 57942-2021 prioriterade fågelarter.docx", "A 57942-2021")</f>
        <v/>
      </c>
    </row>
    <row r="27" ht="15" customHeight="1">
      <c r="A27" t="inlineStr">
        <is>
          <t>A 13495-2023</t>
        </is>
      </c>
      <c r="B27" s="1" t="n">
        <v>45005</v>
      </c>
      <c r="C27" s="1" t="n">
        <v>46185</v>
      </c>
      <c r="D27" t="inlineStr">
        <is>
          <t>VÄSTERNORRLANDS LÄN</t>
        </is>
      </c>
      <c r="E27" t="inlineStr">
        <is>
          <t>ÅNGE</t>
        </is>
      </c>
      <c r="F27" t="inlineStr">
        <is>
          <t>SCA</t>
        </is>
      </c>
      <c r="G27" t="n">
        <v>59.2</v>
      </c>
      <c r="H27" t="n">
        <v>1</v>
      </c>
      <c r="I27" t="n">
        <v>5</v>
      </c>
      <c r="J27" t="n">
        <v>13</v>
      </c>
      <c r="K27" t="n">
        <v>4</v>
      </c>
      <c r="L27" t="n">
        <v>1</v>
      </c>
      <c r="M27" t="n">
        <v>0</v>
      </c>
      <c r="N27" t="n">
        <v>0</v>
      </c>
      <c r="O27" t="n">
        <v>18</v>
      </c>
      <c r="P27" t="n">
        <v>5</v>
      </c>
      <c r="Q27" t="n">
        <v>23</v>
      </c>
      <c r="R2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7">
        <f>HYPERLINK("https://klasma.github.io/Logging_2260/artfynd/A 13495-2023 artfynd.xlsx", "A 13495-2023")</f>
        <v/>
      </c>
      <c r="T27">
        <f>HYPERLINK("https://klasma.github.io/Logging_2260/kartor/A 13495-2023 karta.png", "A 13495-2023")</f>
        <v/>
      </c>
      <c r="U27">
        <f>HYPERLINK("https://klasma.github.io/Logging_2260/knärot/A 13495-2023 karta knärot.png", "A 13495-2023")</f>
        <v/>
      </c>
      <c r="V27">
        <f>HYPERLINK("https://klasma.github.io/Logging_2260/klagomål/A 13495-2023 FSC-klagomål.docx", "A 13495-2023")</f>
        <v/>
      </c>
      <c r="W27">
        <f>HYPERLINK("https://klasma.github.io/Logging_2260/klagomålsmail/A 13495-2023 FSC-klagomål mail.docx", "A 13495-2023")</f>
        <v/>
      </c>
      <c r="X27">
        <f>HYPERLINK("https://klasma.github.io/Logging_2260/tillsyn/A 13495-2023 tillsynsbegäran.docx", "A 13495-2023")</f>
        <v/>
      </c>
      <c r="Y27">
        <f>HYPERLINK("https://klasma.github.io/Logging_2260/tillsynsmail/A 13495-2023 tillsynsbegäran mail.docx", "A 13495-2023")</f>
        <v/>
      </c>
    </row>
    <row r="28" ht="15" customHeight="1">
      <c r="A28" t="inlineStr">
        <is>
          <t>A 29339-2023</t>
        </is>
      </c>
      <c r="B28" s="1" t="n">
        <v>45105</v>
      </c>
      <c r="C28" s="1" t="n">
        <v>46185</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11492-2022</t>
        </is>
      </c>
      <c r="B29" s="1" t="n">
        <v>44630</v>
      </c>
      <c r="C29" s="1" t="n">
        <v>46185</v>
      </c>
      <c r="D29" t="inlineStr">
        <is>
          <t>VÄSTERNORRLANDS LÄN</t>
        </is>
      </c>
      <c r="E29" t="inlineStr">
        <is>
          <t>SOLLEFTEÅ</t>
        </is>
      </c>
      <c r="F29" t="inlineStr">
        <is>
          <t>SCA</t>
        </is>
      </c>
      <c r="G29" t="n">
        <v>9.300000000000001</v>
      </c>
      <c r="H29" t="n">
        <v>4</v>
      </c>
      <c r="I29" t="n">
        <v>4</v>
      </c>
      <c r="J29" t="n">
        <v>14</v>
      </c>
      <c r="K29" t="n">
        <v>3</v>
      </c>
      <c r="L29" t="n">
        <v>0</v>
      </c>
      <c r="M29" t="n">
        <v>0</v>
      </c>
      <c r="N29" t="n">
        <v>0</v>
      </c>
      <c r="O29" t="n">
        <v>17</v>
      </c>
      <c r="P29" t="n">
        <v>3</v>
      </c>
      <c r="Q29" t="n">
        <v>22</v>
      </c>
      <c r="R2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9">
        <f>HYPERLINK("https://klasma.github.io/Logging_2283/artfynd/A 11492-2022 artfynd.xlsx", "A 11492-2022")</f>
        <v/>
      </c>
      <c r="T29">
        <f>HYPERLINK("https://klasma.github.io/Logging_2283/kartor/A 11492-2022 karta.png", "A 11492-2022")</f>
        <v/>
      </c>
      <c r="U29">
        <f>HYPERLINK("https://klasma.github.io/Logging_2283/knärot/A 11492-2022 karta knärot.png", "A 11492-2022")</f>
        <v/>
      </c>
      <c r="V29">
        <f>HYPERLINK("https://klasma.github.io/Logging_2283/klagomål/A 11492-2022 FSC-klagomål.docx", "A 11492-2022")</f>
        <v/>
      </c>
      <c r="W29">
        <f>HYPERLINK("https://klasma.github.io/Logging_2283/klagomålsmail/A 11492-2022 FSC-klagomål mail.docx", "A 11492-2022")</f>
        <v/>
      </c>
      <c r="X29">
        <f>HYPERLINK("https://klasma.github.io/Logging_2283/tillsyn/A 11492-2022 tillsynsbegäran.docx", "A 11492-2022")</f>
        <v/>
      </c>
      <c r="Y29">
        <f>HYPERLINK("https://klasma.github.io/Logging_2283/tillsynsmail/A 11492-2022 tillsynsbegäran mail.docx", "A 11492-2022")</f>
        <v/>
      </c>
      <c r="Z29">
        <f>HYPERLINK("https://klasma.github.io/Logging_2283/fåglar/A 11492-2022 prioriterade fågelarter.docx", "A 11492-2022")</f>
        <v/>
      </c>
    </row>
    <row r="30" ht="15" customHeight="1">
      <c r="A30" t="inlineStr">
        <is>
          <t>A 8732-2025</t>
        </is>
      </c>
      <c r="B30" s="1" t="n">
        <v>45712.53186342592</v>
      </c>
      <c r="C30" s="1" t="n">
        <v>46185</v>
      </c>
      <c r="D30" t="inlineStr">
        <is>
          <t>VÄSTERNORRLANDS LÄN</t>
        </is>
      </c>
      <c r="E30" t="inlineStr">
        <is>
          <t>SUNDSVALL</t>
        </is>
      </c>
      <c r="F30" t="inlineStr">
        <is>
          <t>SCA</t>
        </is>
      </c>
      <c r="G30" t="n">
        <v>11.7</v>
      </c>
      <c r="H30" t="n">
        <v>11</v>
      </c>
      <c r="I30" t="n">
        <v>5</v>
      </c>
      <c r="J30" t="n">
        <v>11</v>
      </c>
      <c r="K30" t="n">
        <v>1</v>
      </c>
      <c r="L30" t="n">
        <v>0</v>
      </c>
      <c r="M30" t="n">
        <v>0</v>
      </c>
      <c r="N30" t="n">
        <v>0</v>
      </c>
      <c r="O30" t="n">
        <v>12</v>
      </c>
      <c r="P30" t="n">
        <v>1</v>
      </c>
      <c r="Q30" t="n">
        <v>22</v>
      </c>
      <c r="R30" s="2" t="inlineStr">
        <is>
          <t>Knärot
Garnlav
Gränsticka
Järpe
Lunglav
Rosenticka
Skogshare
Spillkråka
Stjärntagging
Talltita
Tretåig hackspett
Ullticka
Korallblylav
Norrlandslav
Skinnlav
Spindelblomster
Stuplav
Skogsduva
Tjäder
Fläcknycklar
Blåsippa
Revlummer</t>
        </is>
      </c>
      <c r="S30">
        <f>HYPERLINK("https://klasma.github.io/Logging_2281/artfynd/A 8732-2025 artfynd.xlsx", "A 8732-2025")</f>
        <v/>
      </c>
      <c r="T30">
        <f>HYPERLINK("https://klasma.github.io/Logging_2281/kartor/A 8732-2025 karta.png", "A 8732-2025")</f>
        <v/>
      </c>
      <c r="U30">
        <f>HYPERLINK("https://klasma.github.io/Logging_2281/knärot/A 8732-2025 karta knärot.png", "A 8732-2025")</f>
        <v/>
      </c>
      <c r="V30">
        <f>HYPERLINK("https://klasma.github.io/Logging_2281/klagomål/A 8732-2025 FSC-klagomål.docx", "A 8732-2025")</f>
        <v/>
      </c>
      <c r="W30">
        <f>HYPERLINK("https://klasma.github.io/Logging_2281/klagomålsmail/A 8732-2025 FSC-klagomål mail.docx", "A 8732-2025")</f>
        <v/>
      </c>
      <c r="X30">
        <f>HYPERLINK("https://klasma.github.io/Logging_2281/tillsyn/A 8732-2025 tillsynsbegäran.docx", "A 8732-2025")</f>
        <v/>
      </c>
      <c r="Y30">
        <f>HYPERLINK("https://klasma.github.io/Logging_2281/tillsynsmail/A 8732-2025 tillsynsbegäran mail.docx", "A 8732-2025")</f>
        <v/>
      </c>
      <c r="Z30">
        <f>HYPERLINK("https://klasma.github.io/Logging_2281/fåglar/A 8732-2025 prioriterade fågelarter.docx", "A 8732-2025")</f>
        <v/>
      </c>
    </row>
    <row r="31" ht="15" customHeight="1">
      <c r="A31" t="inlineStr">
        <is>
          <t>A 48568-2023</t>
        </is>
      </c>
      <c r="B31" s="1" t="n">
        <v>45208</v>
      </c>
      <c r="C31" s="1" t="n">
        <v>46185</v>
      </c>
      <c r="D31" t="inlineStr">
        <is>
          <t>VÄSTERNORRLANDS LÄN</t>
        </is>
      </c>
      <c r="E31" t="inlineStr">
        <is>
          <t>SUNDSVALL</t>
        </is>
      </c>
      <c r="G31" t="n">
        <v>29.2</v>
      </c>
      <c r="H31" t="n">
        <v>6</v>
      </c>
      <c r="I31" t="n">
        <v>7</v>
      </c>
      <c r="J31" t="n">
        <v>10</v>
      </c>
      <c r="K31" t="n">
        <v>3</v>
      </c>
      <c r="L31" t="n">
        <v>0</v>
      </c>
      <c r="M31" t="n">
        <v>0</v>
      </c>
      <c r="N31" t="n">
        <v>0</v>
      </c>
      <c r="O31" t="n">
        <v>13</v>
      </c>
      <c r="P31" t="n">
        <v>3</v>
      </c>
      <c r="Q31" t="n">
        <v>22</v>
      </c>
      <c r="R31" s="2" t="inlineStr">
        <is>
          <t>Knärot
Lunglavsknapp
Rynkskinn
Garnlav
Granticka
Gränsticka
Kötticka
Lunglav
Rosenticka
Spillkråka
Talltita
Tretåig hackspett
Ullticka
Bårdlav
Grönpyrola
Korallblylav
Luddlav
Norrlandslav
Skinnlav
Stuplav
Blåsippa
Revlummer</t>
        </is>
      </c>
      <c r="S31">
        <f>HYPERLINK("https://klasma.github.io/Logging_2281/artfynd/A 48568-2023 artfynd.xlsx", "A 48568-2023")</f>
        <v/>
      </c>
      <c r="T31">
        <f>HYPERLINK("https://klasma.github.io/Logging_2281/kartor/A 48568-2023 karta.png", "A 48568-2023")</f>
        <v/>
      </c>
      <c r="U31">
        <f>HYPERLINK("https://klasma.github.io/Logging_2281/knärot/A 48568-2023 karta knärot.png", "A 48568-2023")</f>
        <v/>
      </c>
      <c r="V31">
        <f>HYPERLINK("https://klasma.github.io/Logging_2281/klagomål/A 48568-2023 FSC-klagomål.docx", "A 48568-2023")</f>
        <v/>
      </c>
      <c r="W31">
        <f>HYPERLINK("https://klasma.github.io/Logging_2281/klagomålsmail/A 48568-2023 FSC-klagomål mail.docx", "A 48568-2023")</f>
        <v/>
      </c>
      <c r="X31">
        <f>HYPERLINK("https://klasma.github.io/Logging_2281/tillsyn/A 48568-2023 tillsynsbegäran.docx", "A 48568-2023")</f>
        <v/>
      </c>
      <c r="Y31">
        <f>HYPERLINK("https://klasma.github.io/Logging_2281/tillsynsmail/A 48568-2023 tillsynsbegäran mail.docx", "A 48568-2023")</f>
        <v/>
      </c>
      <c r="Z31">
        <f>HYPERLINK("https://klasma.github.io/Logging_2281/fåglar/A 48568-2023 prioriterade fågelarter.docx", "A 48568-2023")</f>
        <v/>
      </c>
    </row>
    <row r="32" ht="15" customHeight="1">
      <c r="A32" t="inlineStr">
        <is>
          <t>A 51286-2025</t>
        </is>
      </c>
      <c r="B32" s="1" t="n">
        <v>45950</v>
      </c>
      <c r="C32" s="1" t="n">
        <v>46185</v>
      </c>
      <c r="D32" t="inlineStr">
        <is>
          <t>VÄSTERNORRLANDS LÄN</t>
        </is>
      </c>
      <c r="E32" t="inlineStr">
        <is>
          <t>SUNDSVALL</t>
        </is>
      </c>
      <c r="F32" t="inlineStr">
        <is>
          <t>Naturvårdsverket</t>
        </is>
      </c>
      <c r="G32" t="n">
        <v>14.1</v>
      </c>
      <c r="H32" t="n">
        <v>5</v>
      </c>
      <c r="I32" t="n">
        <v>4</v>
      </c>
      <c r="J32" t="n">
        <v>14</v>
      </c>
      <c r="K32" t="n">
        <v>3</v>
      </c>
      <c r="L32" t="n">
        <v>0</v>
      </c>
      <c r="M32" t="n">
        <v>0</v>
      </c>
      <c r="N32" t="n">
        <v>0</v>
      </c>
      <c r="O32" t="n">
        <v>17</v>
      </c>
      <c r="P32" t="n">
        <v>3</v>
      </c>
      <c r="Q32" t="n">
        <v>22</v>
      </c>
      <c r="R32"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2">
        <f>HYPERLINK("https://klasma.github.io/Logging_2281/artfynd/A 51286-2025 artfynd.xlsx", "A 51286-2025")</f>
        <v/>
      </c>
      <c r="T32">
        <f>HYPERLINK("https://klasma.github.io/Logging_2281/kartor/A 51286-2025 karta.png", "A 51286-2025")</f>
        <v/>
      </c>
      <c r="U32">
        <f>HYPERLINK("https://klasma.github.io/Logging_2281/knärot/A 51286-2025 karta knärot.png", "A 51286-2025")</f>
        <v/>
      </c>
      <c r="V32">
        <f>HYPERLINK("https://klasma.github.io/Logging_2281/klagomål/A 51286-2025 FSC-klagomål.docx", "A 51286-2025")</f>
        <v/>
      </c>
      <c r="W32">
        <f>HYPERLINK("https://klasma.github.io/Logging_2281/klagomålsmail/A 51286-2025 FSC-klagomål mail.docx", "A 51286-2025")</f>
        <v/>
      </c>
      <c r="X32">
        <f>HYPERLINK("https://klasma.github.io/Logging_2281/tillsyn/A 51286-2025 tillsynsbegäran.docx", "A 51286-2025")</f>
        <v/>
      </c>
      <c r="Y32">
        <f>HYPERLINK("https://klasma.github.io/Logging_2281/tillsynsmail/A 51286-2025 tillsynsbegäran mail.docx", "A 51286-2025")</f>
        <v/>
      </c>
      <c r="Z32">
        <f>HYPERLINK("https://klasma.github.io/Logging_2281/fåglar/A 51286-2025 prioriterade fågelarter.docx", "A 51286-2025")</f>
        <v/>
      </c>
    </row>
    <row r="33" ht="15" customHeight="1">
      <c r="A33" t="inlineStr">
        <is>
          <t>A 23626-2025</t>
        </is>
      </c>
      <c r="B33" s="1" t="n">
        <v>45792</v>
      </c>
      <c r="C33" s="1" t="n">
        <v>46185</v>
      </c>
      <c r="D33" t="inlineStr">
        <is>
          <t>VÄSTERNORRLANDS LÄN</t>
        </is>
      </c>
      <c r="E33" t="inlineStr">
        <is>
          <t>ÅNGE</t>
        </is>
      </c>
      <c r="G33" t="n">
        <v>8.300000000000001</v>
      </c>
      <c r="H33" t="n">
        <v>6</v>
      </c>
      <c r="I33" t="n">
        <v>7</v>
      </c>
      <c r="J33" t="n">
        <v>9</v>
      </c>
      <c r="K33" t="n">
        <v>2</v>
      </c>
      <c r="L33" t="n">
        <v>0</v>
      </c>
      <c r="M33" t="n">
        <v>0</v>
      </c>
      <c r="N33" t="n">
        <v>0</v>
      </c>
      <c r="O33" t="n">
        <v>11</v>
      </c>
      <c r="P33" t="n">
        <v>2</v>
      </c>
      <c r="Q33" t="n">
        <v>21</v>
      </c>
      <c r="R33" s="2" t="inlineStr">
        <is>
          <t>Knärot
Rynkskinn
Gammelgransskål
Garnlav
Järpe
Lunglav
Mörk kolflarnlav
Småflikig brosklav
Tretåig hackspett
Ullticka
Vitgrynig nållav
Bårdlav
Dropptaggsvamp
Korallblylav
Kransrams
Luddlav
Norrlandslav
Skinnlav
Kungsfågel
Tjäder
Revlummer</t>
        </is>
      </c>
      <c r="S33">
        <f>HYPERLINK("https://klasma.github.io/Logging_2260/artfynd/A 23626-2025 artfynd.xlsx", "A 23626-2025")</f>
        <v/>
      </c>
      <c r="T33">
        <f>HYPERLINK("https://klasma.github.io/Logging_2260/kartor/A 23626-2025 karta.png", "A 23626-2025")</f>
        <v/>
      </c>
      <c r="U33">
        <f>HYPERLINK("https://klasma.github.io/Logging_2260/knärot/A 23626-2025 karta knärot.png", "A 23626-2025")</f>
        <v/>
      </c>
      <c r="V33">
        <f>HYPERLINK("https://klasma.github.io/Logging_2260/klagomål/A 23626-2025 FSC-klagomål.docx", "A 23626-2025")</f>
        <v/>
      </c>
      <c r="W33">
        <f>HYPERLINK("https://klasma.github.io/Logging_2260/klagomålsmail/A 23626-2025 FSC-klagomål mail.docx", "A 23626-2025")</f>
        <v/>
      </c>
      <c r="X33">
        <f>HYPERLINK("https://klasma.github.io/Logging_2260/tillsyn/A 23626-2025 tillsynsbegäran.docx", "A 23626-2025")</f>
        <v/>
      </c>
      <c r="Y33">
        <f>HYPERLINK("https://klasma.github.io/Logging_2260/tillsynsmail/A 23626-2025 tillsynsbegäran mail.docx", "A 23626-2025")</f>
        <v/>
      </c>
      <c r="Z33">
        <f>HYPERLINK("https://klasma.github.io/Logging_2260/fåglar/A 23626-2025 prioriterade fågelarter.docx", "A 23626-2025")</f>
        <v/>
      </c>
    </row>
    <row r="34" ht="15" customHeight="1">
      <c r="A34" t="inlineStr">
        <is>
          <t>A 25521-2025</t>
        </is>
      </c>
      <c r="B34" s="1" t="n">
        <v>45803</v>
      </c>
      <c r="C34" s="1" t="n">
        <v>46185</v>
      </c>
      <c r="D34" t="inlineStr">
        <is>
          <t>VÄSTERNORRLANDS LÄN</t>
        </is>
      </c>
      <c r="E34" t="inlineStr">
        <is>
          <t>SOLLEFTEÅ</t>
        </is>
      </c>
      <c r="F34" t="inlineStr">
        <is>
          <t>SCA</t>
        </is>
      </c>
      <c r="G34" t="n">
        <v>7.8</v>
      </c>
      <c r="H34" t="n">
        <v>5</v>
      </c>
      <c r="I34" t="n">
        <v>5</v>
      </c>
      <c r="J34" t="n">
        <v>14</v>
      </c>
      <c r="K34" t="n">
        <v>1</v>
      </c>
      <c r="L34" t="n">
        <v>0</v>
      </c>
      <c r="M34" t="n">
        <v>0</v>
      </c>
      <c r="N34" t="n">
        <v>0</v>
      </c>
      <c r="O34" t="n">
        <v>15</v>
      </c>
      <c r="P34" t="n">
        <v>1</v>
      </c>
      <c r="Q34" t="n">
        <v>21</v>
      </c>
      <c r="R34"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4">
        <f>HYPERLINK("https://klasma.github.io/Logging_2283/artfynd/A 25521-2025 artfynd.xlsx", "A 25521-2025")</f>
        <v/>
      </c>
      <c r="T34">
        <f>HYPERLINK("https://klasma.github.io/Logging_2283/kartor/A 25521-2025 karta.png", "A 25521-2025")</f>
        <v/>
      </c>
      <c r="V34">
        <f>HYPERLINK("https://klasma.github.io/Logging_2283/klagomål/A 25521-2025 FSC-klagomål.docx", "A 25521-2025")</f>
        <v/>
      </c>
      <c r="W34">
        <f>HYPERLINK("https://klasma.github.io/Logging_2283/klagomålsmail/A 25521-2025 FSC-klagomål mail.docx", "A 25521-2025")</f>
        <v/>
      </c>
      <c r="X34">
        <f>HYPERLINK("https://klasma.github.io/Logging_2283/tillsyn/A 25521-2025 tillsynsbegäran.docx", "A 25521-2025")</f>
        <v/>
      </c>
      <c r="Y34">
        <f>HYPERLINK("https://klasma.github.io/Logging_2283/tillsynsmail/A 25521-2025 tillsynsbegäran mail.docx", "A 25521-2025")</f>
        <v/>
      </c>
      <c r="Z34">
        <f>HYPERLINK("https://klasma.github.io/Logging_2283/fåglar/A 25521-2025 prioriterade fågelarter.docx", "A 25521-2025")</f>
        <v/>
      </c>
    </row>
    <row r="35" ht="15" customHeight="1">
      <c r="A35" t="inlineStr">
        <is>
          <t>A 17379-2026</t>
        </is>
      </c>
      <c r="B35" s="1" t="n">
        <v>46119</v>
      </c>
      <c r="C35" s="1" t="n">
        <v>46185</v>
      </c>
      <c r="D35" t="inlineStr">
        <is>
          <t>VÄSTERNORRLANDS LÄN</t>
        </is>
      </c>
      <c r="E35" t="inlineStr">
        <is>
          <t>SOLLEFTEÅ</t>
        </is>
      </c>
      <c r="G35" t="n">
        <v>21.5</v>
      </c>
      <c r="H35" t="n">
        <v>7</v>
      </c>
      <c r="I35" t="n">
        <v>3</v>
      </c>
      <c r="J35" t="n">
        <v>12</v>
      </c>
      <c r="K35" t="n">
        <v>4</v>
      </c>
      <c r="L35" t="n">
        <v>0</v>
      </c>
      <c r="M35" t="n">
        <v>0</v>
      </c>
      <c r="N35" t="n">
        <v>0</v>
      </c>
      <c r="O35" t="n">
        <v>16</v>
      </c>
      <c r="P35" t="n">
        <v>4</v>
      </c>
      <c r="Q35" t="n">
        <v>21</v>
      </c>
      <c r="R35" s="2" t="inlineStr">
        <is>
          <t>Blackticka
Knärot
Rynkskinn
Ulltickeporing
Doftskinn
Gammelgransskål
Garnlav
Järpe
Lunglav
Rosenticka
Skogshare
Spillkråka
Stjärntagging
Talltita
Tretåig hackspett
Ullticka
Bårdlav
Stuplav
Vedticka
Lavskrika
Revlummer</t>
        </is>
      </c>
      <c r="S35">
        <f>HYPERLINK("https://klasma.github.io/Logging_2283/artfynd/A 17379-2026 artfynd.xlsx", "A 17379-2026")</f>
        <v/>
      </c>
      <c r="T35">
        <f>HYPERLINK("https://klasma.github.io/Logging_2283/kartor/A 17379-2026 karta.png", "A 17379-2026")</f>
        <v/>
      </c>
      <c r="U35">
        <f>HYPERLINK("https://klasma.github.io/Logging_2283/knärot/A 17379-2026 karta knärot.png", "A 17379-2026")</f>
        <v/>
      </c>
      <c r="V35">
        <f>HYPERLINK("https://klasma.github.io/Logging_2283/klagomål/A 17379-2026 FSC-klagomål.docx", "A 17379-2026")</f>
        <v/>
      </c>
      <c r="W35">
        <f>HYPERLINK("https://klasma.github.io/Logging_2283/klagomålsmail/A 17379-2026 FSC-klagomål mail.docx", "A 17379-2026")</f>
        <v/>
      </c>
      <c r="X35">
        <f>HYPERLINK("https://klasma.github.io/Logging_2283/tillsyn/A 17379-2026 tillsynsbegäran.docx", "A 17379-2026")</f>
        <v/>
      </c>
      <c r="Y35">
        <f>HYPERLINK("https://klasma.github.io/Logging_2283/tillsynsmail/A 17379-2026 tillsynsbegäran mail.docx", "A 17379-2026")</f>
        <v/>
      </c>
      <c r="Z35">
        <f>HYPERLINK("https://klasma.github.io/Logging_2283/fåglar/A 17379-2026 prioriterade fågelarter.docx", "A 17379-2026")</f>
        <v/>
      </c>
    </row>
    <row r="36" ht="15" customHeight="1">
      <c r="A36" t="inlineStr">
        <is>
          <t>A 47366-2024</t>
        </is>
      </c>
      <c r="B36" s="1" t="n">
        <v>45587</v>
      </c>
      <c r="C36" s="1" t="n">
        <v>46185</v>
      </c>
      <c r="D36" t="inlineStr">
        <is>
          <t>VÄSTERNORRLANDS LÄN</t>
        </is>
      </c>
      <c r="E36" t="inlineStr">
        <is>
          <t>SOLLEFTEÅ</t>
        </is>
      </c>
      <c r="F36" t="inlineStr">
        <is>
          <t>SCA</t>
        </is>
      </c>
      <c r="G36" t="n">
        <v>4.3</v>
      </c>
      <c r="H36" t="n">
        <v>9</v>
      </c>
      <c r="I36" t="n">
        <v>6</v>
      </c>
      <c r="J36" t="n">
        <v>10</v>
      </c>
      <c r="K36" t="n">
        <v>2</v>
      </c>
      <c r="L36" t="n">
        <v>0</v>
      </c>
      <c r="M36" t="n">
        <v>0</v>
      </c>
      <c r="N36" t="n">
        <v>0</v>
      </c>
      <c r="O36" t="n">
        <v>12</v>
      </c>
      <c r="P36" t="n">
        <v>2</v>
      </c>
      <c r="Q36" t="n">
        <v>20</v>
      </c>
      <c r="R36" s="2" t="inlineStr">
        <is>
          <t>Knärot
Rynkskinn
Gammelgransskål
Garnlav
Granticka
Järpe
Lunglav
Rosenticka
Spillkråka
Talltita
Tretåig hackspett
Ullticka
Bollvitmossa
Lappranunkel
Spindelblomster
Stuplav
Trådticka
Vedticka
Lavskrika
Fläcknycklar</t>
        </is>
      </c>
      <c r="S36">
        <f>HYPERLINK("https://klasma.github.io/Logging_2283/artfynd/A 47366-2024 artfynd.xlsx", "A 47366-2024")</f>
        <v/>
      </c>
      <c r="T36">
        <f>HYPERLINK("https://klasma.github.io/Logging_2283/kartor/A 47366-2024 karta.png", "A 47366-2024")</f>
        <v/>
      </c>
      <c r="U36">
        <f>HYPERLINK("https://klasma.github.io/Logging_2283/knärot/A 47366-2024 karta knärot.png", "A 47366-2024")</f>
        <v/>
      </c>
      <c r="V36">
        <f>HYPERLINK("https://klasma.github.io/Logging_2283/klagomål/A 47366-2024 FSC-klagomål.docx", "A 47366-2024")</f>
        <v/>
      </c>
      <c r="W36">
        <f>HYPERLINK("https://klasma.github.io/Logging_2283/klagomålsmail/A 47366-2024 FSC-klagomål mail.docx", "A 47366-2024")</f>
        <v/>
      </c>
      <c r="X36">
        <f>HYPERLINK("https://klasma.github.io/Logging_2283/tillsyn/A 47366-2024 tillsynsbegäran.docx", "A 47366-2024")</f>
        <v/>
      </c>
      <c r="Y36">
        <f>HYPERLINK("https://klasma.github.io/Logging_2283/tillsynsmail/A 47366-2024 tillsynsbegäran mail.docx", "A 47366-2024")</f>
        <v/>
      </c>
      <c r="Z36">
        <f>HYPERLINK("https://klasma.github.io/Logging_2283/fåglar/A 47366-2024 prioriterade fågelarter.docx", "A 47366-2024")</f>
        <v/>
      </c>
    </row>
    <row r="37" ht="15" customHeight="1">
      <c r="A37" t="inlineStr">
        <is>
          <t>A 56749-2025</t>
        </is>
      </c>
      <c r="B37" s="1" t="n">
        <v>45978</v>
      </c>
      <c r="C37" s="1" t="n">
        <v>46185</v>
      </c>
      <c r="D37" t="inlineStr">
        <is>
          <t>VÄSTERNORRLANDS LÄN</t>
        </is>
      </c>
      <c r="E37" t="inlineStr">
        <is>
          <t>HÄRNÖSAND</t>
        </is>
      </c>
      <c r="F37" t="inlineStr">
        <is>
          <t>SCA</t>
        </is>
      </c>
      <c r="G37" t="n">
        <v>7.8</v>
      </c>
      <c r="H37" t="n">
        <v>3</v>
      </c>
      <c r="I37" t="n">
        <v>6</v>
      </c>
      <c r="J37" t="n">
        <v>12</v>
      </c>
      <c r="K37" t="n">
        <v>2</v>
      </c>
      <c r="L37" t="n">
        <v>0</v>
      </c>
      <c r="M37" t="n">
        <v>0</v>
      </c>
      <c r="N37" t="n">
        <v>0</v>
      </c>
      <c r="O37" t="n">
        <v>14</v>
      </c>
      <c r="P37" t="n">
        <v>2</v>
      </c>
      <c r="Q37" t="n">
        <v>20</v>
      </c>
      <c r="R37" s="2" t="inlineStr">
        <is>
          <t>Lappticka
Rynkskinn
Doftskinn
Gammelgransskål
Garnlav
Gränsticka
Järpe
Rosenticka
Stjärntagging
Talltita
Tretåig hackspett
Ullticka
Violettgrå tagellav
Vitgrynig nållav
Barkkornlav
Kattfotslav
Nästlav
Trådticka
Vedticka
Vågbandad barkbock</t>
        </is>
      </c>
      <c r="S37">
        <f>HYPERLINK("https://klasma.github.io/Logging_2280/artfynd/A 56749-2025 artfynd.xlsx", "A 56749-2025")</f>
        <v/>
      </c>
      <c r="T37">
        <f>HYPERLINK("https://klasma.github.io/Logging_2280/kartor/A 56749-2025 karta.png", "A 56749-2025")</f>
        <v/>
      </c>
      <c r="V37">
        <f>HYPERLINK("https://klasma.github.io/Logging_2280/klagomål/A 56749-2025 FSC-klagomål.docx", "A 56749-2025")</f>
        <v/>
      </c>
      <c r="W37">
        <f>HYPERLINK("https://klasma.github.io/Logging_2280/klagomålsmail/A 56749-2025 FSC-klagomål mail.docx", "A 56749-2025")</f>
        <v/>
      </c>
      <c r="X37">
        <f>HYPERLINK("https://klasma.github.io/Logging_2280/tillsyn/A 56749-2025 tillsynsbegäran.docx", "A 56749-2025")</f>
        <v/>
      </c>
      <c r="Y37">
        <f>HYPERLINK("https://klasma.github.io/Logging_2280/tillsynsmail/A 56749-2025 tillsynsbegäran mail.docx", "A 56749-2025")</f>
        <v/>
      </c>
      <c r="Z37">
        <f>HYPERLINK("https://klasma.github.io/Logging_2280/fåglar/A 56749-2025 prioriterade fågelarter.docx", "A 56749-2025")</f>
        <v/>
      </c>
    </row>
    <row r="38" ht="15" customHeight="1">
      <c r="A38" t="inlineStr">
        <is>
          <t>A 26948-2024</t>
        </is>
      </c>
      <c r="B38" s="1" t="n">
        <v>45470</v>
      </c>
      <c r="C38" s="1" t="n">
        <v>46185</v>
      </c>
      <c r="D38" t="inlineStr">
        <is>
          <t>VÄSTERNORRLANDS LÄN</t>
        </is>
      </c>
      <c r="E38" t="inlineStr">
        <is>
          <t>SOLLEFTEÅ</t>
        </is>
      </c>
      <c r="F38" t="inlineStr">
        <is>
          <t>SCA</t>
        </is>
      </c>
      <c r="G38" t="n">
        <v>8.1</v>
      </c>
      <c r="H38" t="n">
        <v>6</v>
      </c>
      <c r="I38" t="n">
        <v>2</v>
      </c>
      <c r="J38" t="n">
        <v>12</v>
      </c>
      <c r="K38" t="n">
        <v>3</v>
      </c>
      <c r="L38" t="n">
        <v>0</v>
      </c>
      <c r="M38" t="n">
        <v>0</v>
      </c>
      <c r="N38" t="n">
        <v>0</v>
      </c>
      <c r="O38" t="n">
        <v>15</v>
      </c>
      <c r="P38" t="n">
        <v>3</v>
      </c>
      <c r="Q38" t="n">
        <v>20</v>
      </c>
      <c r="R38"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8">
        <f>HYPERLINK("https://klasma.github.io/Logging_2283/artfynd/A 26948-2024 artfynd.xlsx", "A 26948-2024")</f>
        <v/>
      </c>
      <c r="T38">
        <f>HYPERLINK("https://klasma.github.io/Logging_2283/kartor/A 26948-2024 karta.png", "A 26948-2024")</f>
        <v/>
      </c>
      <c r="V38">
        <f>HYPERLINK("https://klasma.github.io/Logging_2283/klagomål/A 26948-2024 FSC-klagomål.docx", "A 26948-2024")</f>
        <v/>
      </c>
      <c r="W38">
        <f>HYPERLINK("https://klasma.github.io/Logging_2283/klagomålsmail/A 26948-2024 FSC-klagomål mail.docx", "A 26948-2024")</f>
        <v/>
      </c>
      <c r="X38">
        <f>HYPERLINK("https://klasma.github.io/Logging_2283/tillsyn/A 26948-2024 tillsynsbegäran.docx", "A 26948-2024")</f>
        <v/>
      </c>
      <c r="Y38">
        <f>HYPERLINK("https://klasma.github.io/Logging_2283/tillsynsmail/A 26948-2024 tillsynsbegäran mail.docx", "A 26948-2024")</f>
        <v/>
      </c>
      <c r="Z38">
        <f>HYPERLINK("https://klasma.github.io/Logging_2283/fåglar/A 26948-2024 prioriterade fågelarter.docx", "A 26948-2024")</f>
        <v/>
      </c>
    </row>
    <row r="39" ht="15" customHeight="1">
      <c r="A39" t="inlineStr">
        <is>
          <t>A 59973-2025</t>
        </is>
      </c>
      <c r="B39" s="1" t="n">
        <v>45993</v>
      </c>
      <c r="C39" s="1" t="n">
        <v>46185</v>
      </c>
      <c r="D39" t="inlineStr">
        <is>
          <t>VÄSTERNORRLANDS LÄN</t>
        </is>
      </c>
      <c r="E39" t="inlineStr">
        <is>
          <t>SUNDSVALL</t>
        </is>
      </c>
      <c r="G39" t="n">
        <v>10.2</v>
      </c>
      <c r="H39" t="n">
        <v>3</v>
      </c>
      <c r="I39" t="n">
        <v>6</v>
      </c>
      <c r="J39" t="n">
        <v>9</v>
      </c>
      <c r="K39" t="n">
        <v>4</v>
      </c>
      <c r="L39" t="n">
        <v>0</v>
      </c>
      <c r="M39" t="n">
        <v>0</v>
      </c>
      <c r="N39" t="n">
        <v>0</v>
      </c>
      <c r="O39" t="n">
        <v>13</v>
      </c>
      <c r="P39" t="n">
        <v>4</v>
      </c>
      <c r="Q39" t="n">
        <v>20</v>
      </c>
      <c r="R39" s="2" t="inlineStr">
        <is>
          <t>Aspgelélav
Gräddporing
Knärot
Rynkskinn
Doftskinn
Garnlav
Lunglav
Rosenticka
Tretåig hackspett
Ullticka
Vedskivlav
Violettgrå tagellav
Vitgrynig nållav
Gulnål
Korallblylav
Norrlandslav
Skinnlav
Stor aspticka
Vedticka
Tjäder</t>
        </is>
      </c>
      <c r="S39">
        <f>HYPERLINK("https://klasma.github.io/Logging_2281/artfynd/A 59973-2025 artfynd.xlsx", "A 59973-2025")</f>
        <v/>
      </c>
      <c r="T39">
        <f>HYPERLINK("https://klasma.github.io/Logging_2281/kartor/A 59973-2025 karta.png", "A 59973-2025")</f>
        <v/>
      </c>
      <c r="U39">
        <f>HYPERLINK("https://klasma.github.io/Logging_2281/knärot/A 59973-2025 karta knärot.png", "A 59973-2025")</f>
        <v/>
      </c>
      <c r="V39">
        <f>HYPERLINK("https://klasma.github.io/Logging_2281/klagomål/A 59973-2025 FSC-klagomål.docx", "A 59973-2025")</f>
        <v/>
      </c>
      <c r="W39">
        <f>HYPERLINK("https://klasma.github.io/Logging_2281/klagomålsmail/A 59973-2025 FSC-klagomål mail.docx", "A 59973-2025")</f>
        <v/>
      </c>
      <c r="X39">
        <f>HYPERLINK("https://klasma.github.io/Logging_2281/tillsyn/A 59973-2025 tillsynsbegäran.docx", "A 59973-2025")</f>
        <v/>
      </c>
      <c r="Y39">
        <f>HYPERLINK("https://klasma.github.io/Logging_2281/tillsynsmail/A 59973-2025 tillsynsbegäran mail.docx", "A 59973-2025")</f>
        <v/>
      </c>
      <c r="Z39">
        <f>HYPERLINK("https://klasma.github.io/Logging_2281/fåglar/A 59973-2025 prioriterade fågelarter.docx", "A 59973-2025")</f>
        <v/>
      </c>
    </row>
    <row r="40" ht="15" customHeight="1">
      <c r="A40" t="inlineStr">
        <is>
          <t>A 35437-2022</t>
        </is>
      </c>
      <c r="B40" s="1" t="n">
        <v>44798</v>
      </c>
      <c r="C40" s="1" t="n">
        <v>46185</v>
      </c>
      <c r="D40" t="inlineStr">
        <is>
          <t>VÄSTERNORRLANDS LÄN</t>
        </is>
      </c>
      <c r="E40" t="inlineStr">
        <is>
          <t>ÅNGE</t>
        </is>
      </c>
      <c r="G40" t="n">
        <v>15</v>
      </c>
      <c r="H40" t="n">
        <v>6</v>
      </c>
      <c r="I40" t="n">
        <v>6</v>
      </c>
      <c r="J40" t="n">
        <v>11</v>
      </c>
      <c r="K40" t="n">
        <v>2</v>
      </c>
      <c r="L40" t="n">
        <v>0</v>
      </c>
      <c r="M40" t="n">
        <v>0</v>
      </c>
      <c r="N40" t="n">
        <v>0</v>
      </c>
      <c r="O40" t="n">
        <v>13</v>
      </c>
      <c r="P40" t="n">
        <v>2</v>
      </c>
      <c r="Q40" t="n">
        <v>20</v>
      </c>
      <c r="R40" s="2" t="inlineStr">
        <is>
          <t>Gräddporing
Knärot
Dvärgbägarlav
Garnlav
Järpe
Kolflarnlav
Lunglav
Svartvit flugsnappare
Talltita
Tretåig hackspett
Ullticka
Vedtrappmossa
Violmussling
Barkticka
Gytterlav
Korallblylav
Norrlandslav
Stuplav
Vedticka
Revlummer</t>
        </is>
      </c>
      <c r="S40">
        <f>HYPERLINK("https://klasma.github.io/Logging_2260/artfynd/A 35437-2022 artfynd.xlsx", "A 35437-2022")</f>
        <v/>
      </c>
      <c r="T40">
        <f>HYPERLINK("https://klasma.github.io/Logging_2260/kartor/A 35437-2022 karta.png", "A 35437-2022")</f>
        <v/>
      </c>
      <c r="U40">
        <f>HYPERLINK("https://klasma.github.io/Logging_2260/knärot/A 35437-2022 karta knärot.png", "A 35437-2022")</f>
        <v/>
      </c>
      <c r="V40">
        <f>HYPERLINK("https://klasma.github.io/Logging_2260/klagomål/A 35437-2022 FSC-klagomål.docx", "A 35437-2022")</f>
        <v/>
      </c>
      <c r="W40">
        <f>HYPERLINK("https://klasma.github.io/Logging_2260/klagomålsmail/A 35437-2022 FSC-klagomål mail.docx", "A 35437-2022")</f>
        <v/>
      </c>
      <c r="X40">
        <f>HYPERLINK("https://klasma.github.io/Logging_2260/tillsyn/A 35437-2022 tillsynsbegäran.docx", "A 35437-2022")</f>
        <v/>
      </c>
      <c r="Y40">
        <f>HYPERLINK("https://klasma.github.io/Logging_2260/tillsynsmail/A 35437-2022 tillsynsbegäran mail.docx", "A 35437-2022")</f>
        <v/>
      </c>
      <c r="Z40">
        <f>HYPERLINK("https://klasma.github.io/Logging_2260/fåglar/A 35437-2022 prioriterade fågelarter.docx", "A 35437-2022")</f>
        <v/>
      </c>
    </row>
    <row r="41" ht="15" customHeight="1">
      <c r="A41" t="inlineStr">
        <is>
          <t>A 4816-2024</t>
        </is>
      </c>
      <c r="B41" s="1" t="n">
        <v>45328</v>
      </c>
      <c r="C41" s="1" t="n">
        <v>46185</v>
      </c>
      <c r="D41" t="inlineStr">
        <is>
          <t>VÄSTERNORRLANDS LÄN</t>
        </is>
      </c>
      <c r="E41" t="inlineStr">
        <is>
          <t>HÄRNÖSAND</t>
        </is>
      </c>
      <c r="F41" t="inlineStr">
        <is>
          <t>SCA</t>
        </is>
      </c>
      <c r="G41" t="n">
        <v>11.6</v>
      </c>
      <c r="H41" t="n">
        <v>5</v>
      </c>
      <c r="I41" t="n">
        <v>3</v>
      </c>
      <c r="J41" t="n">
        <v>11</v>
      </c>
      <c r="K41" t="n">
        <v>3</v>
      </c>
      <c r="L41" t="n">
        <v>0</v>
      </c>
      <c r="M41" t="n">
        <v>0</v>
      </c>
      <c r="N41" t="n">
        <v>0</v>
      </c>
      <c r="O41" t="n">
        <v>14</v>
      </c>
      <c r="P41" t="n">
        <v>3</v>
      </c>
      <c r="Q41" t="n">
        <v>19</v>
      </c>
      <c r="R41" s="2" t="inlineStr">
        <is>
          <t>Blackticka
Rostskinn
Rynkskinn
Gammelgransskål
Garnlav
Granticka
Gränsticka
Järpe
Kötticka
Rosenticka
Spillkråka
Stjärntagging
Tretåig hackspett
Ullticka
Bronshjon
Vedticka
Vågbandad barkbock
Blåsippa
Revlummer</t>
        </is>
      </c>
      <c r="S41">
        <f>HYPERLINK("https://klasma.github.io/Logging_2280/artfynd/A 4816-2024 artfynd.xlsx", "A 4816-2024")</f>
        <v/>
      </c>
      <c r="T41">
        <f>HYPERLINK("https://klasma.github.io/Logging_2280/kartor/A 4816-2024 karta.png", "A 4816-2024")</f>
        <v/>
      </c>
      <c r="V41">
        <f>HYPERLINK("https://klasma.github.io/Logging_2280/klagomål/A 4816-2024 FSC-klagomål.docx", "A 4816-2024")</f>
        <v/>
      </c>
      <c r="W41">
        <f>HYPERLINK("https://klasma.github.io/Logging_2280/klagomålsmail/A 4816-2024 FSC-klagomål mail.docx", "A 4816-2024")</f>
        <v/>
      </c>
      <c r="X41">
        <f>HYPERLINK("https://klasma.github.io/Logging_2280/tillsyn/A 4816-2024 tillsynsbegäran.docx", "A 4816-2024")</f>
        <v/>
      </c>
      <c r="Y41">
        <f>HYPERLINK("https://klasma.github.io/Logging_2280/tillsynsmail/A 4816-2024 tillsynsbegäran mail.docx", "A 4816-2024")</f>
        <v/>
      </c>
      <c r="Z41">
        <f>HYPERLINK("https://klasma.github.io/Logging_2280/fåglar/A 4816-2024 prioriterade fågelarter.docx", "A 4816-2024")</f>
        <v/>
      </c>
    </row>
    <row r="42" ht="15" customHeight="1">
      <c r="A42" t="inlineStr">
        <is>
          <t>A 49702-2023</t>
        </is>
      </c>
      <c r="B42" s="1" t="n">
        <v>45208</v>
      </c>
      <c r="C42" s="1" t="n">
        <v>46185</v>
      </c>
      <c r="D42" t="inlineStr">
        <is>
          <t>VÄSTERNORRLANDS LÄN</t>
        </is>
      </c>
      <c r="E42" t="inlineStr">
        <is>
          <t>SUNDSVALL</t>
        </is>
      </c>
      <c r="G42" t="n">
        <v>18.4</v>
      </c>
      <c r="H42" t="n">
        <v>3</v>
      </c>
      <c r="I42" t="n">
        <v>4</v>
      </c>
      <c r="J42" t="n">
        <v>10</v>
      </c>
      <c r="K42" t="n">
        <v>3</v>
      </c>
      <c r="L42" t="n">
        <v>1</v>
      </c>
      <c r="M42" t="n">
        <v>0</v>
      </c>
      <c r="N42" t="n">
        <v>0</v>
      </c>
      <c r="O42" t="n">
        <v>14</v>
      </c>
      <c r="P42" t="n">
        <v>4</v>
      </c>
      <c r="Q42" t="n">
        <v>19</v>
      </c>
      <c r="R42"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42">
        <f>HYPERLINK("https://klasma.github.io/Logging_2281/artfynd/A 49702-2023 artfynd.xlsx", "A 49702-2023")</f>
        <v/>
      </c>
      <c r="T42">
        <f>HYPERLINK("https://klasma.github.io/Logging_2281/kartor/A 49702-2023 karta.png", "A 49702-2023")</f>
        <v/>
      </c>
      <c r="U42">
        <f>HYPERLINK("https://klasma.github.io/Logging_2281/knärot/A 49702-2023 karta knärot.png", "A 49702-2023")</f>
        <v/>
      </c>
      <c r="V42">
        <f>HYPERLINK("https://klasma.github.io/Logging_2281/klagomål/A 49702-2023 FSC-klagomål.docx", "A 49702-2023")</f>
        <v/>
      </c>
      <c r="W42">
        <f>HYPERLINK("https://klasma.github.io/Logging_2281/klagomålsmail/A 49702-2023 FSC-klagomål mail.docx", "A 49702-2023")</f>
        <v/>
      </c>
      <c r="X42">
        <f>HYPERLINK("https://klasma.github.io/Logging_2281/tillsyn/A 49702-2023 tillsynsbegäran.docx", "A 49702-2023")</f>
        <v/>
      </c>
      <c r="Y42">
        <f>HYPERLINK("https://klasma.github.io/Logging_2281/tillsynsmail/A 49702-2023 tillsynsbegäran mail.docx", "A 49702-2023")</f>
        <v/>
      </c>
      <c r="Z42">
        <f>HYPERLINK("https://klasma.github.io/Logging_2281/fåglar/A 49702-2023 prioriterade fågelarter.docx", "A 49702-2023")</f>
        <v/>
      </c>
    </row>
    <row r="43" ht="15" customHeight="1">
      <c r="A43" t="inlineStr">
        <is>
          <t>A 37489-2025</t>
        </is>
      </c>
      <c r="B43" s="1" t="n">
        <v>45877</v>
      </c>
      <c r="C43" s="1" t="n">
        <v>46185</v>
      </c>
      <c r="D43" t="inlineStr">
        <is>
          <t>VÄSTERNORRLANDS LÄN</t>
        </is>
      </c>
      <c r="E43" t="inlineStr">
        <is>
          <t>SOLLEFTEÅ</t>
        </is>
      </c>
      <c r="F43" t="inlineStr">
        <is>
          <t>SCA</t>
        </is>
      </c>
      <c r="G43" t="n">
        <v>2.2</v>
      </c>
      <c r="H43" t="n">
        <v>5</v>
      </c>
      <c r="I43" t="n">
        <v>1</v>
      </c>
      <c r="J43" t="n">
        <v>15</v>
      </c>
      <c r="K43" t="n">
        <v>3</v>
      </c>
      <c r="L43" t="n">
        <v>0</v>
      </c>
      <c r="M43" t="n">
        <v>0</v>
      </c>
      <c r="N43" t="n">
        <v>0</v>
      </c>
      <c r="O43" t="n">
        <v>18</v>
      </c>
      <c r="P43" t="n">
        <v>3</v>
      </c>
      <c r="Q43" t="n">
        <v>19</v>
      </c>
      <c r="R43" s="2" t="inlineStr">
        <is>
          <t>Doftticka
Gräddporing
Knärot
Aspbarkgnagare
Brunpudrad nållav
Doftskinn
Dvärgbägarlav
Gammelgransskål
Garnlav
Granticka
Kolflarnlav
Lunglav
Nordtagging
Spillkråka
Talltita
Tretåig hackspett
Ullticka
Vitgrynig nållav
Vedticka</t>
        </is>
      </c>
      <c r="S43">
        <f>HYPERLINK("https://klasma.github.io/Logging_2283/artfynd/A 37489-2025 artfynd.xlsx", "A 37489-2025")</f>
        <v/>
      </c>
      <c r="T43">
        <f>HYPERLINK("https://klasma.github.io/Logging_2283/kartor/A 37489-2025 karta.png", "A 37489-2025")</f>
        <v/>
      </c>
      <c r="U43">
        <f>HYPERLINK("https://klasma.github.io/Logging_2283/knärot/A 37489-2025 karta knärot.png", "A 37489-2025")</f>
        <v/>
      </c>
      <c r="V43">
        <f>HYPERLINK("https://klasma.github.io/Logging_2283/klagomål/A 37489-2025 FSC-klagomål.docx", "A 37489-2025")</f>
        <v/>
      </c>
      <c r="W43">
        <f>HYPERLINK("https://klasma.github.io/Logging_2283/klagomålsmail/A 37489-2025 FSC-klagomål mail.docx", "A 37489-2025")</f>
        <v/>
      </c>
      <c r="X43">
        <f>HYPERLINK("https://klasma.github.io/Logging_2283/tillsyn/A 37489-2025 tillsynsbegäran.docx", "A 37489-2025")</f>
        <v/>
      </c>
      <c r="Y43">
        <f>HYPERLINK("https://klasma.github.io/Logging_2283/tillsynsmail/A 37489-2025 tillsynsbegäran mail.docx", "A 37489-2025")</f>
        <v/>
      </c>
      <c r="Z43">
        <f>HYPERLINK("https://klasma.github.io/Logging_2283/fåglar/A 37489-2025 prioriterade fågelarter.docx", "A 37489-2025")</f>
        <v/>
      </c>
    </row>
    <row r="44" ht="15" customHeight="1">
      <c r="A44" t="inlineStr">
        <is>
          <t>A 32655-2024</t>
        </is>
      </c>
      <c r="B44" s="1" t="n">
        <v>45513</v>
      </c>
      <c r="C44" s="1" t="n">
        <v>46185</v>
      </c>
      <c r="D44" t="inlineStr">
        <is>
          <t>VÄSTERNORRLANDS LÄN</t>
        </is>
      </c>
      <c r="E44" t="inlineStr">
        <is>
          <t>ÅNGE</t>
        </is>
      </c>
      <c r="F44" t="inlineStr">
        <is>
          <t>SCA</t>
        </is>
      </c>
      <c r="G44" t="n">
        <v>10.2</v>
      </c>
      <c r="H44" t="n">
        <v>7</v>
      </c>
      <c r="I44" t="n">
        <v>4</v>
      </c>
      <c r="J44" t="n">
        <v>10</v>
      </c>
      <c r="K44" t="n">
        <v>3</v>
      </c>
      <c r="L44" t="n">
        <v>0</v>
      </c>
      <c r="M44" t="n">
        <v>0</v>
      </c>
      <c r="N44" t="n">
        <v>0</v>
      </c>
      <c r="O44" t="n">
        <v>13</v>
      </c>
      <c r="P44" t="n">
        <v>3</v>
      </c>
      <c r="Q44" t="n">
        <v>19</v>
      </c>
      <c r="R44" s="2" t="inlineStr">
        <is>
          <t>Doftticka
Gräddporing
Knärot
Doftskinn
Garnlav
Gränsticka
Järpe
Lunglav
Skrovellav
Talltita
Tretåig hackspett
Ullticka
Violettgrå tagellav
Luddlav
Norrlandslav
Stuplav
Vedticka
Vanlig groda
Fläcknycklar</t>
        </is>
      </c>
      <c r="S44">
        <f>HYPERLINK("https://klasma.github.io/Logging_2260/artfynd/A 32655-2024 artfynd.xlsx", "A 32655-2024")</f>
        <v/>
      </c>
      <c r="T44">
        <f>HYPERLINK("https://klasma.github.io/Logging_2260/kartor/A 32655-2024 karta.png", "A 32655-2024")</f>
        <v/>
      </c>
      <c r="U44">
        <f>HYPERLINK("https://klasma.github.io/Logging_2260/knärot/A 32655-2024 karta knärot.png", "A 32655-2024")</f>
        <v/>
      </c>
      <c r="V44">
        <f>HYPERLINK("https://klasma.github.io/Logging_2260/klagomål/A 32655-2024 FSC-klagomål.docx", "A 32655-2024")</f>
        <v/>
      </c>
      <c r="W44">
        <f>HYPERLINK("https://klasma.github.io/Logging_2260/klagomålsmail/A 32655-2024 FSC-klagomål mail.docx", "A 32655-2024")</f>
        <v/>
      </c>
      <c r="X44">
        <f>HYPERLINK("https://klasma.github.io/Logging_2260/tillsyn/A 32655-2024 tillsynsbegäran.docx", "A 32655-2024")</f>
        <v/>
      </c>
      <c r="Y44">
        <f>HYPERLINK("https://klasma.github.io/Logging_2260/tillsynsmail/A 32655-2024 tillsynsbegäran mail.docx", "A 32655-2024")</f>
        <v/>
      </c>
      <c r="Z44">
        <f>HYPERLINK("https://klasma.github.io/Logging_2260/fåglar/A 32655-2024 prioriterade fågelarter.docx", "A 32655-2024")</f>
        <v/>
      </c>
    </row>
    <row r="45" ht="15" customHeight="1">
      <c r="A45" t="inlineStr">
        <is>
          <t>A 11088-2025</t>
        </is>
      </c>
      <c r="B45" s="1" t="n">
        <v>45723.57364583333</v>
      </c>
      <c r="C45" s="1" t="n">
        <v>46185</v>
      </c>
      <c r="D45" t="inlineStr">
        <is>
          <t>VÄSTERNORRLANDS LÄN</t>
        </is>
      </c>
      <c r="E45" t="inlineStr">
        <is>
          <t>SUNDSVALL</t>
        </is>
      </c>
      <c r="F45" t="inlineStr">
        <is>
          <t>SCA</t>
        </is>
      </c>
      <c r="G45" t="n">
        <v>10.6</v>
      </c>
      <c r="H45" t="n">
        <v>8</v>
      </c>
      <c r="I45" t="n">
        <v>6</v>
      </c>
      <c r="J45" t="n">
        <v>9</v>
      </c>
      <c r="K45" t="n">
        <v>2</v>
      </c>
      <c r="L45" t="n">
        <v>0</v>
      </c>
      <c r="M45" t="n">
        <v>0</v>
      </c>
      <c r="N45" t="n">
        <v>0</v>
      </c>
      <c r="O45" t="n">
        <v>11</v>
      </c>
      <c r="P45" t="n">
        <v>2</v>
      </c>
      <c r="Q45" t="n">
        <v>19</v>
      </c>
      <c r="R45" s="2" t="inlineStr">
        <is>
          <t>Aspgelélav
Knärot
Garnlav
Järpe
Lunglav
Spillkråka
Svartvit flugsnappare
Talltita
Tretåig hackspett
Ullticka
Violettgrå tagellav
Fjällig taggsvamp s.str.
Grönpyrola
Korallblylav
Skinnlav
Stor aspticka
Stuplav
Tjäder
Revlummer</t>
        </is>
      </c>
      <c r="S45">
        <f>HYPERLINK("https://klasma.github.io/Logging_2281/artfynd/A 11088-2025 artfynd.xlsx", "A 11088-2025")</f>
        <v/>
      </c>
      <c r="T45">
        <f>HYPERLINK("https://klasma.github.io/Logging_2281/kartor/A 11088-2025 karta.png", "A 11088-2025")</f>
        <v/>
      </c>
      <c r="U45">
        <f>HYPERLINK("https://klasma.github.io/Logging_2281/knärot/A 11088-2025 karta knärot.png", "A 11088-2025")</f>
        <v/>
      </c>
      <c r="V45">
        <f>HYPERLINK("https://klasma.github.io/Logging_2281/klagomål/A 11088-2025 FSC-klagomål.docx", "A 11088-2025")</f>
        <v/>
      </c>
      <c r="W45">
        <f>HYPERLINK("https://klasma.github.io/Logging_2281/klagomålsmail/A 11088-2025 FSC-klagomål mail.docx", "A 11088-2025")</f>
        <v/>
      </c>
      <c r="X45">
        <f>HYPERLINK("https://klasma.github.io/Logging_2281/tillsyn/A 11088-2025 tillsynsbegäran.docx", "A 11088-2025")</f>
        <v/>
      </c>
      <c r="Y45">
        <f>HYPERLINK("https://klasma.github.io/Logging_2281/tillsynsmail/A 11088-2025 tillsynsbegäran mail.docx", "A 11088-2025")</f>
        <v/>
      </c>
      <c r="Z45">
        <f>HYPERLINK("https://klasma.github.io/Logging_2281/fåglar/A 11088-2025 prioriterade fågelarter.docx", "A 11088-2025")</f>
        <v/>
      </c>
    </row>
    <row r="46" ht="15" customHeight="1">
      <c r="A46" t="inlineStr">
        <is>
          <t>A 32897-2023</t>
        </is>
      </c>
      <c r="B46" s="1" t="n">
        <v>45124</v>
      </c>
      <c r="C46" s="1" t="n">
        <v>46185</v>
      </c>
      <c r="D46" t="inlineStr">
        <is>
          <t>VÄSTERNORRLANDS LÄN</t>
        </is>
      </c>
      <c r="E46" t="inlineStr">
        <is>
          <t>ÅNGE</t>
        </is>
      </c>
      <c r="F46" t="inlineStr">
        <is>
          <t>SCA</t>
        </is>
      </c>
      <c r="G46" t="n">
        <v>8.1</v>
      </c>
      <c r="H46" t="n">
        <v>9</v>
      </c>
      <c r="I46" t="n">
        <v>4</v>
      </c>
      <c r="J46" t="n">
        <v>10</v>
      </c>
      <c r="K46" t="n">
        <v>3</v>
      </c>
      <c r="L46" t="n">
        <v>0</v>
      </c>
      <c r="M46" t="n">
        <v>0</v>
      </c>
      <c r="N46" t="n">
        <v>0</v>
      </c>
      <c r="O46" t="n">
        <v>13</v>
      </c>
      <c r="P46" t="n">
        <v>3</v>
      </c>
      <c r="Q46" t="n">
        <v>19</v>
      </c>
      <c r="R46" s="2" t="inlineStr">
        <is>
          <t>Doftticka
Knärot
Rynkskinn
Gammelgransskål
Garnlav
Grynig filtlav
Järpe
Lunglav
Skrovellav
Spillkråka
Talltita
Tretåig hackspett
Ullticka
Korallblylav
Korallrot
Skinnlav
Stuplav
Kungsfågel
Fläcknycklar</t>
        </is>
      </c>
      <c r="S46">
        <f>HYPERLINK("https://klasma.github.io/Logging_2260/artfynd/A 32897-2023 artfynd.xlsx", "A 32897-2023")</f>
        <v/>
      </c>
      <c r="T46">
        <f>HYPERLINK("https://klasma.github.io/Logging_2260/kartor/A 32897-2023 karta.png", "A 32897-2023")</f>
        <v/>
      </c>
      <c r="U46">
        <f>HYPERLINK("https://klasma.github.io/Logging_2260/knärot/A 32897-2023 karta knärot.png", "A 32897-2023")</f>
        <v/>
      </c>
      <c r="V46">
        <f>HYPERLINK("https://klasma.github.io/Logging_2260/klagomål/A 32897-2023 FSC-klagomål.docx", "A 32897-2023")</f>
        <v/>
      </c>
      <c r="W46">
        <f>HYPERLINK("https://klasma.github.io/Logging_2260/klagomålsmail/A 32897-2023 FSC-klagomål mail.docx", "A 32897-2023")</f>
        <v/>
      </c>
      <c r="X46">
        <f>HYPERLINK("https://klasma.github.io/Logging_2260/tillsyn/A 32897-2023 tillsynsbegäran.docx", "A 32897-2023")</f>
        <v/>
      </c>
      <c r="Y46">
        <f>HYPERLINK("https://klasma.github.io/Logging_2260/tillsynsmail/A 32897-2023 tillsynsbegäran mail.docx", "A 32897-2023")</f>
        <v/>
      </c>
      <c r="Z46">
        <f>HYPERLINK("https://klasma.github.io/Logging_2260/fåglar/A 32897-2023 prioriterade fågelarter.docx", "A 32897-2023")</f>
        <v/>
      </c>
    </row>
    <row r="47" ht="15" customHeight="1">
      <c r="A47" t="inlineStr">
        <is>
          <t>A 46081-2025</t>
        </is>
      </c>
      <c r="B47" s="1" t="n">
        <v>45924</v>
      </c>
      <c r="C47" s="1" t="n">
        <v>46185</v>
      </c>
      <c r="D47" t="inlineStr">
        <is>
          <t>VÄSTERNORRLANDS LÄN</t>
        </is>
      </c>
      <c r="E47" t="inlineStr">
        <is>
          <t>TIMRÅ</t>
        </is>
      </c>
      <c r="F47" t="inlineStr">
        <is>
          <t>SCA</t>
        </is>
      </c>
      <c r="G47" t="n">
        <v>14.2</v>
      </c>
      <c r="H47" t="n">
        <v>5</v>
      </c>
      <c r="I47" t="n">
        <v>3</v>
      </c>
      <c r="J47" t="n">
        <v>13</v>
      </c>
      <c r="K47" t="n">
        <v>1</v>
      </c>
      <c r="L47" t="n">
        <v>0</v>
      </c>
      <c r="M47" t="n">
        <v>0</v>
      </c>
      <c r="N47" t="n">
        <v>0</v>
      </c>
      <c r="O47" t="n">
        <v>14</v>
      </c>
      <c r="P47" t="n">
        <v>1</v>
      </c>
      <c r="Q47" t="n">
        <v>19</v>
      </c>
      <c r="R47"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7">
        <f>HYPERLINK("https://klasma.github.io/Logging_2262/artfynd/A 46081-2025 artfynd.xlsx", "A 46081-2025")</f>
        <v/>
      </c>
      <c r="T47">
        <f>HYPERLINK("https://klasma.github.io/Logging_2262/kartor/A 46081-2025 karta.png", "A 46081-2025")</f>
        <v/>
      </c>
      <c r="U47">
        <f>HYPERLINK("https://klasma.github.io/Logging_2262/knärot/A 46081-2025 karta knärot.png", "A 46081-2025")</f>
        <v/>
      </c>
      <c r="V47">
        <f>HYPERLINK("https://klasma.github.io/Logging_2262/klagomål/A 46081-2025 FSC-klagomål.docx", "A 46081-2025")</f>
        <v/>
      </c>
      <c r="W47">
        <f>HYPERLINK("https://klasma.github.io/Logging_2262/klagomålsmail/A 46081-2025 FSC-klagomål mail.docx", "A 46081-2025")</f>
        <v/>
      </c>
      <c r="X47">
        <f>HYPERLINK("https://klasma.github.io/Logging_2262/tillsyn/A 46081-2025 tillsynsbegäran.docx", "A 46081-2025")</f>
        <v/>
      </c>
      <c r="Y47">
        <f>HYPERLINK("https://klasma.github.io/Logging_2262/tillsynsmail/A 46081-2025 tillsynsbegäran mail.docx", "A 46081-2025")</f>
        <v/>
      </c>
      <c r="Z47">
        <f>HYPERLINK("https://klasma.github.io/Logging_2262/fåglar/A 46081-2025 prioriterade fågelarter.docx", "A 46081-2025")</f>
        <v/>
      </c>
    </row>
    <row r="48" ht="15" customHeight="1">
      <c r="A48" t="inlineStr">
        <is>
          <t>A 61826-2025</t>
        </is>
      </c>
      <c r="B48" s="1" t="n">
        <v>46003</v>
      </c>
      <c r="C48" s="1" t="n">
        <v>46185</v>
      </c>
      <c r="D48" t="inlineStr">
        <is>
          <t>VÄSTERNORRLANDS LÄN</t>
        </is>
      </c>
      <c r="E48" t="inlineStr">
        <is>
          <t>SUNDSVALL</t>
        </is>
      </c>
      <c r="G48" t="n">
        <v>10.2</v>
      </c>
      <c r="H48" t="n">
        <v>2</v>
      </c>
      <c r="I48" t="n">
        <v>5</v>
      </c>
      <c r="J48" t="n">
        <v>11</v>
      </c>
      <c r="K48" t="n">
        <v>2</v>
      </c>
      <c r="L48" t="n">
        <v>0</v>
      </c>
      <c r="M48" t="n">
        <v>0</v>
      </c>
      <c r="N48" t="n">
        <v>0</v>
      </c>
      <c r="O48" t="n">
        <v>13</v>
      </c>
      <c r="P48" t="n">
        <v>2</v>
      </c>
      <c r="Q48" t="n">
        <v>19</v>
      </c>
      <c r="R48" s="2" t="inlineStr">
        <is>
          <t>Aspgelélav
Fläckporing
Blågrå svartspik
Doftskinn
Garnlav
Lunglav
Rosenticka
Tallticka
Tretåig hackspett
Ullticka
Vedflamlav
Vedskivlav
Violettgrå tagellav
Bronshjon
Korallblylav
Stuplav
Vedticka
Vågbandad barkbock
Kungsfågel</t>
        </is>
      </c>
      <c r="S48">
        <f>HYPERLINK("https://klasma.github.io/Logging_2281/artfynd/A 61826-2025 artfynd.xlsx", "A 61826-2025")</f>
        <v/>
      </c>
      <c r="T48">
        <f>HYPERLINK("https://klasma.github.io/Logging_2281/kartor/A 61826-2025 karta.png", "A 61826-2025")</f>
        <v/>
      </c>
      <c r="V48">
        <f>HYPERLINK("https://klasma.github.io/Logging_2281/klagomål/A 61826-2025 FSC-klagomål.docx", "A 61826-2025")</f>
        <v/>
      </c>
      <c r="W48">
        <f>HYPERLINK("https://klasma.github.io/Logging_2281/klagomålsmail/A 61826-2025 FSC-klagomål mail.docx", "A 61826-2025")</f>
        <v/>
      </c>
      <c r="X48">
        <f>HYPERLINK("https://klasma.github.io/Logging_2281/tillsyn/A 61826-2025 tillsynsbegäran.docx", "A 61826-2025")</f>
        <v/>
      </c>
      <c r="Y48">
        <f>HYPERLINK("https://klasma.github.io/Logging_2281/tillsynsmail/A 61826-2025 tillsynsbegäran mail.docx", "A 61826-2025")</f>
        <v/>
      </c>
      <c r="Z48">
        <f>HYPERLINK("https://klasma.github.io/Logging_2281/fåglar/A 61826-2025 prioriterade fågelarter.docx", "A 61826-2025")</f>
        <v/>
      </c>
    </row>
    <row r="49" ht="15" customHeight="1">
      <c r="A49" t="inlineStr">
        <is>
          <t>A 61824-2025</t>
        </is>
      </c>
      <c r="B49" s="1" t="n">
        <v>46003</v>
      </c>
      <c r="C49" s="1" t="n">
        <v>46185</v>
      </c>
      <c r="D49" t="inlineStr">
        <is>
          <t>VÄSTERNORRLANDS LÄN</t>
        </is>
      </c>
      <c r="E49" t="inlineStr">
        <is>
          <t>SUNDSVALL</t>
        </is>
      </c>
      <c r="G49" t="n">
        <v>18.5</v>
      </c>
      <c r="H49" t="n">
        <v>4</v>
      </c>
      <c r="I49" t="n">
        <v>7</v>
      </c>
      <c r="J49" t="n">
        <v>10</v>
      </c>
      <c r="K49" t="n">
        <v>2</v>
      </c>
      <c r="L49" t="n">
        <v>0</v>
      </c>
      <c r="M49" t="n">
        <v>0</v>
      </c>
      <c r="N49" t="n">
        <v>0</v>
      </c>
      <c r="O49" t="n">
        <v>12</v>
      </c>
      <c r="P49" t="n">
        <v>2</v>
      </c>
      <c r="Q49" t="n">
        <v>19</v>
      </c>
      <c r="R49" s="2" t="inlineStr">
        <is>
          <t>Gräddporing
Knärot
Garnlav
Gränsticka
Järpe
Rosenticka
Talltita
Tretåig hackspett
Ullticka
Vaddporing
Vedskivlav
Violettgrå tagellav
Bronshjon
Grönpyrola
Korallblylav
Mörk husmossa
Stor aspticka
Vedticka
Vågbandad barkbock</t>
        </is>
      </c>
      <c r="S49">
        <f>HYPERLINK("https://klasma.github.io/Logging_2281/artfynd/A 61824-2025 artfynd.xlsx", "A 61824-2025")</f>
        <v/>
      </c>
      <c r="T49">
        <f>HYPERLINK("https://klasma.github.io/Logging_2281/kartor/A 61824-2025 karta.png", "A 61824-2025")</f>
        <v/>
      </c>
      <c r="U49">
        <f>HYPERLINK("https://klasma.github.io/Logging_2281/knärot/A 61824-2025 karta knärot.png", "A 61824-2025")</f>
        <v/>
      </c>
      <c r="V49">
        <f>HYPERLINK("https://klasma.github.io/Logging_2281/klagomål/A 61824-2025 FSC-klagomål.docx", "A 61824-2025")</f>
        <v/>
      </c>
      <c r="W49">
        <f>HYPERLINK("https://klasma.github.io/Logging_2281/klagomålsmail/A 61824-2025 FSC-klagomål mail.docx", "A 61824-2025")</f>
        <v/>
      </c>
      <c r="X49">
        <f>HYPERLINK("https://klasma.github.io/Logging_2281/tillsyn/A 61824-2025 tillsynsbegäran.docx", "A 61824-2025")</f>
        <v/>
      </c>
      <c r="Y49">
        <f>HYPERLINK("https://klasma.github.io/Logging_2281/tillsynsmail/A 61824-2025 tillsynsbegäran mail.docx", "A 61824-2025")</f>
        <v/>
      </c>
      <c r="Z49">
        <f>HYPERLINK("https://klasma.github.io/Logging_2281/fåglar/A 61824-2025 prioriterade fågelarter.docx", "A 61824-2025")</f>
        <v/>
      </c>
    </row>
    <row r="50" ht="15" customHeight="1">
      <c r="A50" t="inlineStr">
        <is>
          <t>A 13896-2023</t>
        </is>
      </c>
      <c r="B50" s="1" t="n">
        <v>45008</v>
      </c>
      <c r="C50" s="1" t="n">
        <v>46185</v>
      </c>
      <c r="D50" t="inlineStr">
        <is>
          <t>VÄSTERNORRLANDS LÄN</t>
        </is>
      </c>
      <c r="E50" t="inlineStr">
        <is>
          <t>SOLLEFTEÅ</t>
        </is>
      </c>
      <c r="F50" t="inlineStr">
        <is>
          <t>SCA</t>
        </is>
      </c>
      <c r="G50" t="n">
        <v>20.3</v>
      </c>
      <c r="H50" t="n">
        <v>5</v>
      </c>
      <c r="I50" t="n">
        <v>5</v>
      </c>
      <c r="J50" t="n">
        <v>11</v>
      </c>
      <c r="K50" t="n">
        <v>2</v>
      </c>
      <c r="L50" t="n">
        <v>0</v>
      </c>
      <c r="M50" t="n">
        <v>0</v>
      </c>
      <c r="N50" t="n">
        <v>0</v>
      </c>
      <c r="O50" t="n">
        <v>13</v>
      </c>
      <c r="P50" t="n">
        <v>2</v>
      </c>
      <c r="Q50" t="n">
        <v>19</v>
      </c>
      <c r="R50" s="2" t="inlineStr">
        <is>
          <t>Knärot
Ulltickeporing
Doftskinn
Garnlav
Granticka
Lunglav
Rosenticka
Skrovellav
Spillkråka
Stjärntagging
Talltita
Tretåig hackspett
Ullticka
Bårdlav
Norrlandslav
Stor aspticka
Stuplav
Vedticka
Fläcknycklar</t>
        </is>
      </c>
      <c r="S50">
        <f>HYPERLINK("https://klasma.github.io/Logging_2283/artfynd/A 13896-2023 artfynd.xlsx", "A 13896-2023")</f>
        <v/>
      </c>
      <c r="T50">
        <f>HYPERLINK("https://klasma.github.io/Logging_2283/kartor/A 13896-2023 karta.png", "A 13896-2023")</f>
        <v/>
      </c>
      <c r="U50">
        <f>HYPERLINK("https://klasma.github.io/Logging_2283/knärot/A 13896-2023 karta knärot.png", "A 13896-2023")</f>
        <v/>
      </c>
      <c r="V50">
        <f>HYPERLINK("https://klasma.github.io/Logging_2283/klagomål/A 13896-2023 FSC-klagomål.docx", "A 13896-2023")</f>
        <v/>
      </c>
      <c r="W50">
        <f>HYPERLINK("https://klasma.github.io/Logging_2283/klagomålsmail/A 13896-2023 FSC-klagomål mail.docx", "A 13896-2023")</f>
        <v/>
      </c>
      <c r="X50">
        <f>HYPERLINK("https://klasma.github.io/Logging_2283/tillsyn/A 13896-2023 tillsynsbegäran.docx", "A 13896-2023")</f>
        <v/>
      </c>
      <c r="Y50">
        <f>HYPERLINK("https://klasma.github.io/Logging_2283/tillsynsmail/A 13896-2023 tillsynsbegäran mail.docx", "A 13896-2023")</f>
        <v/>
      </c>
      <c r="Z50">
        <f>HYPERLINK("https://klasma.github.io/Logging_2283/fåglar/A 13896-2023 prioriterade fågelarter.docx", "A 13896-2023")</f>
        <v/>
      </c>
    </row>
    <row r="51" ht="15" customHeight="1">
      <c r="A51" t="inlineStr">
        <is>
          <t>A 29232-2025</t>
        </is>
      </c>
      <c r="B51" s="1" t="n">
        <v>45824</v>
      </c>
      <c r="C51" s="1" t="n">
        <v>46185</v>
      </c>
      <c r="D51" t="inlineStr">
        <is>
          <t>VÄSTERNORRLANDS LÄN</t>
        </is>
      </c>
      <c r="E51" t="inlineStr">
        <is>
          <t>SOLLEFTEÅ</t>
        </is>
      </c>
      <c r="F51" t="inlineStr">
        <is>
          <t>SCA</t>
        </is>
      </c>
      <c r="G51" t="n">
        <v>6.5</v>
      </c>
      <c r="H51" t="n">
        <v>5</v>
      </c>
      <c r="I51" t="n">
        <v>4</v>
      </c>
      <c r="J51" t="n">
        <v>12</v>
      </c>
      <c r="K51" t="n">
        <v>1</v>
      </c>
      <c r="L51" t="n">
        <v>0</v>
      </c>
      <c r="M51" t="n">
        <v>0</v>
      </c>
      <c r="N51" t="n">
        <v>0</v>
      </c>
      <c r="O51" t="n">
        <v>13</v>
      </c>
      <c r="P51" t="n">
        <v>1</v>
      </c>
      <c r="Q51" t="n">
        <v>19</v>
      </c>
      <c r="R51" s="2" t="inlineStr">
        <is>
          <t>Rynkskinn
Gammelgransskål
Garnlav
Granticka
Järpe
Luddfingersvamp
Lunglav
Rosenticka
Talltita
Tretåig hackspett
Ullticka
Vedskivlav
Vitgrynig nållav
Bårdlav
Luddlav
Stuplav
Vedticka
Kungsfågel
Lavskrika</t>
        </is>
      </c>
      <c r="S51">
        <f>HYPERLINK("https://klasma.github.io/Logging_2283/artfynd/A 29232-2025 artfynd.xlsx", "A 29232-2025")</f>
        <v/>
      </c>
      <c r="T51">
        <f>HYPERLINK("https://klasma.github.io/Logging_2283/kartor/A 29232-2025 karta.png", "A 29232-2025")</f>
        <v/>
      </c>
      <c r="V51">
        <f>HYPERLINK("https://klasma.github.io/Logging_2283/klagomål/A 29232-2025 FSC-klagomål.docx", "A 29232-2025")</f>
        <v/>
      </c>
      <c r="W51">
        <f>HYPERLINK("https://klasma.github.io/Logging_2283/klagomålsmail/A 29232-2025 FSC-klagomål mail.docx", "A 29232-2025")</f>
        <v/>
      </c>
      <c r="X51">
        <f>HYPERLINK("https://klasma.github.io/Logging_2283/tillsyn/A 29232-2025 tillsynsbegäran.docx", "A 29232-2025")</f>
        <v/>
      </c>
      <c r="Y51">
        <f>HYPERLINK("https://klasma.github.io/Logging_2283/tillsynsmail/A 29232-2025 tillsynsbegäran mail.docx", "A 29232-2025")</f>
        <v/>
      </c>
      <c r="Z51">
        <f>HYPERLINK("https://klasma.github.io/Logging_2283/fåglar/A 29232-2025 prioriterade fågelarter.docx", "A 29232-2025")</f>
        <v/>
      </c>
    </row>
    <row r="52" ht="15" customHeight="1">
      <c r="A52" t="inlineStr">
        <is>
          <t>A 46329-2022</t>
        </is>
      </c>
      <c r="B52" s="1" t="n">
        <v>44847</v>
      </c>
      <c r="C52" s="1" t="n">
        <v>46185</v>
      </c>
      <c r="D52" t="inlineStr">
        <is>
          <t>VÄSTERNORRLANDS LÄN</t>
        </is>
      </c>
      <c r="E52" t="inlineStr">
        <is>
          <t>ÅNGE</t>
        </is>
      </c>
      <c r="F52" t="inlineStr">
        <is>
          <t>SCA</t>
        </is>
      </c>
      <c r="G52" t="n">
        <v>54</v>
      </c>
      <c r="H52" t="n">
        <v>4</v>
      </c>
      <c r="I52" t="n">
        <v>8</v>
      </c>
      <c r="J52" t="n">
        <v>7</v>
      </c>
      <c r="K52" t="n">
        <v>1</v>
      </c>
      <c r="L52" t="n">
        <v>0</v>
      </c>
      <c r="M52" t="n">
        <v>0</v>
      </c>
      <c r="N52" t="n">
        <v>0</v>
      </c>
      <c r="O52" t="n">
        <v>8</v>
      </c>
      <c r="P52" t="n">
        <v>1</v>
      </c>
      <c r="Q52" t="n">
        <v>18</v>
      </c>
      <c r="R52" s="2" t="inlineStr">
        <is>
          <t>Knärot
Garnlav
Kandelabersvamp
Kolflarnlav
Lunglav
Skrovellav
Tallticka
Vedtrappmossa
Bollvitmossa
Bårdlav
Grönpyrola
Norrlandslav
Skinnlav
Spindelblomster
Stuplav
Svavelriska
Fläcknycklar
Nattviol</t>
        </is>
      </c>
      <c r="S52">
        <f>HYPERLINK("https://klasma.github.io/Logging_2260/artfynd/A 46329-2022 artfynd.xlsx", "A 46329-2022")</f>
        <v/>
      </c>
      <c r="T52">
        <f>HYPERLINK("https://klasma.github.io/Logging_2260/kartor/A 46329-2022 karta.png", "A 46329-2022")</f>
        <v/>
      </c>
      <c r="U52">
        <f>HYPERLINK("https://klasma.github.io/Logging_2260/knärot/A 46329-2022 karta knärot.png", "A 46329-2022")</f>
        <v/>
      </c>
      <c r="V52">
        <f>HYPERLINK("https://klasma.github.io/Logging_2260/klagomål/A 46329-2022 FSC-klagomål.docx", "A 46329-2022")</f>
        <v/>
      </c>
      <c r="W52">
        <f>HYPERLINK("https://klasma.github.io/Logging_2260/klagomålsmail/A 46329-2022 FSC-klagomål mail.docx", "A 46329-2022")</f>
        <v/>
      </c>
      <c r="X52">
        <f>HYPERLINK("https://klasma.github.io/Logging_2260/tillsyn/A 46329-2022 tillsynsbegäran.docx", "A 46329-2022")</f>
        <v/>
      </c>
      <c r="Y52">
        <f>HYPERLINK("https://klasma.github.io/Logging_2260/tillsynsmail/A 46329-2022 tillsynsbegäran mail.docx", "A 46329-2022")</f>
        <v/>
      </c>
    </row>
    <row r="53" ht="15" customHeight="1">
      <c r="A53" t="inlineStr">
        <is>
          <t>A 26959-2024</t>
        </is>
      </c>
      <c r="B53" s="1" t="n">
        <v>45470</v>
      </c>
      <c r="C53" s="1" t="n">
        <v>46185</v>
      </c>
      <c r="D53" t="inlineStr">
        <is>
          <t>VÄSTERNORRLANDS LÄN</t>
        </is>
      </c>
      <c r="E53" t="inlineStr">
        <is>
          <t>ÅNGE</t>
        </is>
      </c>
      <c r="F53" t="inlineStr">
        <is>
          <t>SCA</t>
        </is>
      </c>
      <c r="G53" t="n">
        <v>14.3</v>
      </c>
      <c r="H53" t="n">
        <v>6</v>
      </c>
      <c r="I53" t="n">
        <v>5</v>
      </c>
      <c r="J53" t="n">
        <v>10</v>
      </c>
      <c r="K53" t="n">
        <v>1</v>
      </c>
      <c r="L53" t="n">
        <v>0</v>
      </c>
      <c r="M53" t="n">
        <v>0</v>
      </c>
      <c r="N53" t="n">
        <v>0</v>
      </c>
      <c r="O53" t="n">
        <v>11</v>
      </c>
      <c r="P53" t="n">
        <v>1</v>
      </c>
      <c r="Q53" t="n">
        <v>18</v>
      </c>
      <c r="R53" s="2" t="inlineStr">
        <is>
          <t>Knärot
Blågrå svartspik
Garnlav
Järpe
Kolflarnlav
Lunglav
Mörk kolflarnlav
Tretåig hackspett
Vedflamlav
Vedtrappmossa
Vitgrynig nållav
Grönpyrola
Luddlav
Norrlandslav
Spindelblomster
Stuplav
Tjäder
Revlummer</t>
        </is>
      </c>
      <c r="S53">
        <f>HYPERLINK("https://klasma.github.io/Logging_2260/artfynd/A 26959-2024 artfynd.xlsx", "A 26959-2024")</f>
        <v/>
      </c>
      <c r="T53">
        <f>HYPERLINK("https://klasma.github.io/Logging_2260/kartor/A 26959-2024 karta.png", "A 26959-2024")</f>
        <v/>
      </c>
      <c r="U53">
        <f>HYPERLINK("https://klasma.github.io/Logging_2260/knärot/A 26959-2024 karta knärot.png", "A 26959-2024")</f>
        <v/>
      </c>
      <c r="V53">
        <f>HYPERLINK("https://klasma.github.io/Logging_2260/klagomål/A 26959-2024 FSC-klagomål.docx", "A 26959-2024")</f>
        <v/>
      </c>
      <c r="W53">
        <f>HYPERLINK("https://klasma.github.io/Logging_2260/klagomålsmail/A 26959-2024 FSC-klagomål mail.docx", "A 26959-2024")</f>
        <v/>
      </c>
      <c r="X53">
        <f>HYPERLINK("https://klasma.github.io/Logging_2260/tillsyn/A 26959-2024 tillsynsbegäran.docx", "A 26959-2024")</f>
        <v/>
      </c>
      <c r="Y53">
        <f>HYPERLINK("https://klasma.github.io/Logging_2260/tillsynsmail/A 26959-2024 tillsynsbegäran mail.docx", "A 26959-2024")</f>
        <v/>
      </c>
      <c r="Z53">
        <f>HYPERLINK("https://klasma.github.io/Logging_2260/fåglar/A 26959-2024 prioriterade fågelarter.docx", "A 26959-2024")</f>
        <v/>
      </c>
    </row>
    <row r="54" ht="15" customHeight="1">
      <c r="A54" t="inlineStr">
        <is>
          <t>A 38270-2025</t>
        </is>
      </c>
      <c r="B54" s="1" t="n">
        <v>45883.40696759259</v>
      </c>
      <c r="C54" s="1" t="n">
        <v>46185</v>
      </c>
      <c r="D54" t="inlineStr">
        <is>
          <t>VÄSTERNORRLANDS LÄN</t>
        </is>
      </c>
      <c r="E54" t="inlineStr">
        <is>
          <t>SOLLEFTEÅ</t>
        </is>
      </c>
      <c r="F54" t="inlineStr">
        <is>
          <t>SCA</t>
        </is>
      </c>
      <c r="G54" t="n">
        <v>16</v>
      </c>
      <c r="H54" t="n">
        <v>0</v>
      </c>
      <c r="I54" t="n">
        <v>5</v>
      </c>
      <c r="J54" t="n">
        <v>11</v>
      </c>
      <c r="K54" t="n">
        <v>2</v>
      </c>
      <c r="L54" t="n">
        <v>0</v>
      </c>
      <c r="M54" t="n">
        <v>0</v>
      </c>
      <c r="N54" t="n">
        <v>0</v>
      </c>
      <c r="O54" t="n">
        <v>13</v>
      </c>
      <c r="P54" t="n">
        <v>2</v>
      </c>
      <c r="Q54" t="n">
        <v>18</v>
      </c>
      <c r="R54" s="2" t="inlineStr">
        <is>
          <t>Gräddporing
Smalfotad taggsvamp
Blå taggsvamp
Blågrå svartspik
Dvärgbägarlav
Garnlav
Kolflarnlav
Lunglav
Reliktbock
Svart taggsvamp agg.
Tallticka
Vedflamlav
Vedskivlav
Dropptaggsvamp
Norrlandslav
Skarp dropptaggsvamp
Stuplav
Vedticka</t>
        </is>
      </c>
      <c r="S54">
        <f>HYPERLINK("https://klasma.github.io/Logging_2283/artfynd/A 38270-2025 artfynd.xlsx", "A 38270-2025")</f>
        <v/>
      </c>
      <c r="T54">
        <f>HYPERLINK("https://klasma.github.io/Logging_2283/kartor/A 38270-2025 karta.png", "A 38270-2025")</f>
        <v/>
      </c>
      <c r="V54">
        <f>HYPERLINK("https://klasma.github.io/Logging_2283/klagomål/A 38270-2025 FSC-klagomål.docx", "A 38270-2025")</f>
        <v/>
      </c>
      <c r="W54">
        <f>HYPERLINK("https://klasma.github.io/Logging_2283/klagomålsmail/A 38270-2025 FSC-klagomål mail.docx", "A 38270-2025")</f>
        <v/>
      </c>
      <c r="X54">
        <f>HYPERLINK("https://klasma.github.io/Logging_2283/tillsyn/A 38270-2025 tillsynsbegäran.docx", "A 38270-2025")</f>
        <v/>
      </c>
      <c r="Y54">
        <f>HYPERLINK("https://klasma.github.io/Logging_2283/tillsynsmail/A 38270-2025 tillsynsbegäran mail.docx", "A 38270-2025")</f>
        <v/>
      </c>
    </row>
    <row r="55" ht="15" customHeight="1">
      <c r="A55" t="inlineStr">
        <is>
          <t>A 38268-2025</t>
        </is>
      </c>
      <c r="B55" s="1" t="n">
        <v>45883.40679398148</v>
      </c>
      <c r="C55" s="1" t="n">
        <v>46185</v>
      </c>
      <c r="D55" t="inlineStr">
        <is>
          <t>VÄSTERNORRLANDS LÄN</t>
        </is>
      </c>
      <c r="E55" t="inlineStr">
        <is>
          <t>SOLLEFTEÅ</t>
        </is>
      </c>
      <c r="F55" t="inlineStr">
        <is>
          <t>SCA</t>
        </is>
      </c>
      <c r="G55" t="n">
        <v>5.1</v>
      </c>
      <c r="H55" t="n">
        <v>0</v>
      </c>
      <c r="I55" t="n">
        <v>5</v>
      </c>
      <c r="J55" t="n">
        <v>10</v>
      </c>
      <c r="K55" t="n">
        <v>3</v>
      </c>
      <c r="L55" t="n">
        <v>0</v>
      </c>
      <c r="M55" t="n">
        <v>0</v>
      </c>
      <c r="N55" t="n">
        <v>0</v>
      </c>
      <c r="O55" t="n">
        <v>13</v>
      </c>
      <c r="P55" t="n">
        <v>3</v>
      </c>
      <c r="Q55" t="n">
        <v>18</v>
      </c>
      <c r="R55" s="2" t="inlineStr">
        <is>
          <t>Fläckporing
Gräddporing
Smalfotad taggsvamp
Blågrå svartspik
Dvärgbägarlav
Garnlav
Kolflarnlav
Lunglav
Nordtagging
Skrovlig taggsvamp
Svartvit taggsvamp
Vaddporing
Vedskivlav
Dropptaggsvamp
Luddlav
Skarp dropptaggsvamp
Stuplav
Vedticka</t>
        </is>
      </c>
      <c r="S55">
        <f>HYPERLINK("https://klasma.github.io/Logging_2283/artfynd/A 38268-2025 artfynd.xlsx", "A 38268-2025")</f>
        <v/>
      </c>
      <c r="T55">
        <f>HYPERLINK("https://klasma.github.io/Logging_2283/kartor/A 38268-2025 karta.png", "A 38268-2025")</f>
        <v/>
      </c>
      <c r="V55">
        <f>HYPERLINK("https://klasma.github.io/Logging_2283/klagomål/A 38268-2025 FSC-klagomål.docx", "A 38268-2025")</f>
        <v/>
      </c>
      <c r="W55">
        <f>HYPERLINK("https://klasma.github.io/Logging_2283/klagomålsmail/A 38268-2025 FSC-klagomål mail.docx", "A 38268-2025")</f>
        <v/>
      </c>
      <c r="X55">
        <f>HYPERLINK("https://klasma.github.io/Logging_2283/tillsyn/A 38268-2025 tillsynsbegäran.docx", "A 38268-2025")</f>
        <v/>
      </c>
      <c r="Y55">
        <f>HYPERLINK("https://klasma.github.io/Logging_2283/tillsynsmail/A 38268-2025 tillsynsbegäran mail.docx", "A 38268-2025")</f>
        <v/>
      </c>
    </row>
    <row r="56" ht="15" customHeight="1">
      <c r="A56" t="inlineStr">
        <is>
          <t>A 20269-2024</t>
        </is>
      </c>
      <c r="B56" s="1" t="n">
        <v>45434</v>
      </c>
      <c r="C56" s="1" t="n">
        <v>46185</v>
      </c>
      <c r="D56" t="inlineStr">
        <is>
          <t>VÄSTERNORRLANDS LÄN</t>
        </is>
      </c>
      <c r="E56" t="inlineStr">
        <is>
          <t>ÅNGE</t>
        </is>
      </c>
      <c r="F56" t="inlineStr">
        <is>
          <t>SCA</t>
        </is>
      </c>
      <c r="G56" t="n">
        <v>13.9</v>
      </c>
      <c r="H56" t="n">
        <v>4</v>
      </c>
      <c r="I56" t="n">
        <v>3</v>
      </c>
      <c r="J56" t="n">
        <v>12</v>
      </c>
      <c r="K56" t="n">
        <v>2</v>
      </c>
      <c r="L56" t="n">
        <v>0</v>
      </c>
      <c r="M56" t="n">
        <v>0</v>
      </c>
      <c r="N56" t="n">
        <v>0</v>
      </c>
      <c r="O56" t="n">
        <v>14</v>
      </c>
      <c r="P56" t="n">
        <v>2</v>
      </c>
      <c r="Q56" t="n">
        <v>18</v>
      </c>
      <c r="R56" s="2" t="inlineStr">
        <is>
          <t>Gräddporing
Knärot
Blågrå svartspik
Dvärgbägarlav
Garnlav
Kortskaftad ärgspik
Lunglav
Mörk kolflarnlav
Nordtagging
Talltita
Tretåig hackspett
Vedskivlav
Vedtrappmossa
Violettgrå tagellav
Barkkornlav
Korallblylav
Vedticka
Tjäder</t>
        </is>
      </c>
      <c r="S56">
        <f>HYPERLINK("https://klasma.github.io/Logging_2260/artfynd/A 20269-2024 artfynd.xlsx", "A 20269-2024")</f>
        <v/>
      </c>
      <c r="T56">
        <f>HYPERLINK("https://klasma.github.io/Logging_2260/kartor/A 20269-2024 karta.png", "A 20269-2024")</f>
        <v/>
      </c>
      <c r="U56">
        <f>HYPERLINK("https://klasma.github.io/Logging_2260/knärot/A 20269-2024 karta knärot.png", "A 20269-2024")</f>
        <v/>
      </c>
      <c r="V56">
        <f>HYPERLINK("https://klasma.github.io/Logging_2260/klagomål/A 20269-2024 FSC-klagomål.docx", "A 20269-2024")</f>
        <v/>
      </c>
      <c r="W56">
        <f>HYPERLINK("https://klasma.github.io/Logging_2260/klagomålsmail/A 20269-2024 FSC-klagomål mail.docx", "A 20269-2024")</f>
        <v/>
      </c>
      <c r="X56">
        <f>HYPERLINK("https://klasma.github.io/Logging_2260/tillsyn/A 20269-2024 tillsynsbegäran.docx", "A 20269-2024")</f>
        <v/>
      </c>
      <c r="Y56">
        <f>HYPERLINK("https://klasma.github.io/Logging_2260/tillsynsmail/A 20269-2024 tillsynsbegäran mail.docx", "A 20269-2024")</f>
        <v/>
      </c>
      <c r="Z56">
        <f>HYPERLINK("https://klasma.github.io/Logging_2260/fåglar/A 20269-2024 prioriterade fågelarter.docx", "A 20269-2024")</f>
        <v/>
      </c>
    </row>
    <row r="57" ht="15" customHeight="1">
      <c r="A57" t="inlineStr">
        <is>
          <t>A 61873-2025</t>
        </is>
      </c>
      <c r="B57" s="1" t="n">
        <v>46003</v>
      </c>
      <c r="C57" s="1" t="n">
        <v>46185</v>
      </c>
      <c r="D57" t="inlineStr">
        <is>
          <t>VÄSTERNORRLANDS LÄN</t>
        </is>
      </c>
      <c r="E57" t="inlineStr">
        <is>
          <t>KRAMFORS</t>
        </is>
      </c>
      <c r="G57" t="n">
        <v>21.7</v>
      </c>
      <c r="H57" t="n">
        <v>5</v>
      </c>
      <c r="I57" t="n">
        <v>4</v>
      </c>
      <c r="J57" t="n">
        <v>11</v>
      </c>
      <c r="K57" t="n">
        <v>1</v>
      </c>
      <c r="L57" t="n">
        <v>0</v>
      </c>
      <c r="M57" t="n">
        <v>0</v>
      </c>
      <c r="N57" t="n">
        <v>0</v>
      </c>
      <c r="O57" t="n">
        <v>12</v>
      </c>
      <c r="P57" t="n">
        <v>1</v>
      </c>
      <c r="Q57" t="n">
        <v>18</v>
      </c>
      <c r="R57" s="2" t="inlineStr">
        <is>
          <t>Rynkskinn
Doftskinn
Garnlav
Granticka
Järpe
Kötticka
Lunglav
Rosenticka
Spillkråka
Tretåig hackspett
Ullticka
Violmussling
Korallblylav
Mörk husmossa
Norrlandslav
Vedticka
Tjäder
Revlummer</t>
        </is>
      </c>
      <c r="S57">
        <f>HYPERLINK("https://klasma.github.io/Logging_2282/artfynd/A 61873-2025 artfynd.xlsx", "A 61873-2025")</f>
        <v/>
      </c>
      <c r="T57">
        <f>HYPERLINK("https://klasma.github.io/Logging_2282/kartor/A 61873-2025 karta.png", "A 61873-2025")</f>
        <v/>
      </c>
      <c r="V57">
        <f>HYPERLINK("https://klasma.github.io/Logging_2282/klagomål/A 61873-2025 FSC-klagomål.docx", "A 61873-2025")</f>
        <v/>
      </c>
      <c r="W57">
        <f>HYPERLINK("https://klasma.github.io/Logging_2282/klagomålsmail/A 61873-2025 FSC-klagomål mail.docx", "A 61873-2025")</f>
        <v/>
      </c>
      <c r="X57">
        <f>HYPERLINK("https://klasma.github.io/Logging_2282/tillsyn/A 61873-2025 tillsynsbegäran.docx", "A 61873-2025")</f>
        <v/>
      </c>
      <c r="Y57">
        <f>HYPERLINK("https://klasma.github.io/Logging_2282/tillsynsmail/A 61873-2025 tillsynsbegäran mail.docx", "A 61873-2025")</f>
        <v/>
      </c>
      <c r="Z57">
        <f>HYPERLINK("https://klasma.github.io/Logging_2282/fåglar/A 61873-2025 prioriterade fågelarter.docx", "A 61873-2025")</f>
        <v/>
      </c>
    </row>
    <row r="58" ht="15" customHeight="1">
      <c r="A58" t="inlineStr">
        <is>
          <t>A 51104-2025</t>
        </is>
      </c>
      <c r="B58" s="1" t="n">
        <v>45947</v>
      </c>
      <c r="C58" s="1" t="n">
        <v>46185</v>
      </c>
      <c r="D58" t="inlineStr">
        <is>
          <t>VÄSTERNORRLANDS LÄN</t>
        </is>
      </c>
      <c r="E58" t="inlineStr">
        <is>
          <t>SUNDSVALL</t>
        </is>
      </c>
      <c r="G58" t="n">
        <v>4.2</v>
      </c>
      <c r="H58" t="n">
        <v>8</v>
      </c>
      <c r="I58" t="n">
        <v>5</v>
      </c>
      <c r="J58" t="n">
        <v>7</v>
      </c>
      <c r="K58" t="n">
        <v>2</v>
      </c>
      <c r="L58" t="n">
        <v>0</v>
      </c>
      <c r="M58" t="n">
        <v>0</v>
      </c>
      <c r="N58" t="n">
        <v>0</v>
      </c>
      <c r="O58" t="n">
        <v>9</v>
      </c>
      <c r="P58" t="n">
        <v>2</v>
      </c>
      <c r="Q58" t="n">
        <v>18</v>
      </c>
      <c r="R58" s="2" t="inlineStr">
        <is>
          <t>Knärot
Rynkskinn
Garnlav
Järpe
Rosenticka
Talltita
Tretåig hackspett
Ullticka
Violettgrå tagellav
Barkkornlav
Kattfotslav
Skinnlav
Vedticka
Vågbandad barkbock
Kungsfågel
Orre
Blåsippa
Revlummer</t>
        </is>
      </c>
      <c r="S58">
        <f>HYPERLINK("https://klasma.github.io/Logging_2281/artfynd/A 51104-2025 artfynd.xlsx", "A 51104-2025")</f>
        <v/>
      </c>
      <c r="T58">
        <f>HYPERLINK("https://klasma.github.io/Logging_2281/kartor/A 51104-2025 karta.png", "A 51104-2025")</f>
        <v/>
      </c>
      <c r="U58">
        <f>HYPERLINK("https://klasma.github.io/Logging_2281/knärot/A 51104-2025 karta knärot.png", "A 51104-2025")</f>
        <v/>
      </c>
      <c r="V58">
        <f>HYPERLINK("https://klasma.github.io/Logging_2281/klagomål/A 51104-2025 FSC-klagomål.docx", "A 51104-2025")</f>
        <v/>
      </c>
      <c r="W58">
        <f>HYPERLINK("https://klasma.github.io/Logging_2281/klagomålsmail/A 51104-2025 FSC-klagomål mail.docx", "A 51104-2025")</f>
        <v/>
      </c>
      <c r="X58">
        <f>HYPERLINK("https://klasma.github.io/Logging_2281/tillsyn/A 51104-2025 tillsynsbegäran.docx", "A 51104-2025")</f>
        <v/>
      </c>
      <c r="Y58">
        <f>HYPERLINK("https://klasma.github.io/Logging_2281/tillsynsmail/A 51104-2025 tillsynsbegäran mail.docx", "A 51104-2025")</f>
        <v/>
      </c>
      <c r="Z58">
        <f>HYPERLINK("https://klasma.github.io/Logging_2281/fåglar/A 51104-2025 prioriterade fågelarter.docx", "A 51104-2025")</f>
        <v/>
      </c>
    </row>
    <row r="59" ht="15" customHeight="1">
      <c r="A59" t="inlineStr">
        <is>
          <t>A 13934-2025</t>
        </is>
      </c>
      <c r="B59" s="1" t="n">
        <v>45737</v>
      </c>
      <c r="C59" s="1" t="n">
        <v>46185</v>
      </c>
      <c r="D59" t="inlineStr">
        <is>
          <t>VÄSTERNORRLANDS LÄN</t>
        </is>
      </c>
      <c r="E59" t="inlineStr">
        <is>
          <t>SUNDSVALL</t>
        </is>
      </c>
      <c r="F59" t="inlineStr">
        <is>
          <t>SCA</t>
        </is>
      </c>
      <c r="G59" t="n">
        <v>11</v>
      </c>
      <c r="H59" t="n">
        <v>4</v>
      </c>
      <c r="I59" t="n">
        <v>5</v>
      </c>
      <c r="J59" t="n">
        <v>9</v>
      </c>
      <c r="K59" t="n">
        <v>3</v>
      </c>
      <c r="L59" t="n">
        <v>0</v>
      </c>
      <c r="M59" t="n">
        <v>0</v>
      </c>
      <c r="N59" t="n">
        <v>0</v>
      </c>
      <c r="O59" t="n">
        <v>12</v>
      </c>
      <c r="P59" t="n">
        <v>3</v>
      </c>
      <c r="Q59" t="n">
        <v>18</v>
      </c>
      <c r="R59"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9">
        <f>HYPERLINK("https://klasma.github.io/Logging_2281/artfynd/A 13934-2025 artfynd.xlsx", "A 13934-2025")</f>
        <v/>
      </c>
      <c r="T59">
        <f>HYPERLINK("https://klasma.github.io/Logging_2281/kartor/A 13934-2025 karta.png", "A 13934-2025")</f>
        <v/>
      </c>
      <c r="U59">
        <f>HYPERLINK("https://klasma.github.io/Logging_2281/knärot/A 13934-2025 karta knärot.png", "A 13934-2025")</f>
        <v/>
      </c>
      <c r="V59">
        <f>HYPERLINK("https://klasma.github.io/Logging_2281/klagomål/A 13934-2025 FSC-klagomål.docx", "A 13934-2025")</f>
        <v/>
      </c>
      <c r="W59">
        <f>HYPERLINK("https://klasma.github.io/Logging_2281/klagomålsmail/A 13934-2025 FSC-klagomål mail.docx", "A 13934-2025")</f>
        <v/>
      </c>
      <c r="X59">
        <f>HYPERLINK("https://klasma.github.io/Logging_2281/tillsyn/A 13934-2025 tillsynsbegäran.docx", "A 13934-2025")</f>
        <v/>
      </c>
      <c r="Y59">
        <f>HYPERLINK("https://klasma.github.io/Logging_2281/tillsynsmail/A 13934-2025 tillsynsbegäran mail.docx", "A 13934-2025")</f>
        <v/>
      </c>
      <c r="Z59">
        <f>HYPERLINK("https://klasma.github.io/Logging_2281/fåglar/A 13934-2025 prioriterade fågelarter.docx", "A 13934-2025")</f>
        <v/>
      </c>
    </row>
    <row r="60" ht="15" customHeight="1">
      <c r="A60" t="inlineStr">
        <is>
          <t>A 21662-2022</t>
        </is>
      </c>
      <c r="B60" s="1" t="n">
        <v>44706</v>
      </c>
      <c r="C60" s="1" t="n">
        <v>46185</v>
      </c>
      <c r="D60" t="inlineStr">
        <is>
          <t>VÄSTERNORRLANDS LÄN</t>
        </is>
      </c>
      <c r="E60" t="inlineStr">
        <is>
          <t>SUNDSVALL</t>
        </is>
      </c>
      <c r="F60" t="inlineStr">
        <is>
          <t>SCA</t>
        </is>
      </c>
      <c r="G60" t="n">
        <v>3.2</v>
      </c>
      <c r="H60" t="n">
        <v>11</v>
      </c>
      <c r="I60" t="n">
        <v>1</v>
      </c>
      <c r="J60" t="n">
        <v>11</v>
      </c>
      <c r="K60" t="n">
        <v>1</v>
      </c>
      <c r="L60" t="n">
        <v>0</v>
      </c>
      <c r="M60" t="n">
        <v>0</v>
      </c>
      <c r="N60" t="n">
        <v>0</v>
      </c>
      <c r="O60" t="n">
        <v>12</v>
      </c>
      <c r="P60" t="n">
        <v>1</v>
      </c>
      <c r="Q60" t="n">
        <v>17</v>
      </c>
      <c r="R60" s="2" t="inlineStr">
        <is>
          <t>Knärot
Björktrast
Garnlav
Järpe
Lunglav
Rosenticka
Rödvingetrast
Spillkråka
Talltita
Tretåig hackspett
Ullticka
Vedtrappmossa
Vedticka
Kungsfågel
Talltita x tofsmes
Tjäder
Revlummer</t>
        </is>
      </c>
      <c r="S60">
        <f>HYPERLINK("https://klasma.github.io/Logging_2281/artfynd/A 21662-2022 artfynd.xlsx", "A 21662-2022")</f>
        <v/>
      </c>
      <c r="T60">
        <f>HYPERLINK("https://klasma.github.io/Logging_2281/kartor/A 21662-2022 karta.png", "A 21662-2022")</f>
        <v/>
      </c>
      <c r="U60">
        <f>HYPERLINK("https://klasma.github.io/Logging_2281/knärot/A 21662-2022 karta knärot.png", "A 21662-2022")</f>
        <v/>
      </c>
      <c r="V60">
        <f>HYPERLINK("https://klasma.github.io/Logging_2281/klagomål/A 21662-2022 FSC-klagomål.docx", "A 21662-2022")</f>
        <v/>
      </c>
      <c r="W60">
        <f>HYPERLINK("https://klasma.github.io/Logging_2281/klagomålsmail/A 21662-2022 FSC-klagomål mail.docx", "A 21662-2022")</f>
        <v/>
      </c>
      <c r="X60">
        <f>HYPERLINK("https://klasma.github.io/Logging_2281/tillsyn/A 21662-2022 tillsynsbegäran.docx", "A 21662-2022")</f>
        <v/>
      </c>
      <c r="Y60">
        <f>HYPERLINK("https://klasma.github.io/Logging_2281/tillsynsmail/A 21662-2022 tillsynsbegäran mail.docx", "A 21662-2022")</f>
        <v/>
      </c>
      <c r="Z60">
        <f>HYPERLINK("https://klasma.github.io/Logging_2281/fåglar/A 21662-2022 prioriterade fågelarter.docx", "A 21662-2022")</f>
        <v/>
      </c>
    </row>
    <row r="61" ht="15" customHeight="1">
      <c r="A61" t="inlineStr">
        <is>
          <t>A 19347-2024</t>
        </is>
      </c>
      <c r="B61" s="1" t="n">
        <v>45428</v>
      </c>
      <c r="C61" s="1" t="n">
        <v>46185</v>
      </c>
      <c r="D61" t="inlineStr">
        <is>
          <t>VÄSTERNORRLANDS LÄN</t>
        </is>
      </c>
      <c r="E61" t="inlineStr">
        <is>
          <t>SOLLEFTEÅ</t>
        </is>
      </c>
      <c r="G61" t="n">
        <v>14.5</v>
      </c>
      <c r="H61" t="n">
        <v>6</v>
      </c>
      <c r="I61" t="n">
        <v>2</v>
      </c>
      <c r="J61" t="n">
        <v>12</v>
      </c>
      <c r="K61" t="n">
        <v>1</v>
      </c>
      <c r="L61" t="n">
        <v>0</v>
      </c>
      <c r="M61" t="n">
        <v>0</v>
      </c>
      <c r="N61" t="n">
        <v>0</v>
      </c>
      <c r="O61" t="n">
        <v>13</v>
      </c>
      <c r="P61" t="n">
        <v>1</v>
      </c>
      <c r="Q61" t="n">
        <v>17</v>
      </c>
      <c r="R61" s="2" t="inlineStr">
        <is>
          <t>Knärot
Blanksvart spiklav
Dvärgbägarlav
Gammelgransskål
Garnlav
Kolflarnlav
Lunglav
Skrovellav
Spillkråka
Tallticka
Talltita
Tretåig hackspett
Ullticka
Dropptaggsvamp
Vedticka
Lavskrika
Tjäder</t>
        </is>
      </c>
      <c r="S61">
        <f>HYPERLINK("https://klasma.github.io/Logging_2283/artfynd/A 19347-2024 artfynd.xlsx", "A 19347-2024")</f>
        <v/>
      </c>
      <c r="T61">
        <f>HYPERLINK("https://klasma.github.io/Logging_2283/kartor/A 19347-2024 karta.png", "A 19347-2024")</f>
        <v/>
      </c>
      <c r="U61">
        <f>HYPERLINK("https://klasma.github.io/Logging_2283/knärot/A 19347-2024 karta knärot.png", "A 19347-2024")</f>
        <v/>
      </c>
      <c r="V61">
        <f>HYPERLINK("https://klasma.github.io/Logging_2283/klagomål/A 19347-2024 FSC-klagomål.docx", "A 19347-2024")</f>
        <v/>
      </c>
      <c r="W61">
        <f>HYPERLINK("https://klasma.github.io/Logging_2283/klagomålsmail/A 19347-2024 FSC-klagomål mail.docx", "A 19347-2024")</f>
        <v/>
      </c>
      <c r="X61">
        <f>HYPERLINK("https://klasma.github.io/Logging_2283/tillsyn/A 19347-2024 tillsynsbegäran.docx", "A 19347-2024")</f>
        <v/>
      </c>
      <c r="Y61">
        <f>HYPERLINK("https://klasma.github.io/Logging_2283/tillsynsmail/A 19347-2024 tillsynsbegäran mail.docx", "A 19347-2024")</f>
        <v/>
      </c>
      <c r="Z61">
        <f>HYPERLINK("https://klasma.github.io/Logging_2283/fåglar/A 19347-2024 prioriterade fågelarter.docx", "A 19347-2024")</f>
        <v/>
      </c>
    </row>
    <row r="62" ht="15" customHeight="1">
      <c r="A62" t="inlineStr">
        <is>
          <t>A 35844-2022</t>
        </is>
      </c>
      <c r="B62" s="1" t="n">
        <v>44802</v>
      </c>
      <c r="C62" s="1" t="n">
        <v>46185</v>
      </c>
      <c r="D62" t="inlineStr">
        <is>
          <t>VÄSTERNORRLANDS LÄN</t>
        </is>
      </c>
      <c r="E62" t="inlineStr">
        <is>
          <t>ÖRNSKÖLDSVIK</t>
        </is>
      </c>
      <c r="G62" t="n">
        <v>5.1</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35844-2022 artfynd.xlsx", "A 35844-2022")</f>
        <v/>
      </c>
      <c r="T62">
        <f>HYPERLINK("https://klasma.github.io/Logging_2284/kartor/A 35844-2022 karta.png", "A 35844-2022")</f>
        <v/>
      </c>
      <c r="V62">
        <f>HYPERLINK("https://klasma.github.io/Logging_2284/klagomål/A 35844-2022 FSC-klagomål.docx", "A 35844-2022")</f>
        <v/>
      </c>
      <c r="W62">
        <f>HYPERLINK("https://klasma.github.io/Logging_2284/klagomålsmail/A 35844-2022 FSC-klagomål mail.docx", "A 35844-2022")</f>
        <v/>
      </c>
      <c r="X62">
        <f>HYPERLINK("https://klasma.github.io/Logging_2284/tillsyn/A 35844-2022 tillsynsbegäran.docx", "A 35844-2022")</f>
        <v/>
      </c>
      <c r="Y62">
        <f>HYPERLINK("https://klasma.github.io/Logging_2284/tillsynsmail/A 35844-2022 tillsynsbegäran mail.docx", "A 35844-2022")</f>
        <v/>
      </c>
      <c r="Z62">
        <f>HYPERLINK("https://klasma.github.io/Logging_2284/fåglar/A 35844-2022 prioriterade fågelarter.docx", "A 35844-2022")</f>
        <v/>
      </c>
    </row>
    <row r="63" ht="15" customHeight="1">
      <c r="A63" t="inlineStr">
        <is>
          <t>A 10146-2025</t>
        </is>
      </c>
      <c r="B63" s="1" t="n">
        <v>45719.63833333334</v>
      </c>
      <c r="C63" s="1" t="n">
        <v>46185</v>
      </c>
      <c r="D63" t="inlineStr">
        <is>
          <t>VÄSTERNORRLANDS LÄN</t>
        </is>
      </c>
      <c r="E63" t="inlineStr">
        <is>
          <t>ÖRNSKÖLDSVIK</t>
        </is>
      </c>
      <c r="G63" t="n">
        <v>5</v>
      </c>
      <c r="H63" t="n">
        <v>2</v>
      </c>
      <c r="I63" t="n">
        <v>7</v>
      </c>
      <c r="J63" t="n">
        <v>9</v>
      </c>
      <c r="K63" t="n">
        <v>1</v>
      </c>
      <c r="L63" t="n">
        <v>0</v>
      </c>
      <c r="M63" t="n">
        <v>0</v>
      </c>
      <c r="N63" t="n">
        <v>0</v>
      </c>
      <c r="O63" t="n">
        <v>10</v>
      </c>
      <c r="P63" t="n">
        <v>1</v>
      </c>
      <c r="Q63" t="n">
        <v>17</v>
      </c>
      <c r="R63" s="2" t="inlineStr">
        <is>
          <t>Långskägg
Doftskinn
Gammelgransskål
Garnlav
Lunglav
Rosenticka
Spillkråka
Ullticka
Violettgrå tagellav
Vitgrynig nållav
Blodticka
Bronshjon
Bårdlav
Gulnål
Korallblylav
Stuplav
Vedticka</t>
        </is>
      </c>
      <c r="S63">
        <f>HYPERLINK("https://klasma.github.io/Logging_2284/artfynd/A 10146-2025 artfynd.xlsx", "A 10146-2025")</f>
        <v/>
      </c>
      <c r="T63">
        <f>HYPERLINK("https://klasma.github.io/Logging_2284/kartor/A 10146-2025 karta.png", "A 10146-2025")</f>
        <v/>
      </c>
      <c r="V63">
        <f>HYPERLINK("https://klasma.github.io/Logging_2284/klagomål/A 10146-2025 FSC-klagomål.docx", "A 10146-2025")</f>
        <v/>
      </c>
      <c r="W63">
        <f>HYPERLINK("https://klasma.github.io/Logging_2284/klagomålsmail/A 10146-2025 FSC-klagomål mail.docx", "A 10146-2025")</f>
        <v/>
      </c>
      <c r="X63">
        <f>HYPERLINK("https://klasma.github.io/Logging_2284/tillsyn/A 10146-2025 tillsynsbegäran.docx", "A 10146-2025")</f>
        <v/>
      </c>
      <c r="Y63">
        <f>HYPERLINK("https://klasma.github.io/Logging_2284/tillsynsmail/A 10146-2025 tillsynsbegäran mail.docx", "A 10146-2025")</f>
        <v/>
      </c>
      <c r="Z63">
        <f>HYPERLINK("https://klasma.github.io/Logging_2284/fåglar/A 10146-2025 prioriterade fågelarter.docx", "A 10146-2025")</f>
        <v/>
      </c>
    </row>
    <row r="64" ht="15" customHeight="1">
      <c r="A64" t="inlineStr">
        <is>
          <t>A 16388-2023</t>
        </is>
      </c>
      <c r="B64" s="1" t="n">
        <v>45022</v>
      </c>
      <c r="C64" s="1" t="n">
        <v>46185</v>
      </c>
      <c r="D64" t="inlineStr">
        <is>
          <t>VÄSTERNORRLANDS LÄN</t>
        </is>
      </c>
      <c r="E64" t="inlineStr">
        <is>
          <t>SUNDSVALL</t>
        </is>
      </c>
      <c r="G64" t="n">
        <v>10.1</v>
      </c>
      <c r="H64" t="n">
        <v>2</v>
      </c>
      <c r="I64" t="n">
        <v>5</v>
      </c>
      <c r="J64" t="n">
        <v>10</v>
      </c>
      <c r="K64" t="n">
        <v>2</v>
      </c>
      <c r="L64" t="n">
        <v>0</v>
      </c>
      <c r="M64" t="n">
        <v>0</v>
      </c>
      <c r="N64" t="n">
        <v>0</v>
      </c>
      <c r="O64" t="n">
        <v>12</v>
      </c>
      <c r="P64" t="n">
        <v>2</v>
      </c>
      <c r="Q64" t="n">
        <v>17</v>
      </c>
      <c r="R64" s="2" t="inlineStr">
        <is>
          <t>Aspgelélav
Knärot
Doftskinn
Garnlav
Kötticka
Lunglav
Orange taggsvamp
Rosenticka
Tretåig hackspett
Ullticka
Vedskivlav
Violettgrå tagellav
Björksplintborre
Kattfotslav
Rostfläck
Stor aspticka
Vedticka</t>
        </is>
      </c>
      <c r="S64">
        <f>HYPERLINK("https://klasma.github.io/Logging_2281/artfynd/A 16388-2023 artfynd.xlsx", "A 16388-2023")</f>
        <v/>
      </c>
      <c r="T64">
        <f>HYPERLINK("https://klasma.github.io/Logging_2281/kartor/A 16388-2023 karta.png", "A 16388-2023")</f>
        <v/>
      </c>
      <c r="U64">
        <f>HYPERLINK("https://klasma.github.io/Logging_2281/knärot/A 16388-2023 karta knärot.png", "A 16388-2023")</f>
        <v/>
      </c>
      <c r="V64">
        <f>HYPERLINK("https://klasma.github.io/Logging_2281/klagomål/A 16388-2023 FSC-klagomål.docx", "A 16388-2023")</f>
        <v/>
      </c>
      <c r="W64">
        <f>HYPERLINK("https://klasma.github.io/Logging_2281/klagomålsmail/A 16388-2023 FSC-klagomål mail.docx", "A 16388-2023")</f>
        <v/>
      </c>
      <c r="X64">
        <f>HYPERLINK("https://klasma.github.io/Logging_2281/tillsyn/A 16388-2023 tillsynsbegäran.docx", "A 16388-2023")</f>
        <v/>
      </c>
      <c r="Y64">
        <f>HYPERLINK("https://klasma.github.io/Logging_2281/tillsynsmail/A 16388-2023 tillsynsbegäran mail.docx", "A 16388-2023")</f>
        <v/>
      </c>
      <c r="Z64">
        <f>HYPERLINK("https://klasma.github.io/Logging_2281/fåglar/A 16388-2023 prioriterade fågelarter.docx", "A 16388-2023")</f>
        <v/>
      </c>
    </row>
    <row r="65" ht="15" customHeight="1">
      <c r="A65" t="inlineStr">
        <is>
          <t>A 21985-2026</t>
        </is>
      </c>
      <c r="B65" s="1" t="n">
        <v>46153</v>
      </c>
      <c r="C65" s="1" t="n">
        <v>46185</v>
      </c>
      <c r="D65" t="inlineStr">
        <is>
          <t>VÄSTERNORRLANDS LÄN</t>
        </is>
      </c>
      <c r="E65" t="inlineStr">
        <is>
          <t>ÖRNSKÖLDSVIK</t>
        </is>
      </c>
      <c r="F65" t="inlineStr">
        <is>
          <t>Holmen skog AB</t>
        </is>
      </c>
      <c r="G65" t="n">
        <v>17.2</v>
      </c>
      <c r="H65" t="n">
        <v>3</v>
      </c>
      <c r="I65" t="n">
        <v>4</v>
      </c>
      <c r="J65" t="n">
        <v>9</v>
      </c>
      <c r="K65" t="n">
        <v>3</v>
      </c>
      <c r="L65" t="n">
        <v>0</v>
      </c>
      <c r="M65" t="n">
        <v>0</v>
      </c>
      <c r="N65" t="n">
        <v>0</v>
      </c>
      <c r="O65" t="n">
        <v>12</v>
      </c>
      <c r="P65" t="n">
        <v>3</v>
      </c>
      <c r="Q65" t="n">
        <v>17</v>
      </c>
      <c r="R65" s="2" t="inlineStr">
        <is>
          <t>Blackticka
Rynkskinn
Ulltickeporing
Doftskinn
Garnlav
Kötticka
Lunglav
Motaggsvamp
Rosenticka
Talltita
Ullticka
Vedskivlav
Norrlandslav
Plattlummer
Stuplav
Vedticka
Tjäder</t>
        </is>
      </c>
      <c r="S65">
        <f>HYPERLINK("https://klasma.github.io/Logging_2284/artfynd/A 21985-2026 artfynd.xlsx", "A 21985-2026")</f>
        <v/>
      </c>
      <c r="T65">
        <f>HYPERLINK("https://klasma.github.io/Logging_2284/kartor/A 21985-2026 karta.png", "A 21985-2026")</f>
        <v/>
      </c>
      <c r="U65">
        <f>HYPERLINK("https://klasma.github.io/Logging_2284/knärot/A 21985-2026 karta knärot.png", "A 21985-2026")</f>
        <v/>
      </c>
      <c r="V65">
        <f>HYPERLINK("https://klasma.github.io/Logging_2284/klagomål/A 21985-2026 FSC-klagomål.docx", "A 21985-2026")</f>
        <v/>
      </c>
      <c r="W65">
        <f>HYPERLINK("https://klasma.github.io/Logging_2284/klagomålsmail/A 21985-2026 FSC-klagomål mail.docx", "A 21985-2026")</f>
        <v/>
      </c>
      <c r="X65">
        <f>HYPERLINK("https://klasma.github.io/Logging_2284/tillsyn/A 21985-2026 tillsynsbegäran.docx", "A 21985-2026")</f>
        <v/>
      </c>
      <c r="Y65">
        <f>HYPERLINK("https://klasma.github.io/Logging_2284/tillsynsmail/A 21985-2026 tillsynsbegäran mail.docx", "A 21985-2026")</f>
        <v/>
      </c>
      <c r="Z65">
        <f>HYPERLINK("https://klasma.github.io/Logging_2284/fåglar/A 21985-2026 prioriterade fågelarter.docx", "A 21985-2026")</f>
        <v/>
      </c>
    </row>
    <row r="66" ht="15" customHeight="1">
      <c r="A66" t="inlineStr">
        <is>
          <t>A 20312-2022</t>
        </is>
      </c>
      <c r="B66" s="1" t="n">
        <v>44698</v>
      </c>
      <c r="C66" s="1" t="n">
        <v>46185</v>
      </c>
      <c r="D66" t="inlineStr">
        <is>
          <t>VÄSTERNORRLANDS LÄN</t>
        </is>
      </c>
      <c r="E66" t="inlineStr">
        <is>
          <t>SOLLEFTEÅ</t>
        </is>
      </c>
      <c r="F66" t="inlineStr">
        <is>
          <t>SCA</t>
        </is>
      </c>
      <c r="G66" t="n">
        <v>5</v>
      </c>
      <c r="H66" t="n">
        <v>9</v>
      </c>
      <c r="I66" t="n">
        <v>3</v>
      </c>
      <c r="J66" t="n">
        <v>11</v>
      </c>
      <c r="K66" t="n">
        <v>1</v>
      </c>
      <c r="L66" t="n">
        <v>0</v>
      </c>
      <c r="M66" t="n">
        <v>0</v>
      </c>
      <c r="N66" t="n">
        <v>0</v>
      </c>
      <c r="O66" t="n">
        <v>12</v>
      </c>
      <c r="P66" t="n">
        <v>1</v>
      </c>
      <c r="Q66" t="n">
        <v>17</v>
      </c>
      <c r="R66" s="2" t="inlineStr">
        <is>
          <t>Knärot
Garnlav
Granticka
Gränsticka
Järpe
Kungsörn
Lunglav
Rosenticka
Spillkråka
Talltita
Tretåig hackspett
Ullticka
Blodticka
Spindelblomster
Stor aspticka
Lavskrika
Fläcknycklar</t>
        </is>
      </c>
      <c r="S66">
        <f>HYPERLINK("https://klasma.github.io/Logging_2283/artfynd/A 20312-2022 artfynd.xlsx", "A 20312-2022")</f>
        <v/>
      </c>
      <c r="T66">
        <f>HYPERLINK("https://klasma.github.io/Logging_2283/kartor/A 20312-2022 karta.png", "A 20312-2022")</f>
        <v/>
      </c>
      <c r="U66">
        <f>HYPERLINK("https://klasma.github.io/Logging_2283/knärot/A 20312-2022 karta knärot.png", "A 20312-2022")</f>
        <v/>
      </c>
      <c r="V66">
        <f>HYPERLINK("https://klasma.github.io/Logging_2283/klagomål/A 20312-2022 FSC-klagomål.docx", "A 20312-2022")</f>
        <v/>
      </c>
      <c r="W66">
        <f>HYPERLINK("https://klasma.github.io/Logging_2283/klagomålsmail/A 20312-2022 FSC-klagomål mail.docx", "A 20312-2022")</f>
        <v/>
      </c>
      <c r="X66">
        <f>HYPERLINK("https://klasma.github.io/Logging_2283/tillsyn/A 20312-2022 tillsynsbegäran.docx", "A 20312-2022")</f>
        <v/>
      </c>
      <c r="Y66">
        <f>HYPERLINK("https://klasma.github.io/Logging_2283/tillsynsmail/A 20312-2022 tillsynsbegäran mail.docx", "A 20312-2022")</f>
        <v/>
      </c>
      <c r="Z66">
        <f>HYPERLINK("https://klasma.github.io/Logging_2283/fåglar/A 20312-2022 prioriterade fågelarter.docx", "A 20312-2022")</f>
        <v/>
      </c>
    </row>
    <row r="67" ht="15" customHeight="1">
      <c r="A67" t="inlineStr">
        <is>
          <t>A 4526-2026</t>
        </is>
      </c>
      <c r="B67" s="1" t="n">
        <v>46046</v>
      </c>
      <c r="C67" s="1" t="n">
        <v>46185</v>
      </c>
      <c r="D67" t="inlineStr">
        <is>
          <t>VÄSTERNORRLANDS LÄN</t>
        </is>
      </c>
      <c r="E67" t="inlineStr">
        <is>
          <t>KRAMFORS</t>
        </is>
      </c>
      <c r="G67" t="n">
        <v>8.199999999999999</v>
      </c>
      <c r="H67" t="n">
        <v>6</v>
      </c>
      <c r="I67" t="n">
        <v>6</v>
      </c>
      <c r="J67" t="n">
        <v>9</v>
      </c>
      <c r="K67" t="n">
        <v>1</v>
      </c>
      <c r="L67" t="n">
        <v>0</v>
      </c>
      <c r="M67" t="n">
        <v>0</v>
      </c>
      <c r="N67" t="n">
        <v>0</v>
      </c>
      <c r="O67" t="n">
        <v>10</v>
      </c>
      <c r="P67" t="n">
        <v>1</v>
      </c>
      <c r="Q67" t="n">
        <v>17</v>
      </c>
      <c r="R67" s="2" t="inlineStr">
        <is>
          <t>Knärot
Doftskinn
Garnlav
Järpe
Lunglav
Rosenticka
Spillkråka
Talltita
Tretåig hackspett
Ullticka
Bårdlav
Dropptaggsvamp
Korallblylav
Luddlav
Norrlandslav
Vedticka
Tjäder</t>
        </is>
      </c>
      <c r="S67">
        <f>HYPERLINK("https://klasma.github.io/Logging_2282/artfynd/A 4526-2026 artfynd.xlsx", "A 4526-2026")</f>
        <v/>
      </c>
      <c r="T67">
        <f>HYPERLINK("https://klasma.github.io/Logging_2282/kartor/A 4526-2026 karta.png", "A 4526-2026")</f>
        <v/>
      </c>
      <c r="U67">
        <f>HYPERLINK("https://klasma.github.io/Logging_2282/knärot/A 4526-2026 karta knärot.png", "A 4526-2026")</f>
        <v/>
      </c>
      <c r="V67">
        <f>HYPERLINK("https://klasma.github.io/Logging_2282/klagomål/A 4526-2026 FSC-klagomål.docx", "A 4526-2026")</f>
        <v/>
      </c>
      <c r="W67">
        <f>HYPERLINK("https://klasma.github.io/Logging_2282/klagomålsmail/A 4526-2026 FSC-klagomål mail.docx", "A 4526-2026")</f>
        <v/>
      </c>
      <c r="X67">
        <f>HYPERLINK("https://klasma.github.io/Logging_2282/tillsyn/A 4526-2026 tillsynsbegäran.docx", "A 4526-2026")</f>
        <v/>
      </c>
      <c r="Y67">
        <f>HYPERLINK("https://klasma.github.io/Logging_2282/tillsynsmail/A 4526-2026 tillsynsbegäran mail.docx", "A 4526-2026")</f>
        <v/>
      </c>
      <c r="Z67">
        <f>HYPERLINK("https://klasma.github.io/Logging_2282/fåglar/A 4526-2026 prioriterade fågelarter.docx", "A 4526-2026")</f>
        <v/>
      </c>
    </row>
    <row r="68" ht="15" customHeight="1">
      <c r="A68" t="inlineStr">
        <is>
          <t>A 48369-2025</t>
        </is>
      </c>
      <c r="B68" s="1" t="n">
        <v>45933</v>
      </c>
      <c r="C68" s="1" t="n">
        <v>46185</v>
      </c>
      <c r="D68" t="inlineStr">
        <is>
          <t>VÄSTERNORRLANDS LÄN</t>
        </is>
      </c>
      <c r="E68" t="inlineStr">
        <is>
          <t>SOLLEFTEÅ</t>
        </is>
      </c>
      <c r="F68" t="inlineStr">
        <is>
          <t>SCA</t>
        </is>
      </c>
      <c r="G68" t="n">
        <v>12.6</v>
      </c>
      <c r="H68" t="n">
        <v>2</v>
      </c>
      <c r="I68" t="n">
        <v>5</v>
      </c>
      <c r="J68" t="n">
        <v>10</v>
      </c>
      <c r="K68" t="n">
        <v>1</v>
      </c>
      <c r="L68" t="n">
        <v>0</v>
      </c>
      <c r="M68" t="n">
        <v>0</v>
      </c>
      <c r="N68" t="n">
        <v>0</v>
      </c>
      <c r="O68" t="n">
        <v>11</v>
      </c>
      <c r="P68" t="n">
        <v>1</v>
      </c>
      <c r="Q68" t="n">
        <v>17</v>
      </c>
      <c r="R68" s="2" t="inlineStr">
        <is>
          <t>Rynkskinn
Brunpudrad nållav
Gammelgransskål
Garnlav
Granticka
Harticka
Kötticka
Lunglav
Tretåig hackspett
Ullticka
Vitgrynig nållav
Gulnål
Luddlav
Stuplav
Trådticka
Vedticka
Revlummer</t>
        </is>
      </c>
      <c r="S68">
        <f>HYPERLINK("https://klasma.github.io/Logging_2283/artfynd/A 48369-2025 artfynd.xlsx", "A 48369-2025")</f>
        <v/>
      </c>
      <c r="T68">
        <f>HYPERLINK("https://klasma.github.io/Logging_2283/kartor/A 48369-2025 karta.png", "A 48369-2025")</f>
        <v/>
      </c>
      <c r="U68">
        <f>HYPERLINK("https://klasma.github.io/Logging_2283/knärot/A 48369-2025 karta knärot.png", "A 48369-2025")</f>
        <v/>
      </c>
      <c r="V68">
        <f>HYPERLINK("https://klasma.github.io/Logging_2283/klagomål/A 48369-2025 FSC-klagomål.docx", "A 48369-2025")</f>
        <v/>
      </c>
      <c r="W68">
        <f>HYPERLINK("https://klasma.github.io/Logging_2283/klagomålsmail/A 48369-2025 FSC-klagomål mail.docx", "A 48369-2025")</f>
        <v/>
      </c>
      <c r="X68">
        <f>HYPERLINK("https://klasma.github.io/Logging_2283/tillsyn/A 48369-2025 tillsynsbegäran.docx", "A 48369-2025")</f>
        <v/>
      </c>
      <c r="Y68">
        <f>HYPERLINK("https://klasma.github.io/Logging_2283/tillsynsmail/A 48369-2025 tillsynsbegäran mail.docx", "A 48369-2025")</f>
        <v/>
      </c>
      <c r="Z68">
        <f>HYPERLINK("https://klasma.github.io/Logging_2283/fåglar/A 48369-2025 prioriterade fågelarter.docx", "A 48369-2025")</f>
        <v/>
      </c>
    </row>
    <row r="69" ht="15" customHeight="1">
      <c r="A69" t="inlineStr">
        <is>
          <t>A 19418-2023</t>
        </is>
      </c>
      <c r="B69" s="1" t="n">
        <v>45049</v>
      </c>
      <c r="C69" s="1" t="n">
        <v>46185</v>
      </c>
      <c r="D69" t="inlineStr">
        <is>
          <t>VÄSTERNORRLANDS LÄN</t>
        </is>
      </c>
      <c r="E69" t="inlineStr">
        <is>
          <t>SUNDSVALL</t>
        </is>
      </c>
      <c r="G69" t="n">
        <v>6.9</v>
      </c>
      <c r="H69" t="n">
        <v>3</v>
      </c>
      <c r="I69" t="n">
        <v>6</v>
      </c>
      <c r="J69" t="n">
        <v>8</v>
      </c>
      <c r="K69" t="n">
        <v>2</v>
      </c>
      <c r="L69" t="n">
        <v>0</v>
      </c>
      <c r="M69" t="n">
        <v>0</v>
      </c>
      <c r="N69" t="n">
        <v>0</v>
      </c>
      <c r="O69" t="n">
        <v>10</v>
      </c>
      <c r="P69" t="n">
        <v>2</v>
      </c>
      <c r="Q69" t="n">
        <v>17</v>
      </c>
      <c r="R69" s="2" t="inlineStr">
        <is>
          <t>Knärot
Rynkskinn
Doftskinn
Gammelgransskål
Garnlav
Granticka
Ullticka
Violettgrå tagellav
Vitgrynig nållav
Äggvaxskivling
Bronshjon
Kattfotslav
Spindelblomster
Trådticka
Vedticka
Vågbandad barkbock
Fläcknycklar</t>
        </is>
      </c>
      <c r="S69">
        <f>HYPERLINK("https://klasma.github.io/Logging_2281/artfynd/A 19418-2023 artfynd.xlsx", "A 19418-2023")</f>
        <v/>
      </c>
      <c r="T69">
        <f>HYPERLINK("https://klasma.github.io/Logging_2281/kartor/A 19418-2023 karta.png", "A 19418-2023")</f>
        <v/>
      </c>
      <c r="U69">
        <f>HYPERLINK("https://klasma.github.io/Logging_2281/knärot/A 19418-2023 karta knärot.png", "A 19418-2023")</f>
        <v/>
      </c>
      <c r="V69">
        <f>HYPERLINK("https://klasma.github.io/Logging_2281/klagomål/A 19418-2023 FSC-klagomål.docx", "A 19418-2023")</f>
        <v/>
      </c>
      <c r="W69">
        <f>HYPERLINK("https://klasma.github.io/Logging_2281/klagomålsmail/A 19418-2023 FSC-klagomål mail.docx", "A 19418-2023")</f>
        <v/>
      </c>
      <c r="X69">
        <f>HYPERLINK("https://klasma.github.io/Logging_2281/tillsyn/A 19418-2023 tillsynsbegäran.docx", "A 19418-2023")</f>
        <v/>
      </c>
      <c r="Y69">
        <f>HYPERLINK("https://klasma.github.io/Logging_2281/tillsynsmail/A 19418-2023 tillsynsbegäran mail.docx", "A 19418-2023")</f>
        <v/>
      </c>
    </row>
    <row r="70" ht="15" customHeight="1">
      <c r="A70" t="inlineStr">
        <is>
          <t>A 27027-2022</t>
        </is>
      </c>
      <c r="B70" s="1" t="n">
        <v>44740.94289351852</v>
      </c>
      <c r="C70" s="1" t="n">
        <v>46185</v>
      </c>
      <c r="D70" t="inlineStr">
        <is>
          <t>VÄSTERNORRLANDS LÄN</t>
        </is>
      </c>
      <c r="E70" t="inlineStr">
        <is>
          <t>SUNDSVALL</t>
        </is>
      </c>
      <c r="F70" t="inlineStr">
        <is>
          <t>SCA</t>
        </is>
      </c>
      <c r="G70" t="n">
        <v>15.1</v>
      </c>
      <c r="H70" t="n">
        <v>4</v>
      </c>
      <c r="I70" t="n">
        <v>4</v>
      </c>
      <c r="J70" t="n">
        <v>8</v>
      </c>
      <c r="K70" t="n">
        <v>3</v>
      </c>
      <c r="L70" t="n">
        <v>0</v>
      </c>
      <c r="M70" t="n">
        <v>0</v>
      </c>
      <c r="N70" t="n">
        <v>0</v>
      </c>
      <c r="O70" t="n">
        <v>11</v>
      </c>
      <c r="P70" t="n">
        <v>3</v>
      </c>
      <c r="Q70" t="n">
        <v>16</v>
      </c>
      <c r="R70" s="2" t="inlineStr">
        <is>
          <t>Blackticka
Knärot
Rynkskinn
Doftskinn
Garnlav
Granticka
Lunglav
Rosenticka
Spillkråka
Tretåig hackspett
Ullticka
Korallblylav
Stor aspticka
Stuplav
Vedticka
Revlummer</t>
        </is>
      </c>
      <c r="S70">
        <f>HYPERLINK("https://klasma.github.io/Logging_2281/artfynd/A 27027-2022 artfynd.xlsx", "A 27027-2022")</f>
        <v/>
      </c>
      <c r="T70">
        <f>HYPERLINK("https://klasma.github.io/Logging_2281/kartor/A 27027-2022 karta.png", "A 27027-2022")</f>
        <v/>
      </c>
      <c r="U70">
        <f>HYPERLINK("https://klasma.github.io/Logging_2281/knärot/A 27027-2022 karta knärot.png", "A 27027-2022")</f>
        <v/>
      </c>
      <c r="V70">
        <f>HYPERLINK("https://klasma.github.io/Logging_2281/klagomål/A 27027-2022 FSC-klagomål.docx", "A 27027-2022")</f>
        <v/>
      </c>
      <c r="W70">
        <f>HYPERLINK("https://klasma.github.io/Logging_2281/klagomålsmail/A 27027-2022 FSC-klagomål mail.docx", "A 27027-2022")</f>
        <v/>
      </c>
      <c r="X70">
        <f>HYPERLINK("https://klasma.github.io/Logging_2281/tillsyn/A 27027-2022 tillsynsbegäran.docx", "A 27027-2022")</f>
        <v/>
      </c>
      <c r="Y70">
        <f>HYPERLINK("https://klasma.github.io/Logging_2281/tillsynsmail/A 27027-2022 tillsynsbegäran mail.docx", "A 27027-2022")</f>
        <v/>
      </c>
      <c r="Z70">
        <f>HYPERLINK("https://klasma.github.io/Logging_2281/fåglar/A 27027-2022 prioriterade fågelarter.docx", "A 27027-2022")</f>
        <v/>
      </c>
    </row>
    <row r="71" ht="15" customHeight="1">
      <c r="A71" t="inlineStr">
        <is>
          <t>A 49938-2021</t>
        </is>
      </c>
      <c r="B71" s="1" t="n">
        <v>44455.93498842593</v>
      </c>
      <c r="C71" s="1" t="n">
        <v>46185</v>
      </c>
      <c r="D71" t="inlineStr">
        <is>
          <t>VÄSTERNORRLANDS LÄN</t>
        </is>
      </c>
      <c r="E71" t="inlineStr">
        <is>
          <t>SOLLEFTEÅ</t>
        </is>
      </c>
      <c r="F71" t="inlineStr">
        <is>
          <t>SCA</t>
        </is>
      </c>
      <c r="G71" t="n">
        <v>6.4</v>
      </c>
      <c r="H71" t="n">
        <v>2</v>
      </c>
      <c r="I71" t="n">
        <v>1</v>
      </c>
      <c r="J71" t="n">
        <v>10</v>
      </c>
      <c r="K71" t="n">
        <v>5</v>
      </c>
      <c r="L71" t="n">
        <v>0</v>
      </c>
      <c r="M71" t="n">
        <v>0</v>
      </c>
      <c r="N71" t="n">
        <v>0</v>
      </c>
      <c r="O71" t="n">
        <v>15</v>
      </c>
      <c r="P71" t="n">
        <v>5</v>
      </c>
      <c r="Q71" t="n">
        <v>16</v>
      </c>
      <c r="R71" s="2" t="inlineStr">
        <is>
          <t>Doftticka
Grantickeporing
Gräddticka
Knärot
Rynkskinn
Doftskinn
Gammelgransskål
Granticka
Kådvaxskinn
Lunglav
Nordlig nållav
Rosenticka
Ullticka
Vedtrappmossa
Vitgrynig nållav
Mörk husmossa</t>
        </is>
      </c>
      <c r="S71">
        <f>HYPERLINK("https://klasma.github.io/Logging_2283/artfynd/A 49938-2021 artfynd.xlsx", "A 49938-2021")</f>
        <v/>
      </c>
      <c r="T71">
        <f>HYPERLINK("https://klasma.github.io/Logging_2283/kartor/A 49938-2021 karta.png", "A 49938-2021")</f>
        <v/>
      </c>
      <c r="U71">
        <f>HYPERLINK("https://klasma.github.io/Logging_2283/knärot/A 49938-2021 karta knärot.png", "A 49938-2021")</f>
        <v/>
      </c>
      <c r="V71">
        <f>HYPERLINK("https://klasma.github.io/Logging_2283/klagomål/A 49938-2021 FSC-klagomål.docx", "A 49938-2021")</f>
        <v/>
      </c>
      <c r="W71">
        <f>HYPERLINK("https://klasma.github.io/Logging_2283/klagomålsmail/A 49938-2021 FSC-klagomål mail.docx", "A 49938-2021")</f>
        <v/>
      </c>
      <c r="X71">
        <f>HYPERLINK("https://klasma.github.io/Logging_2283/tillsyn/A 49938-2021 tillsynsbegäran.docx", "A 49938-2021")</f>
        <v/>
      </c>
      <c r="Y71">
        <f>HYPERLINK("https://klasma.github.io/Logging_2283/tillsynsmail/A 49938-2021 tillsynsbegäran mail.docx", "A 49938-2021")</f>
        <v/>
      </c>
    </row>
    <row r="72" ht="15" customHeight="1">
      <c r="A72" t="inlineStr">
        <is>
          <t>A 59357-2025</t>
        </is>
      </c>
      <c r="B72" s="1" t="n">
        <v>45989.42496527778</v>
      </c>
      <c r="C72" s="1" t="n">
        <v>46185</v>
      </c>
      <c r="D72" t="inlineStr">
        <is>
          <t>VÄSTERNORRLANDS LÄN</t>
        </is>
      </c>
      <c r="E72" t="inlineStr">
        <is>
          <t>ÖRNSKÖLDSVIK</t>
        </is>
      </c>
      <c r="F72" t="inlineStr">
        <is>
          <t>Holmen skog AB</t>
        </is>
      </c>
      <c r="G72" t="n">
        <v>3.6</v>
      </c>
      <c r="H72" t="n">
        <v>0</v>
      </c>
      <c r="I72" t="n">
        <v>2</v>
      </c>
      <c r="J72" t="n">
        <v>11</v>
      </c>
      <c r="K72" t="n">
        <v>3</v>
      </c>
      <c r="L72" t="n">
        <v>0</v>
      </c>
      <c r="M72" t="n">
        <v>0</v>
      </c>
      <c r="N72" t="n">
        <v>0</v>
      </c>
      <c r="O72" t="n">
        <v>14</v>
      </c>
      <c r="P72" t="n">
        <v>3</v>
      </c>
      <c r="Q72" t="n">
        <v>16</v>
      </c>
      <c r="R72" s="2" t="inlineStr">
        <is>
          <t>Goliatmusseron
Smalfotad taggsvamp
Tallgråticka
Blå taggsvamp
Kolflarnlav
Orange taggsvamp
Reliktbock
Skrovlig taggsvamp
Svart taggsvamp agg.
Tallriska
Talltaggsvamp
Vaddporing
Vaxspindling
Vedflamlav
Dropptaggsvamp
Skarp dropptaggsvamp</t>
        </is>
      </c>
      <c r="S72">
        <f>HYPERLINK("https://klasma.github.io/Logging_2284/artfynd/A 59357-2025 artfynd.xlsx", "A 59357-2025")</f>
        <v/>
      </c>
      <c r="T72">
        <f>HYPERLINK("https://klasma.github.io/Logging_2284/kartor/A 59357-2025 karta.png", "A 59357-2025")</f>
        <v/>
      </c>
      <c r="V72">
        <f>HYPERLINK("https://klasma.github.io/Logging_2284/klagomål/A 59357-2025 FSC-klagomål.docx", "A 59357-2025")</f>
        <v/>
      </c>
      <c r="W72">
        <f>HYPERLINK("https://klasma.github.io/Logging_2284/klagomålsmail/A 59357-2025 FSC-klagomål mail.docx", "A 59357-2025")</f>
        <v/>
      </c>
      <c r="X72">
        <f>HYPERLINK("https://klasma.github.io/Logging_2284/tillsyn/A 59357-2025 tillsynsbegäran.docx", "A 59357-2025")</f>
        <v/>
      </c>
      <c r="Y72">
        <f>HYPERLINK("https://klasma.github.io/Logging_2284/tillsynsmail/A 59357-2025 tillsynsbegäran mail.docx", "A 59357-2025")</f>
        <v/>
      </c>
    </row>
    <row r="73" ht="15" customHeight="1">
      <c r="A73" t="inlineStr">
        <is>
          <t>A 59365-2025</t>
        </is>
      </c>
      <c r="B73" s="1" t="n">
        <v>45989.44219907407</v>
      </c>
      <c r="C73" s="1" t="n">
        <v>46185</v>
      </c>
      <c r="D73" t="inlineStr">
        <is>
          <t>VÄSTERNORRLANDS LÄN</t>
        </is>
      </c>
      <c r="E73" t="inlineStr">
        <is>
          <t>ÖRNSKÖLDSVIK</t>
        </is>
      </c>
      <c r="F73" t="inlineStr">
        <is>
          <t>Holmen skog AB</t>
        </is>
      </c>
      <c r="G73" t="n">
        <v>3.6</v>
      </c>
      <c r="H73" t="n">
        <v>0</v>
      </c>
      <c r="I73" t="n">
        <v>2</v>
      </c>
      <c r="J73" t="n">
        <v>11</v>
      </c>
      <c r="K73" t="n">
        <v>3</v>
      </c>
      <c r="L73" t="n">
        <v>0</v>
      </c>
      <c r="M73" t="n">
        <v>0</v>
      </c>
      <c r="N73" t="n">
        <v>0</v>
      </c>
      <c r="O73" t="n">
        <v>14</v>
      </c>
      <c r="P73" t="n">
        <v>3</v>
      </c>
      <c r="Q73" t="n">
        <v>16</v>
      </c>
      <c r="R73" s="2" t="inlineStr">
        <is>
          <t>Goliatmusseron
Smalfotad taggsvamp
Tallgråticka
Blå taggsvamp
Kolflarnlav
Orange taggsvamp
Reliktbock
Skrovlig taggsvamp
Svart taggsvamp agg.
Tallriska
Talltaggsvamp
Vaddporing
Vaxspindling
Vedflamlav
Dropptaggsvamp
Skarp dropptaggsvamp</t>
        </is>
      </c>
      <c r="S73">
        <f>HYPERLINK("https://klasma.github.io/Logging_2284/artfynd/A 59365-2025 artfynd.xlsx", "A 59365-2025")</f>
        <v/>
      </c>
      <c r="T73">
        <f>HYPERLINK("https://klasma.github.io/Logging_2284/kartor/A 59365-2025 karta.png", "A 59365-2025")</f>
        <v/>
      </c>
      <c r="V73">
        <f>HYPERLINK("https://klasma.github.io/Logging_2284/klagomål/A 59365-2025 FSC-klagomål.docx", "A 59365-2025")</f>
        <v/>
      </c>
      <c r="W73">
        <f>HYPERLINK("https://klasma.github.io/Logging_2284/klagomålsmail/A 59365-2025 FSC-klagomål mail.docx", "A 59365-2025")</f>
        <v/>
      </c>
      <c r="X73">
        <f>HYPERLINK("https://klasma.github.io/Logging_2284/tillsyn/A 59365-2025 tillsynsbegäran.docx", "A 59365-2025")</f>
        <v/>
      </c>
      <c r="Y73">
        <f>HYPERLINK("https://klasma.github.io/Logging_2284/tillsynsmail/A 59365-2025 tillsynsbegäran mail.docx", "A 59365-2025")</f>
        <v/>
      </c>
    </row>
    <row r="74" ht="15" customHeight="1">
      <c r="A74" t="inlineStr">
        <is>
          <t>A 54677-2023</t>
        </is>
      </c>
      <c r="B74" s="1" t="n">
        <v>45235</v>
      </c>
      <c r="C74" s="1" t="n">
        <v>46185</v>
      </c>
      <c r="D74" t="inlineStr">
        <is>
          <t>VÄSTERNORRLANDS LÄN</t>
        </is>
      </c>
      <c r="E74" t="inlineStr">
        <is>
          <t>ÅNGE</t>
        </is>
      </c>
      <c r="G74" t="n">
        <v>23.4</v>
      </c>
      <c r="H74" t="n">
        <v>2</v>
      </c>
      <c r="I74" t="n">
        <v>4</v>
      </c>
      <c r="J74" t="n">
        <v>10</v>
      </c>
      <c r="K74" t="n">
        <v>2</v>
      </c>
      <c r="L74" t="n">
        <v>0</v>
      </c>
      <c r="M74" t="n">
        <v>0</v>
      </c>
      <c r="N74" t="n">
        <v>0</v>
      </c>
      <c r="O74" t="n">
        <v>12</v>
      </c>
      <c r="P74" t="n">
        <v>2</v>
      </c>
      <c r="Q74" t="n">
        <v>16</v>
      </c>
      <c r="R74" s="2" t="inlineStr">
        <is>
          <t>Knärot
Rynkskinn
Dvärgbägarlav
Kolflarnlav
Kötticka
Lunglav
Mörk kolflarnlav
Rosenticka
Talltita
Ullticka
Vedtrappmossa
Vit vedfingersvamp
Bronshjon
Dropptaggsvamp
Stor aspticka
Vedticka</t>
        </is>
      </c>
      <c r="S74">
        <f>HYPERLINK("https://klasma.github.io/Logging_2260/artfynd/A 54677-2023 artfynd.xlsx", "A 54677-2023")</f>
        <v/>
      </c>
      <c r="T74">
        <f>HYPERLINK("https://klasma.github.io/Logging_2260/kartor/A 54677-2023 karta.png", "A 54677-2023")</f>
        <v/>
      </c>
      <c r="U74">
        <f>HYPERLINK("https://klasma.github.io/Logging_2260/knärot/A 54677-2023 karta knärot.png", "A 54677-2023")</f>
        <v/>
      </c>
      <c r="V74">
        <f>HYPERLINK("https://klasma.github.io/Logging_2260/klagomål/A 54677-2023 FSC-klagomål.docx", "A 54677-2023")</f>
        <v/>
      </c>
      <c r="W74">
        <f>HYPERLINK("https://klasma.github.io/Logging_2260/klagomålsmail/A 54677-2023 FSC-klagomål mail.docx", "A 54677-2023")</f>
        <v/>
      </c>
      <c r="X74">
        <f>HYPERLINK("https://klasma.github.io/Logging_2260/tillsyn/A 54677-2023 tillsynsbegäran.docx", "A 54677-2023")</f>
        <v/>
      </c>
      <c r="Y74">
        <f>HYPERLINK("https://klasma.github.io/Logging_2260/tillsynsmail/A 54677-2023 tillsynsbegäran mail.docx", "A 54677-2023")</f>
        <v/>
      </c>
      <c r="Z74">
        <f>HYPERLINK("https://klasma.github.io/Logging_2260/fåglar/A 54677-2023 prioriterade fågelarter.docx", "A 54677-2023")</f>
        <v/>
      </c>
    </row>
    <row r="75" ht="15" customHeight="1">
      <c r="A75" t="inlineStr">
        <is>
          <t>A 48850-2021</t>
        </is>
      </c>
      <c r="B75" s="1" t="n">
        <v>44452</v>
      </c>
      <c r="C75" s="1" t="n">
        <v>46185</v>
      </c>
      <c r="D75" t="inlineStr">
        <is>
          <t>VÄSTERNORRLANDS LÄN</t>
        </is>
      </c>
      <c r="E75" t="inlineStr">
        <is>
          <t>ÅNGE</t>
        </is>
      </c>
      <c r="F75" t="inlineStr">
        <is>
          <t>SCA</t>
        </is>
      </c>
      <c r="G75" t="n">
        <v>6.2</v>
      </c>
      <c r="H75" t="n">
        <v>1</v>
      </c>
      <c r="I75" t="n">
        <v>2</v>
      </c>
      <c r="J75" t="n">
        <v>13</v>
      </c>
      <c r="K75" t="n">
        <v>1</v>
      </c>
      <c r="L75" t="n">
        <v>0</v>
      </c>
      <c r="M75" t="n">
        <v>0</v>
      </c>
      <c r="N75" t="n">
        <v>0</v>
      </c>
      <c r="O75" t="n">
        <v>14</v>
      </c>
      <c r="P75" t="n">
        <v>1</v>
      </c>
      <c r="Q75" t="n">
        <v>16</v>
      </c>
      <c r="R75" s="2" t="inlineStr">
        <is>
          <t>Gräddporing
Blanksvart spiklav
Dvärgbägarlav
Garnlav
Kolflarnlav
Kortskaftad ärgspik
Mörk kolflarnlav
Nordtagging
Reliktbock
Spillkråka
Vedflamlav
Vedskivlav
Vedtrappmossa
Vitplätt
Dropptaggsvamp
Nästlav</t>
        </is>
      </c>
      <c r="S75">
        <f>HYPERLINK("https://klasma.github.io/Logging_2260/artfynd/A 48850-2021 artfynd.xlsx", "A 48850-2021")</f>
        <v/>
      </c>
      <c r="T75">
        <f>HYPERLINK("https://klasma.github.io/Logging_2260/kartor/A 48850-2021 karta.png", "A 48850-2021")</f>
        <v/>
      </c>
      <c r="V75">
        <f>HYPERLINK("https://klasma.github.io/Logging_2260/klagomål/A 48850-2021 FSC-klagomål.docx", "A 48850-2021")</f>
        <v/>
      </c>
      <c r="W75">
        <f>HYPERLINK("https://klasma.github.io/Logging_2260/klagomålsmail/A 48850-2021 FSC-klagomål mail.docx", "A 48850-2021")</f>
        <v/>
      </c>
      <c r="X75">
        <f>HYPERLINK("https://klasma.github.io/Logging_2260/tillsyn/A 48850-2021 tillsynsbegäran.docx", "A 48850-2021")</f>
        <v/>
      </c>
      <c r="Y75">
        <f>HYPERLINK("https://klasma.github.io/Logging_2260/tillsynsmail/A 48850-2021 tillsynsbegäran mail.docx", "A 48850-2021")</f>
        <v/>
      </c>
      <c r="Z75">
        <f>HYPERLINK("https://klasma.github.io/Logging_2260/fåglar/A 48850-2021 prioriterade fågelarter.docx", "A 48850-2021")</f>
        <v/>
      </c>
    </row>
    <row r="76" ht="15" customHeight="1">
      <c r="A76" t="inlineStr">
        <is>
          <t>A 16264-2026</t>
        </is>
      </c>
      <c r="B76" s="1" t="n">
        <v>46111.4796875</v>
      </c>
      <c r="C76" s="1" t="n">
        <v>46185</v>
      </c>
      <c r="D76" t="inlineStr">
        <is>
          <t>VÄSTERNORRLANDS LÄN</t>
        </is>
      </c>
      <c r="E76" t="inlineStr">
        <is>
          <t>SUNDSVALL</t>
        </is>
      </c>
      <c r="G76" t="n">
        <v>3.9</v>
      </c>
      <c r="H76" t="n">
        <v>2</v>
      </c>
      <c r="I76" t="n">
        <v>3</v>
      </c>
      <c r="J76" t="n">
        <v>13</v>
      </c>
      <c r="K76" t="n">
        <v>0</v>
      </c>
      <c r="L76" t="n">
        <v>0</v>
      </c>
      <c r="M76" t="n">
        <v>0</v>
      </c>
      <c r="N76" t="n">
        <v>0</v>
      </c>
      <c r="O76" t="n">
        <v>13</v>
      </c>
      <c r="P76" t="n">
        <v>0</v>
      </c>
      <c r="Q76" t="n">
        <v>16</v>
      </c>
      <c r="R76" s="2" t="inlineStr">
        <is>
          <t>Apelsinticka
Brunpudrad nållav
Dvärgbägarlav
Garnlav
Kortskaftad ärgspik
Lunglav
Tallticka
Talltita
Tretåig hackspett
Ullticka
Vedflamlav
Vedskivlav
Violettgrå tagellav
Bronshjon
Thomsons trägnagare
Vedticka</t>
        </is>
      </c>
      <c r="S76">
        <f>HYPERLINK("https://klasma.github.io/Logging_2281/artfynd/A 16264-2026 artfynd.xlsx", "A 16264-2026")</f>
        <v/>
      </c>
      <c r="T76">
        <f>HYPERLINK("https://klasma.github.io/Logging_2281/kartor/A 16264-2026 karta.png", "A 16264-2026")</f>
        <v/>
      </c>
      <c r="V76">
        <f>HYPERLINK("https://klasma.github.io/Logging_2281/klagomål/A 16264-2026 FSC-klagomål.docx", "A 16264-2026")</f>
        <v/>
      </c>
      <c r="W76">
        <f>HYPERLINK("https://klasma.github.io/Logging_2281/klagomålsmail/A 16264-2026 FSC-klagomål mail.docx", "A 16264-2026")</f>
        <v/>
      </c>
      <c r="X76">
        <f>HYPERLINK("https://klasma.github.io/Logging_2281/tillsyn/A 16264-2026 tillsynsbegäran.docx", "A 16264-2026")</f>
        <v/>
      </c>
      <c r="Y76">
        <f>HYPERLINK("https://klasma.github.io/Logging_2281/tillsynsmail/A 16264-2026 tillsynsbegäran mail.docx", "A 16264-2026")</f>
        <v/>
      </c>
      <c r="Z76">
        <f>HYPERLINK("https://klasma.github.io/Logging_2281/fåglar/A 16264-2026 prioriterade fågelarter.docx", "A 16264-2026")</f>
        <v/>
      </c>
    </row>
    <row r="77" ht="15" customHeight="1">
      <c r="A77" t="inlineStr">
        <is>
          <t>A 63420-2025</t>
        </is>
      </c>
      <c r="B77" s="1" t="n">
        <v>46013.34195601852</v>
      </c>
      <c r="C77" s="1" t="n">
        <v>46185</v>
      </c>
      <c r="D77" t="inlineStr">
        <is>
          <t>VÄSTERNORRLANDS LÄN</t>
        </is>
      </c>
      <c r="E77" t="inlineStr">
        <is>
          <t>SOLLEFTEÅ</t>
        </is>
      </c>
      <c r="G77" t="n">
        <v>8.1</v>
      </c>
      <c r="H77" t="n">
        <v>5</v>
      </c>
      <c r="I77" t="n">
        <v>1</v>
      </c>
      <c r="J77" t="n">
        <v>11</v>
      </c>
      <c r="K77" t="n">
        <v>3</v>
      </c>
      <c r="L77" t="n">
        <v>0</v>
      </c>
      <c r="M77" t="n">
        <v>0</v>
      </c>
      <c r="N77" t="n">
        <v>0</v>
      </c>
      <c r="O77" t="n">
        <v>14</v>
      </c>
      <c r="P77" t="n">
        <v>3</v>
      </c>
      <c r="Q77" t="n">
        <v>16</v>
      </c>
      <c r="R77" s="2" t="inlineStr">
        <is>
          <t>Blackticka
Knärot
Rynkskinn
Gammelgransskål
Garnlav
Granticka
Kolflarnlav
Lunglav
Skogshare
Spillkråka
Talltita
Tretåig hackspett
Ullticka
Vedskivlav
Vedticka
Tjäder</t>
        </is>
      </c>
      <c r="S77">
        <f>HYPERLINK("https://klasma.github.io/Logging_2283/artfynd/A 63420-2025 artfynd.xlsx", "A 63420-2025")</f>
        <v/>
      </c>
      <c r="T77">
        <f>HYPERLINK("https://klasma.github.io/Logging_2283/kartor/A 63420-2025 karta.png", "A 63420-2025")</f>
        <v/>
      </c>
      <c r="U77">
        <f>HYPERLINK("https://klasma.github.io/Logging_2283/knärot/A 63420-2025 karta knärot.png", "A 63420-2025")</f>
        <v/>
      </c>
      <c r="V77">
        <f>HYPERLINK("https://klasma.github.io/Logging_2283/klagomål/A 63420-2025 FSC-klagomål.docx", "A 63420-2025")</f>
        <v/>
      </c>
      <c r="W77">
        <f>HYPERLINK("https://klasma.github.io/Logging_2283/klagomålsmail/A 63420-2025 FSC-klagomål mail.docx", "A 63420-2025")</f>
        <v/>
      </c>
      <c r="X77">
        <f>HYPERLINK("https://klasma.github.io/Logging_2283/tillsyn/A 63420-2025 tillsynsbegäran.docx", "A 63420-2025")</f>
        <v/>
      </c>
      <c r="Y77">
        <f>HYPERLINK("https://klasma.github.io/Logging_2283/tillsynsmail/A 63420-2025 tillsynsbegäran mail.docx", "A 63420-2025")</f>
        <v/>
      </c>
      <c r="Z77">
        <f>HYPERLINK("https://klasma.github.io/Logging_2283/fåglar/A 63420-2025 prioriterade fågelarter.docx", "A 63420-2025")</f>
        <v/>
      </c>
    </row>
    <row r="78" ht="15" customHeight="1">
      <c r="A78" t="inlineStr">
        <is>
          <t>A 15177-2026</t>
        </is>
      </c>
      <c r="B78" s="1" t="n">
        <v>46105.45079861111</v>
      </c>
      <c r="C78" s="1" t="n">
        <v>46185</v>
      </c>
      <c r="D78" t="inlineStr">
        <is>
          <t>VÄSTERNORRLANDS LÄN</t>
        </is>
      </c>
      <c r="E78" t="inlineStr">
        <is>
          <t>TIMRÅ</t>
        </is>
      </c>
      <c r="G78" t="n">
        <v>7</v>
      </c>
      <c r="H78" t="n">
        <v>3</v>
      </c>
      <c r="I78" t="n">
        <v>2</v>
      </c>
      <c r="J78" t="n">
        <v>9</v>
      </c>
      <c r="K78" t="n">
        <v>4</v>
      </c>
      <c r="L78" t="n">
        <v>0</v>
      </c>
      <c r="M78" t="n">
        <v>0</v>
      </c>
      <c r="N78" t="n">
        <v>0</v>
      </c>
      <c r="O78" t="n">
        <v>13</v>
      </c>
      <c r="P78" t="n">
        <v>4</v>
      </c>
      <c r="Q78" t="n">
        <v>16</v>
      </c>
      <c r="R78" s="2" t="inlineStr">
        <is>
          <t>Knärot
Rostskinn
Rynkskinn
Ulltickeporing
Gränsticka
Kötticka
Lunglav
Rosenticka
Skogshare
Tretåig hackspett
Ullticka
Veckticka
Violettgrå tagellav
Stuplav
Vedticka
Revlummer</t>
        </is>
      </c>
      <c r="S78">
        <f>HYPERLINK("https://klasma.github.io/Logging_2262/artfynd/A 15177-2026 artfynd.xlsx", "A 15177-2026")</f>
        <v/>
      </c>
      <c r="T78">
        <f>HYPERLINK("https://klasma.github.io/Logging_2262/kartor/A 15177-2026 karta.png", "A 15177-2026")</f>
        <v/>
      </c>
      <c r="U78">
        <f>HYPERLINK("https://klasma.github.io/Logging_2262/knärot/A 15177-2026 karta knärot.png", "A 15177-2026")</f>
        <v/>
      </c>
      <c r="V78">
        <f>HYPERLINK("https://klasma.github.io/Logging_2262/klagomål/A 15177-2026 FSC-klagomål.docx", "A 15177-2026")</f>
        <v/>
      </c>
      <c r="W78">
        <f>HYPERLINK("https://klasma.github.io/Logging_2262/klagomålsmail/A 15177-2026 FSC-klagomål mail.docx", "A 15177-2026")</f>
        <v/>
      </c>
      <c r="X78">
        <f>HYPERLINK("https://klasma.github.io/Logging_2262/tillsyn/A 15177-2026 tillsynsbegäran.docx", "A 15177-2026")</f>
        <v/>
      </c>
      <c r="Y78">
        <f>HYPERLINK("https://klasma.github.io/Logging_2262/tillsynsmail/A 15177-2026 tillsynsbegäran mail.docx", "A 15177-2026")</f>
        <v/>
      </c>
      <c r="Z78">
        <f>HYPERLINK("https://klasma.github.io/Logging_2262/fåglar/A 15177-2026 prioriterade fågelarter.docx", "A 15177-2026")</f>
        <v/>
      </c>
    </row>
    <row r="79" ht="15" customHeight="1">
      <c r="A79" t="inlineStr">
        <is>
          <t>A 26657-2022</t>
        </is>
      </c>
      <c r="B79" s="1" t="n">
        <v>44739</v>
      </c>
      <c r="C79" s="1" t="n">
        <v>46185</v>
      </c>
      <c r="D79" t="inlineStr">
        <is>
          <t>VÄSTERNORRLANDS LÄN</t>
        </is>
      </c>
      <c r="E79" t="inlineStr">
        <is>
          <t>SOLLEFTEÅ</t>
        </is>
      </c>
      <c r="F79" t="inlineStr">
        <is>
          <t>Holmen skog AB</t>
        </is>
      </c>
      <c r="G79" t="n">
        <v>4.6</v>
      </c>
      <c r="H79" t="n">
        <v>5</v>
      </c>
      <c r="I79" t="n">
        <v>5</v>
      </c>
      <c r="J79" t="n">
        <v>6</v>
      </c>
      <c r="K79" t="n">
        <v>3</v>
      </c>
      <c r="L79" t="n">
        <v>0</v>
      </c>
      <c r="M79" t="n">
        <v>0</v>
      </c>
      <c r="N79" t="n">
        <v>0</v>
      </c>
      <c r="O79" t="n">
        <v>9</v>
      </c>
      <c r="P79" t="n">
        <v>3</v>
      </c>
      <c r="Q79" t="n">
        <v>16</v>
      </c>
      <c r="R79" s="2" t="inlineStr">
        <is>
          <t>Knärot
Rynkskinn
Ulltickeporing
Garnlav
Granticka
Lunglav
Rosenticka
Talltita
Ullticka
Bollvitmossa
Luddlav
Spindelblomster
Stuplav
Vedticka
Fläcknycklar
Revlummer</t>
        </is>
      </c>
      <c r="S79">
        <f>HYPERLINK("https://klasma.github.io/Logging_2283/artfynd/A 26657-2022 artfynd.xlsx", "A 26657-2022")</f>
        <v/>
      </c>
      <c r="T79">
        <f>HYPERLINK("https://klasma.github.io/Logging_2283/kartor/A 26657-2022 karta.png", "A 26657-2022")</f>
        <v/>
      </c>
      <c r="U79">
        <f>HYPERLINK("https://klasma.github.io/Logging_2283/knärot/A 26657-2022 karta knärot.png", "A 26657-2022")</f>
        <v/>
      </c>
      <c r="V79">
        <f>HYPERLINK("https://klasma.github.io/Logging_2283/klagomål/A 26657-2022 FSC-klagomål.docx", "A 26657-2022")</f>
        <v/>
      </c>
      <c r="W79">
        <f>HYPERLINK("https://klasma.github.io/Logging_2283/klagomålsmail/A 26657-2022 FSC-klagomål mail.docx", "A 26657-2022")</f>
        <v/>
      </c>
      <c r="X79">
        <f>HYPERLINK("https://klasma.github.io/Logging_2283/tillsyn/A 26657-2022 tillsynsbegäran.docx", "A 26657-2022")</f>
        <v/>
      </c>
      <c r="Y79">
        <f>HYPERLINK("https://klasma.github.io/Logging_2283/tillsynsmail/A 26657-2022 tillsynsbegäran mail.docx", "A 26657-2022")</f>
        <v/>
      </c>
      <c r="Z79">
        <f>HYPERLINK("https://klasma.github.io/Logging_2283/fåglar/A 26657-2022 prioriterade fågelarter.docx", "A 26657-2022")</f>
        <v/>
      </c>
    </row>
    <row r="80" ht="15" customHeight="1">
      <c r="A80" t="inlineStr">
        <is>
          <t>A 50331-2022</t>
        </is>
      </c>
      <c r="B80" s="1" t="n">
        <v>44865</v>
      </c>
      <c r="C80" s="1" t="n">
        <v>46185</v>
      </c>
      <c r="D80" t="inlineStr">
        <is>
          <t>VÄSTERNORRLANDS LÄN</t>
        </is>
      </c>
      <c r="E80" t="inlineStr">
        <is>
          <t>ÅNGE</t>
        </is>
      </c>
      <c r="F80" t="inlineStr">
        <is>
          <t>SCA</t>
        </is>
      </c>
      <c r="G80" t="n">
        <v>25.9</v>
      </c>
      <c r="H80" t="n">
        <v>5</v>
      </c>
      <c r="I80" t="n">
        <v>6</v>
      </c>
      <c r="J80" t="n">
        <v>9</v>
      </c>
      <c r="K80" t="n">
        <v>1</v>
      </c>
      <c r="L80" t="n">
        <v>0</v>
      </c>
      <c r="M80" t="n">
        <v>0</v>
      </c>
      <c r="N80" t="n">
        <v>0</v>
      </c>
      <c r="O80" t="n">
        <v>10</v>
      </c>
      <c r="P80" t="n">
        <v>1</v>
      </c>
      <c r="Q80" t="n">
        <v>16</v>
      </c>
      <c r="R80" s="2" t="inlineStr">
        <is>
          <t>Knärot
Järpe
Lunglav
Mörk kolflarnlav
Rosenticka
Spillkråka
Svartvit flugsnappare
Talltita
Ullticka
Vedtrappmossa
Bårdlav
Dropptaggsvamp
Grönpyrola
Korallblylav
Skinnlav
Stuplav</t>
        </is>
      </c>
      <c r="S80">
        <f>HYPERLINK("https://klasma.github.io/Logging_2260/artfynd/A 50331-2022 artfynd.xlsx", "A 50331-2022")</f>
        <v/>
      </c>
      <c r="T80">
        <f>HYPERLINK("https://klasma.github.io/Logging_2260/kartor/A 50331-2022 karta.png", "A 50331-2022")</f>
        <v/>
      </c>
      <c r="U80">
        <f>HYPERLINK("https://klasma.github.io/Logging_2260/knärot/A 50331-2022 karta knärot.png", "A 50331-2022")</f>
        <v/>
      </c>
      <c r="V80">
        <f>HYPERLINK("https://klasma.github.io/Logging_2260/klagomål/A 50331-2022 FSC-klagomål.docx", "A 50331-2022")</f>
        <v/>
      </c>
      <c r="W80">
        <f>HYPERLINK("https://klasma.github.io/Logging_2260/klagomålsmail/A 50331-2022 FSC-klagomål mail.docx", "A 50331-2022")</f>
        <v/>
      </c>
      <c r="X80">
        <f>HYPERLINK("https://klasma.github.io/Logging_2260/tillsyn/A 50331-2022 tillsynsbegäran.docx", "A 50331-2022")</f>
        <v/>
      </c>
      <c r="Y80">
        <f>HYPERLINK("https://klasma.github.io/Logging_2260/tillsynsmail/A 50331-2022 tillsynsbegäran mail.docx", "A 50331-2022")</f>
        <v/>
      </c>
      <c r="Z80">
        <f>HYPERLINK("https://klasma.github.io/Logging_2260/fåglar/A 50331-2022 prioriterade fågelarter.docx", "A 50331-2022")</f>
        <v/>
      </c>
    </row>
    <row r="81" ht="15" customHeight="1">
      <c r="A81" t="inlineStr">
        <is>
          <t>A 45833-2025</t>
        </is>
      </c>
      <c r="B81" s="1" t="n">
        <v>45923</v>
      </c>
      <c r="C81" s="1" t="n">
        <v>46185</v>
      </c>
      <c r="D81" t="inlineStr">
        <is>
          <t>VÄSTERNORRLANDS LÄN</t>
        </is>
      </c>
      <c r="E81" t="inlineStr">
        <is>
          <t>ÅNGE</t>
        </is>
      </c>
      <c r="G81" t="n">
        <v>8.1</v>
      </c>
      <c r="H81" t="n">
        <v>5</v>
      </c>
      <c r="I81" t="n">
        <v>4</v>
      </c>
      <c r="J81" t="n">
        <v>9</v>
      </c>
      <c r="K81" t="n">
        <v>2</v>
      </c>
      <c r="L81" t="n">
        <v>0</v>
      </c>
      <c r="M81" t="n">
        <v>0</v>
      </c>
      <c r="N81" t="n">
        <v>0</v>
      </c>
      <c r="O81" t="n">
        <v>11</v>
      </c>
      <c r="P81" t="n">
        <v>2</v>
      </c>
      <c r="Q81" t="n">
        <v>16</v>
      </c>
      <c r="R81" s="2" t="inlineStr">
        <is>
          <t>Knärot
Rynkskinn
Doftskinn
Garnlav
Kötticka
Lunglav
Rosenticka
Spillkråka
Talltita
Tretåig hackspett
Ullticka
Bollvitmossa
Dropptaggsvamp
Grönpyrola
Vedticka
Revlummer</t>
        </is>
      </c>
      <c r="S81">
        <f>HYPERLINK("https://klasma.github.io/Logging_2260/artfynd/A 45833-2025 artfynd.xlsx", "A 45833-2025")</f>
        <v/>
      </c>
      <c r="T81">
        <f>HYPERLINK("https://klasma.github.io/Logging_2260/kartor/A 45833-2025 karta.png", "A 45833-2025")</f>
        <v/>
      </c>
      <c r="U81">
        <f>HYPERLINK("https://klasma.github.io/Logging_2260/knärot/A 45833-2025 karta knärot.png", "A 45833-2025")</f>
        <v/>
      </c>
      <c r="V81">
        <f>HYPERLINK("https://klasma.github.io/Logging_2260/klagomål/A 45833-2025 FSC-klagomål.docx", "A 45833-2025")</f>
        <v/>
      </c>
      <c r="W81">
        <f>HYPERLINK("https://klasma.github.io/Logging_2260/klagomålsmail/A 45833-2025 FSC-klagomål mail.docx", "A 45833-2025")</f>
        <v/>
      </c>
      <c r="X81">
        <f>HYPERLINK("https://klasma.github.io/Logging_2260/tillsyn/A 45833-2025 tillsynsbegäran.docx", "A 45833-2025")</f>
        <v/>
      </c>
      <c r="Y81">
        <f>HYPERLINK("https://klasma.github.io/Logging_2260/tillsynsmail/A 45833-2025 tillsynsbegäran mail.docx", "A 45833-2025")</f>
        <v/>
      </c>
      <c r="Z81">
        <f>HYPERLINK("https://klasma.github.io/Logging_2260/fåglar/A 45833-2025 prioriterade fågelarter.docx", "A 45833-2025")</f>
        <v/>
      </c>
    </row>
    <row r="82" ht="15" customHeight="1">
      <c r="A82" t="inlineStr">
        <is>
          <t>A 18532-2025</t>
        </is>
      </c>
      <c r="B82" s="1" t="n">
        <v>45763</v>
      </c>
      <c r="C82" s="1" t="n">
        <v>46185</v>
      </c>
      <c r="D82" t="inlineStr">
        <is>
          <t>VÄSTERNORRLANDS LÄN</t>
        </is>
      </c>
      <c r="E82" t="inlineStr">
        <is>
          <t>SUNDSVALL</t>
        </is>
      </c>
      <c r="F82" t="inlineStr">
        <is>
          <t>SCA</t>
        </is>
      </c>
      <c r="G82" t="n">
        <v>3.5</v>
      </c>
      <c r="H82" t="n">
        <v>6</v>
      </c>
      <c r="I82" t="n">
        <v>3</v>
      </c>
      <c r="J82" t="n">
        <v>10</v>
      </c>
      <c r="K82" t="n">
        <v>1</v>
      </c>
      <c r="L82" t="n">
        <v>0</v>
      </c>
      <c r="M82" t="n">
        <v>0</v>
      </c>
      <c r="N82" t="n">
        <v>0</v>
      </c>
      <c r="O82" t="n">
        <v>11</v>
      </c>
      <c r="P82" t="n">
        <v>1</v>
      </c>
      <c r="Q82" t="n">
        <v>16</v>
      </c>
      <c r="R82" s="2" t="inlineStr">
        <is>
          <t>Knärot
Gammelgransskål
Granticka
Gränsticka
Kötticka
Lunglav
Spillkråka
Talltita
Tretåig hackspett
Ullticka
Violettgrå tagellav
Kattfotslav
Stuplav
Vedticka
Tjäder
Revlummer</t>
        </is>
      </c>
      <c r="S82">
        <f>HYPERLINK("https://klasma.github.io/Logging_2281/artfynd/A 18532-2025 artfynd.xlsx", "A 18532-2025")</f>
        <v/>
      </c>
      <c r="T82">
        <f>HYPERLINK("https://klasma.github.io/Logging_2281/kartor/A 18532-2025 karta.png", "A 18532-2025")</f>
        <v/>
      </c>
      <c r="U82">
        <f>HYPERLINK("https://klasma.github.io/Logging_2281/knärot/A 18532-2025 karta knärot.png", "A 18532-2025")</f>
        <v/>
      </c>
      <c r="V82">
        <f>HYPERLINK("https://klasma.github.io/Logging_2281/klagomål/A 18532-2025 FSC-klagomål.docx", "A 18532-2025")</f>
        <v/>
      </c>
      <c r="W82">
        <f>HYPERLINK("https://klasma.github.io/Logging_2281/klagomålsmail/A 18532-2025 FSC-klagomål mail.docx", "A 18532-2025")</f>
        <v/>
      </c>
      <c r="X82">
        <f>HYPERLINK("https://klasma.github.io/Logging_2281/tillsyn/A 18532-2025 tillsynsbegäran.docx", "A 18532-2025")</f>
        <v/>
      </c>
      <c r="Y82">
        <f>HYPERLINK("https://klasma.github.io/Logging_2281/tillsynsmail/A 18532-2025 tillsynsbegäran mail.docx", "A 18532-2025")</f>
        <v/>
      </c>
      <c r="Z82">
        <f>HYPERLINK("https://klasma.github.io/Logging_2281/fåglar/A 18532-2025 prioriterade fågelarter.docx", "A 18532-2025")</f>
        <v/>
      </c>
    </row>
    <row r="83" ht="15" customHeight="1">
      <c r="A83" t="inlineStr">
        <is>
          <t>A 59396-2022</t>
        </is>
      </c>
      <c r="B83" s="1" t="n">
        <v>44906</v>
      </c>
      <c r="C83" s="1" t="n">
        <v>46185</v>
      </c>
      <c r="D83" t="inlineStr">
        <is>
          <t>VÄSTERNORRLANDS LÄN</t>
        </is>
      </c>
      <c r="E83" t="inlineStr">
        <is>
          <t>SUNDSVALL</t>
        </is>
      </c>
      <c r="G83" t="n">
        <v>9.300000000000001</v>
      </c>
      <c r="H83" t="n">
        <v>2</v>
      </c>
      <c r="I83" t="n">
        <v>4</v>
      </c>
      <c r="J83" t="n">
        <v>10</v>
      </c>
      <c r="K83" t="n">
        <v>1</v>
      </c>
      <c r="L83" t="n">
        <v>0</v>
      </c>
      <c r="M83" t="n">
        <v>0</v>
      </c>
      <c r="N83" t="n">
        <v>0</v>
      </c>
      <c r="O83" t="n">
        <v>11</v>
      </c>
      <c r="P83" t="n">
        <v>1</v>
      </c>
      <c r="Q83" t="n">
        <v>16</v>
      </c>
      <c r="R83" s="2" t="inlineStr">
        <is>
          <t>Knärot
Blågrå svartspik
Dvärgbägarlav
Garnlav
Kolflarnlav
Mörk kolflarnlav
Tallticka
Ullticka
Vaddporing
Vedflamlav
Vedskivlav
Kattfotslav
Mörk husmossa
Skinnlav
Vågbandad barkbock
Nattviol</t>
        </is>
      </c>
      <c r="S83">
        <f>HYPERLINK("https://klasma.github.io/Logging_2281/artfynd/A 59396-2022 artfynd.xlsx", "A 59396-2022")</f>
        <v/>
      </c>
      <c r="T83">
        <f>HYPERLINK("https://klasma.github.io/Logging_2281/kartor/A 59396-2022 karta.png", "A 59396-2022")</f>
        <v/>
      </c>
      <c r="U83">
        <f>HYPERLINK("https://klasma.github.io/Logging_2281/knärot/A 59396-2022 karta knärot.png", "A 59396-2022")</f>
        <v/>
      </c>
      <c r="V83">
        <f>HYPERLINK("https://klasma.github.io/Logging_2281/klagomål/A 59396-2022 FSC-klagomål.docx", "A 59396-2022")</f>
        <v/>
      </c>
      <c r="W83">
        <f>HYPERLINK("https://klasma.github.io/Logging_2281/klagomålsmail/A 59396-2022 FSC-klagomål mail.docx", "A 59396-2022")</f>
        <v/>
      </c>
      <c r="X83">
        <f>HYPERLINK("https://klasma.github.io/Logging_2281/tillsyn/A 59396-2022 tillsynsbegäran.docx", "A 59396-2022")</f>
        <v/>
      </c>
      <c r="Y83">
        <f>HYPERLINK("https://klasma.github.io/Logging_2281/tillsynsmail/A 59396-2022 tillsynsbegäran mail.docx", "A 59396-2022")</f>
        <v/>
      </c>
    </row>
    <row r="84" ht="15" customHeight="1">
      <c r="A84" t="inlineStr">
        <is>
          <t>A 41454-2024</t>
        </is>
      </c>
      <c r="B84" s="1" t="n">
        <v>45560</v>
      </c>
      <c r="C84" s="1" t="n">
        <v>46185</v>
      </c>
      <c r="D84" t="inlineStr">
        <is>
          <t>VÄSTERNORRLANDS LÄN</t>
        </is>
      </c>
      <c r="E84" t="inlineStr">
        <is>
          <t>ÖRNSKÖLDSVIK</t>
        </is>
      </c>
      <c r="F84" t="inlineStr">
        <is>
          <t>Holmen skog AB</t>
        </is>
      </c>
      <c r="G84" t="n">
        <v>3.4</v>
      </c>
      <c r="H84" t="n">
        <v>5</v>
      </c>
      <c r="I84" t="n">
        <v>6</v>
      </c>
      <c r="J84" t="n">
        <v>7</v>
      </c>
      <c r="K84" t="n">
        <v>1</v>
      </c>
      <c r="L84" t="n">
        <v>0</v>
      </c>
      <c r="M84" t="n">
        <v>0</v>
      </c>
      <c r="N84" t="n">
        <v>0</v>
      </c>
      <c r="O84" t="n">
        <v>8</v>
      </c>
      <c r="P84" t="n">
        <v>1</v>
      </c>
      <c r="Q84" t="n">
        <v>15</v>
      </c>
      <c r="R84" s="2" t="inlineStr">
        <is>
          <t>Knärot
Garnlav
Granticka
Gultoppig fingersvamp
Luddfingersvamp
Lunglav
Skogsfru
Spillkråka
Bårdlav
Mörk husmossa
Spindelblomster
Stuplav
Vedticka
Ögonpyrola
Revlummer</t>
        </is>
      </c>
      <c r="S84">
        <f>HYPERLINK("https://klasma.github.io/Logging_2284/artfynd/A 41454-2024 artfynd.xlsx", "A 41454-2024")</f>
        <v/>
      </c>
      <c r="T84">
        <f>HYPERLINK("https://klasma.github.io/Logging_2284/kartor/A 41454-2024 karta.png", "A 41454-2024")</f>
        <v/>
      </c>
      <c r="U84">
        <f>HYPERLINK("https://klasma.github.io/Logging_2284/knärot/A 41454-2024 karta knärot.png", "A 41454-2024")</f>
        <v/>
      </c>
      <c r="V84">
        <f>HYPERLINK("https://klasma.github.io/Logging_2284/klagomål/A 41454-2024 FSC-klagomål.docx", "A 41454-2024")</f>
        <v/>
      </c>
      <c r="W84">
        <f>HYPERLINK("https://klasma.github.io/Logging_2284/klagomålsmail/A 41454-2024 FSC-klagomål mail.docx", "A 41454-2024")</f>
        <v/>
      </c>
      <c r="X84">
        <f>HYPERLINK("https://klasma.github.io/Logging_2284/tillsyn/A 41454-2024 tillsynsbegäran.docx", "A 41454-2024")</f>
        <v/>
      </c>
      <c r="Y84">
        <f>HYPERLINK("https://klasma.github.io/Logging_2284/tillsynsmail/A 41454-2024 tillsynsbegäran mail.docx", "A 41454-2024")</f>
        <v/>
      </c>
      <c r="Z84">
        <f>HYPERLINK("https://klasma.github.io/Logging_2284/fåglar/A 41454-2024 prioriterade fågelarter.docx", "A 41454-2024")</f>
        <v/>
      </c>
    </row>
    <row r="85" ht="15" customHeight="1">
      <c r="A85" t="inlineStr">
        <is>
          <t>A 49327-2023</t>
        </is>
      </c>
      <c r="B85" s="1" t="n">
        <v>45210</v>
      </c>
      <c r="C85" s="1" t="n">
        <v>46185</v>
      </c>
      <c r="D85" t="inlineStr">
        <is>
          <t>VÄSTERNORRLANDS LÄN</t>
        </is>
      </c>
      <c r="E85" t="inlineStr">
        <is>
          <t>SUNDSVALL</t>
        </is>
      </c>
      <c r="F85" t="inlineStr">
        <is>
          <t>SCA</t>
        </is>
      </c>
      <c r="G85" t="n">
        <v>6.4</v>
      </c>
      <c r="H85" t="n">
        <v>6</v>
      </c>
      <c r="I85" t="n">
        <v>3</v>
      </c>
      <c r="J85" t="n">
        <v>8</v>
      </c>
      <c r="K85" t="n">
        <v>2</v>
      </c>
      <c r="L85" t="n">
        <v>0</v>
      </c>
      <c r="M85" t="n">
        <v>0</v>
      </c>
      <c r="N85" t="n">
        <v>0</v>
      </c>
      <c r="O85" t="n">
        <v>10</v>
      </c>
      <c r="P85" t="n">
        <v>2</v>
      </c>
      <c r="Q85" t="n">
        <v>15</v>
      </c>
      <c r="R85" s="2" t="inlineStr">
        <is>
          <t>Knärot
Rynkskinn
Gammelgransskål
Garnlav
Lunglav
Rosenticka
Rödvingetrast
Spillkråka
Tretåig hackspett
Ullticka
Bårdlav
Stuplav
Vedticka
Grönsiska
Järnsparv</t>
        </is>
      </c>
      <c r="S85">
        <f>HYPERLINK("https://klasma.github.io/Logging_2281/artfynd/A 49327-2023 artfynd.xlsx", "A 49327-2023")</f>
        <v/>
      </c>
      <c r="T85">
        <f>HYPERLINK("https://klasma.github.io/Logging_2281/kartor/A 49327-2023 karta.png", "A 49327-2023")</f>
        <v/>
      </c>
      <c r="U85">
        <f>HYPERLINK("https://klasma.github.io/Logging_2281/knärot/A 49327-2023 karta knärot.png", "A 49327-2023")</f>
        <v/>
      </c>
      <c r="V85">
        <f>HYPERLINK("https://klasma.github.io/Logging_2281/klagomål/A 49327-2023 FSC-klagomål.docx", "A 49327-2023")</f>
        <v/>
      </c>
      <c r="W85">
        <f>HYPERLINK("https://klasma.github.io/Logging_2281/klagomålsmail/A 49327-2023 FSC-klagomål mail.docx", "A 49327-2023")</f>
        <v/>
      </c>
      <c r="X85">
        <f>HYPERLINK("https://klasma.github.io/Logging_2281/tillsyn/A 49327-2023 tillsynsbegäran.docx", "A 49327-2023")</f>
        <v/>
      </c>
      <c r="Y85">
        <f>HYPERLINK("https://klasma.github.io/Logging_2281/tillsynsmail/A 49327-2023 tillsynsbegäran mail.docx", "A 49327-2023")</f>
        <v/>
      </c>
      <c r="Z85">
        <f>HYPERLINK("https://klasma.github.io/Logging_2281/fåglar/A 49327-2023 prioriterade fågelarter.docx", "A 49327-2023")</f>
        <v/>
      </c>
    </row>
    <row r="86" ht="15" customHeight="1">
      <c r="A86" t="inlineStr">
        <is>
          <t>A 49356-2025</t>
        </is>
      </c>
      <c r="B86" s="1" t="n">
        <v>45938</v>
      </c>
      <c r="C86" s="1" t="n">
        <v>46185</v>
      </c>
      <c r="D86" t="inlineStr">
        <is>
          <t>VÄSTERNORRLANDS LÄN</t>
        </is>
      </c>
      <c r="E86" t="inlineStr">
        <is>
          <t>SOLLEFTEÅ</t>
        </is>
      </c>
      <c r="F86" t="inlineStr">
        <is>
          <t>SCA</t>
        </is>
      </c>
      <c r="G86" t="n">
        <v>10.2</v>
      </c>
      <c r="H86" t="n">
        <v>6</v>
      </c>
      <c r="I86" t="n">
        <v>6</v>
      </c>
      <c r="J86" t="n">
        <v>7</v>
      </c>
      <c r="K86" t="n">
        <v>1</v>
      </c>
      <c r="L86" t="n">
        <v>0</v>
      </c>
      <c r="M86" t="n">
        <v>0</v>
      </c>
      <c r="N86" t="n">
        <v>0</v>
      </c>
      <c r="O86" t="n">
        <v>8</v>
      </c>
      <c r="P86" t="n">
        <v>1</v>
      </c>
      <c r="Q86" t="n">
        <v>15</v>
      </c>
      <c r="R86" s="2" t="inlineStr">
        <is>
          <t>Knärot
Garnlav
Granticka
Harticka
Lunglav
Spillkråka
Talltita
Tretåig hackspett
Bollvitmossa
Fjällig taggsvamp s.str.
Lappranunkel
Norrlandslav
Vedticka
Vågbandad barkbock
Revlummer</t>
        </is>
      </c>
      <c r="S86">
        <f>HYPERLINK("https://klasma.github.io/Logging_2283/artfynd/A 49356-2025 artfynd.xlsx", "A 49356-2025")</f>
        <v/>
      </c>
      <c r="T86">
        <f>HYPERLINK("https://klasma.github.io/Logging_2283/kartor/A 49356-2025 karta.png", "A 49356-2025")</f>
        <v/>
      </c>
      <c r="U86">
        <f>HYPERLINK("https://klasma.github.io/Logging_2283/knärot/A 49356-2025 karta knärot.png", "A 49356-2025")</f>
        <v/>
      </c>
      <c r="V86">
        <f>HYPERLINK("https://klasma.github.io/Logging_2283/klagomål/A 49356-2025 FSC-klagomål.docx", "A 49356-2025")</f>
        <v/>
      </c>
      <c r="W86">
        <f>HYPERLINK("https://klasma.github.io/Logging_2283/klagomålsmail/A 49356-2025 FSC-klagomål mail.docx", "A 49356-2025")</f>
        <v/>
      </c>
      <c r="X86">
        <f>HYPERLINK("https://klasma.github.io/Logging_2283/tillsyn/A 49356-2025 tillsynsbegäran.docx", "A 49356-2025")</f>
        <v/>
      </c>
      <c r="Y86">
        <f>HYPERLINK("https://klasma.github.io/Logging_2283/tillsynsmail/A 49356-2025 tillsynsbegäran mail.docx", "A 49356-2025")</f>
        <v/>
      </c>
      <c r="Z86">
        <f>HYPERLINK("https://klasma.github.io/Logging_2283/fåglar/A 49356-2025 prioriterade fågelarter.docx", "A 49356-2025")</f>
        <v/>
      </c>
    </row>
    <row r="87" ht="15" customHeight="1">
      <c r="A87" t="inlineStr">
        <is>
          <t>A 26362-2023</t>
        </is>
      </c>
      <c r="B87" s="1" t="n">
        <v>45091</v>
      </c>
      <c r="C87" s="1" t="n">
        <v>46185</v>
      </c>
      <c r="D87" t="inlineStr">
        <is>
          <t>VÄSTERNORRLANDS LÄN</t>
        </is>
      </c>
      <c r="E87" t="inlineStr">
        <is>
          <t>ÅNGE</t>
        </is>
      </c>
      <c r="F87" t="inlineStr">
        <is>
          <t>SCA</t>
        </is>
      </c>
      <c r="G87" t="n">
        <v>14</v>
      </c>
      <c r="H87" t="n">
        <v>4</v>
      </c>
      <c r="I87" t="n">
        <v>2</v>
      </c>
      <c r="J87" t="n">
        <v>11</v>
      </c>
      <c r="K87" t="n">
        <v>1</v>
      </c>
      <c r="L87" t="n">
        <v>0</v>
      </c>
      <c r="M87" t="n">
        <v>0</v>
      </c>
      <c r="N87" t="n">
        <v>0</v>
      </c>
      <c r="O87" t="n">
        <v>12</v>
      </c>
      <c r="P87" t="n">
        <v>1</v>
      </c>
      <c r="Q87" t="n">
        <v>15</v>
      </c>
      <c r="R87" s="2" t="inlineStr">
        <is>
          <t>Knärot
Dvärgbägarlav
Garnlav
Lunglav
Mörk kolflarnlav
Skrovellav
Talltita
Tretåig hackspett
Ullticka
Vedflamlav
Vedskivlav
Violettgrå tagellav
Norrlandslav
Vedticka
Tjäder</t>
        </is>
      </c>
      <c r="S87">
        <f>HYPERLINK("https://klasma.github.io/Logging_2260/artfynd/A 26362-2023 artfynd.xlsx", "A 26362-2023")</f>
        <v/>
      </c>
      <c r="T87">
        <f>HYPERLINK("https://klasma.github.io/Logging_2260/kartor/A 26362-2023 karta.png", "A 26362-2023")</f>
        <v/>
      </c>
      <c r="U87">
        <f>HYPERLINK("https://klasma.github.io/Logging_2260/knärot/A 26362-2023 karta knärot.png", "A 26362-2023")</f>
        <v/>
      </c>
      <c r="V87">
        <f>HYPERLINK("https://klasma.github.io/Logging_2260/klagomål/A 26362-2023 FSC-klagomål.docx", "A 26362-2023")</f>
        <v/>
      </c>
      <c r="W87">
        <f>HYPERLINK("https://klasma.github.io/Logging_2260/klagomålsmail/A 26362-2023 FSC-klagomål mail.docx", "A 26362-2023")</f>
        <v/>
      </c>
      <c r="X87">
        <f>HYPERLINK("https://klasma.github.io/Logging_2260/tillsyn/A 26362-2023 tillsynsbegäran.docx", "A 26362-2023")</f>
        <v/>
      </c>
      <c r="Y87">
        <f>HYPERLINK("https://klasma.github.io/Logging_2260/tillsynsmail/A 26362-2023 tillsynsbegäran mail.docx", "A 26362-2023")</f>
        <v/>
      </c>
      <c r="Z87">
        <f>HYPERLINK("https://klasma.github.io/Logging_2260/fåglar/A 26362-2023 prioriterade fågelarter.docx", "A 26362-2023")</f>
        <v/>
      </c>
    </row>
    <row r="88" ht="15" customHeight="1">
      <c r="A88" t="inlineStr">
        <is>
          <t>A 49184-2022</t>
        </is>
      </c>
      <c r="B88" s="1" t="n">
        <v>44860</v>
      </c>
      <c r="C88" s="1" t="n">
        <v>46185</v>
      </c>
      <c r="D88" t="inlineStr">
        <is>
          <t>VÄSTERNORRLANDS LÄN</t>
        </is>
      </c>
      <c r="E88" t="inlineStr">
        <is>
          <t>ÅNGE</t>
        </is>
      </c>
      <c r="F88" t="inlineStr">
        <is>
          <t>SCA</t>
        </is>
      </c>
      <c r="G88" t="n">
        <v>14</v>
      </c>
      <c r="H88" t="n">
        <v>3</v>
      </c>
      <c r="I88" t="n">
        <v>3</v>
      </c>
      <c r="J88" t="n">
        <v>9</v>
      </c>
      <c r="K88" t="n">
        <v>2</v>
      </c>
      <c r="L88" t="n">
        <v>0</v>
      </c>
      <c r="M88" t="n">
        <v>0</v>
      </c>
      <c r="N88" t="n">
        <v>0</v>
      </c>
      <c r="O88" t="n">
        <v>11</v>
      </c>
      <c r="P88" t="n">
        <v>2</v>
      </c>
      <c r="Q88" t="n">
        <v>15</v>
      </c>
      <c r="R88" s="2" t="inlineStr">
        <is>
          <t>Knärot
Rynkskinn
Kolflarnlav
Mörk kolflarnlav
Rosenticka
Stiftgelélav
Svartvit flugsnappare
Ullticka
Vedskivlav
Vedtrappmossa
Violettgrå tagellav
Dropptaggsvamp
Flagellkvastmossa
Skinnlav
Kungsfågel</t>
        </is>
      </c>
      <c r="S88">
        <f>HYPERLINK("https://klasma.github.io/Logging_2260/artfynd/A 49184-2022 artfynd.xlsx", "A 49184-2022")</f>
        <v/>
      </c>
      <c r="T88">
        <f>HYPERLINK("https://klasma.github.io/Logging_2260/kartor/A 49184-2022 karta.png", "A 49184-2022")</f>
        <v/>
      </c>
      <c r="U88">
        <f>HYPERLINK("https://klasma.github.io/Logging_2260/knärot/A 49184-2022 karta knärot.png", "A 49184-2022")</f>
        <v/>
      </c>
      <c r="V88">
        <f>HYPERLINK("https://klasma.github.io/Logging_2260/klagomål/A 49184-2022 FSC-klagomål.docx", "A 49184-2022")</f>
        <v/>
      </c>
      <c r="W88">
        <f>HYPERLINK("https://klasma.github.io/Logging_2260/klagomålsmail/A 49184-2022 FSC-klagomål mail.docx", "A 49184-2022")</f>
        <v/>
      </c>
      <c r="X88">
        <f>HYPERLINK("https://klasma.github.io/Logging_2260/tillsyn/A 49184-2022 tillsynsbegäran.docx", "A 49184-2022")</f>
        <v/>
      </c>
      <c r="Y88">
        <f>HYPERLINK("https://klasma.github.io/Logging_2260/tillsynsmail/A 49184-2022 tillsynsbegäran mail.docx", "A 49184-2022")</f>
        <v/>
      </c>
      <c r="Z88">
        <f>HYPERLINK("https://klasma.github.io/Logging_2260/fåglar/A 49184-2022 prioriterade fågelarter.docx", "A 49184-2022")</f>
        <v/>
      </c>
    </row>
    <row r="89" ht="15" customHeight="1">
      <c r="A89" t="inlineStr">
        <is>
          <t>A 3426-2026</t>
        </is>
      </c>
      <c r="B89" s="1" t="n">
        <v>46042.44835648148</v>
      </c>
      <c r="C89" s="1" t="n">
        <v>46185</v>
      </c>
      <c r="D89" t="inlineStr">
        <is>
          <t>VÄSTERNORRLANDS LÄN</t>
        </is>
      </c>
      <c r="E89" t="inlineStr">
        <is>
          <t>SOLLEFTEÅ</t>
        </is>
      </c>
      <c r="G89" t="n">
        <v>9.9</v>
      </c>
      <c r="H89" t="n">
        <v>6</v>
      </c>
      <c r="I89" t="n">
        <v>2</v>
      </c>
      <c r="J89" t="n">
        <v>9</v>
      </c>
      <c r="K89" t="n">
        <v>2</v>
      </c>
      <c r="L89" t="n">
        <v>0</v>
      </c>
      <c r="M89" t="n">
        <v>0</v>
      </c>
      <c r="N89" t="n">
        <v>0</v>
      </c>
      <c r="O89" t="n">
        <v>11</v>
      </c>
      <c r="P89" t="n">
        <v>2</v>
      </c>
      <c r="Q89" t="n">
        <v>15</v>
      </c>
      <c r="R89" s="2" t="inlineStr">
        <is>
          <t>Knärot
Rynkskinn
Garnlav
Gränsticka
Järpe
Lunglav
Rosenticka
Skogshare
Spillkråka
Tretåig hackspett
Ullticka
Bårdlav
Vedticka
Blåsippa
Revlummer</t>
        </is>
      </c>
      <c r="S89">
        <f>HYPERLINK("https://klasma.github.io/Logging_2283/artfynd/A 3426-2026 artfynd.xlsx", "A 3426-2026")</f>
        <v/>
      </c>
      <c r="T89">
        <f>HYPERLINK("https://klasma.github.io/Logging_2283/kartor/A 3426-2026 karta.png", "A 3426-2026")</f>
        <v/>
      </c>
      <c r="U89">
        <f>HYPERLINK("https://klasma.github.io/Logging_2283/knärot/A 3426-2026 karta knärot.png", "A 3426-2026")</f>
        <v/>
      </c>
      <c r="V89">
        <f>HYPERLINK("https://klasma.github.io/Logging_2283/klagomål/A 3426-2026 FSC-klagomål.docx", "A 3426-2026")</f>
        <v/>
      </c>
      <c r="W89">
        <f>HYPERLINK("https://klasma.github.io/Logging_2283/klagomålsmail/A 3426-2026 FSC-klagomål mail.docx", "A 3426-2026")</f>
        <v/>
      </c>
      <c r="X89">
        <f>HYPERLINK("https://klasma.github.io/Logging_2283/tillsyn/A 3426-2026 tillsynsbegäran.docx", "A 3426-2026")</f>
        <v/>
      </c>
      <c r="Y89">
        <f>HYPERLINK("https://klasma.github.io/Logging_2283/tillsynsmail/A 3426-2026 tillsynsbegäran mail.docx", "A 3426-2026")</f>
        <v/>
      </c>
      <c r="Z89">
        <f>HYPERLINK("https://klasma.github.io/Logging_2283/fåglar/A 3426-2026 prioriterade fågelarter.docx", "A 3426-2026")</f>
        <v/>
      </c>
    </row>
    <row r="90" ht="15" customHeight="1">
      <c r="A90" t="inlineStr">
        <is>
          <t>A 11213-2022</t>
        </is>
      </c>
      <c r="B90" s="1" t="n">
        <v>44629</v>
      </c>
      <c r="C90" s="1" t="n">
        <v>46185</v>
      </c>
      <c r="D90" t="inlineStr">
        <is>
          <t>VÄSTERNORRLANDS LÄN</t>
        </is>
      </c>
      <c r="E90" t="inlineStr">
        <is>
          <t>SUNDSVALL</t>
        </is>
      </c>
      <c r="G90" t="n">
        <v>42.4</v>
      </c>
      <c r="H90" t="n">
        <v>2</v>
      </c>
      <c r="I90" t="n">
        <v>7</v>
      </c>
      <c r="J90" t="n">
        <v>6</v>
      </c>
      <c r="K90" t="n">
        <v>2</v>
      </c>
      <c r="L90" t="n">
        <v>0</v>
      </c>
      <c r="M90" t="n">
        <v>0</v>
      </c>
      <c r="N90" t="n">
        <v>0</v>
      </c>
      <c r="O90" t="n">
        <v>8</v>
      </c>
      <c r="P90" t="n">
        <v>2</v>
      </c>
      <c r="Q90" t="n">
        <v>15</v>
      </c>
      <c r="R90" s="2" t="inlineStr">
        <is>
          <t>Knärot
Rynkskinn
Garnlav
Lunglav
Mörk kolflarnlav
Rosenticka
Tretåig hackspett
Ullticka
Bårdlav
Kattfotslav
Korallblylav
Rävticka
Skinnlav
Stuplav
Vedticka</t>
        </is>
      </c>
      <c r="S90">
        <f>HYPERLINK("https://klasma.github.io/Logging_2281/artfynd/A 11213-2022 artfynd.xlsx", "A 11213-2022")</f>
        <v/>
      </c>
      <c r="T90">
        <f>HYPERLINK("https://klasma.github.io/Logging_2281/kartor/A 11213-2022 karta.png", "A 11213-2022")</f>
        <v/>
      </c>
      <c r="U90">
        <f>HYPERLINK("https://klasma.github.io/Logging_2281/knärot/A 11213-2022 karta knärot.png", "A 11213-2022")</f>
        <v/>
      </c>
      <c r="V90">
        <f>HYPERLINK("https://klasma.github.io/Logging_2281/klagomål/A 11213-2022 FSC-klagomål.docx", "A 11213-2022")</f>
        <v/>
      </c>
      <c r="W90">
        <f>HYPERLINK("https://klasma.github.io/Logging_2281/klagomålsmail/A 11213-2022 FSC-klagomål mail.docx", "A 11213-2022")</f>
        <v/>
      </c>
      <c r="X90">
        <f>HYPERLINK("https://klasma.github.io/Logging_2281/tillsyn/A 11213-2022 tillsynsbegäran.docx", "A 11213-2022")</f>
        <v/>
      </c>
      <c r="Y90">
        <f>HYPERLINK("https://klasma.github.io/Logging_2281/tillsynsmail/A 11213-2022 tillsynsbegäran mail.docx", "A 11213-2022")</f>
        <v/>
      </c>
      <c r="Z90">
        <f>HYPERLINK("https://klasma.github.io/Logging_2281/fåglar/A 11213-2022 prioriterade fågelarter.docx", "A 11213-2022")</f>
        <v/>
      </c>
    </row>
    <row r="91" ht="15" customHeight="1">
      <c r="A91" t="inlineStr">
        <is>
          <t>A 30588-2021</t>
        </is>
      </c>
      <c r="B91" s="1" t="n">
        <v>44364</v>
      </c>
      <c r="C91" s="1" t="n">
        <v>46185</v>
      </c>
      <c r="D91" t="inlineStr">
        <is>
          <t>VÄSTERNORRLANDS LÄN</t>
        </is>
      </c>
      <c r="E91" t="inlineStr">
        <is>
          <t>KRAMFORS</t>
        </is>
      </c>
      <c r="G91" t="n">
        <v>12.6</v>
      </c>
      <c r="H91" t="n">
        <v>0</v>
      </c>
      <c r="I91" t="n">
        <v>7</v>
      </c>
      <c r="J91" t="n">
        <v>7</v>
      </c>
      <c r="K91" t="n">
        <v>1</v>
      </c>
      <c r="L91" t="n">
        <v>0</v>
      </c>
      <c r="M91" t="n">
        <v>0</v>
      </c>
      <c r="N91" t="n">
        <v>0</v>
      </c>
      <c r="O91" t="n">
        <v>8</v>
      </c>
      <c r="P91" t="n">
        <v>1</v>
      </c>
      <c r="Q91" t="n">
        <v>15</v>
      </c>
      <c r="R91" s="2" t="inlineStr">
        <is>
          <t>Rynkskinn
Doftskinn
Gammelgransskål
Garnlav
Lunglav
Stiftgelélav
Ullticka
Violettgrå tagellav
Kattfotslav
Korallblylav
Skinnlav
Skuggblåslav
Stor aspticka
Stuplav
Vedticka</t>
        </is>
      </c>
      <c r="S91">
        <f>HYPERLINK("https://klasma.github.io/Logging_2282/artfynd/A 30588-2021 artfynd.xlsx", "A 30588-2021")</f>
        <v/>
      </c>
      <c r="T91">
        <f>HYPERLINK("https://klasma.github.io/Logging_2282/kartor/A 30588-2021 karta.png", "A 30588-2021")</f>
        <v/>
      </c>
      <c r="V91">
        <f>HYPERLINK("https://klasma.github.io/Logging_2282/klagomål/A 30588-2021 FSC-klagomål.docx", "A 30588-2021")</f>
        <v/>
      </c>
      <c r="W91">
        <f>HYPERLINK("https://klasma.github.io/Logging_2282/klagomålsmail/A 30588-2021 FSC-klagomål mail.docx", "A 30588-2021")</f>
        <v/>
      </c>
      <c r="X91">
        <f>HYPERLINK("https://klasma.github.io/Logging_2282/tillsyn/A 30588-2021 tillsynsbegäran.docx", "A 30588-2021")</f>
        <v/>
      </c>
      <c r="Y91">
        <f>HYPERLINK("https://klasma.github.io/Logging_2282/tillsynsmail/A 30588-2021 tillsynsbegäran mail.docx", "A 30588-2021")</f>
        <v/>
      </c>
    </row>
    <row r="92" ht="15" customHeight="1">
      <c r="A92" t="inlineStr">
        <is>
          <t>A 20708-2025</t>
        </is>
      </c>
      <c r="B92" s="1" t="n">
        <v>45776</v>
      </c>
      <c r="C92" s="1" t="n">
        <v>46185</v>
      </c>
      <c r="D92" t="inlineStr">
        <is>
          <t>VÄSTERNORRLANDS LÄN</t>
        </is>
      </c>
      <c r="E92" t="inlineStr">
        <is>
          <t>SUNDSVALL</t>
        </is>
      </c>
      <c r="G92" t="n">
        <v>3.9</v>
      </c>
      <c r="H92" t="n">
        <v>3</v>
      </c>
      <c r="I92" t="n">
        <v>8</v>
      </c>
      <c r="J92" t="n">
        <v>4</v>
      </c>
      <c r="K92" t="n">
        <v>2</v>
      </c>
      <c r="L92" t="n">
        <v>0</v>
      </c>
      <c r="M92" t="n">
        <v>0</v>
      </c>
      <c r="N92" t="n">
        <v>0</v>
      </c>
      <c r="O92" t="n">
        <v>6</v>
      </c>
      <c r="P92" t="n">
        <v>2</v>
      </c>
      <c r="Q92" t="n">
        <v>15</v>
      </c>
      <c r="R92" s="2" t="inlineStr">
        <is>
          <t>Knärot
Rynkskinn
Lunglav
Rosenticka
Tretåig hackspett
Vedtrappmossa
Korallblylav
Skinnlav
Strutbräken
Stuplav
Svart trolldruva
Trådticka
Vedticka
Vårärt
Nattviol</t>
        </is>
      </c>
      <c r="S92">
        <f>HYPERLINK("https://klasma.github.io/Logging_2281/artfynd/A 20708-2025 artfynd.xlsx", "A 20708-2025")</f>
        <v/>
      </c>
      <c r="T92">
        <f>HYPERLINK("https://klasma.github.io/Logging_2281/kartor/A 20708-2025 karta.png", "A 20708-2025")</f>
        <v/>
      </c>
      <c r="U92">
        <f>HYPERLINK("https://klasma.github.io/Logging_2281/knärot/A 20708-2025 karta knärot.png", "A 20708-2025")</f>
        <v/>
      </c>
      <c r="V92">
        <f>HYPERLINK("https://klasma.github.io/Logging_2281/klagomål/A 20708-2025 FSC-klagomål.docx", "A 20708-2025")</f>
        <v/>
      </c>
      <c r="W92">
        <f>HYPERLINK("https://klasma.github.io/Logging_2281/klagomålsmail/A 20708-2025 FSC-klagomål mail.docx", "A 20708-2025")</f>
        <v/>
      </c>
      <c r="X92">
        <f>HYPERLINK("https://klasma.github.io/Logging_2281/tillsyn/A 20708-2025 tillsynsbegäran.docx", "A 20708-2025")</f>
        <v/>
      </c>
      <c r="Y92">
        <f>HYPERLINK("https://klasma.github.io/Logging_2281/tillsynsmail/A 20708-2025 tillsynsbegäran mail.docx", "A 20708-2025")</f>
        <v/>
      </c>
      <c r="Z92">
        <f>HYPERLINK("https://klasma.github.io/Logging_2281/fåglar/A 20708-2025 prioriterade fågelarter.docx", "A 20708-2025")</f>
        <v/>
      </c>
    </row>
    <row r="93" ht="15" customHeight="1">
      <c r="A93" t="inlineStr">
        <is>
          <t>A 30473-2024</t>
        </is>
      </c>
      <c r="B93" s="1" t="n">
        <v>45491</v>
      </c>
      <c r="C93" s="1" t="n">
        <v>46185</v>
      </c>
      <c r="D93" t="inlineStr">
        <is>
          <t>VÄSTERNORRLANDS LÄN</t>
        </is>
      </c>
      <c r="E93" t="inlineStr">
        <is>
          <t>SUNDSVALL</t>
        </is>
      </c>
      <c r="F93" t="inlineStr">
        <is>
          <t>Naturvårdsverket</t>
        </is>
      </c>
      <c r="G93" t="n">
        <v>24.1</v>
      </c>
      <c r="H93" t="n">
        <v>6</v>
      </c>
      <c r="I93" t="n">
        <v>4</v>
      </c>
      <c r="J93" t="n">
        <v>8</v>
      </c>
      <c r="K93" t="n">
        <v>1</v>
      </c>
      <c r="L93" t="n">
        <v>0</v>
      </c>
      <c r="M93" t="n">
        <v>0</v>
      </c>
      <c r="N93" t="n">
        <v>0</v>
      </c>
      <c r="O93" t="n">
        <v>9</v>
      </c>
      <c r="P93" t="n">
        <v>1</v>
      </c>
      <c r="Q93" t="n">
        <v>15</v>
      </c>
      <c r="R93" s="2" t="inlineStr">
        <is>
          <t>Knärot
Garnlav
Granticka
Orange taggsvamp
Rosenticka
Spillkråka
Svart taggsvamp agg.
Tretåig hackspett
Ullticka
Dropptaggsvamp
Plattlummer
Trådticka
Vedticka
Fläcknycklar
Revlummer</t>
        </is>
      </c>
      <c r="S93">
        <f>HYPERLINK("https://klasma.github.io/Logging_2281/artfynd/A 30473-2024 artfynd.xlsx", "A 30473-2024")</f>
        <v/>
      </c>
      <c r="T93">
        <f>HYPERLINK("https://klasma.github.io/Logging_2281/kartor/A 30473-2024 karta.png", "A 30473-2024")</f>
        <v/>
      </c>
      <c r="U93">
        <f>HYPERLINK("https://klasma.github.io/Logging_2281/knärot/A 30473-2024 karta knärot.png", "A 30473-2024")</f>
        <v/>
      </c>
      <c r="V93">
        <f>HYPERLINK("https://klasma.github.io/Logging_2281/klagomål/A 30473-2024 FSC-klagomål.docx", "A 30473-2024")</f>
        <v/>
      </c>
      <c r="W93">
        <f>HYPERLINK("https://klasma.github.io/Logging_2281/klagomålsmail/A 30473-2024 FSC-klagomål mail.docx", "A 30473-2024")</f>
        <v/>
      </c>
      <c r="X93">
        <f>HYPERLINK("https://klasma.github.io/Logging_2281/tillsyn/A 30473-2024 tillsynsbegäran.docx", "A 30473-2024")</f>
        <v/>
      </c>
      <c r="Y93">
        <f>HYPERLINK("https://klasma.github.io/Logging_2281/tillsynsmail/A 30473-2024 tillsynsbegäran mail.docx", "A 30473-2024")</f>
        <v/>
      </c>
      <c r="Z93">
        <f>HYPERLINK("https://klasma.github.io/Logging_2281/fåglar/A 30473-2024 prioriterade fågelarter.docx", "A 30473-2024")</f>
        <v/>
      </c>
    </row>
    <row r="94" ht="15" customHeight="1">
      <c r="A94" t="inlineStr">
        <is>
          <t>A 13423-2026</t>
        </is>
      </c>
      <c r="B94" s="1" t="n">
        <v>46094</v>
      </c>
      <c r="C94" s="1" t="n">
        <v>46185</v>
      </c>
      <c r="D94" t="inlineStr">
        <is>
          <t>VÄSTERNORRLANDS LÄN</t>
        </is>
      </c>
      <c r="E94" t="inlineStr">
        <is>
          <t>KRAMFORS</t>
        </is>
      </c>
      <c r="G94" t="n">
        <v>16.9</v>
      </c>
      <c r="H94" t="n">
        <v>7</v>
      </c>
      <c r="I94" t="n">
        <v>2</v>
      </c>
      <c r="J94" t="n">
        <v>7</v>
      </c>
      <c r="K94" t="n">
        <v>2</v>
      </c>
      <c r="L94" t="n">
        <v>0</v>
      </c>
      <c r="M94" t="n">
        <v>0</v>
      </c>
      <c r="N94" t="n">
        <v>0</v>
      </c>
      <c r="O94" t="n">
        <v>9</v>
      </c>
      <c r="P94" t="n">
        <v>2</v>
      </c>
      <c r="Q94" t="n">
        <v>15</v>
      </c>
      <c r="R94" s="2" t="inlineStr">
        <is>
          <t>Aspgelélav
Knärot
Garnlav
Kötticka
Lunglav
Skogshare
Spillkråka
Tretåig hackspett
Ullticka
Korallblylav
Vedticka
Gråspett
Blåsippa
Lopplummer (aggregat)
Revlummer</t>
        </is>
      </c>
      <c r="S94">
        <f>HYPERLINK("https://klasma.github.io/Logging_2282/artfynd/A 13423-2026 artfynd.xlsx", "A 13423-2026")</f>
        <v/>
      </c>
      <c r="T94">
        <f>HYPERLINK("https://klasma.github.io/Logging_2282/kartor/A 13423-2026 karta.png", "A 13423-2026")</f>
        <v/>
      </c>
      <c r="U94">
        <f>HYPERLINK("https://klasma.github.io/Logging_2282/knärot/A 13423-2026 karta knärot.png", "A 13423-2026")</f>
        <v/>
      </c>
      <c r="V94">
        <f>HYPERLINK("https://klasma.github.io/Logging_2282/klagomål/A 13423-2026 FSC-klagomål.docx", "A 13423-2026")</f>
        <v/>
      </c>
      <c r="W94">
        <f>HYPERLINK("https://klasma.github.io/Logging_2282/klagomålsmail/A 13423-2026 FSC-klagomål mail.docx", "A 13423-2026")</f>
        <v/>
      </c>
      <c r="X94">
        <f>HYPERLINK("https://klasma.github.io/Logging_2282/tillsyn/A 13423-2026 tillsynsbegäran.docx", "A 13423-2026")</f>
        <v/>
      </c>
      <c r="Y94">
        <f>HYPERLINK("https://klasma.github.io/Logging_2282/tillsynsmail/A 13423-2026 tillsynsbegäran mail.docx", "A 13423-2026")</f>
        <v/>
      </c>
      <c r="Z94">
        <f>HYPERLINK("https://klasma.github.io/Logging_2282/fåglar/A 13423-2026 prioriterade fågelarter.docx", "A 13423-2026")</f>
        <v/>
      </c>
    </row>
    <row r="95" ht="15" customHeight="1">
      <c r="A95" t="inlineStr">
        <is>
          <t>A 34269-2022</t>
        </is>
      </c>
      <c r="B95" s="1" t="n">
        <v>44791</v>
      </c>
      <c r="C95" s="1" t="n">
        <v>46185</v>
      </c>
      <c r="D95" t="inlineStr">
        <is>
          <t>VÄSTERNORRLANDS LÄN</t>
        </is>
      </c>
      <c r="E95" t="inlineStr">
        <is>
          <t>SOLLEFTEÅ</t>
        </is>
      </c>
      <c r="F95" t="inlineStr">
        <is>
          <t>SCA</t>
        </is>
      </c>
      <c r="G95" t="n">
        <v>5.9</v>
      </c>
      <c r="H95" t="n">
        <v>3</v>
      </c>
      <c r="I95" t="n">
        <v>2</v>
      </c>
      <c r="J95" t="n">
        <v>11</v>
      </c>
      <c r="K95" t="n">
        <v>2</v>
      </c>
      <c r="L95" t="n">
        <v>0</v>
      </c>
      <c r="M95" t="n">
        <v>0</v>
      </c>
      <c r="N95" t="n">
        <v>0</v>
      </c>
      <c r="O95" t="n">
        <v>13</v>
      </c>
      <c r="P95" t="n">
        <v>2</v>
      </c>
      <c r="Q95" t="n">
        <v>15</v>
      </c>
      <c r="R95" s="2" t="inlineStr">
        <is>
          <t>Knärot
Smalfotad taggsvamp
Gammelgransskål
Garnlav
Granticka
Gränsticka
Kolflarnlav
Rosenticka
Tallticka
Talltita
Tretåig hackspett
Vaddporing
Vedskivlav
Norrlandslav
Vedticka</t>
        </is>
      </c>
      <c r="S95">
        <f>HYPERLINK("https://klasma.github.io/Logging_2283/artfynd/A 34269-2022 artfynd.xlsx", "A 34269-2022")</f>
        <v/>
      </c>
      <c r="T95">
        <f>HYPERLINK("https://klasma.github.io/Logging_2283/kartor/A 34269-2022 karta.png", "A 34269-2022")</f>
        <v/>
      </c>
      <c r="U95">
        <f>HYPERLINK("https://klasma.github.io/Logging_2283/knärot/A 34269-2022 karta knärot.png", "A 34269-2022")</f>
        <v/>
      </c>
      <c r="V95">
        <f>HYPERLINK("https://klasma.github.io/Logging_2283/klagomål/A 34269-2022 FSC-klagomål.docx", "A 34269-2022")</f>
        <v/>
      </c>
      <c r="W95">
        <f>HYPERLINK("https://klasma.github.io/Logging_2283/klagomålsmail/A 34269-2022 FSC-klagomål mail.docx", "A 34269-2022")</f>
        <v/>
      </c>
      <c r="X95">
        <f>HYPERLINK("https://klasma.github.io/Logging_2283/tillsyn/A 34269-2022 tillsynsbegäran.docx", "A 34269-2022")</f>
        <v/>
      </c>
      <c r="Y95">
        <f>HYPERLINK("https://klasma.github.io/Logging_2283/tillsynsmail/A 34269-2022 tillsynsbegäran mail.docx", "A 34269-2022")</f>
        <v/>
      </c>
      <c r="Z95">
        <f>HYPERLINK("https://klasma.github.io/Logging_2283/fåglar/A 34269-2022 prioriterade fågelarter.docx", "A 34269-2022")</f>
        <v/>
      </c>
    </row>
    <row r="96" ht="15" customHeight="1">
      <c r="A96" t="inlineStr">
        <is>
          <t>A 18689-2025</t>
        </is>
      </c>
      <c r="B96" s="1" t="n">
        <v>45763</v>
      </c>
      <c r="C96" s="1" t="n">
        <v>46185</v>
      </c>
      <c r="D96" t="inlineStr">
        <is>
          <t>VÄSTERNORRLANDS LÄN</t>
        </is>
      </c>
      <c r="E96" t="inlineStr">
        <is>
          <t>HÄRNÖSAND</t>
        </is>
      </c>
      <c r="F96" t="inlineStr">
        <is>
          <t>SCA</t>
        </is>
      </c>
      <c r="G96" t="n">
        <v>12.2</v>
      </c>
      <c r="H96" t="n">
        <v>5</v>
      </c>
      <c r="I96" t="n">
        <v>5</v>
      </c>
      <c r="J96" t="n">
        <v>6</v>
      </c>
      <c r="K96" t="n">
        <v>2</v>
      </c>
      <c r="L96" t="n">
        <v>0</v>
      </c>
      <c r="M96" t="n">
        <v>0</v>
      </c>
      <c r="N96" t="n">
        <v>0</v>
      </c>
      <c r="O96" t="n">
        <v>8</v>
      </c>
      <c r="P96" t="n">
        <v>2</v>
      </c>
      <c r="Q96" t="n">
        <v>15</v>
      </c>
      <c r="R96" s="2" t="inlineStr">
        <is>
          <t>Knärot
Rynkskinn
Doftskinn
Garnlav
Gränsticka
Tretåig hackspett
Ullticka
Violettgrå tagellav
Luddlav
Spindelblomster
Stor aspticka
Stuplav
Vedticka
Fläcknycklar
Nattviol</t>
        </is>
      </c>
      <c r="S96">
        <f>HYPERLINK("https://klasma.github.io/Logging_2280/artfynd/A 18689-2025 artfynd.xlsx", "A 18689-2025")</f>
        <v/>
      </c>
      <c r="T96">
        <f>HYPERLINK("https://klasma.github.io/Logging_2280/kartor/A 18689-2025 karta.png", "A 18689-2025")</f>
        <v/>
      </c>
      <c r="U96">
        <f>HYPERLINK("https://klasma.github.io/Logging_2280/knärot/A 18689-2025 karta knärot.png", "A 18689-2025")</f>
        <v/>
      </c>
      <c r="V96">
        <f>HYPERLINK("https://klasma.github.io/Logging_2280/klagomål/A 18689-2025 FSC-klagomål.docx", "A 18689-2025")</f>
        <v/>
      </c>
      <c r="W96">
        <f>HYPERLINK("https://klasma.github.io/Logging_2280/klagomålsmail/A 18689-2025 FSC-klagomål mail.docx", "A 18689-2025")</f>
        <v/>
      </c>
      <c r="X96">
        <f>HYPERLINK("https://klasma.github.io/Logging_2280/tillsyn/A 18689-2025 tillsynsbegäran.docx", "A 18689-2025")</f>
        <v/>
      </c>
      <c r="Y96">
        <f>HYPERLINK("https://klasma.github.io/Logging_2280/tillsynsmail/A 18689-2025 tillsynsbegäran mail.docx", "A 18689-2025")</f>
        <v/>
      </c>
      <c r="Z96">
        <f>HYPERLINK("https://klasma.github.io/Logging_2280/fåglar/A 18689-2025 prioriterade fågelarter.docx", "A 18689-2025")</f>
        <v/>
      </c>
    </row>
    <row r="97" ht="15" customHeight="1">
      <c r="A97" t="inlineStr">
        <is>
          <t>A 30587-2021</t>
        </is>
      </c>
      <c r="B97" s="1" t="n">
        <v>44364</v>
      </c>
      <c r="C97" s="1" t="n">
        <v>46185</v>
      </c>
      <c r="D97" t="inlineStr">
        <is>
          <t>VÄSTERNORRLANDS LÄN</t>
        </is>
      </c>
      <c r="E97" t="inlineStr">
        <is>
          <t>KRAMFORS</t>
        </is>
      </c>
      <c r="G97" t="n">
        <v>4.8</v>
      </c>
      <c r="H97" t="n">
        <v>2</v>
      </c>
      <c r="I97" t="n">
        <v>4</v>
      </c>
      <c r="J97" t="n">
        <v>8</v>
      </c>
      <c r="K97" t="n">
        <v>1</v>
      </c>
      <c r="L97" t="n">
        <v>0</v>
      </c>
      <c r="M97" t="n">
        <v>0</v>
      </c>
      <c r="N97" t="n">
        <v>0</v>
      </c>
      <c r="O97" t="n">
        <v>9</v>
      </c>
      <c r="P97" t="n">
        <v>1</v>
      </c>
      <c r="Q97" t="n">
        <v>14</v>
      </c>
      <c r="R97" s="2" t="inlineStr">
        <is>
          <t>Rynkskinn
Doftskinn
Gammelgransskål
Garnlav
Gränsticka
Lunglav
Rosenticka
Ullticka
Violettgrå tagellav
Kattfotslav
Korallblylav
Spindelblomster
Vedticka
Fläcknycklar</t>
        </is>
      </c>
      <c r="S97">
        <f>HYPERLINK("https://klasma.github.io/Logging_2282/artfynd/A 30587-2021 artfynd.xlsx", "A 30587-2021")</f>
        <v/>
      </c>
      <c r="T97">
        <f>HYPERLINK("https://klasma.github.io/Logging_2282/kartor/A 30587-2021 karta.png", "A 30587-2021")</f>
        <v/>
      </c>
      <c r="V97">
        <f>HYPERLINK("https://klasma.github.io/Logging_2282/klagomål/A 30587-2021 FSC-klagomål.docx", "A 30587-2021")</f>
        <v/>
      </c>
      <c r="W97">
        <f>HYPERLINK("https://klasma.github.io/Logging_2282/klagomålsmail/A 30587-2021 FSC-klagomål mail.docx", "A 30587-2021")</f>
        <v/>
      </c>
      <c r="X97">
        <f>HYPERLINK("https://klasma.github.io/Logging_2282/tillsyn/A 30587-2021 tillsynsbegäran.docx", "A 30587-2021")</f>
        <v/>
      </c>
      <c r="Y97">
        <f>HYPERLINK("https://klasma.github.io/Logging_2282/tillsynsmail/A 30587-2021 tillsynsbegäran mail.docx", "A 30587-2021")</f>
        <v/>
      </c>
    </row>
    <row r="98" ht="15" customHeight="1">
      <c r="A98" t="inlineStr">
        <is>
          <t>A 64520-2023</t>
        </is>
      </c>
      <c r="B98" s="1" t="n">
        <v>45281</v>
      </c>
      <c r="C98" s="1" t="n">
        <v>46185</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26089-2025</t>
        </is>
      </c>
      <c r="B99" s="1" t="n">
        <v>45805.34509259259</v>
      </c>
      <c r="C99" s="1" t="n">
        <v>46185</v>
      </c>
      <c r="D99" t="inlineStr">
        <is>
          <t>VÄSTERNORRLANDS LÄN</t>
        </is>
      </c>
      <c r="E99" t="inlineStr">
        <is>
          <t>SUNDSVALL</t>
        </is>
      </c>
      <c r="F99" t="inlineStr">
        <is>
          <t>Naturvårdsverket</t>
        </is>
      </c>
      <c r="G99" t="n">
        <v>9.4</v>
      </c>
      <c r="H99" t="n">
        <v>2</v>
      </c>
      <c r="I99" t="n">
        <v>1</v>
      </c>
      <c r="J99" t="n">
        <v>10</v>
      </c>
      <c r="K99" t="n">
        <v>2</v>
      </c>
      <c r="L99" t="n">
        <v>0</v>
      </c>
      <c r="M99" t="n">
        <v>0</v>
      </c>
      <c r="N99" t="n">
        <v>0</v>
      </c>
      <c r="O99" t="n">
        <v>12</v>
      </c>
      <c r="P99" t="n">
        <v>2</v>
      </c>
      <c r="Q99" t="n">
        <v>14</v>
      </c>
      <c r="R99" s="2" t="inlineStr">
        <is>
          <t>Fläckporing
Gräddporing
Blanksvart spiklav
Drillsnäppa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27491-2025</t>
        </is>
      </c>
      <c r="B100" s="1" t="n">
        <v>45813.39288194444</v>
      </c>
      <c r="C100" s="1" t="n">
        <v>46185</v>
      </c>
      <c r="D100" t="inlineStr">
        <is>
          <t>VÄSTERNORRLANDS LÄN</t>
        </is>
      </c>
      <c r="E100" t="inlineStr">
        <is>
          <t>ÖRNSKÖLDSVIK</t>
        </is>
      </c>
      <c r="G100" t="n">
        <v>11.6</v>
      </c>
      <c r="H100" t="n">
        <v>3</v>
      </c>
      <c r="I100" t="n">
        <v>3</v>
      </c>
      <c r="J100" t="n">
        <v>9</v>
      </c>
      <c r="K100" t="n">
        <v>1</v>
      </c>
      <c r="L100" t="n">
        <v>0</v>
      </c>
      <c r="M100" t="n">
        <v>0</v>
      </c>
      <c r="N100" t="n">
        <v>0</v>
      </c>
      <c r="O100" t="n">
        <v>10</v>
      </c>
      <c r="P100" t="n">
        <v>1</v>
      </c>
      <c r="Q100" t="n">
        <v>14</v>
      </c>
      <c r="R100" s="2" t="inlineStr">
        <is>
          <t>Rynkskinn
Doftskinn
Garnlav
Granticka
Kådvaxskinn
Kötticka
Lunglav
Tretåig hackspett
Ullticka
Vedskivlav
Luddlav
Plattlummer
Vedticka
Tjäder</t>
        </is>
      </c>
      <c r="S100">
        <f>HYPERLINK("https://klasma.github.io/Logging_2284/artfynd/A 27491-2025 artfynd.xlsx", "A 27491-2025")</f>
        <v/>
      </c>
      <c r="T100">
        <f>HYPERLINK("https://klasma.github.io/Logging_2284/kartor/A 27491-2025 karta.png", "A 27491-2025")</f>
        <v/>
      </c>
      <c r="V100">
        <f>HYPERLINK("https://klasma.github.io/Logging_2284/klagomål/A 27491-2025 FSC-klagomål.docx", "A 27491-2025")</f>
        <v/>
      </c>
      <c r="W100">
        <f>HYPERLINK("https://klasma.github.io/Logging_2284/klagomålsmail/A 27491-2025 FSC-klagomål mail.docx", "A 27491-2025")</f>
        <v/>
      </c>
      <c r="X100">
        <f>HYPERLINK("https://klasma.github.io/Logging_2284/tillsyn/A 27491-2025 tillsynsbegäran.docx", "A 27491-2025")</f>
        <v/>
      </c>
      <c r="Y100">
        <f>HYPERLINK("https://klasma.github.io/Logging_2284/tillsynsmail/A 27491-2025 tillsynsbegäran mail.docx", "A 27491-2025")</f>
        <v/>
      </c>
      <c r="Z100">
        <f>HYPERLINK("https://klasma.github.io/Logging_2284/fåglar/A 27491-2025 prioriterade fågelarter.docx", "A 27491-2025")</f>
        <v/>
      </c>
    </row>
    <row r="101" ht="15" customHeight="1">
      <c r="A101" t="inlineStr">
        <is>
          <t>A 47617-2024</t>
        </is>
      </c>
      <c r="B101" s="1" t="n">
        <v>45588.32125</v>
      </c>
      <c r="C101" s="1" t="n">
        <v>46185</v>
      </c>
      <c r="D101" t="inlineStr">
        <is>
          <t>VÄSTERNORRLANDS LÄN</t>
        </is>
      </c>
      <c r="E101" t="inlineStr">
        <is>
          <t>ÅNGE</t>
        </is>
      </c>
      <c r="F101" t="inlineStr">
        <is>
          <t>Holmen skog AB</t>
        </is>
      </c>
      <c r="G101" t="n">
        <v>8.300000000000001</v>
      </c>
      <c r="H101" t="n">
        <v>3</v>
      </c>
      <c r="I101" t="n">
        <v>5</v>
      </c>
      <c r="J101" t="n">
        <v>7</v>
      </c>
      <c r="K101" t="n">
        <v>1</v>
      </c>
      <c r="L101" t="n">
        <v>0</v>
      </c>
      <c r="M101" t="n">
        <v>0</v>
      </c>
      <c r="N101" t="n">
        <v>0</v>
      </c>
      <c r="O101" t="n">
        <v>8</v>
      </c>
      <c r="P101" t="n">
        <v>1</v>
      </c>
      <c r="Q101" t="n">
        <v>14</v>
      </c>
      <c r="R101" s="2" t="inlineStr">
        <is>
          <t>Knärot
Doftskinn
Garnlav
Granticka
Gränsticka
Lunglav
Skrovellav
Vedskivlav
Barkkornlav
Kransrams
Plattlummer
Skinnlav
Stuplav
Fläcknycklar</t>
        </is>
      </c>
      <c r="S101">
        <f>HYPERLINK("https://klasma.github.io/Logging_2260/artfynd/A 47617-2024 artfynd.xlsx", "A 47617-2024")</f>
        <v/>
      </c>
      <c r="T101">
        <f>HYPERLINK("https://klasma.github.io/Logging_2260/kartor/A 47617-2024 karta.png", "A 47617-2024")</f>
        <v/>
      </c>
      <c r="U101">
        <f>HYPERLINK("https://klasma.github.io/Logging_2260/knärot/A 47617-2024 karta knärot.png", "A 47617-2024")</f>
        <v/>
      </c>
      <c r="V101">
        <f>HYPERLINK("https://klasma.github.io/Logging_2260/klagomål/A 47617-2024 FSC-klagomål.docx", "A 47617-2024")</f>
        <v/>
      </c>
      <c r="W101">
        <f>HYPERLINK("https://klasma.github.io/Logging_2260/klagomålsmail/A 47617-2024 FSC-klagomål mail.docx", "A 47617-2024")</f>
        <v/>
      </c>
      <c r="X101">
        <f>HYPERLINK("https://klasma.github.io/Logging_2260/tillsyn/A 47617-2024 tillsynsbegäran.docx", "A 47617-2024")</f>
        <v/>
      </c>
      <c r="Y101">
        <f>HYPERLINK("https://klasma.github.io/Logging_2260/tillsynsmail/A 47617-2024 tillsynsbegäran mail.docx", "A 47617-2024")</f>
        <v/>
      </c>
    </row>
    <row r="102" ht="15" customHeight="1">
      <c r="A102" t="inlineStr">
        <is>
          <t>A 40262-2024</t>
        </is>
      </c>
      <c r="B102" s="1" t="n">
        <v>45554</v>
      </c>
      <c r="C102" s="1" t="n">
        <v>46185</v>
      </c>
      <c r="D102" t="inlineStr">
        <is>
          <t>VÄSTERNORRLANDS LÄN</t>
        </is>
      </c>
      <c r="E102" t="inlineStr">
        <is>
          <t>SOLLEFTEÅ</t>
        </is>
      </c>
      <c r="F102" t="inlineStr">
        <is>
          <t>SCA</t>
        </is>
      </c>
      <c r="G102" t="n">
        <v>17.9</v>
      </c>
      <c r="H102" t="n">
        <v>4</v>
      </c>
      <c r="I102" t="n">
        <v>2</v>
      </c>
      <c r="J102" t="n">
        <v>11</v>
      </c>
      <c r="K102" t="n">
        <v>1</v>
      </c>
      <c r="L102" t="n">
        <v>0</v>
      </c>
      <c r="M102" t="n">
        <v>0</v>
      </c>
      <c r="N102" t="n">
        <v>0</v>
      </c>
      <c r="O102" t="n">
        <v>12</v>
      </c>
      <c r="P102" t="n">
        <v>1</v>
      </c>
      <c r="Q102" t="n">
        <v>14</v>
      </c>
      <c r="R102" s="2" t="inlineStr">
        <is>
          <t>Knärot
Garnlav
Järpe
Kolflarnlav
Kötticka
Motaggsvamp
Rosenticka
Spillkråka
Stjärntagging
Tallticka
Tretåig hackspett
Ullticka
Bollvitmossa
Vedticka</t>
        </is>
      </c>
      <c r="S102">
        <f>HYPERLINK("https://klasma.github.io/Logging_2283/artfynd/A 40262-2024 artfynd.xlsx", "A 40262-2024")</f>
        <v/>
      </c>
      <c r="T102">
        <f>HYPERLINK("https://klasma.github.io/Logging_2283/kartor/A 40262-2024 karta.png", "A 40262-2024")</f>
        <v/>
      </c>
      <c r="U102">
        <f>HYPERLINK("https://klasma.github.io/Logging_2283/knärot/A 40262-2024 karta knärot.png", "A 40262-2024")</f>
        <v/>
      </c>
      <c r="V102">
        <f>HYPERLINK("https://klasma.github.io/Logging_2283/klagomål/A 40262-2024 FSC-klagomål.docx", "A 40262-2024")</f>
        <v/>
      </c>
      <c r="W102">
        <f>HYPERLINK("https://klasma.github.io/Logging_2283/klagomålsmail/A 40262-2024 FSC-klagomål mail.docx", "A 40262-2024")</f>
        <v/>
      </c>
      <c r="X102">
        <f>HYPERLINK("https://klasma.github.io/Logging_2283/tillsyn/A 40262-2024 tillsynsbegäran.docx", "A 40262-2024")</f>
        <v/>
      </c>
      <c r="Y102">
        <f>HYPERLINK("https://klasma.github.io/Logging_2283/tillsynsmail/A 40262-2024 tillsynsbegäran mail.docx", "A 40262-2024")</f>
        <v/>
      </c>
      <c r="Z102">
        <f>HYPERLINK("https://klasma.github.io/Logging_2283/fåglar/A 40262-2024 prioriterade fågelarter.docx", "A 40262-2024")</f>
        <v/>
      </c>
    </row>
    <row r="103" ht="15" customHeight="1">
      <c r="A103" t="inlineStr">
        <is>
          <t>A 29076-2024</t>
        </is>
      </c>
      <c r="B103" s="1" t="n">
        <v>45481</v>
      </c>
      <c r="C103" s="1" t="n">
        <v>46185</v>
      </c>
      <c r="D103" t="inlineStr">
        <is>
          <t>VÄSTERNORRLANDS LÄN</t>
        </is>
      </c>
      <c r="E103" t="inlineStr">
        <is>
          <t>SUNDSVALL</t>
        </is>
      </c>
      <c r="G103" t="n">
        <v>5.6</v>
      </c>
      <c r="H103" t="n">
        <v>2</v>
      </c>
      <c r="I103" t="n">
        <v>5</v>
      </c>
      <c r="J103" t="n">
        <v>6</v>
      </c>
      <c r="K103" t="n">
        <v>2</v>
      </c>
      <c r="L103" t="n">
        <v>1</v>
      </c>
      <c r="M103" t="n">
        <v>0</v>
      </c>
      <c r="N103" t="n">
        <v>0</v>
      </c>
      <c r="O103" t="n">
        <v>9</v>
      </c>
      <c r="P103" t="n">
        <v>3</v>
      </c>
      <c r="Q103" t="n">
        <v>14</v>
      </c>
      <c r="R103" s="2" t="inlineStr">
        <is>
          <t>Trådbrosklav
Knärot
Rynkskinn
Garnlav
Harticka
Lunglav
Rosenticka
Tretåig hackspett
Ullticka
Bårdlav
Luddlav
Stuplav
Svart trolldruva
Vedticka</t>
        </is>
      </c>
      <c r="S103">
        <f>HYPERLINK("https://klasma.github.io/Logging_2281/artfynd/A 29076-2024 artfynd.xlsx", "A 29076-2024")</f>
        <v/>
      </c>
      <c r="T103">
        <f>HYPERLINK("https://klasma.github.io/Logging_2281/kartor/A 29076-2024 karta.png", "A 29076-2024")</f>
        <v/>
      </c>
      <c r="U103">
        <f>HYPERLINK("https://klasma.github.io/Logging_2281/knärot/A 29076-2024 karta knärot.png", "A 29076-2024")</f>
        <v/>
      </c>
      <c r="V103">
        <f>HYPERLINK("https://klasma.github.io/Logging_2281/klagomål/A 29076-2024 FSC-klagomål.docx", "A 29076-2024")</f>
        <v/>
      </c>
      <c r="W103">
        <f>HYPERLINK("https://klasma.github.io/Logging_2281/klagomålsmail/A 29076-2024 FSC-klagomål mail.docx", "A 29076-2024")</f>
        <v/>
      </c>
      <c r="X103">
        <f>HYPERLINK("https://klasma.github.io/Logging_2281/tillsyn/A 29076-2024 tillsynsbegäran.docx", "A 29076-2024")</f>
        <v/>
      </c>
      <c r="Y103">
        <f>HYPERLINK("https://klasma.github.io/Logging_2281/tillsynsmail/A 29076-2024 tillsynsbegäran mail.docx", "A 29076-2024")</f>
        <v/>
      </c>
      <c r="Z103">
        <f>HYPERLINK("https://klasma.github.io/Logging_2281/fåglar/A 29076-2024 prioriterade fågelarter.docx", "A 29076-2024")</f>
        <v/>
      </c>
    </row>
    <row r="104" ht="15" customHeight="1">
      <c r="A104" t="inlineStr">
        <is>
          <t>A 46163-2025</t>
        </is>
      </c>
      <c r="B104" s="1" t="n">
        <v>45924</v>
      </c>
      <c r="C104" s="1" t="n">
        <v>46185</v>
      </c>
      <c r="D104" t="inlineStr">
        <is>
          <t>VÄSTERNORRLANDS LÄN</t>
        </is>
      </c>
      <c r="E104" t="inlineStr">
        <is>
          <t>ÅNGE</t>
        </is>
      </c>
      <c r="G104" t="n">
        <v>9.300000000000001</v>
      </c>
      <c r="H104" t="n">
        <v>4</v>
      </c>
      <c r="I104" t="n">
        <v>3</v>
      </c>
      <c r="J104" t="n">
        <v>8</v>
      </c>
      <c r="K104" t="n">
        <v>2</v>
      </c>
      <c r="L104" t="n">
        <v>0</v>
      </c>
      <c r="M104" t="n">
        <v>0</v>
      </c>
      <c r="N104" t="n">
        <v>0</v>
      </c>
      <c r="O104" t="n">
        <v>10</v>
      </c>
      <c r="P104" t="n">
        <v>2</v>
      </c>
      <c r="Q104" t="n">
        <v>14</v>
      </c>
      <c r="R104" s="2" t="inlineStr">
        <is>
          <t>Gräddporing
Knärot
Dvärgbägarlav
Garnlav
Kolflarnlav
Lunglav
Svartvit flugsnappare
Talltita
Ullticka
Vedtrappmossa
Barkticka
Korallblylav
Stuplav
Revlummer</t>
        </is>
      </c>
      <c r="S104">
        <f>HYPERLINK("https://klasma.github.io/Logging_2260/artfynd/A 46163-2025 artfynd.xlsx", "A 46163-2025")</f>
        <v/>
      </c>
      <c r="T104">
        <f>HYPERLINK("https://klasma.github.io/Logging_2260/kartor/A 46163-2025 karta.png", "A 46163-2025")</f>
        <v/>
      </c>
      <c r="U104">
        <f>HYPERLINK("https://klasma.github.io/Logging_2260/knärot/A 46163-2025 karta knärot.png", "A 46163-2025")</f>
        <v/>
      </c>
      <c r="V104">
        <f>HYPERLINK("https://klasma.github.io/Logging_2260/klagomål/A 46163-2025 FSC-klagomål.docx", "A 46163-2025")</f>
        <v/>
      </c>
      <c r="W104">
        <f>HYPERLINK("https://klasma.github.io/Logging_2260/klagomålsmail/A 46163-2025 FSC-klagomål mail.docx", "A 46163-2025")</f>
        <v/>
      </c>
      <c r="X104">
        <f>HYPERLINK("https://klasma.github.io/Logging_2260/tillsyn/A 46163-2025 tillsynsbegäran.docx", "A 46163-2025")</f>
        <v/>
      </c>
      <c r="Y104">
        <f>HYPERLINK("https://klasma.github.io/Logging_2260/tillsynsmail/A 46163-2025 tillsynsbegäran mail.docx", "A 46163-2025")</f>
        <v/>
      </c>
      <c r="Z104">
        <f>HYPERLINK("https://klasma.github.io/Logging_2260/fåglar/A 46163-2025 prioriterade fågelarter.docx", "A 46163-2025")</f>
        <v/>
      </c>
    </row>
    <row r="105" ht="15" customHeight="1">
      <c r="A105" t="inlineStr">
        <is>
          <t>A 53060-2021</t>
        </is>
      </c>
      <c r="B105" s="1" t="n">
        <v>44467</v>
      </c>
      <c r="C105" s="1" t="n">
        <v>46185</v>
      </c>
      <c r="D105" t="inlineStr">
        <is>
          <t>VÄSTERNORRLANDS LÄN</t>
        </is>
      </c>
      <c r="E105" t="inlineStr">
        <is>
          <t>ÖRNSKÖLDSVIK</t>
        </is>
      </c>
      <c r="G105" t="n">
        <v>13.4</v>
      </c>
      <c r="H105" t="n">
        <v>1</v>
      </c>
      <c r="I105" t="n">
        <v>0</v>
      </c>
      <c r="J105" t="n">
        <v>11</v>
      </c>
      <c r="K105" t="n">
        <v>2</v>
      </c>
      <c r="L105" t="n">
        <v>1</v>
      </c>
      <c r="M105" t="n">
        <v>0</v>
      </c>
      <c r="N105" t="n">
        <v>0</v>
      </c>
      <c r="O105" t="n">
        <v>14</v>
      </c>
      <c r="P105" t="n">
        <v>3</v>
      </c>
      <c r="Q105" t="n">
        <v>14</v>
      </c>
      <c r="R105" s="2" t="inlineStr">
        <is>
          <t>Urskogsporing
Gräddporing
Lappticka
Gammelgransskål
Garnlav
Granticka
Gränsticka
Kolflarnlav
Rosenticka
Tretåig hackspett
Ullticka
Vaddporing
Vitgrynig nållav
Vitplätt</t>
        </is>
      </c>
      <c r="S105">
        <f>HYPERLINK("https://klasma.github.io/Logging_2284/artfynd/A 53060-2021 artfynd.xlsx", "A 53060-2021")</f>
        <v/>
      </c>
      <c r="T105">
        <f>HYPERLINK("https://klasma.github.io/Logging_2284/kartor/A 53060-2021 karta.png", "A 53060-2021")</f>
        <v/>
      </c>
      <c r="V105">
        <f>HYPERLINK("https://klasma.github.io/Logging_2284/klagomål/A 53060-2021 FSC-klagomål.docx", "A 53060-2021")</f>
        <v/>
      </c>
      <c r="W105">
        <f>HYPERLINK("https://klasma.github.io/Logging_2284/klagomålsmail/A 53060-2021 FSC-klagomål mail.docx", "A 53060-2021")</f>
        <v/>
      </c>
      <c r="X105">
        <f>HYPERLINK("https://klasma.github.io/Logging_2284/tillsyn/A 53060-2021 tillsynsbegäran.docx", "A 53060-2021")</f>
        <v/>
      </c>
      <c r="Y105">
        <f>HYPERLINK("https://klasma.github.io/Logging_2284/tillsynsmail/A 53060-2021 tillsynsbegäran mail.docx", "A 53060-2021")</f>
        <v/>
      </c>
      <c r="Z105">
        <f>HYPERLINK("https://klasma.github.io/Logging_2284/fåglar/A 53060-2021 prioriterade fågelarter.docx", "A 53060-2021")</f>
        <v/>
      </c>
    </row>
    <row r="106" ht="15" customHeight="1">
      <c r="A106" t="inlineStr">
        <is>
          <t>A 3367-2026</t>
        </is>
      </c>
      <c r="B106" s="1" t="n">
        <v>46042</v>
      </c>
      <c r="C106" s="1" t="n">
        <v>46185</v>
      </c>
      <c r="D106" t="inlineStr">
        <is>
          <t>VÄSTERNORRLANDS LÄN</t>
        </is>
      </c>
      <c r="E106" t="inlineStr">
        <is>
          <t>SOLLEFTEÅ</t>
        </is>
      </c>
      <c r="F106" t="inlineStr">
        <is>
          <t>SCA</t>
        </is>
      </c>
      <c r="G106" t="n">
        <v>12.1</v>
      </c>
      <c r="H106" t="n">
        <v>7</v>
      </c>
      <c r="I106" t="n">
        <v>1</v>
      </c>
      <c r="J106" t="n">
        <v>12</v>
      </c>
      <c r="K106" t="n">
        <v>1</v>
      </c>
      <c r="L106" t="n">
        <v>0</v>
      </c>
      <c r="M106" t="n">
        <v>0</v>
      </c>
      <c r="N106" t="n">
        <v>0</v>
      </c>
      <c r="O106" t="n">
        <v>13</v>
      </c>
      <c r="P106" t="n">
        <v>1</v>
      </c>
      <c r="Q106" t="n">
        <v>14</v>
      </c>
      <c r="R106" s="2" t="inlineStr">
        <is>
          <t>Knärot
Gammelgransskål
Garnlav
Granticka
Harticka
Järpe
Koralltaggsvamp
Lunglav
Spillkråka
Svartvit flugsnappare
Talltita
Tretåig hackspett
Ullticka
Lappranunkel</t>
        </is>
      </c>
      <c r="S106">
        <f>HYPERLINK("https://klasma.github.io/Logging_2283/artfynd/A 3367-2026 artfynd.xlsx", "A 3367-2026")</f>
        <v/>
      </c>
      <c r="T106">
        <f>HYPERLINK("https://klasma.github.io/Logging_2283/kartor/A 3367-2026 karta.png", "A 3367-2026")</f>
        <v/>
      </c>
      <c r="U106">
        <f>HYPERLINK("https://klasma.github.io/Logging_2283/knärot/A 3367-2026 karta knärot.png", "A 3367-2026")</f>
        <v/>
      </c>
      <c r="V106">
        <f>HYPERLINK("https://klasma.github.io/Logging_2283/klagomål/A 3367-2026 FSC-klagomål.docx", "A 3367-2026")</f>
        <v/>
      </c>
      <c r="W106">
        <f>HYPERLINK("https://klasma.github.io/Logging_2283/klagomålsmail/A 3367-2026 FSC-klagomål mail.docx", "A 3367-2026")</f>
        <v/>
      </c>
      <c r="X106">
        <f>HYPERLINK("https://klasma.github.io/Logging_2283/tillsyn/A 3367-2026 tillsynsbegäran.docx", "A 3367-2026")</f>
        <v/>
      </c>
      <c r="Y106">
        <f>HYPERLINK("https://klasma.github.io/Logging_2283/tillsynsmail/A 3367-2026 tillsynsbegäran mail.docx", "A 3367-2026")</f>
        <v/>
      </c>
      <c r="Z106">
        <f>HYPERLINK("https://klasma.github.io/Logging_2283/fåglar/A 3367-2026 prioriterade fågelarter.docx", "A 3367-2026")</f>
        <v/>
      </c>
    </row>
    <row r="107" ht="15" customHeight="1">
      <c r="A107" t="inlineStr">
        <is>
          <t>A 33964-2023</t>
        </is>
      </c>
      <c r="B107" s="1" t="n">
        <v>45124</v>
      </c>
      <c r="C107" s="1" t="n">
        <v>46185</v>
      </c>
      <c r="D107" t="inlineStr">
        <is>
          <t>VÄSTERNORRLANDS LÄN</t>
        </is>
      </c>
      <c r="E107" t="inlineStr">
        <is>
          <t>SOLLEFTEÅ</t>
        </is>
      </c>
      <c r="F107" t="inlineStr">
        <is>
          <t>SCA</t>
        </is>
      </c>
      <c r="G107" t="n">
        <v>4.9</v>
      </c>
      <c r="H107" t="n">
        <v>1</v>
      </c>
      <c r="I107" t="n">
        <v>3</v>
      </c>
      <c r="J107" t="n">
        <v>11</v>
      </c>
      <c r="K107" t="n">
        <v>0</v>
      </c>
      <c r="L107" t="n">
        <v>0</v>
      </c>
      <c r="M107" t="n">
        <v>0</v>
      </c>
      <c r="N107" t="n">
        <v>0</v>
      </c>
      <c r="O107" t="n">
        <v>11</v>
      </c>
      <c r="P107" t="n">
        <v>0</v>
      </c>
      <c r="Q107" t="n">
        <v>14</v>
      </c>
      <c r="R107" s="2" t="inlineStr">
        <is>
          <t>Dvärgbägarlav
Gammelgransskål
Garnlav
Granticka
Kolflarnlav
Lunglav
Mörk kolflarnlav
Nordtagging
Spillkråka
Ullticka
Vitgrynig nållav
Dropptaggsvamp
Norrlandslav
Stuplav</t>
        </is>
      </c>
      <c r="S107">
        <f>HYPERLINK("https://klasma.github.io/Logging_2283/artfynd/A 33964-2023 artfynd.xlsx", "A 33964-2023")</f>
        <v/>
      </c>
      <c r="T107">
        <f>HYPERLINK("https://klasma.github.io/Logging_2283/kartor/A 33964-2023 karta.png", "A 33964-2023")</f>
        <v/>
      </c>
      <c r="V107">
        <f>HYPERLINK("https://klasma.github.io/Logging_2283/klagomål/A 33964-2023 FSC-klagomål.docx", "A 33964-2023")</f>
        <v/>
      </c>
      <c r="W107">
        <f>HYPERLINK("https://klasma.github.io/Logging_2283/klagomålsmail/A 33964-2023 FSC-klagomål mail.docx", "A 33964-2023")</f>
        <v/>
      </c>
      <c r="X107">
        <f>HYPERLINK("https://klasma.github.io/Logging_2283/tillsyn/A 33964-2023 tillsynsbegäran.docx", "A 33964-2023")</f>
        <v/>
      </c>
      <c r="Y107">
        <f>HYPERLINK("https://klasma.github.io/Logging_2283/tillsynsmail/A 33964-2023 tillsynsbegäran mail.docx", "A 33964-2023")</f>
        <v/>
      </c>
      <c r="Z107">
        <f>HYPERLINK("https://klasma.github.io/Logging_2283/fåglar/A 33964-2023 prioriterade fågelarter.docx", "A 33964-2023")</f>
        <v/>
      </c>
    </row>
    <row r="108" ht="15" customHeight="1">
      <c r="A108" t="inlineStr">
        <is>
          <t>A 22669-2025</t>
        </is>
      </c>
      <c r="B108" s="1" t="n">
        <v>45789</v>
      </c>
      <c r="C108" s="1" t="n">
        <v>46185</v>
      </c>
      <c r="D108" t="inlineStr">
        <is>
          <t>VÄSTERNORRLANDS LÄN</t>
        </is>
      </c>
      <c r="E108" t="inlineStr">
        <is>
          <t>TIMRÅ</t>
        </is>
      </c>
      <c r="F108" t="inlineStr">
        <is>
          <t>SCA</t>
        </is>
      </c>
      <c r="G108" t="n">
        <v>12.4</v>
      </c>
      <c r="H108" t="n">
        <v>1</v>
      </c>
      <c r="I108" t="n">
        <v>3</v>
      </c>
      <c r="J108" t="n">
        <v>9</v>
      </c>
      <c r="K108" t="n">
        <v>2</v>
      </c>
      <c r="L108" t="n">
        <v>0</v>
      </c>
      <c r="M108" t="n">
        <v>0</v>
      </c>
      <c r="N108" t="n">
        <v>0</v>
      </c>
      <c r="O108" t="n">
        <v>11</v>
      </c>
      <c r="P108" t="n">
        <v>2</v>
      </c>
      <c r="Q108" t="n">
        <v>14</v>
      </c>
      <c r="R108" s="2" t="inlineStr">
        <is>
          <t>Aspgelélav
Ulltickeporing
Brunpudrad nållav
Gammelgransskål
Garnlav
Harticka
Lunglav
Talltita
Ullticka
Veckticka
Vitgrynig nållav
Korallblylav
Rävticka
Stor aspticka</t>
        </is>
      </c>
      <c r="S108">
        <f>HYPERLINK("https://klasma.github.io/Logging_2262/artfynd/A 22669-2025 artfynd.xlsx", "A 22669-2025")</f>
        <v/>
      </c>
      <c r="T108">
        <f>HYPERLINK("https://klasma.github.io/Logging_2262/kartor/A 22669-2025 karta.png", "A 22669-2025")</f>
        <v/>
      </c>
      <c r="V108">
        <f>HYPERLINK("https://klasma.github.io/Logging_2262/klagomål/A 22669-2025 FSC-klagomål.docx", "A 22669-2025")</f>
        <v/>
      </c>
      <c r="W108">
        <f>HYPERLINK("https://klasma.github.io/Logging_2262/klagomålsmail/A 22669-2025 FSC-klagomål mail.docx", "A 22669-2025")</f>
        <v/>
      </c>
      <c r="X108">
        <f>HYPERLINK("https://klasma.github.io/Logging_2262/tillsyn/A 22669-2025 tillsynsbegäran.docx", "A 22669-2025")</f>
        <v/>
      </c>
      <c r="Y108">
        <f>HYPERLINK("https://klasma.github.io/Logging_2262/tillsynsmail/A 22669-2025 tillsynsbegäran mail.docx", "A 22669-2025")</f>
        <v/>
      </c>
      <c r="Z108">
        <f>HYPERLINK("https://klasma.github.io/Logging_2262/fåglar/A 22669-2025 prioriterade fågelarter.docx", "A 22669-2025")</f>
        <v/>
      </c>
    </row>
    <row r="109" ht="15" customHeight="1">
      <c r="A109" t="inlineStr">
        <is>
          <t>A 17415-2022</t>
        </is>
      </c>
      <c r="B109" s="1" t="n">
        <v>44678</v>
      </c>
      <c r="C109" s="1" t="n">
        <v>46185</v>
      </c>
      <c r="D109" t="inlineStr">
        <is>
          <t>VÄSTERNORRLANDS LÄN</t>
        </is>
      </c>
      <c r="E109" t="inlineStr">
        <is>
          <t>SOLLEFTEÅ</t>
        </is>
      </c>
      <c r="G109" t="n">
        <v>9.1</v>
      </c>
      <c r="H109" t="n">
        <v>3</v>
      </c>
      <c r="I109" t="n">
        <v>3</v>
      </c>
      <c r="J109" t="n">
        <v>6</v>
      </c>
      <c r="K109" t="n">
        <v>3</v>
      </c>
      <c r="L109" t="n">
        <v>0</v>
      </c>
      <c r="M109" t="n">
        <v>0</v>
      </c>
      <c r="N109" t="n">
        <v>0</v>
      </c>
      <c r="O109" t="n">
        <v>9</v>
      </c>
      <c r="P109" t="n">
        <v>3</v>
      </c>
      <c r="Q109" t="n">
        <v>13</v>
      </c>
      <c r="R109" s="2" t="inlineStr">
        <is>
          <t>Blackticka
Knärot
Rynkskinn
Gammelgransskål
Harticka
Rosenticka
Tretåig hackspett
Ullticka
Vitgrynig nållav
Skinnlav
Stor aspticka
Vedticka
Blåsippa</t>
        </is>
      </c>
      <c r="S109">
        <f>HYPERLINK("https://klasma.github.io/Logging_2283/artfynd/A 17415-2022 artfynd.xlsx", "A 17415-2022")</f>
        <v/>
      </c>
      <c r="T109">
        <f>HYPERLINK("https://klasma.github.io/Logging_2283/kartor/A 17415-2022 karta.png", "A 17415-2022")</f>
        <v/>
      </c>
      <c r="U109">
        <f>HYPERLINK("https://klasma.github.io/Logging_2283/knärot/A 17415-2022 karta knärot.png", "A 17415-2022")</f>
        <v/>
      </c>
      <c r="V109">
        <f>HYPERLINK("https://klasma.github.io/Logging_2283/klagomål/A 17415-2022 FSC-klagomål.docx", "A 17415-2022")</f>
        <v/>
      </c>
      <c r="W109">
        <f>HYPERLINK("https://klasma.github.io/Logging_2283/klagomålsmail/A 17415-2022 FSC-klagomål mail.docx", "A 17415-2022")</f>
        <v/>
      </c>
      <c r="X109">
        <f>HYPERLINK("https://klasma.github.io/Logging_2283/tillsyn/A 17415-2022 tillsynsbegäran.docx", "A 17415-2022")</f>
        <v/>
      </c>
      <c r="Y109">
        <f>HYPERLINK("https://klasma.github.io/Logging_2283/tillsynsmail/A 17415-2022 tillsynsbegäran mail.docx", "A 17415-2022")</f>
        <v/>
      </c>
      <c r="Z109">
        <f>HYPERLINK("https://klasma.github.io/Logging_2283/fåglar/A 17415-2022 prioriterade fågelarter.docx", "A 17415-2022")</f>
        <v/>
      </c>
    </row>
    <row r="110" ht="15" customHeight="1">
      <c r="A110" t="inlineStr">
        <is>
          <t>A 29918-2024</t>
        </is>
      </c>
      <c r="B110" s="1" t="n">
        <v>45487.92841435185</v>
      </c>
      <c r="C110" s="1" t="n">
        <v>46185</v>
      </c>
      <c r="D110" t="inlineStr">
        <is>
          <t>VÄSTERNORRLANDS LÄN</t>
        </is>
      </c>
      <c r="E110" t="inlineStr">
        <is>
          <t>SOLLEFTEÅ</t>
        </is>
      </c>
      <c r="G110" t="n">
        <v>3.1</v>
      </c>
      <c r="H110" t="n">
        <v>4</v>
      </c>
      <c r="I110" t="n">
        <v>6</v>
      </c>
      <c r="J110" t="n">
        <v>6</v>
      </c>
      <c r="K110" t="n">
        <v>1</v>
      </c>
      <c r="L110" t="n">
        <v>0</v>
      </c>
      <c r="M110" t="n">
        <v>0</v>
      </c>
      <c r="N110" t="n">
        <v>0</v>
      </c>
      <c r="O110" t="n">
        <v>7</v>
      </c>
      <c r="P110" t="n">
        <v>1</v>
      </c>
      <c r="Q110" t="n">
        <v>13</v>
      </c>
      <c r="R110" s="2" t="inlineStr">
        <is>
          <t>Knärot
Gammelgransskål
Garnlav
Järpe
Lunglav
Spillkråka
Talltita
Kattfotslav
Korallblylav
Mörk husmossa
Skinnlav
Stor aspticka
Stuplav</t>
        </is>
      </c>
      <c r="S110">
        <f>HYPERLINK("https://klasma.github.io/Logging_2283/artfynd/A 29918-2024 artfynd.xlsx", "A 29918-2024")</f>
        <v/>
      </c>
      <c r="T110">
        <f>HYPERLINK("https://klasma.github.io/Logging_2283/kartor/A 29918-2024 karta.png", "A 29918-2024")</f>
        <v/>
      </c>
      <c r="U110">
        <f>HYPERLINK("https://klasma.github.io/Logging_2283/knärot/A 29918-2024 karta knärot.png", "A 29918-2024")</f>
        <v/>
      </c>
      <c r="V110">
        <f>HYPERLINK("https://klasma.github.io/Logging_2283/klagomål/A 29918-2024 FSC-klagomål.docx", "A 29918-2024")</f>
        <v/>
      </c>
      <c r="W110">
        <f>HYPERLINK("https://klasma.github.io/Logging_2283/klagomålsmail/A 29918-2024 FSC-klagomål mail.docx", "A 29918-2024")</f>
        <v/>
      </c>
      <c r="X110">
        <f>HYPERLINK("https://klasma.github.io/Logging_2283/tillsyn/A 29918-2024 tillsynsbegäran.docx", "A 29918-2024")</f>
        <v/>
      </c>
      <c r="Y110">
        <f>HYPERLINK("https://klasma.github.io/Logging_2283/tillsynsmail/A 29918-2024 tillsynsbegäran mail.docx", "A 29918-2024")</f>
        <v/>
      </c>
      <c r="Z110">
        <f>HYPERLINK("https://klasma.github.io/Logging_2283/fåglar/A 29918-2024 prioriterade fågelarter.docx", "A 29918-2024")</f>
        <v/>
      </c>
    </row>
    <row r="111" ht="15" customHeight="1">
      <c r="A111" t="inlineStr">
        <is>
          <t>A 1963-2025</t>
        </is>
      </c>
      <c r="B111" s="1" t="n">
        <v>45672</v>
      </c>
      <c r="C111" s="1" t="n">
        <v>46185</v>
      </c>
      <c r="D111" t="inlineStr">
        <is>
          <t>VÄSTERNORRLANDS LÄN</t>
        </is>
      </c>
      <c r="E111" t="inlineStr">
        <is>
          <t>SOLLEFTEÅ</t>
        </is>
      </c>
      <c r="G111" t="n">
        <v>3.1</v>
      </c>
      <c r="H111" t="n">
        <v>4</v>
      </c>
      <c r="I111" t="n">
        <v>1</v>
      </c>
      <c r="J111" t="n">
        <v>9</v>
      </c>
      <c r="K111" t="n">
        <v>2</v>
      </c>
      <c r="L111" t="n">
        <v>0</v>
      </c>
      <c r="M111" t="n">
        <v>0</v>
      </c>
      <c r="N111" t="n">
        <v>0</v>
      </c>
      <c r="O111" t="n">
        <v>11</v>
      </c>
      <c r="P111" t="n">
        <v>2</v>
      </c>
      <c r="Q111" t="n">
        <v>13</v>
      </c>
      <c r="R111" s="2" t="inlineStr">
        <is>
          <t>Knärot
Rynkskinn
Granticka
Gränsticka
Harticka
Kötticka
Lunglav
Rosenticka
Talltita
Tretåig hackspett
Ullticka
Vågbandad barkbock
Revlummer</t>
        </is>
      </c>
      <c r="S111">
        <f>HYPERLINK("https://klasma.github.io/Logging_2283/artfynd/A 1963-2025 artfynd.xlsx", "A 1963-2025")</f>
        <v/>
      </c>
      <c r="T111">
        <f>HYPERLINK("https://klasma.github.io/Logging_2283/kartor/A 1963-2025 karta.png", "A 1963-2025")</f>
        <v/>
      </c>
      <c r="U111">
        <f>HYPERLINK("https://klasma.github.io/Logging_2283/knärot/A 1963-2025 karta knärot.png", "A 1963-2025")</f>
        <v/>
      </c>
      <c r="V111">
        <f>HYPERLINK("https://klasma.github.io/Logging_2283/klagomål/A 1963-2025 FSC-klagomål.docx", "A 1963-2025")</f>
        <v/>
      </c>
      <c r="W111">
        <f>HYPERLINK("https://klasma.github.io/Logging_2283/klagomålsmail/A 1963-2025 FSC-klagomål mail.docx", "A 1963-2025")</f>
        <v/>
      </c>
      <c r="X111">
        <f>HYPERLINK("https://klasma.github.io/Logging_2283/tillsyn/A 1963-2025 tillsynsbegäran.docx", "A 1963-2025")</f>
        <v/>
      </c>
      <c r="Y111">
        <f>HYPERLINK("https://klasma.github.io/Logging_2283/tillsynsmail/A 1963-2025 tillsynsbegäran mail.docx", "A 1963-2025")</f>
        <v/>
      </c>
      <c r="Z111">
        <f>HYPERLINK("https://klasma.github.io/Logging_2283/fåglar/A 1963-2025 prioriterade fågelarter.docx", "A 1963-2025")</f>
        <v/>
      </c>
    </row>
    <row r="112" ht="15" customHeight="1">
      <c r="A112" t="inlineStr">
        <is>
          <t>A 64944-2023</t>
        </is>
      </c>
      <c r="B112" s="1" t="n">
        <v>45282</v>
      </c>
      <c r="C112" s="1" t="n">
        <v>46185</v>
      </c>
      <c r="D112" t="inlineStr">
        <is>
          <t>VÄSTERNORRLANDS LÄN</t>
        </is>
      </c>
      <c r="E112" t="inlineStr">
        <is>
          <t>ÅNGE</t>
        </is>
      </c>
      <c r="F112" t="inlineStr">
        <is>
          <t>SCA</t>
        </is>
      </c>
      <c r="G112" t="n">
        <v>1.6</v>
      </c>
      <c r="H112" t="n">
        <v>2</v>
      </c>
      <c r="I112" t="n">
        <v>5</v>
      </c>
      <c r="J112" t="n">
        <v>7</v>
      </c>
      <c r="K112" t="n">
        <v>0</v>
      </c>
      <c r="L112" t="n">
        <v>0</v>
      </c>
      <c r="M112" t="n">
        <v>0</v>
      </c>
      <c r="N112" t="n">
        <v>0</v>
      </c>
      <c r="O112" t="n">
        <v>7</v>
      </c>
      <c r="P112" t="n">
        <v>0</v>
      </c>
      <c r="Q112" t="n">
        <v>13</v>
      </c>
      <c r="R112" s="2" t="inlineStr">
        <is>
          <t>Gammelgransskål
Garnlav
Gränsticka
Lunglav
Småflikig brosklav
Ullticka
Veckticka
Bårdlav
Korallblylav
Luddlav
Spindelblomster
Vedticka
Revlummer</t>
        </is>
      </c>
      <c r="S112">
        <f>HYPERLINK("https://klasma.github.io/Logging_2260/artfynd/A 64944-2023 artfynd.xlsx", "A 64944-2023")</f>
        <v/>
      </c>
      <c r="T112">
        <f>HYPERLINK("https://klasma.github.io/Logging_2260/kartor/A 64944-2023 karta.png", "A 64944-2023")</f>
        <v/>
      </c>
      <c r="U112">
        <f>HYPERLINK("https://klasma.github.io/Logging_2260/knärot/A 64944-2023 karta knärot.png", "A 64944-2023")</f>
        <v/>
      </c>
      <c r="V112">
        <f>HYPERLINK("https://klasma.github.io/Logging_2260/klagomål/A 64944-2023 FSC-klagomål.docx", "A 64944-2023")</f>
        <v/>
      </c>
      <c r="W112">
        <f>HYPERLINK("https://klasma.github.io/Logging_2260/klagomålsmail/A 64944-2023 FSC-klagomål mail.docx", "A 64944-2023")</f>
        <v/>
      </c>
      <c r="X112">
        <f>HYPERLINK("https://klasma.github.io/Logging_2260/tillsyn/A 64944-2023 tillsynsbegäran.docx", "A 64944-2023")</f>
        <v/>
      </c>
      <c r="Y112">
        <f>HYPERLINK("https://klasma.github.io/Logging_2260/tillsynsmail/A 64944-2023 tillsynsbegäran mail.docx", "A 64944-2023")</f>
        <v/>
      </c>
    </row>
    <row r="113" ht="15" customHeight="1">
      <c r="A113" t="inlineStr">
        <is>
          <t>A 27635-2024</t>
        </is>
      </c>
      <c r="B113" s="1" t="n">
        <v>45474</v>
      </c>
      <c r="C113" s="1" t="n">
        <v>46185</v>
      </c>
      <c r="D113" t="inlineStr">
        <is>
          <t>VÄSTERNORRLANDS LÄN</t>
        </is>
      </c>
      <c r="E113" t="inlineStr">
        <is>
          <t>SOLLEFTEÅ</t>
        </is>
      </c>
      <c r="F113" t="inlineStr">
        <is>
          <t>SCA</t>
        </is>
      </c>
      <c r="G113" t="n">
        <v>5.4</v>
      </c>
      <c r="H113" t="n">
        <v>3</v>
      </c>
      <c r="I113" t="n">
        <v>3</v>
      </c>
      <c r="J113" t="n">
        <v>8</v>
      </c>
      <c r="K113" t="n">
        <v>1</v>
      </c>
      <c r="L113" t="n">
        <v>0</v>
      </c>
      <c r="M113" t="n">
        <v>0</v>
      </c>
      <c r="N113" t="n">
        <v>0</v>
      </c>
      <c r="O113" t="n">
        <v>9</v>
      </c>
      <c r="P113" t="n">
        <v>1</v>
      </c>
      <c r="Q113" t="n">
        <v>13</v>
      </c>
      <c r="R113" s="2" t="inlineStr">
        <is>
          <t>Gräddporing
Gammelgransskål
Garnlav
Kolflarnlav
Kortskaftad ärgspik
Lunglav
Mörk kolflarnlav
Talltita
Tretåig hackspett
Bårdlav
Dropptaggsvamp
Luddlav
Vanlig padda</t>
        </is>
      </c>
      <c r="S113">
        <f>HYPERLINK("https://klasma.github.io/Logging_2283/artfynd/A 27635-2024 artfynd.xlsx", "A 27635-2024")</f>
        <v/>
      </c>
      <c r="T113">
        <f>HYPERLINK("https://klasma.github.io/Logging_2283/kartor/A 27635-2024 karta.png", "A 27635-2024")</f>
        <v/>
      </c>
      <c r="V113">
        <f>HYPERLINK("https://klasma.github.io/Logging_2283/klagomål/A 27635-2024 FSC-klagomål.docx", "A 27635-2024")</f>
        <v/>
      </c>
      <c r="W113">
        <f>HYPERLINK("https://klasma.github.io/Logging_2283/klagomålsmail/A 27635-2024 FSC-klagomål mail.docx", "A 27635-2024")</f>
        <v/>
      </c>
      <c r="X113">
        <f>HYPERLINK("https://klasma.github.io/Logging_2283/tillsyn/A 27635-2024 tillsynsbegäran.docx", "A 27635-2024")</f>
        <v/>
      </c>
      <c r="Y113">
        <f>HYPERLINK("https://klasma.github.io/Logging_2283/tillsynsmail/A 27635-2024 tillsynsbegäran mail.docx", "A 27635-2024")</f>
        <v/>
      </c>
      <c r="Z113">
        <f>HYPERLINK("https://klasma.github.io/Logging_2283/fåglar/A 27635-2024 prioriterade fågelarter.docx", "A 27635-2024")</f>
        <v/>
      </c>
    </row>
    <row r="114" ht="15" customHeight="1">
      <c r="A114" t="inlineStr">
        <is>
          <t>A 28663-2023</t>
        </is>
      </c>
      <c r="B114" s="1" t="n">
        <v>45096</v>
      </c>
      <c r="C114" s="1" t="n">
        <v>46185</v>
      </c>
      <c r="D114" t="inlineStr">
        <is>
          <t>VÄSTERNORRLANDS LÄN</t>
        </is>
      </c>
      <c r="E114" t="inlineStr">
        <is>
          <t>SOLLEFTEÅ</t>
        </is>
      </c>
      <c r="G114" t="n">
        <v>15.4</v>
      </c>
      <c r="H114" t="n">
        <v>4</v>
      </c>
      <c r="I114" t="n">
        <v>3</v>
      </c>
      <c r="J114" t="n">
        <v>7</v>
      </c>
      <c r="K114" t="n">
        <v>2</v>
      </c>
      <c r="L114" t="n">
        <v>0</v>
      </c>
      <c r="M114" t="n">
        <v>0</v>
      </c>
      <c r="N114" t="n">
        <v>0</v>
      </c>
      <c r="O114" t="n">
        <v>9</v>
      </c>
      <c r="P114" t="n">
        <v>2</v>
      </c>
      <c r="Q114" t="n">
        <v>13</v>
      </c>
      <c r="R114" s="2" t="inlineStr">
        <is>
          <t>Knärot
Rynkskinn
Garnlav
Lunglav
Mörk kolflarnlav
Rosenticka
Spillkråka
Tretåig hackspett
Ullticka
Dropptaggsvamp
Vanlig flatbagge
Vedticka
Fläcknycklar</t>
        </is>
      </c>
      <c r="S114">
        <f>HYPERLINK("https://klasma.github.io/Logging_2283/artfynd/A 28663-2023 artfynd.xlsx", "A 28663-2023")</f>
        <v/>
      </c>
      <c r="T114">
        <f>HYPERLINK("https://klasma.github.io/Logging_2283/kartor/A 28663-2023 karta.png", "A 28663-2023")</f>
        <v/>
      </c>
      <c r="U114">
        <f>HYPERLINK("https://klasma.github.io/Logging_2283/knärot/A 28663-2023 karta knärot.png", "A 28663-2023")</f>
        <v/>
      </c>
      <c r="V114">
        <f>HYPERLINK("https://klasma.github.io/Logging_2283/klagomål/A 28663-2023 FSC-klagomål.docx", "A 28663-2023")</f>
        <v/>
      </c>
      <c r="W114">
        <f>HYPERLINK("https://klasma.github.io/Logging_2283/klagomålsmail/A 28663-2023 FSC-klagomål mail.docx", "A 28663-2023")</f>
        <v/>
      </c>
      <c r="X114">
        <f>HYPERLINK("https://klasma.github.io/Logging_2283/tillsyn/A 28663-2023 tillsynsbegäran.docx", "A 28663-2023")</f>
        <v/>
      </c>
      <c r="Y114">
        <f>HYPERLINK("https://klasma.github.io/Logging_2283/tillsynsmail/A 28663-2023 tillsynsbegäran mail.docx", "A 28663-2023")</f>
        <v/>
      </c>
      <c r="Z114">
        <f>HYPERLINK("https://klasma.github.io/Logging_2283/fåglar/A 28663-2023 prioriterade fågelarter.docx", "A 28663-2023")</f>
        <v/>
      </c>
    </row>
    <row r="115" ht="15" customHeight="1">
      <c r="A115" t="inlineStr">
        <is>
          <t>A 28161-2024</t>
        </is>
      </c>
      <c r="B115" s="1" t="n">
        <v>45476</v>
      </c>
      <c r="C115" s="1" t="n">
        <v>46185</v>
      </c>
      <c r="D115" t="inlineStr">
        <is>
          <t>VÄSTERNORRLANDS LÄN</t>
        </is>
      </c>
      <c r="E115" t="inlineStr">
        <is>
          <t>SOLLEFTEÅ</t>
        </is>
      </c>
      <c r="F115" t="inlineStr">
        <is>
          <t>SCA</t>
        </is>
      </c>
      <c r="G115" t="n">
        <v>1.5</v>
      </c>
      <c r="H115" t="n">
        <v>4</v>
      </c>
      <c r="I115" t="n">
        <v>5</v>
      </c>
      <c r="J115" t="n">
        <v>4</v>
      </c>
      <c r="K115" t="n">
        <v>3</v>
      </c>
      <c r="L115" t="n">
        <v>0</v>
      </c>
      <c r="M115" t="n">
        <v>0</v>
      </c>
      <c r="N115" t="n">
        <v>0</v>
      </c>
      <c r="O115" t="n">
        <v>7</v>
      </c>
      <c r="P115" t="n">
        <v>3</v>
      </c>
      <c r="Q115" t="n">
        <v>13</v>
      </c>
      <c r="R115" s="2" t="inlineStr">
        <is>
          <t>Doftticka
Knärot
Rynkskinn
Lunglav
Rosenticka
Spillkråka
Ullticka
Bårdlav
Luddlav
Norrlandslav
Stuplav
Vedticka
Revlummer</t>
        </is>
      </c>
      <c r="S115">
        <f>HYPERLINK("https://klasma.github.io/Logging_2283/artfynd/A 28161-2024 artfynd.xlsx", "A 28161-2024")</f>
        <v/>
      </c>
      <c r="T115">
        <f>HYPERLINK("https://klasma.github.io/Logging_2283/kartor/A 28161-2024 karta.png", "A 28161-2024")</f>
        <v/>
      </c>
      <c r="U115">
        <f>HYPERLINK("https://klasma.github.io/Logging_2283/knärot/A 28161-2024 karta knärot.png", "A 28161-2024")</f>
        <v/>
      </c>
      <c r="V115">
        <f>HYPERLINK("https://klasma.github.io/Logging_2283/klagomål/A 28161-2024 FSC-klagomål.docx", "A 28161-2024")</f>
        <v/>
      </c>
      <c r="W115">
        <f>HYPERLINK("https://klasma.github.io/Logging_2283/klagomålsmail/A 28161-2024 FSC-klagomål mail.docx", "A 28161-2024")</f>
        <v/>
      </c>
      <c r="X115">
        <f>HYPERLINK("https://klasma.github.io/Logging_2283/tillsyn/A 28161-2024 tillsynsbegäran.docx", "A 28161-2024")</f>
        <v/>
      </c>
      <c r="Y115">
        <f>HYPERLINK("https://klasma.github.io/Logging_2283/tillsynsmail/A 28161-2024 tillsynsbegäran mail.docx", "A 28161-2024")</f>
        <v/>
      </c>
      <c r="Z115">
        <f>HYPERLINK("https://klasma.github.io/Logging_2283/fåglar/A 28161-2024 prioriterade fågelarter.docx", "A 28161-2024")</f>
        <v/>
      </c>
    </row>
    <row r="116" ht="15" customHeight="1">
      <c r="A116" t="inlineStr">
        <is>
          <t>A 23762-2025</t>
        </is>
      </c>
      <c r="B116" s="1" t="n">
        <v>45793</v>
      </c>
      <c r="C116" s="1" t="n">
        <v>46185</v>
      </c>
      <c r="D116" t="inlineStr">
        <is>
          <t>VÄSTERNORRLANDS LÄN</t>
        </is>
      </c>
      <c r="E116" t="inlineStr">
        <is>
          <t>TIMRÅ</t>
        </is>
      </c>
      <c r="F116" t="inlineStr">
        <is>
          <t>SCA</t>
        </is>
      </c>
      <c r="G116" t="n">
        <v>15.8</v>
      </c>
      <c r="H116" t="n">
        <v>1</v>
      </c>
      <c r="I116" t="n">
        <v>3</v>
      </c>
      <c r="J116" t="n">
        <v>6</v>
      </c>
      <c r="K116" t="n">
        <v>4</v>
      </c>
      <c r="L116" t="n">
        <v>0</v>
      </c>
      <c r="M116" t="n">
        <v>0</v>
      </c>
      <c r="N116" t="n">
        <v>0</v>
      </c>
      <c r="O116" t="n">
        <v>10</v>
      </c>
      <c r="P116" t="n">
        <v>4</v>
      </c>
      <c r="Q116" t="n">
        <v>13</v>
      </c>
      <c r="R116" s="2" t="inlineStr">
        <is>
          <t>Aspgelélav
Knärot
Liten hornflikmossa
Rynkskinn
Garnlav
Granticka
Lunglav
Rosenticka
Ullticka
Violettgrå tagellav
Korallblylav
Skinnlav
Stuplav</t>
        </is>
      </c>
      <c r="S116">
        <f>HYPERLINK("https://klasma.github.io/Logging_2262/artfynd/A 23762-2025 artfynd.xlsx", "A 23762-2025")</f>
        <v/>
      </c>
      <c r="T116">
        <f>HYPERLINK("https://klasma.github.io/Logging_2262/kartor/A 23762-2025 karta.png", "A 23762-2025")</f>
        <v/>
      </c>
      <c r="U116">
        <f>HYPERLINK("https://klasma.github.io/Logging_2262/knärot/A 23762-2025 karta knärot.png", "A 23762-2025")</f>
        <v/>
      </c>
      <c r="V116">
        <f>HYPERLINK("https://klasma.github.io/Logging_2262/klagomål/A 23762-2025 FSC-klagomål.docx", "A 23762-2025")</f>
        <v/>
      </c>
      <c r="W116">
        <f>HYPERLINK("https://klasma.github.io/Logging_2262/klagomålsmail/A 23762-2025 FSC-klagomål mail.docx", "A 23762-2025")</f>
        <v/>
      </c>
      <c r="X116">
        <f>HYPERLINK("https://klasma.github.io/Logging_2262/tillsyn/A 23762-2025 tillsynsbegäran.docx", "A 23762-2025")</f>
        <v/>
      </c>
      <c r="Y116">
        <f>HYPERLINK("https://klasma.github.io/Logging_2262/tillsynsmail/A 23762-2025 tillsynsbegäran mail.docx", "A 23762-2025")</f>
        <v/>
      </c>
    </row>
    <row r="117" ht="15" customHeight="1">
      <c r="A117" t="inlineStr">
        <is>
          <t>A 30841-2023</t>
        </is>
      </c>
      <c r="B117" s="1" t="n">
        <v>45112</v>
      </c>
      <c r="C117" s="1" t="n">
        <v>46185</v>
      </c>
      <c r="D117" t="inlineStr">
        <is>
          <t>VÄSTERNORRLANDS LÄN</t>
        </is>
      </c>
      <c r="E117" t="inlineStr">
        <is>
          <t>ÅNGE</t>
        </is>
      </c>
      <c r="F117" t="inlineStr">
        <is>
          <t>SCA</t>
        </is>
      </c>
      <c r="G117" t="n">
        <v>8.800000000000001</v>
      </c>
      <c r="H117" t="n">
        <v>4</v>
      </c>
      <c r="I117" t="n">
        <v>3</v>
      </c>
      <c r="J117" t="n">
        <v>8</v>
      </c>
      <c r="K117" t="n">
        <v>1</v>
      </c>
      <c r="L117" t="n">
        <v>0</v>
      </c>
      <c r="M117" t="n">
        <v>0</v>
      </c>
      <c r="N117" t="n">
        <v>0</v>
      </c>
      <c r="O117" t="n">
        <v>9</v>
      </c>
      <c r="P117" t="n">
        <v>1</v>
      </c>
      <c r="Q117" t="n">
        <v>13</v>
      </c>
      <c r="R117" s="2" t="inlineStr">
        <is>
          <t>Knärot
Brunpudrad nållav
Dvärgbägarlav
Gammelgransskål
Mörk kolflarnlav
Spillkråka
Tallticka
Talltita
Ullticka
Dropptaggsvamp
Norrlandslav
Vedticka
Tjäder</t>
        </is>
      </c>
      <c r="S117">
        <f>HYPERLINK("https://klasma.github.io/Logging_2260/artfynd/A 30841-2023 artfynd.xlsx", "A 30841-2023")</f>
        <v/>
      </c>
      <c r="T117">
        <f>HYPERLINK("https://klasma.github.io/Logging_2260/kartor/A 30841-2023 karta.png", "A 30841-2023")</f>
        <v/>
      </c>
      <c r="U117">
        <f>HYPERLINK("https://klasma.github.io/Logging_2260/knärot/A 30841-2023 karta knärot.png", "A 30841-2023")</f>
        <v/>
      </c>
      <c r="V117">
        <f>HYPERLINK("https://klasma.github.io/Logging_2260/klagomål/A 30841-2023 FSC-klagomål.docx", "A 30841-2023")</f>
        <v/>
      </c>
      <c r="W117">
        <f>HYPERLINK("https://klasma.github.io/Logging_2260/klagomålsmail/A 30841-2023 FSC-klagomål mail.docx", "A 30841-2023")</f>
        <v/>
      </c>
      <c r="X117">
        <f>HYPERLINK("https://klasma.github.io/Logging_2260/tillsyn/A 30841-2023 tillsynsbegäran.docx", "A 30841-2023")</f>
        <v/>
      </c>
      <c r="Y117">
        <f>HYPERLINK("https://klasma.github.io/Logging_2260/tillsynsmail/A 30841-2023 tillsynsbegäran mail.docx", "A 30841-2023")</f>
        <v/>
      </c>
      <c r="Z117">
        <f>HYPERLINK("https://klasma.github.io/Logging_2260/fåglar/A 30841-2023 prioriterade fågelarter.docx", "A 30841-2023")</f>
        <v/>
      </c>
    </row>
    <row r="118" ht="15" customHeight="1">
      <c r="A118" t="inlineStr">
        <is>
          <t>A 11491-2022</t>
        </is>
      </c>
      <c r="B118" s="1" t="n">
        <v>44630</v>
      </c>
      <c r="C118" s="1" t="n">
        <v>46185</v>
      </c>
      <c r="D118" t="inlineStr">
        <is>
          <t>VÄSTERNORRLANDS LÄN</t>
        </is>
      </c>
      <c r="E118" t="inlineStr">
        <is>
          <t>SOLLEFTEÅ</t>
        </is>
      </c>
      <c r="F118" t="inlineStr">
        <is>
          <t>SCA</t>
        </is>
      </c>
      <c r="G118" t="n">
        <v>6.4</v>
      </c>
      <c r="H118" t="n">
        <v>4</v>
      </c>
      <c r="I118" t="n">
        <v>0</v>
      </c>
      <c r="J118" t="n">
        <v>8</v>
      </c>
      <c r="K118" t="n">
        <v>3</v>
      </c>
      <c r="L118" t="n">
        <v>0</v>
      </c>
      <c r="M118" t="n">
        <v>0</v>
      </c>
      <c r="N118" t="n">
        <v>0</v>
      </c>
      <c r="O118" t="n">
        <v>11</v>
      </c>
      <c r="P118" t="n">
        <v>3</v>
      </c>
      <c r="Q118" t="n">
        <v>13</v>
      </c>
      <c r="R118" s="2" t="inlineStr">
        <is>
          <t>Knärot
Raggbock
Rynkskinn
Garnlav
Gränsticka
Lunglav
Orange taggsvamp
Rosenticka
Tretåig hackspett
Ullticka
Vitgrynig nållav
Kungsfågel
Fläcknycklar</t>
        </is>
      </c>
      <c r="S118">
        <f>HYPERLINK("https://klasma.github.io/Logging_2283/artfynd/A 11491-2022 artfynd.xlsx", "A 11491-2022")</f>
        <v/>
      </c>
      <c r="T118">
        <f>HYPERLINK("https://klasma.github.io/Logging_2283/kartor/A 11491-2022 karta.png", "A 11491-2022")</f>
        <v/>
      </c>
      <c r="U118">
        <f>HYPERLINK("https://klasma.github.io/Logging_2283/knärot/A 11491-2022 karta knärot.png", "A 11491-2022")</f>
        <v/>
      </c>
      <c r="V118">
        <f>HYPERLINK("https://klasma.github.io/Logging_2283/klagomål/A 11491-2022 FSC-klagomål.docx", "A 11491-2022")</f>
        <v/>
      </c>
      <c r="W118">
        <f>HYPERLINK("https://klasma.github.io/Logging_2283/klagomålsmail/A 11491-2022 FSC-klagomål mail.docx", "A 11491-2022")</f>
        <v/>
      </c>
      <c r="X118">
        <f>HYPERLINK("https://klasma.github.io/Logging_2283/tillsyn/A 11491-2022 tillsynsbegäran.docx", "A 11491-2022")</f>
        <v/>
      </c>
      <c r="Y118">
        <f>HYPERLINK("https://klasma.github.io/Logging_2283/tillsynsmail/A 11491-2022 tillsynsbegäran mail.docx", "A 11491-2022")</f>
        <v/>
      </c>
      <c r="Z118">
        <f>HYPERLINK("https://klasma.github.io/Logging_2283/fåglar/A 11491-2022 prioriterade fågelarter.docx", "A 11491-2022")</f>
        <v/>
      </c>
    </row>
    <row r="119" ht="15" customHeight="1">
      <c r="A119" t="inlineStr">
        <is>
          <t>A 29309-2022</t>
        </is>
      </c>
      <c r="B119" s="1" t="n">
        <v>44750</v>
      </c>
      <c r="C119" s="1" t="n">
        <v>46185</v>
      </c>
      <c r="D119" t="inlineStr">
        <is>
          <t>VÄSTERNORRLANDS LÄN</t>
        </is>
      </c>
      <c r="E119" t="inlineStr">
        <is>
          <t>SOLLEFTEÅ</t>
        </is>
      </c>
      <c r="F119" t="inlineStr">
        <is>
          <t>SCA</t>
        </is>
      </c>
      <c r="G119" t="n">
        <v>7.3</v>
      </c>
      <c r="H119" t="n">
        <v>1</v>
      </c>
      <c r="I119" t="n">
        <v>0</v>
      </c>
      <c r="J119" t="n">
        <v>12</v>
      </c>
      <c r="K119" t="n">
        <v>1</v>
      </c>
      <c r="L119" t="n">
        <v>0</v>
      </c>
      <c r="M119" t="n">
        <v>0</v>
      </c>
      <c r="N119" t="n">
        <v>0</v>
      </c>
      <c r="O119" t="n">
        <v>13</v>
      </c>
      <c r="P119" t="n">
        <v>1</v>
      </c>
      <c r="Q119" t="n">
        <v>13</v>
      </c>
      <c r="R119" s="2" t="inlineStr">
        <is>
          <t>Rynkskinn
Blå taggsvamp
Dvärgbägarlav
Garnlav
Koralltaggsvamp
Kortskaftad ärgspik
Lunglav
Motaggsvamp
Mörk kolflarnlav
Nordtagging
Tretåig hackspett
Vedskivlav
Vitplätt</t>
        </is>
      </c>
      <c r="S119">
        <f>HYPERLINK("https://klasma.github.io/Logging_2283/artfynd/A 29309-2022 artfynd.xlsx", "A 29309-2022")</f>
        <v/>
      </c>
      <c r="T119">
        <f>HYPERLINK("https://klasma.github.io/Logging_2283/kartor/A 29309-2022 karta.png", "A 29309-2022")</f>
        <v/>
      </c>
      <c r="U119">
        <f>HYPERLINK("https://klasma.github.io/Logging_2283/knärot/A 29309-2022 karta knärot.png", "A 29309-2022")</f>
        <v/>
      </c>
      <c r="V119">
        <f>HYPERLINK("https://klasma.github.io/Logging_2283/klagomål/A 29309-2022 FSC-klagomål.docx", "A 29309-2022")</f>
        <v/>
      </c>
      <c r="W119">
        <f>HYPERLINK("https://klasma.github.io/Logging_2283/klagomålsmail/A 29309-2022 FSC-klagomål mail.docx", "A 29309-2022")</f>
        <v/>
      </c>
      <c r="X119">
        <f>HYPERLINK("https://klasma.github.io/Logging_2283/tillsyn/A 29309-2022 tillsynsbegäran.docx", "A 29309-2022")</f>
        <v/>
      </c>
      <c r="Y119">
        <f>HYPERLINK("https://klasma.github.io/Logging_2283/tillsynsmail/A 29309-2022 tillsynsbegäran mail.docx", "A 29309-2022")</f>
        <v/>
      </c>
      <c r="Z119">
        <f>HYPERLINK("https://klasma.github.io/Logging_2283/fåglar/A 29309-2022 prioriterade fågelarter.docx", "A 29309-2022")</f>
        <v/>
      </c>
    </row>
    <row r="120" ht="15" customHeight="1">
      <c r="A120" t="inlineStr">
        <is>
          <t>A 27590-2025</t>
        </is>
      </c>
      <c r="B120" s="1" t="n">
        <v>45813</v>
      </c>
      <c r="C120" s="1" t="n">
        <v>46185</v>
      </c>
      <c r="D120" t="inlineStr">
        <is>
          <t>VÄSTERNORRLANDS LÄN</t>
        </is>
      </c>
      <c r="E120" t="inlineStr">
        <is>
          <t>SOLLEFTEÅ</t>
        </is>
      </c>
      <c r="G120" t="n">
        <v>53.5</v>
      </c>
      <c r="H120" t="n">
        <v>5</v>
      </c>
      <c r="I120" t="n">
        <v>5</v>
      </c>
      <c r="J120" t="n">
        <v>7</v>
      </c>
      <c r="K120" t="n">
        <v>1</v>
      </c>
      <c r="L120" t="n">
        <v>0</v>
      </c>
      <c r="M120" t="n">
        <v>0</v>
      </c>
      <c r="N120" t="n">
        <v>0</v>
      </c>
      <c r="O120" t="n">
        <v>8</v>
      </c>
      <c r="P120" t="n">
        <v>1</v>
      </c>
      <c r="Q120" t="n">
        <v>13</v>
      </c>
      <c r="R120" s="2" t="inlineStr">
        <is>
          <t>Knärot
Gammelgransskål
Garnlav
Lunglav
Rosenticka
Spillkråka
Tretåig hackspett
Ullticka
Bollvitmossa
Bronshjon
Dropptaggsvamp
Lappranunkel
Spindelblomster</t>
        </is>
      </c>
      <c r="S120">
        <f>HYPERLINK("https://klasma.github.io/Logging_2283/artfynd/A 27590-2025 artfynd.xlsx", "A 27590-2025")</f>
        <v/>
      </c>
      <c r="T120">
        <f>HYPERLINK("https://klasma.github.io/Logging_2283/kartor/A 27590-2025 karta.png", "A 27590-2025")</f>
        <v/>
      </c>
      <c r="U120">
        <f>HYPERLINK("https://klasma.github.io/Logging_2283/knärot/A 27590-2025 karta knärot.png", "A 27590-2025")</f>
        <v/>
      </c>
      <c r="V120">
        <f>HYPERLINK("https://klasma.github.io/Logging_2283/klagomål/A 27590-2025 FSC-klagomål.docx", "A 27590-2025")</f>
        <v/>
      </c>
      <c r="W120">
        <f>HYPERLINK("https://klasma.github.io/Logging_2283/klagomålsmail/A 27590-2025 FSC-klagomål mail.docx", "A 27590-2025")</f>
        <v/>
      </c>
      <c r="X120">
        <f>HYPERLINK("https://klasma.github.io/Logging_2283/tillsyn/A 27590-2025 tillsynsbegäran.docx", "A 27590-2025")</f>
        <v/>
      </c>
      <c r="Y120">
        <f>HYPERLINK("https://klasma.github.io/Logging_2283/tillsynsmail/A 27590-2025 tillsynsbegäran mail.docx", "A 27590-2025")</f>
        <v/>
      </c>
      <c r="Z120">
        <f>HYPERLINK("https://klasma.github.io/Logging_2283/fåglar/A 27590-2025 prioriterade fågelarter.docx", "A 27590-2025")</f>
        <v/>
      </c>
    </row>
    <row r="121" ht="15" customHeight="1">
      <c r="A121" t="inlineStr">
        <is>
          <t>A 32199-2023</t>
        </is>
      </c>
      <c r="B121" s="1" t="n">
        <v>45119</v>
      </c>
      <c r="C121" s="1" t="n">
        <v>46185</v>
      </c>
      <c r="D121" t="inlineStr">
        <is>
          <t>VÄSTERNORRLANDS LÄN</t>
        </is>
      </c>
      <c r="E121" t="inlineStr">
        <is>
          <t>SOLLEFTEÅ</t>
        </is>
      </c>
      <c r="G121" t="n">
        <v>7.2</v>
      </c>
      <c r="H121" t="n">
        <v>4</v>
      </c>
      <c r="I121" t="n">
        <v>1</v>
      </c>
      <c r="J121" t="n">
        <v>9</v>
      </c>
      <c r="K121" t="n">
        <v>3</v>
      </c>
      <c r="L121" t="n">
        <v>0</v>
      </c>
      <c r="M121" t="n">
        <v>0</v>
      </c>
      <c r="N121" t="n">
        <v>0</v>
      </c>
      <c r="O121" t="n">
        <v>12</v>
      </c>
      <c r="P121" t="n">
        <v>3</v>
      </c>
      <c r="Q121" t="n">
        <v>13</v>
      </c>
      <c r="R121" s="2" t="inlineStr">
        <is>
          <t>Knärot
Lappticka
Rynkskinn
Garnlav
Granticka
Järpe
Lunglav
Rosenticka
Talltita
Tretåig hackspett
Ullticka
Vitgrynig nållav
Vedticka</t>
        </is>
      </c>
      <c r="S121">
        <f>HYPERLINK("https://klasma.github.io/Logging_2283/artfynd/A 32199-2023 artfynd.xlsx", "A 32199-2023")</f>
        <v/>
      </c>
      <c r="T121">
        <f>HYPERLINK("https://klasma.github.io/Logging_2283/kartor/A 32199-2023 karta.png", "A 32199-2023")</f>
        <v/>
      </c>
      <c r="U121">
        <f>HYPERLINK("https://klasma.github.io/Logging_2283/knärot/A 32199-2023 karta knärot.png", "A 32199-2023")</f>
        <v/>
      </c>
      <c r="V121">
        <f>HYPERLINK("https://klasma.github.io/Logging_2283/klagomål/A 32199-2023 FSC-klagomål.docx", "A 32199-2023")</f>
        <v/>
      </c>
      <c r="W121">
        <f>HYPERLINK("https://klasma.github.io/Logging_2283/klagomålsmail/A 32199-2023 FSC-klagomål mail.docx", "A 32199-2023")</f>
        <v/>
      </c>
      <c r="X121">
        <f>HYPERLINK("https://klasma.github.io/Logging_2283/tillsyn/A 32199-2023 tillsynsbegäran.docx", "A 32199-2023")</f>
        <v/>
      </c>
      <c r="Y121">
        <f>HYPERLINK("https://klasma.github.io/Logging_2283/tillsynsmail/A 32199-2023 tillsynsbegäran mail.docx", "A 32199-2023")</f>
        <v/>
      </c>
      <c r="Z121">
        <f>HYPERLINK("https://klasma.github.io/Logging_2283/fåglar/A 32199-2023 prioriterade fågelarter.docx", "A 32199-2023")</f>
        <v/>
      </c>
    </row>
    <row r="122" ht="15" customHeight="1">
      <c r="A122" t="inlineStr">
        <is>
          <t>A 50533-2023</t>
        </is>
      </c>
      <c r="B122" s="1" t="n">
        <v>45217.32354166666</v>
      </c>
      <c r="C122" s="1" t="n">
        <v>46185</v>
      </c>
      <c r="D122" t="inlineStr">
        <is>
          <t>VÄSTERNORRLANDS LÄN</t>
        </is>
      </c>
      <c r="E122" t="inlineStr">
        <is>
          <t>ÖRNSKÖLDSVIK</t>
        </is>
      </c>
      <c r="G122" t="n">
        <v>2</v>
      </c>
      <c r="H122" t="n">
        <v>4</v>
      </c>
      <c r="I122" t="n">
        <v>2</v>
      </c>
      <c r="J122" t="n">
        <v>9</v>
      </c>
      <c r="K122" t="n">
        <v>2</v>
      </c>
      <c r="L122" t="n">
        <v>0</v>
      </c>
      <c r="M122" t="n">
        <v>0</v>
      </c>
      <c r="N122" t="n">
        <v>0</v>
      </c>
      <c r="O122" t="n">
        <v>11</v>
      </c>
      <c r="P122" t="n">
        <v>2</v>
      </c>
      <c r="Q122" t="n">
        <v>13</v>
      </c>
      <c r="R122" s="2" t="inlineStr">
        <is>
          <t>Knärot
Vågticka
Gammelgransskål
Järpe
Lunglav
Orange taggsvamp
Skrovlig taggsvamp
Spillkråka
Talltita
Vedskivlav
Violettgrå tagellav
Skarp dropptaggsvamp
Skinnlav</t>
        </is>
      </c>
      <c r="S122">
        <f>HYPERLINK("https://klasma.github.io/Logging_2284/artfynd/A 50533-2023 artfynd.xlsx", "A 50533-2023")</f>
        <v/>
      </c>
      <c r="T122">
        <f>HYPERLINK("https://klasma.github.io/Logging_2284/kartor/A 50533-2023 karta.png", "A 50533-2023")</f>
        <v/>
      </c>
      <c r="U122">
        <f>HYPERLINK("https://klasma.github.io/Logging_2284/knärot/A 50533-2023 karta knärot.png", "A 50533-2023")</f>
        <v/>
      </c>
      <c r="V122">
        <f>HYPERLINK("https://klasma.github.io/Logging_2284/klagomål/A 50533-2023 FSC-klagomål.docx", "A 50533-2023")</f>
        <v/>
      </c>
      <c r="W122">
        <f>HYPERLINK("https://klasma.github.io/Logging_2284/klagomålsmail/A 50533-2023 FSC-klagomål mail.docx", "A 50533-2023")</f>
        <v/>
      </c>
      <c r="X122">
        <f>HYPERLINK("https://klasma.github.io/Logging_2284/tillsyn/A 50533-2023 tillsynsbegäran.docx", "A 50533-2023")</f>
        <v/>
      </c>
      <c r="Y122">
        <f>HYPERLINK("https://klasma.github.io/Logging_2284/tillsynsmail/A 50533-2023 tillsynsbegäran mail.docx", "A 50533-2023")</f>
        <v/>
      </c>
      <c r="Z122">
        <f>HYPERLINK("https://klasma.github.io/Logging_2284/fåglar/A 50533-2023 prioriterade fågelarter.docx", "A 50533-2023")</f>
        <v/>
      </c>
    </row>
    <row r="123" ht="15" customHeight="1">
      <c r="A123" t="inlineStr">
        <is>
          <t>A 25142-2026</t>
        </is>
      </c>
      <c r="B123" s="1" t="n">
        <v>46175</v>
      </c>
      <c r="C123" s="1" t="n">
        <v>46185</v>
      </c>
      <c r="D123" t="inlineStr">
        <is>
          <t>VÄSTERNORRLANDS LÄN</t>
        </is>
      </c>
      <c r="E123" t="inlineStr">
        <is>
          <t>ÅNGE</t>
        </is>
      </c>
      <c r="G123" t="n">
        <v>2.3</v>
      </c>
      <c r="H123" t="n">
        <v>4</v>
      </c>
      <c r="I123" t="n">
        <v>3</v>
      </c>
      <c r="J123" t="n">
        <v>6</v>
      </c>
      <c r="K123" t="n">
        <v>2</v>
      </c>
      <c r="L123" t="n">
        <v>0</v>
      </c>
      <c r="M123" t="n">
        <v>0</v>
      </c>
      <c r="N123" t="n">
        <v>0</v>
      </c>
      <c r="O123" t="n">
        <v>8</v>
      </c>
      <c r="P123" t="n">
        <v>2</v>
      </c>
      <c r="Q123" t="n">
        <v>13</v>
      </c>
      <c r="R123" s="2" t="inlineStr">
        <is>
          <t>Knärot
Rynkskinn
Garnlav
Mörk kolflarnlav
Rosenticka
Tretåig hackspett
Ullticka
Vitgrynig nållav
Bollvitmossa
Stuplav
Vårärt
Fläcknycklar
Revlummer</t>
        </is>
      </c>
      <c r="S123">
        <f>HYPERLINK("https://klasma.github.io/Logging_2260/artfynd/A 25142-2026 artfynd.xlsx", "A 25142-2026")</f>
        <v/>
      </c>
      <c r="T123">
        <f>HYPERLINK("https://klasma.github.io/Logging_2260/kartor/A 25142-2026 karta.png", "A 25142-2026")</f>
        <v/>
      </c>
      <c r="U123">
        <f>HYPERLINK("https://klasma.github.io/Logging_2260/knärot/A 25142-2026 karta knärot.png", "A 25142-2026")</f>
        <v/>
      </c>
      <c r="V123">
        <f>HYPERLINK("https://klasma.github.io/Logging_2260/klagomål/A 25142-2026 FSC-klagomål.docx", "A 25142-2026")</f>
        <v/>
      </c>
      <c r="W123">
        <f>HYPERLINK("https://klasma.github.io/Logging_2260/klagomålsmail/A 25142-2026 FSC-klagomål mail.docx", "A 25142-2026")</f>
        <v/>
      </c>
      <c r="X123">
        <f>HYPERLINK("https://klasma.github.io/Logging_2260/tillsyn/A 25142-2026 tillsynsbegäran.docx", "A 25142-2026")</f>
        <v/>
      </c>
      <c r="Y123">
        <f>HYPERLINK("https://klasma.github.io/Logging_2260/tillsynsmail/A 25142-2026 tillsynsbegäran mail.docx", "A 25142-2026")</f>
        <v/>
      </c>
      <c r="Z123">
        <f>HYPERLINK("https://klasma.github.io/Logging_2260/fåglar/A 25142-2026 prioriterade fågelarter.docx", "A 25142-2026")</f>
        <v/>
      </c>
    </row>
    <row r="124" ht="15" customHeight="1">
      <c r="A124" t="inlineStr">
        <is>
          <t>A 39172-2022</t>
        </is>
      </c>
      <c r="B124" s="1" t="n">
        <v>44817</v>
      </c>
      <c r="C124" s="1" t="n">
        <v>46185</v>
      </c>
      <c r="D124" t="inlineStr">
        <is>
          <t>VÄSTERNORRLANDS LÄN</t>
        </is>
      </c>
      <c r="E124" t="inlineStr">
        <is>
          <t>SOLLEFTEÅ</t>
        </is>
      </c>
      <c r="G124" t="n">
        <v>69.2</v>
      </c>
      <c r="H124" t="n">
        <v>0</v>
      </c>
      <c r="I124" t="n">
        <v>4</v>
      </c>
      <c r="J124" t="n">
        <v>7</v>
      </c>
      <c r="K124" t="n">
        <v>2</v>
      </c>
      <c r="L124" t="n">
        <v>0</v>
      </c>
      <c r="M124" t="n">
        <v>0</v>
      </c>
      <c r="N124" t="n">
        <v>0</v>
      </c>
      <c r="O124" t="n">
        <v>9</v>
      </c>
      <c r="P124" t="n">
        <v>2</v>
      </c>
      <c r="Q124" t="n">
        <v>13</v>
      </c>
      <c r="R124" s="2" t="inlineStr">
        <is>
          <t>Gräddporing
Gräddticka
Dvärgbägarlav
Garnlav
Lunglav
Rosenticka
Skrovellav
Stjärntagging
Ullticka
Korallblylav
Skarp dropptaggsvamp
Skinnlav
Stor aspticka</t>
        </is>
      </c>
      <c r="S124">
        <f>HYPERLINK("https://klasma.github.io/Logging_2283/artfynd/A 39172-2022 artfynd.xlsx", "A 39172-2022")</f>
        <v/>
      </c>
      <c r="T124">
        <f>HYPERLINK("https://klasma.github.io/Logging_2283/kartor/A 39172-2022 karta.png", "A 39172-2022")</f>
        <v/>
      </c>
      <c r="V124">
        <f>HYPERLINK("https://klasma.github.io/Logging_2283/klagomål/A 39172-2022 FSC-klagomål.docx", "A 39172-2022")</f>
        <v/>
      </c>
      <c r="W124">
        <f>HYPERLINK("https://klasma.github.io/Logging_2283/klagomålsmail/A 39172-2022 FSC-klagomål mail.docx", "A 39172-2022")</f>
        <v/>
      </c>
      <c r="X124">
        <f>HYPERLINK("https://klasma.github.io/Logging_2283/tillsyn/A 39172-2022 tillsynsbegäran.docx", "A 39172-2022")</f>
        <v/>
      </c>
      <c r="Y124">
        <f>HYPERLINK("https://klasma.github.io/Logging_2283/tillsynsmail/A 39172-2022 tillsynsbegäran mail.docx", "A 39172-2022")</f>
        <v/>
      </c>
    </row>
    <row r="125" ht="15" customHeight="1">
      <c r="A125" t="inlineStr">
        <is>
          <t>A 10398-2026</t>
        </is>
      </c>
      <c r="B125" s="1" t="n">
        <v>46077</v>
      </c>
      <c r="C125" s="1" t="n">
        <v>46185</v>
      </c>
      <c r="D125" t="inlineStr">
        <is>
          <t>VÄSTERNORRLANDS LÄN</t>
        </is>
      </c>
      <c r="E125" t="inlineStr">
        <is>
          <t>ÖRNSKÖLDSVIK</t>
        </is>
      </c>
      <c r="G125" t="n">
        <v>29.2</v>
      </c>
      <c r="H125" t="n">
        <v>5</v>
      </c>
      <c r="I125" t="n">
        <v>3</v>
      </c>
      <c r="J125" t="n">
        <v>8</v>
      </c>
      <c r="K125" t="n">
        <v>1</v>
      </c>
      <c r="L125" t="n">
        <v>0</v>
      </c>
      <c r="M125" t="n">
        <v>0</v>
      </c>
      <c r="N125" t="n">
        <v>0</v>
      </c>
      <c r="O125" t="n">
        <v>9</v>
      </c>
      <c r="P125" t="n">
        <v>1</v>
      </c>
      <c r="Q125" t="n">
        <v>13</v>
      </c>
      <c r="R125" s="2" t="inlineStr">
        <is>
          <t>Aspgelélav
Garnlav
Järpe
Lunglav
Skogshare
Spillkråka
Talltita
Tretåig hackspett
Ullticka
Rävticka
Skinnlav
Vedticka
Tjäder</t>
        </is>
      </c>
      <c r="S125">
        <f>HYPERLINK("https://klasma.github.io/Logging_2284/artfynd/A 10398-2026 artfynd.xlsx", "A 10398-2026")</f>
        <v/>
      </c>
      <c r="T125">
        <f>HYPERLINK("https://klasma.github.io/Logging_2284/kartor/A 10398-2026 karta.png", "A 10398-2026")</f>
        <v/>
      </c>
      <c r="V125">
        <f>HYPERLINK("https://klasma.github.io/Logging_2284/klagomål/A 10398-2026 FSC-klagomål.docx", "A 10398-2026")</f>
        <v/>
      </c>
      <c r="W125">
        <f>HYPERLINK("https://klasma.github.io/Logging_2284/klagomålsmail/A 10398-2026 FSC-klagomål mail.docx", "A 10398-2026")</f>
        <v/>
      </c>
      <c r="X125">
        <f>HYPERLINK("https://klasma.github.io/Logging_2284/tillsyn/A 10398-2026 tillsynsbegäran.docx", "A 10398-2026")</f>
        <v/>
      </c>
      <c r="Y125">
        <f>HYPERLINK("https://klasma.github.io/Logging_2284/tillsynsmail/A 10398-2026 tillsynsbegäran mail.docx", "A 10398-2026")</f>
        <v/>
      </c>
      <c r="Z125">
        <f>HYPERLINK("https://klasma.github.io/Logging_2284/fåglar/A 10398-2026 prioriterade fågelarter.docx", "A 10398-2026")</f>
        <v/>
      </c>
    </row>
    <row r="126" ht="15" customHeight="1">
      <c r="A126" t="inlineStr">
        <is>
          <t>A 22209-2025</t>
        </is>
      </c>
      <c r="B126" s="1" t="n">
        <v>45785.65732638889</v>
      </c>
      <c r="C126" s="1" t="n">
        <v>46185</v>
      </c>
      <c r="D126" t="inlineStr">
        <is>
          <t>VÄSTERNORRLANDS LÄN</t>
        </is>
      </c>
      <c r="E126" t="inlineStr">
        <is>
          <t>SOLLEFTEÅ</t>
        </is>
      </c>
      <c r="F126" t="inlineStr">
        <is>
          <t>SCA</t>
        </is>
      </c>
      <c r="G126" t="n">
        <v>10.1</v>
      </c>
      <c r="H126" t="n">
        <v>2</v>
      </c>
      <c r="I126" t="n">
        <v>6</v>
      </c>
      <c r="J126" t="n">
        <v>6</v>
      </c>
      <c r="K126" t="n">
        <v>1</v>
      </c>
      <c r="L126" t="n">
        <v>0</v>
      </c>
      <c r="M126" t="n">
        <v>0</v>
      </c>
      <c r="N126" t="n">
        <v>0</v>
      </c>
      <c r="O126" t="n">
        <v>7</v>
      </c>
      <c r="P126" t="n">
        <v>1</v>
      </c>
      <c r="Q126" t="n">
        <v>13</v>
      </c>
      <c r="R126" s="2" t="inlineStr">
        <is>
          <t>Knärot
Garnlav
Granticka
Harticka
Lunglav
Rosenticka
Ullticka
Bronshjon
Spindelblomster
Stor aspticka
Thomsons trägnagare
Vedticka
Vågbandad barkbock</t>
        </is>
      </c>
      <c r="S126">
        <f>HYPERLINK("https://klasma.github.io/Logging_2283/artfynd/A 22209-2025 artfynd.xlsx", "A 22209-2025")</f>
        <v/>
      </c>
      <c r="T126">
        <f>HYPERLINK("https://klasma.github.io/Logging_2283/kartor/A 22209-2025 karta.png", "A 22209-2025")</f>
        <v/>
      </c>
      <c r="U126">
        <f>HYPERLINK("https://klasma.github.io/Logging_2283/knärot/A 22209-2025 karta knärot.png", "A 22209-2025")</f>
        <v/>
      </c>
      <c r="V126">
        <f>HYPERLINK("https://klasma.github.io/Logging_2283/klagomål/A 22209-2025 FSC-klagomål.docx", "A 22209-2025")</f>
        <v/>
      </c>
      <c r="W126">
        <f>HYPERLINK("https://klasma.github.io/Logging_2283/klagomålsmail/A 22209-2025 FSC-klagomål mail.docx", "A 22209-2025")</f>
        <v/>
      </c>
      <c r="X126">
        <f>HYPERLINK("https://klasma.github.io/Logging_2283/tillsyn/A 22209-2025 tillsynsbegäran.docx", "A 22209-2025")</f>
        <v/>
      </c>
      <c r="Y126">
        <f>HYPERLINK("https://klasma.github.io/Logging_2283/tillsynsmail/A 22209-2025 tillsynsbegäran mail.docx", "A 22209-2025")</f>
        <v/>
      </c>
    </row>
    <row r="127" ht="15" customHeight="1">
      <c r="A127" t="inlineStr">
        <is>
          <t>A 30571-2024</t>
        </is>
      </c>
      <c r="B127" s="1" t="n">
        <v>45492</v>
      </c>
      <c r="C127" s="1" t="n">
        <v>46185</v>
      </c>
      <c r="D127" t="inlineStr">
        <is>
          <t>VÄSTERNORRLANDS LÄN</t>
        </is>
      </c>
      <c r="E127" t="inlineStr">
        <is>
          <t>SOLLEFTEÅ</t>
        </is>
      </c>
      <c r="F127" t="inlineStr">
        <is>
          <t>SCA</t>
        </is>
      </c>
      <c r="G127" t="n">
        <v>3.1</v>
      </c>
      <c r="H127" t="n">
        <v>3</v>
      </c>
      <c r="I127" t="n">
        <v>2</v>
      </c>
      <c r="J127" t="n">
        <v>8</v>
      </c>
      <c r="K127" t="n">
        <v>2</v>
      </c>
      <c r="L127" t="n">
        <v>0</v>
      </c>
      <c r="M127" t="n">
        <v>0</v>
      </c>
      <c r="N127" t="n">
        <v>0</v>
      </c>
      <c r="O127" t="n">
        <v>10</v>
      </c>
      <c r="P127" t="n">
        <v>2</v>
      </c>
      <c r="Q127" t="n">
        <v>12</v>
      </c>
      <c r="R127" s="2" t="inlineStr">
        <is>
          <t>Gräddporing
Knärot
Dvärgbägarlav
Gammelgransskål
Garnlav
Kolflarnlav
Lunglav
Spillkråka
Tretåig hackspett
Ullticka
Dropptaggsvamp
Stuplav</t>
        </is>
      </c>
      <c r="S127">
        <f>HYPERLINK("https://klasma.github.io/Logging_2283/artfynd/A 30571-2024 artfynd.xlsx", "A 30571-2024")</f>
        <v/>
      </c>
      <c r="T127">
        <f>HYPERLINK("https://klasma.github.io/Logging_2283/kartor/A 30571-2024 karta.png", "A 30571-2024")</f>
        <v/>
      </c>
      <c r="U127">
        <f>HYPERLINK("https://klasma.github.io/Logging_2283/knärot/A 30571-2024 karta knärot.png", "A 30571-2024")</f>
        <v/>
      </c>
      <c r="V127">
        <f>HYPERLINK("https://klasma.github.io/Logging_2283/klagomål/A 30571-2024 FSC-klagomål.docx", "A 30571-2024")</f>
        <v/>
      </c>
      <c r="W127">
        <f>HYPERLINK("https://klasma.github.io/Logging_2283/klagomålsmail/A 30571-2024 FSC-klagomål mail.docx", "A 30571-2024")</f>
        <v/>
      </c>
      <c r="X127">
        <f>HYPERLINK("https://klasma.github.io/Logging_2283/tillsyn/A 30571-2024 tillsynsbegäran.docx", "A 30571-2024")</f>
        <v/>
      </c>
      <c r="Y127">
        <f>HYPERLINK("https://klasma.github.io/Logging_2283/tillsynsmail/A 30571-2024 tillsynsbegäran mail.docx", "A 30571-2024")</f>
        <v/>
      </c>
      <c r="Z127">
        <f>HYPERLINK("https://klasma.github.io/Logging_2283/fåglar/A 30571-2024 prioriterade fågelarter.docx", "A 30571-2024")</f>
        <v/>
      </c>
    </row>
    <row r="128" ht="15" customHeight="1">
      <c r="A128" t="inlineStr">
        <is>
          <t>A 44735-2025</t>
        </is>
      </c>
      <c r="B128" s="1" t="n">
        <v>45917</v>
      </c>
      <c r="C128" s="1" t="n">
        <v>46185</v>
      </c>
      <c r="D128" t="inlineStr">
        <is>
          <t>VÄSTERNORRLANDS LÄN</t>
        </is>
      </c>
      <c r="E128" t="inlineStr">
        <is>
          <t>SOLLEFTEÅ</t>
        </is>
      </c>
      <c r="F128" t="inlineStr">
        <is>
          <t>SCA</t>
        </is>
      </c>
      <c r="G128" t="n">
        <v>3.5</v>
      </c>
      <c r="H128" t="n">
        <v>5</v>
      </c>
      <c r="I128" t="n">
        <v>3</v>
      </c>
      <c r="J128" t="n">
        <v>7</v>
      </c>
      <c r="K128" t="n">
        <v>2</v>
      </c>
      <c r="L128" t="n">
        <v>0</v>
      </c>
      <c r="M128" t="n">
        <v>0</v>
      </c>
      <c r="N128" t="n">
        <v>0</v>
      </c>
      <c r="O128" t="n">
        <v>9</v>
      </c>
      <c r="P128" t="n">
        <v>2</v>
      </c>
      <c r="Q128" t="n">
        <v>12</v>
      </c>
      <c r="R128" s="2" t="inlineStr">
        <is>
          <t>Knärot
Lappticka
Harticka
Järpe
Rosenticka
Skogsfru
Talltita
Tretåig hackspett
Ullticka
Svavelriska
Trådticka
Vedticka</t>
        </is>
      </c>
      <c r="S128">
        <f>HYPERLINK("https://klasma.github.io/Logging_2283/artfynd/A 44735-2025 artfynd.xlsx", "A 44735-2025")</f>
        <v/>
      </c>
      <c r="T128">
        <f>HYPERLINK("https://klasma.github.io/Logging_2283/kartor/A 44735-2025 karta.png", "A 44735-2025")</f>
        <v/>
      </c>
      <c r="U128">
        <f>HYPERLINK("https://klasma.github.io/Logging_2283/knärot/A 44735-2025 karta knärot.png", "A 44735-2025")</f>
        <v/>
      </c>
      <c r="V128">
        <f>HYPERLINK("https://klasma.github.io/Logging_2283/klagomål/A 44735-2025 FSC-klagomål.docx", "A 44735-2025")</f>
        <v/>
      </c>
      <c r="W128">
        <f>HYPERLINK("https://klasma.github.io/Logging_2283/klagomålsmail/A 44735-2025 FSC-klagomål mail.docx", "A 44735-2025")</f>
        <v/>
      </c>
      <c r="X128">
        <f>HYPERLINK("https://klasma.github.io/Logging_2283/tillsyn/A 44735-2025 tillsynsbegäran.docx", "A 44735-2025")</f>
        <v/>
      </c>
      <c r="Y128">
        <f>HYPERLINK("https://klasma.github.io/Logging_2283/tillsynsmail/A 44735-2025 tillsynsbegäran mail.docx", "A 44735-2025")</f>
        <v/>
      </c>
      <c r="Z128">
        <f>HYPERLINK("https://klasma.github.io/Logging_2283/fåglar/A 44735-2025 prioriterade fågelarter.docx", "A 44735-2025")</f>
        <v/>
      </c>
    </row>
    <row r="129" ht="15" customHeight="1">
      <c r="A129" t="inlineStr">
        <is>
          <t>A 49355-2025</t>
        </is>
      </c>
      <c r="B129" s="1" t="n">
        <v>45938</v>
      </c>
      <c r="C129" s="1" t="n">
        <v>46185</v>
      </c>
      <c r="D129" t="inlineStr">
        <is>
          <t>VÄSTERNORRLANDS LÄN</t>
        </is>
      </c>
      <c r="E129" t="inlineStr">
        <is>
          <t>HÄRNÖSAND</t>
        </is>
      </c>
      <c r="F129" t="inlineStr">
        <is>
          <t>SCA</t>
        </is>
      </c>
      <c r="G129" t="n">
        <v>10.3</v>
      </c>
      <c r="H129" t="n">
        <v>3</v>
      </c>
      <c r="I129" t="n">
        <v>2</v>
      </c>
      <c r="J129" t="n">
        <v>6</v>
      </c>
      <c r="K129" t="n">
        <v>3</v>
      </c>
      <c r="L129" t="n">
        <v>0</v>
      </c>
      <c r="M129" t="n">
        <v>0</v>
      </c>
      <c r="N129" t="n">
        <v>0</v>
      </c>
      <c r="O129" t="n">
        <v>9</v>
      </c>
      <c r="P129" t="n">
        <v>3</v>
      </c>
      <c r="Q129" t="n">
        <v>12</v>
      </c>
      <c r="R129" s="2" t="inlineStr">
        <is>
          <t>Knärot
Lappticka
Rynkskinn
Garnlav
Kötticka
Lunglav
Rosenticka
Tretåig hackspett
Ullticka
Skinnlav
Vedticka
Revlummer</t>
        </is>
      </c>
      <c r="S129">
        <f>HYPERLINK("https://klasma.github.io/Logging_2280/artfynd/A 49355-2025 artfynd.xlsx", "A 49355-2025")</f>
        <v/>
      </c>
      <c r="T129">
        <f>HYPERLINK("https://klasma.github.io/Logging_2280/kartor/A 49355-2025 karta.png", "A 49355-2025")</f>
        <v/>
      </c>
      <c r="U129">
        <f>HYPERLINK("https://klasma.github.io/Logging_2280/knärot/A 49355-2025 karta knärot.png", "A 49355-2025")</f>
        <v/>
      </c>
      <c r="V129">
        <f>HYPERLINK("https://klasma.github.io/Logging_2280/klagomål/A 49355-2025 FSC-klagomål.docx", "A 49355-2025")</f>
        <v/>
      </c>
      <c r="W129">
        <f>HYPERLINK("https://klasma.github.io/Logging_2280/klagomålsmail/A 49355-2025 FSC-klagomål mail.docx", "A 49355-2025")</f>
        <v/>
      </c>
      <c r="X129">
        <f>HYPERLINK("https://klasma.github.io/Logging_2280/tillsyn/A 49355-2025 tillsynsbegäran.docx", "A 49355-2025")</f>
        <v/>
      </c>
      <c r="Y129">
        <f>HYPERLINK("https://klasma.github.io/Logging_2280/tillsynsmail/A 49355-2025 tillsynsbegäran mail.docx", "A 49355-2025")</f>
        <v/>
      </c>
      <c r="Z129">
        <f>HYPERLINK("https://klasma.github.io/Logging_2280/fåglar/A 49355-2025 prioriterade fågelarter.docx", "A 49355-2025")</f>
        <v/>
      </c>
    </row>
    <row r="130" ht="15" customHeight="1">
      <c r="A130" t="inlineStr">
        <is>
          <t>A 48738-2024</t>
        </is>
      </c>
      <c r="B130" s="1" t="n">
        <v>45593</v>
      </c>
      <c r="C130" s="1" t="n">
        <v>46185</v>
      </c>
      <c r="D130" t="inlineStr">
        <is>
          <t>VÄSTERNORRLANDS LÄN</t>
        </is>
      </c>
      <c r="E130" t="inlineStr">
        <is>
          <t>ÅNGE</t>
        </is>
      </c>
      <c r="F130" t="inlineStr">
        <is>
          <t>SCA</t>
        </is>
      </c>
      <c r="G130" t="n">
        <v>19.8</v>
      </c>
      <c r="H130" t="n">
        <v>5</v>
      </c>
      <c r="I130" t="n">
        <v>6</v>
      </c>
      <c r="J130" t="n">
        <v>4</v>
      </c>
      <c r="K130" t="n">
        <v>0</v>
      </c>
      <c r="L130" t="n">
        <v>0</v>
      </c>
      <c r="M130" t="n">
        <v>0</v>
      </c>
      <c r="N130" t="n">
        <v>0</v>
      </c>
      <c r="O130" t="n">
        <v>4</v>
      </c>
      <c r="P130" t="n">
        <v>0</v>
      </c>
      <c r="Q130" t="n">
        <v>12</v>
      </c>
      <c r="R130" s="2" t="inlineStr">
        <is>
          <t>Gammelgransskål
Garnlav
Lunglav
Spillkråka
Korallblylav
Korallrot
Kransrams
Spindelblomster
Stuplav
Svavelriska
Fläcknycklar
Revlummer</t>
        </is>
      </c>
      <c r="S130">
        <f>HYPERLINK("https://klasma.github.io/Logging_2260/artfynd/A 48738-2024 artfynd.xlsx", "A 48738-2024")</f>
        <v/>
      </c>
      <c r="T130">
        <f>HYPERLINK("https://klasma.github.io/Logging_2260/kartor/A 48738-2024 karta.png", "A 48738-2024")</f>
        <v/>
      </c>
      <c r="V130">
        <f>HYPERLINK("https://klasma.github.io/Logging_2260/klagomål/A 48738-2024 FSC-klagomål.docx", "A 48738-2024")</f>
        <v/>
      </c>
      <c r="W130">
        <f>HYPERLINK("https://klasma.github.io/Logging_2260/klagomålsmail/A 48738-2024 FSC-klagomål mail.docx", "A 48738-2024")</f>
        <v/>
      </c>
      <c r="X130">
        <f>HYPERLINK("https://klasma.github.io/Logging_2260/tillsyn/A 48738-2024 tillsynsbegäran.docx", "A 48738-2024")</f>
        <v/>
      </c>
      <c r="Y130">
        <f>HYPERLINK("https://klasma.github.io/Logging_2260/tillsynsmail/A 48738-2024 tillsynsbegäran mail.docx", "A 48738-2024")</f>
        <v/>
      </c>
      <c r="Z130">
        <f>HYPERLINK("https://klasma.github.io/Logging_2260/fåglar/A 48738-2024 prioriterade fågelarter.docx", "A 48738-2024")</f>
        <v/>
      </c>
    </row>
    <row r="131" ht="15" customHeight="1">
      <c r="A131" t="inlineStr">
        <is>
          <t>A 49704-2025</t>
        </is>
      </c>
      <c r="B131" s="1" t="n">
        <v>45939</v>
      </c>
      <c r="C131" s="1" t="n">
        <v>46185</v>
      </c>
      <c r="D131" t="inlineStr">
        <is>
          <t>VÄSTERNORRLANDS LÄN</t>
        </is>
      </c>
      <c r="E131" t="inlineStr">
        <is>
          <t>SOLLEFTEÅ</t>
        </is>
      </c>
      <c r="F131" t="inlineStr">
        <is>
          <t>SCA</t>
        </is>
      </c>
      <c r="G131" t="n">
        <v>1.8</v>
      </c>
      <c r="H131" t="n">
        <v>3</v>
      </c>
      <c r="I131" t="n">
        <v>6</v>
      </c>
      <c r="J131" t="n">
        <v>6</v>
      </c>
      <c r="K131" t="n">
        <v>0</v>
      </c>
      <c r="L131" t="n">
        <v>0</v>
      </c>
      <c r="M131" t="n">
        <v>0</v>
      </c>
      <c r="N131" t="n">
        <v>0</v>
      </c>
      <c r="O131" t="n">
        <v>6</v>
      </c>
      <c r="P131" t="n">
        <v>0</v>
      </c>
      <c r="Q131" t="n">
        <v>12</v>
      </c>
      <c r="R131" s="2" t="inlineStr">
        <is>
          <t>Gammelgransskål
Garnlav
Harticka
Järpe
Lunglav
Tretåig hackspett
Bollvitmossa
Bårdlav
Lappranunkel
Luddlav
Norrlandslav
Ögonpyrola</t>
        </is>
      </c>
      <c r="S131">
        <f>HYPERLINK("https://klasma.github.io/Logging_2283/artfynd/A 49704-2025 artfynd.xlsx", "A 49704-2025")</f>
        <v/>
      </c>
      <c r="T131">
        <f>HYPERLINK("https://klasma.github.io/Logging_2283/kartor/A 49704-2025 karta.png", "A 49704-2025")</f>
        <v/>
      </c>
      <c r="V131">
        <f>HYPERLINK("https://klasma.github.io/Logging_2283/klagomål/A 49704-2025 FSC-klagomål.docx", "A 49704-2025")</f>
        <v/>
      </c>
      <c r="W131">
        <f>HYPERLINK("https://klasma.github.io/Logging_2283/klagomålsmail/A 49704-2025 FSC-klagomål mail.docx", "A 49704-2025")</f>
        <v/>
      </c>
      <c r="X131">
        <f>HYPERLINK("https://klasma.github.io/Logging_2283/tillsyn/A 49704-2025 tillsynsbegäran.docx", "A 49704-2025")</f>
        <v/>
      </c>
      <c r="Y131">
        <f>HYPERLINK("https://klasma.github.io/Logging_2283/tillsynsmail/A 49704-2025 tillsynsbegäran mail.docx", "A 49704-2025")</f>
        <v/>
      </c>
      <c r="Z131">
        <f>HYPERLINK("https://klasma.github.io/Logging_2283/fåglar/A 49704-2025 prioriterade fågelarter.docx", "A 49704-2025")</f>
        <v/>
      </c>
    </row>
    <row r="132" ht="15" customHeight="1">
      <c r="A132" t="inlineStr">
        <is>
          <t>A 37808-2022</t>
        </is>
      </c>
      <c r="B132" s="1" t="n">
        <v>44810</v>
      </c>
      <c r="C132" s="1" t="n">
        <v>46185</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47789-2023</t>
        </is>
      </c>
      <c r="B133" s="1" t="n">
        <v>45203</v>
      </c>
      <c r="C133" s="1" t="n">
        <v>46185</v>
      </c>
      <c r="D133" t="inlineStr">
        <is>
          <t>VÄSTERNORRLANDS LÄN</t>
        </is>
      </c>
      <c r="E133" t="inlineStr">
        <is>
          <t>ÅNGE</t>
        </is>
      </c>
      <c r="F133" t="inlineStr">
        <is>
          <t>SCA</t>
        </is>
      </c>
      <c r="G133" t="n">
        <v>6.7</v>
      </c>
      <c r="H133" t="n">
        <v>4</v>
      </c>
      <c r="I133" t="n">
        <v>4</v>
      </c>
      <c r="J133" t="n">
        <v>5</v>
      </c>
      <c r="K133" t="n">
        <v>2</v>
      </c>
      <c r="L133" t="n">
        <v>0</v>
      </c>
      <c r="M133" t="n">
        <v>0</v>
      </c>
      <c r="N133" t="n">
        <v>0</v>
      </c>
      <c r="O133" t="n">
        <v>7</v>
      </c>
      <c r="P133" t="n">
        <v>2</v>
      </c>
      <c r="Q133" t="n">
        <v>12</v>
      </c>
      <c r="R133" s="2" t="inlineStr">
        <is>
          <t>Knärot
Rynkskinn
Gränsticka
Lunglav
Rosenticka
Spillkråka
Talltita
Bronshjon
Svart trolldruva
Tibast
Vårärt
Revlummer</t>
        </is>
      </c>
      <c r="S133">
        <f>HYPERLINK("https://klasma.github.io/Logging_2260/artfynd/A 47789-2023 artfynd.xlsx", "A 47789-2023")</f>
        <v/>
      </c>
      <c r="T133">
        <f>HYPERLINK("https://klasma.github.io/Logging_2260/kartor/A 47789-2023 karta.png", "A 47789-2023")</f>
        <v/>
      </c>
      <c r="U133">
        <f>HYPERLINK("https://klasma.github.io/Logging_2260/knärot/A 47789-2023 karta knärot.png", "A 47789-2023")</f>
        <v/>
      </c>
      <c r="V133">
        <f>HYPERLINK("https://klasma.github.io/Logging_2260/klagomål/A 47789-2023 FSC-klagomål.docx", "A 47789-2023")</f>
        <v/>
      </c>
      <c r="W133">
        <f>HYPERLINK("https://klasma.github.io/Logging_2260/klagomålsmail/A 47789-2023 FSC-klagomål mail.docx", "A 47789-2023")</f>
        <v/>
      </c>
      <c r="X133">
        <f>HYPERLINK("https://klasma.github.io/Logging_2260/tillsyn/A 47789-2023 tillsynsbegäran.docx", "A 47789-2023")</f>
        <v/>
      </c>
      <c r="Y133">
        <f>HYPERLINK("https://klasma.github.io/Logging_2260/tillsynsmail/A 47789-2023 tillsynsbegäran mail.docx", "A 47789-2023")</f>
        <v/>
      </c>
      <c r="Z133">
        <f>HYPERLINK("https://klasma.github.io/Logging_2260/fåglar/A 47789-2023 prioriterade fågelarter.docx", "A 47789-2023")</f>
        <v/>
      </c>
    </row>
    <row r="134" ht="15" customHeight="1">
      <c r="A134" t="inlineStr">
        <is>
          <t>A 48506-2023</t>
        </is>
      </c>
      <c r="B134" s="1" t="n">
        <v>45207</v>
      </c>
      <c r="C134" s="1" t="n">
        <v>46185</v>
      </c>
      <c r="D134" t="inlineStr">
        <is>
          <t>VÄSTERNORRLANDS LÄN</t>
        </is>
      </c>
      <c r="E134" t="inlineStr">
        <is>
          <t>SUNDSVALL</t>
        </is>
      </c>
      <c r="F134" t="inlineStr">
        <is>
          <t>SCA</t>
        </is>
      </c>
      <c r="G134" t="n">
        <v>2.3</v>
      </c>
      <c r="H134" t="n">
        <v>5</v>
      </c>
      <c r="I134" t="n">
        <v>2</v>
      </c>
      <c r="J134" t="n">
        <v>8</v>
      </c>
      <c r="K134" t="n">
        <v>1</v>
      </c>
      <c r="L134" t="n">
        <v>0</v>
      </c>
      <c r="M134" t="n">
        <v>0</v>
      </c>
      <c r="N134" t="n">
        <v>0</v>
      </c>
      <c r="O134" t="n">
        <v>9</v>
      </c>
      <c r="P134" t="n">
        <v>1</v>
      </c>
      <c r="Q134" t="n">
        <v>12</v>
      </c>
      <c r="R134" s="2" t="inlineStr">
        <is>
          <t>Knärot
Garnlav
Gränsticka
Lunglav
Rosenticka
Spillkråka
Talltita
Tretåig hackspett
Ullticka
Bårdlav
Vedticka
Revlummer</t>
        </is>
      </c>
      <c r="S134">
        <f>HYPERLINK("https://klasma.github.io/Logging_2281/artfynd/A 48506-2023 artfynd.xlsx", "A 48506-2023")</f>
        <v/>
      </c>
      <c r="T134">
        <f>HYPERLINK("https://klasma.github.io/Logging_2281/kartor/A 48506-2023 karta.png", "A 48506-2023")</f>
        <v/>
      </c>
      <c r="U134">
        <f>HYPERLINK("https://klasma.github.io/Logging_2281/knärot/A 48506-2023 karta knärot.png", "A 48506-2023")</f>
        <v/>
      </c>
      <c r="V134">
        <f>HYPERLINK("https://klasma.github.io/Logging_2281/klagomål/A 48506-2023 FSC-klagomål.docx", "A 48506-2023")</f>
        <v/>
      </c>
      <c r="W134">
        <f>HYPERLINK("https://klasma.github.io/Logging_2281/klagomålsmail/A 48506-2023 FSC-klagomål mail.docx", "A 48506-2023")</f>
        <v/>
      </c>
      <c r="X134">
        <f>HYPERLINK("https://klasma.github.io/Logging_2281/tillsyn/A 48506-2023 tillsynsbegäran.docx", "A 48506-2023")</f>
        <v/>
      </c>
      <c r="Y134">
        <f>HYPERLINK("https://klasma.github.io/Logging_2281/tillsynsmail/A 48506-2023 tillsynsbegäran mail.docx", "A 48506-2023")</f>
        <v/>
      </c>
      <c r="Z134">
        <f>HYPERLINK("https://klasma.github.io/Logging_2281/fåglar/A 48506-2023 prioriterade fågelarter.docx", "A 48506-2023")</f>
        <v/>
      </c>
    </row>
    <row r="135" ht="15" customHeight="1">
      <c r="A135" t="inlineStr">
        <is>
          <t>A 37600-2022</t>
        </is>
      </c>
      <c r="B135" s="1" t="n">
        <v>44809</v>
      </c>
      <c r="C135" s="1" t="n">
        <v>46185</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46375-2025</t>
        </is>
      </c>
      <c r="B136" s="1" t="n">
        <v>45925</v>
      </c>
      <c r="C136" s="1" t="n">
        <v>46185</v>
      </c>
      <c r="D136" t="inlineStr">
        <is>
          <t>VÄSTERNORRLANDS LÄN</t>
        </is>
      </c>
      <c r="E136" t="inlineStr">
        <is>
          <t>ÅNGE</t>
        </is>
      </c>
      <c r="F136" t="inlineStr">
        <is>
          <t>SCA</t>
        </is>
      </c>
      <c r="G136" t="n">
        <v>4.7</v>
      </c>
      <c r="H136" t="n">
        <v>4</v>
      </c>
      <c r="I136" t="n">
        <v>3</v>
      </c>
      <c r="J136" t="n">
        <v>7</v>
      </c>
      <c r="K136" t="n">
        <v>1</v>
      </c>
      <c r="L136" t="n">
        <v>0</v>
      </c>
      <c r="M136" t="n">
        <v>0</v>
      </c>
      <c r="N136" t="n">
        <v>0</v>
      </c>
      <c r="O136" t="n">
        <v>8</v>
      </c>
      <c r="P136" t="n">
        <v>1</v>
      </c>
      <c r="Q136" t="n">
        <v>12</v>
      </c>
      <c r="R136" s="2" t="inlineStr">
        <is>
          <t>Knärot
Brunpudrad nållav
Garnlav
Lunglav
Spillkråka
Tretåig hackspett
Ullticka
Vitgrynig nållav
Dropptaggsvamp
Gulnål
Nästlav
Tjäder</t>
        </is>
      </c>
      <c r="S136">
        <f>HYPERLINK("https://klasma.github.io/Logging_2260/artfynd/A 46375-2025 artfynd.xlsx", "A 46375-2025")</f>
        <v/>
      </c>
      <c r="T136">
        <f>HYPERLINK("https://klasma.github.io/Logging_2260/kartor/A 46375-2025 karta.png", "A 46375-2025")</f>
        <v/>
      </c>
      <c r="U136">
        <f>HYPERLINK("https://klasma.github.io/Logging_2260/knärot/A 46375-2025 karta knärot.png", "A 46375-2025")</f>
        <v/>
      </c>
      <c r="V136">
        <f>HYPERLINK("https://klasma.github.io/Logging_2260/klagomål/A 46375-2025 FSC-klagomål.docx", "A 46375-2025")</f>
        <v/>
      </c>
      <c r="W136">
        <f>HYPERLINK("https://klasma.github.io/Logging_2260/klagomålsmail/A 46375-2025 FSC-klagomål mail.docx", "A 46375-2025")</f>
        <v/>
      </c>
      <c r="X136">
        <f>HYPERLINK("https://klasma.github.io/Logging_2260/tillsyn/A 46375-2025 tillsynsbegäran.docx", "A 46375-2025")</f>
        <v/>
      </c>
      <c r="Y136">
        <f>HYPERLINK("https://klasma.github.io/Logging_2260/tillsynsmail/A 46375-2025 tillsynsbegäran mail.docx", "A 46375-2025")</f>
        <v/>
      </c>
      <c r="Z136">
        <f>HYPERLINK("https://klasma.github.io/Logging_2260/fåglar/A 46375-2025 prioriterade fågelarter.docx", "A 46375-2025")</f>
        <v/>
      </c>
    </row>
    <row r="137" ht="15" customHeight="1">
      <c r="A137" t="inlineStr">
        <is>
          <t>A 3379-2026</t>
        </is>
      </c>
      <c r="B137" s="1" t="n">
        <v>46042</v>
      </c>
      <c r="C137" s="1" t="n">
        <v>46185</v>
      </c>
      <c r="D137" t="inlineStr">
        <is>
          <t>VÄSTERNORRLANDS LÄN</t>
        </is>
      </c>
      <c r="E137" t="inlineStr">
        <is>
          <t>SUNDSVALL</t>
        </is>
      </c>
      <c r="G137" t="n">
        <v>4.3</v>
      </c>
      <c r="H137" t="n">
        <v>1</v>
      </c>
      <c r="I137" t="n">
        <v>7</v>
      </c>
      <c r="J137" t="n">
        <v>5</v>
      </c>
      <c r="K137" t="n">
        <v>0</v>
      </c>
      <c r="L137" t="n">
        <v>0</v>
      </c>
      <c r="M137" t="n">
        <v>0</v>
      </c>
      <c r="N137" t="n">
        <v>0</v>
      </c>
      <c r="O137" t="n">
        <v>5</v>
      </c>
      <c r="P137" t="n">
        <v>0</v>
      </c>
      <c r="Q137" t="n">
        <v>12</v>
      </c>
      <c r="R137" s="2" t="inlineStr">
        <is>
          <t>Garnlav
Lunglav
Rosenticka
Tretåig hackspett
Ullticka
Bårdlav
Korallblylav
Luddlav
Skinnlav
Stuplav
Vedticka
Vågbandad barkbock</t>
        </is>
      </c>
      <c r="S137">
        <f>HYPERLINK("https://klasma.github.io/Logging_2281/artfynd/A 3379-2026 artfynd.xlsx", "A 3379-2026")</f>
        <v/>
      </c>
      <c r="T137">
        <f>HYPERLINK("https://klasma.github.io/Logging_2281/kartor/A 3379-2026 karta.png", "A 3379-2026")</f>
        <v/>
      </c>
      <c r="V137">
        <f>HYPERLINK("https://klasma.github.io/Logging_2281/klagomål/A 3379-2026 FSC-klagomål.docx", "A 3379-2026")</f>
        <v/>
      </c>
      <c r="W137">
        <f>HYPERLINK("https://klasma.github.io/Logging_2281/klagomålsmail/A 3379-2026 FSC-klagomål mail.docx", "A 3379-2026")</f>
        <v/>
      </c>
      <c r="X137">
        <f>HYPERLINK("https://klasma.github.io/Logging_2281/tillsyn/A 3379-2026 tillsynsbegäran.docx", "A 3379-2026")</f>
        <v/>
      </c>
      <c r="Y137">
        <f>HYPERLINK("https://klasma.github.io/Logging_2281/tillsynsmail/A 3379-2026 tillsynsbegäran mail.docx", "A 3379-2026")</f>
        <v/>
      </c>
      <c r="Z137">
        <f>HYPERLINK("https://klasma.github.io/Logging_2281/fåglar/A 3379-2026 prioriterade fågelarter.docx", "A 3379-2026")</f>
        <v/>
      </c>
    </row>
    <row r="138" ht="15" customHeight="1">
      <c r="A138" t="inlineStr">
        <is>
          <t>A 50551-2024</t>
        </is>
      </c>
      <c r="B138" s="1" t="n">
        <v>45600</v>
      </c>
      <c r="C138" s="1" t="n">
        <v>46185</v>
      </c>
      <c r="D138" t="inlineStr">
        <is>
          <t>VÄSTERNORRLANDS LÄN</t>
        </is>
      </c>
      <c r="E138" t="inlineStr">
        <is>
          <t>SUNDSVALL</t>
        </is>
      </c>
      <c r="F138" t="inlineStr">
        <is>
          <t>Kommuner</t>
        </is>
      </c>
      <c r="G138" t="n">
        <v>19.7</v>
      </c>
      <c r="H138" t="n">
        <v>10</v>
      </c>
      <c r="I138" t="n">
        <v>1</v>
      </c>
      <c r="J138" t="n">
        <v>5</v>
      </c>
      <c r="K138" t="n">
        <v>1</v>
      </c>
      <c r="L138" t="n">
        <v>0</v>
      </c>
      <c r="M138" t="n">
        <v>0</v>
      </c>
      <c r="N138" t="n">
        <v>0</v>
      </c>
      <c r="O138" t="n">
        <v>6</v>
      </c>
      <c r="P138" t="n">
        <v>1</v>
      </c>
      <c r="Q138" t="n">
        <v>12</v>
      </c>
      <c r="R138" s="2" t="inlineStr">
        <is>
          <t>Havstrut
Flodsångare
Mindre hackspett
Rödprick
Spillkråka
Tretåig hackspett
Scharlakansskål
Gråspett
Näktergal
Sparvuggla
Trana
Sik</t>
        </is>
      </c>
      <c r="S138">
        <f>HYPERLINK("https://klasma.github.io/Logging_2281/artfynd/A 50551-2024 artfynd.xlsx", "A 50551-2024")</f>
        <v/>
      </c>
      <c r="T138">
        <f>HYPERLINK("https://klasma.github.io/Logging_2281/kartor/A 50551-2024 karta.png", "A 50551-2024")</f>
        <v/>
      </c>
      <c r="V138">
        <f>HYPERLINK("https://klasma.github.io/Logging_2281/klagomål/A 50551-2024 FSC-klagomål.docx", "A 50551-2024")</f>
        <v/>
      </c>
      <c r="W138">
        <f>HYPERLINK("https://klasma.github.io/Logging_2281/klagomålsmail/A 50551-2024 FSC-klagomål mail.docx", "A 50551-2024")</f>
        <v/>
      </c>
      <c r="X138">
        <f>HYPERLINK("https://klasma.github.io/Logging_2281/tillsyn/A 50551-2024 tillsynsbegäran.docx", "A 50551-2024")</f>
        <v/>
      </c>
      <c r="Y138">
        <f>HYPERLINK("https://klasma.github.io/Logging_2281/tillsynsmail/A 50551-2024 tillsynsbegäran mail.docx", "A 50551-2024")</f>
        <v/>
      </c>
      <c r="Z138">
        <f>HYPERLINK("https://klasma.github.io/Logging_2281/fåglar/A 50551-2024 prioriterade fågelarter.docx", "A 50551-2024")</f>
        <v/>
      </c>
    </row>
    <row r="139" ht="15" customHeight="1">
      <c r="A139" t="inlineStr">
        <is>
          <t>A 48783-2023</t>
        </is>
      </c>
      <c r="B139" s="1" t="n">
        <v>45208</v>
      </c>
      <c r="C139" s="1" t="n">
        <v>46185</v>
      </c>
      <c r="D139" t="inlineStr">
        <is>
          <t>VÄSTERNORRLANDS LÄN</t>
        </is>
      </c>
      <c r="E139" t="inlineStr">
        <is>
          <t>SUNDSVALL</t>
        </is>
      </c>
      <c r="F139" t="inlineStr">
        <is>
          <t>SCA</t>
        </is>
      </c>
      <c r="G139" t="n">
        <v>2.3</v>
      </c>
      <c r="H139" t="n">
        <v>5</v>
      </c>
      <c r="I139" t="n">
        <v>2</v>
      </c>
      <c r="J139" t="n">
        <v>8</v>
      </c>
      <c r="K139" t="n">
        <v>1</v>
      </c>
      <c r="L139" t="n">
        <v>0</v>
      </c>
      <c r="M139" t="n">
        <v>0</v>
      </c>
      <c r="N139" t="n">
        <v>0</v>
      </c>
      <c r="O139" t="n">
        <v>9</v>
      </c>
      <c r="P139" t="n">
        <v>1</v>
      </c>
      <c r="Q139" t="n">
        <v>12</v>
      </c>
      <c r="R139" s="2" t="inlineStr">
        <is>
          <t>Knärot
Garnlav
Gränsticka
Lunglav
Rosenticka
Spillkråka
Talltita
Tretåig hackspett
Ullticka
Bårdlav
Vedticka
Revlummer</t>
        </is>
      </c>
      <c r="S139">
        <f>HYPERLINK("https://klasma.github.io/Logging_2281/artfynd/A 48783-2023 artfynd.xlsx", "A 48783-2023")</f>
        <v/>
      </c>
      <c r="T139">
        <f>HYPERLINK("https://klasma.github.io/Logging_2281/kartor/A 48783-2023 karta.png", "A 48783-2023")</f>
        <v/>
      </c>
      <c r="U139">
        <f>HYPERLINK("https://klasma.github.io/Logging_2281/knärot/A 48783-2023 karta knärot.png", "A 48783-2023")</f>
        <v/>
      </c>
      <c r="V139">
        <f>HYPERLINK("https://klasma.github.io/Logging_2281/klagomål/A 48783-2023 FSC-klagomål.docx", "A 48783-2023")</f>
        <v/>
      </c>
      <c r="W139">
        <f>HYPERLINK("https://klasma.github.io/Logging_2281/klagomålsmail/A 48783-2023 FSC-klagomål mail.docx", "A 48783-2023")</f>
        <v/>
      </c>
      <c r="X139">
        <f>HYPERLINK("https://klasma.github.io/Logging_2281/tillsyn/A 48783-2023 tillsynsbegäran.docx", "A 48783-2023")</f>
        <v/>
      </c>
      <c r="Y139">
        <f>HYPERLINK("https://klasma.github.io/Logging_2281/tillsynsmail/A 48783-2023 tillsynsbegäran mail.docx", "A 48783-2023")</f>
        <v/>
      </c>
      <c r="Z139">
        <f>HYPERLINK("https://klasma.github.io/Logging_2281/fåglar/A 48783-2023 prioriterade fågelarter.docx", "A 48783-2023")</f>
        <v/>
      </c>
    </row>
    <row r="140" ht="15" customHeight="1">
      <c r="A140" t="inlineStr">
        <is>
          <t>A 4839-2025</t>
        </is>
      </c>
      <c r="B140" s="1" t="n">
        <v>45688</v>
      </c>
      <c r="C140" s="1" t="n">
        <v>46185</v>
      </c>
      <c r="D140" t="inlineStr">
        <is>
          <t>VÄSTERNORRLANDS LÄN</t>
        </is>
      </c>
      <c r="E140" t="inlineStr">
        <is>
          <t>SOLLEFTEÅ</t>
        </is>
      </c>
      <c r="F140" t="inlineStr">
        <is>
          <t>SCA</t>
        </is>
      </c>
      <c r="G140" t="n">
        <v>7.9</v>
      </c>
      <c r="H140" t="n">
        <v>5</v>
      </c>
      <c r="I140" t="n">
        <v>1</v>
      </c>
      <c r="J140" t="n">
        <v>10</v>
      </c>
      <c r="K140" t="n">
        <v>1</v>
      </c>
      <c r="L140" t="n">
        <v>0</v>
      </c>
      <c r="M140" t="n">
        <v>0</v>
      </c>
      <c r="N140" t="n">
        <v>0</v>
      </c>
      <c r="O140" t="n">
        <v>11</v>
      </c>
      <c r="P140" t="n">
        <v>1</v>
      </c>
      <c r="Q140" t="n">
        <v>12</v>
      </c>
      <c r="R140" s="2" t="inlineStr">
        <is>
          <t>Knärot
Garnlav
Granticka
Harticka
Järpe
Kolflarnlav
Mörk kolflarnlav
Spillkråka
Talltita
Tretåig hackspett
Ullticka
Dropptaggsvamp</t>
        </is>
      </c>
      <c r="S140">
        <f>HYPERLINK("https://klasma.github.io/Logging_2283/artfynd/A 4839-2025 artfynd.xlsx", "A 4839-2025")</f>
        <v/>
      </c>
      <c r="T140">
        <f>HYPERLINK("https://klasma.github.io/Logging_2283/kartor/A 4839-2025 karta.png", "A 4839-2025")</f>
        <v/>
      </c>
      <c r="U140">
        <f>HYPERLINK("https://klasma.github.io/Logging_2283/knärot/A 4839-2025 karta knärot.png", "A 4839-2025")</f>
        <v/>
      </c>
      <c r="V140">
        <f>HYPERLINK("https://klasma.github.io/Logging_2283/klagomål/A 4839-2025 FSC-klagomål.docx", "A 4839-2025")</f>
        <v/>
      </c>
      <c r="W140">
        <f>HYPERLINK("https://klasma.github.io/Logging_2283/klagomålsmail/A 4839-2025 FSC-klagomål mail.docx", "A 4839-2025")</f>
        <v/>
      </c>
      <c r="X140">
        <f>HYPERLINK("https://klasma.github.io/Logging_2283/tillsyn/A 4839-2025 tillsynsbegäran.docx", "A 4839-2025")</f>
        <v/>
      </c>
      <c r="Y140">
        <f>HYPERLINK("https://klasma.github.io/Logging_2283/tillsynsmail/A 4839-2025 tillsynsbegäran mail.docx", "A 4839-2025")</f>
        <v/>
      </c>
      <c r="Z140">
        <f>HYPERLINK("https://klasma.github.io/Logging_2283/fåglar/A 4839-2025 prioriterade fågelarter.docx", "A 4839-2025")</f>
        <v/>
      </c>
    </row>
    <row r="141" ht="15" customHeight="1">
      <c r="A141" t="inlineStr">
        <is>
          <t>A 42309-2021</t>
        </is>
      </c>
      <c r="B141" s="1" t="n">
        <v>44427</v>
      </c>
      <c r="C141" s="1" t="n">
        <v>46185</v>
      </c>
      <c r="D141" t="inlineStr">
        <is>
          <t>VÄSTERNORRLANDS LÄN</t>
        </is>
      </c>
      <c r="E141" t="inlineStr">
        <is>
          <t>ÅNGE</t>
        </is>
      </c>
      <c r="F141" t="inlineStr">
        <is>
          <t>Sveaskog</t>
        </is>
      </c>
      <c r="G141" t="n">
        <v>2.5</v>
      </c>
      <c r="H141" t="n">
        <v>1</v>
      </c>
      <c r="I141" t="n">
        <v>2</v>
      </c>
      <c r="J141" t="n">
        <v>8</v>
      </c>
      <c r="K141" t="n">
        <v>0</v>
      </c>
      <c r="L141" t="n">
        <v>1</v>
      </c>
      <c r="M141" t="n">
        <v>0</v>
      </c>
      <c r="N141" t="n">
        <v>0</v>
      </c>
      <c r="O141" t="n">
        <v>9</v>
      </c>
      <c r="P141" t="n">
        <v>1</v>
      </c>
      <c r="Q141" t="n">
        <v>11</v>
      </c>
      <c r="R141" s="2" t="inlineStr">
        <is>
          <t>Urskogsticka
Doftskinn
Gammelgransskål
Garnlav
Lunglav
Nordtagging
Tretåig hackspett
Ullticka
Vedtrappmossa
Kattfotslav
Skinnlav</t>
        </is>
      </c>
      <c r="S141">
        <f>HYPERLINK("https://klasma.github.io/Logging_2260/artfynd/A 42309-2021 artfynd.xlsx", "A 42309-2021")</f>
        <v/>
      </c>
      <c r="T141">
        <f>HYPERLINK("https://klasma.github.io/Logging_2260/kartor/A 42309-2021 karta.png", "A 42309-2021")</f>
        <v/>
      </c>
      <c r="V141">
        <f>HYPERLINK("https://klasma.github.io/Logging_2260/klagomål/A 42309-2021 FSC-klagomål.docx", "A 42309-2021")</f>
        <v/>
      </c>
      <c r="W141">
        <f>HYPERLINK("https://klasma.github.io/Logging_2260/klagomålsmail/A 42309-2021 FSC-klagomål mail.docx", "A 42309-2021")</f>
        <v/>
      </c>
      <c r="X141">
        <f>HYPERLINK("https://klasma.github.io/Logging_2260/tillsyn/A 42309-2021 tillsynsbegäran.docx", "A 42309-2021")</f>
        <v/>
      </c>
      <c r="Y141">
        <f>HYPERLINK("https://klasma.github.io/Logging_2260/tillsynsmail/A 42309-2021 tillsynsbegäran mail.docx", "A 42309-2021")</f>
        <v/>
      </c>
      <c r="Z141">
        <f>HYPERLINK("https://klasma.github.io/Logging_2260/fåglar/A 42309-2021 prioriterade fågelarter.docx", "A 42309-2021")</f>
        <v/>
      </c>
    </row>
    <row r="142" ht="15" customHeight="1">
      <c r="A142" t="inlineStr">
        <is>
          <t>A 14887-2022</t>
        </is>
      </c>
      <c r="B142" s="1" t="n">
        <v>44656</v>
      </c>
      <c r="C142" s="1" t="n">
        <v>46185</v>
      </c>
      <c r="D142" t="inlineStr">
        <is>
          <t>VÄSTERNORRLANDS LÄN</t>
        </is>
      </c>
      <c r="E142" t="inlineStr">
        <is>
          <t>ÅNGE</t>
        </is>
      </c>
      <c r="G142" t="n">
        <v>6.8</v>
      </c>
      <c r="H142" t="n">
        <v>1</v>
      </c>
      <c r="I142" t="n">
        <v>2</v>
      </c>
      <c r="J142" t="n">
        <v>7</v>
      </c>
      <c r="K142" t="n">
        <v>2</v>
      </c>
      <c r="L142" t="n">
        <v>0</v>
      </c>
      <c r="M142" t="n">
        <v>0</v>
      </c>
      <c r="N142" t="n">
        <v>0</v>
      </c>
      <c r="O142" t="n">
        <v>9</v>
      </c>
      <c r="P142" t="n">
        <v>2</v>
      </c>
      <c r="Q142" t="n">
        <v>11</v>
      </c>
      <c r="R142" s="2" t="inlineStr">
        <is>
          <t>Bitter taggsvamp
Knärot
Garnlav
Gultoppig fingersvamp
Lunglav
Rosenticka
Svartvit taggsvamp
Ullticka
Äggvaxskivling
Dropptaggsvamp
Skarp dropptaggsvamp</t>
        </is>
      </c>
      <c r="S142">
        <f>HYPERLINK("https://klasma.github.io/Logging_2260/artfynd/A 14887-2022 artfynd.xlsx", "A 14887-2022")</f>
        <v/>
      </c>
      <c r="T142">
        <f>HYPERLINK("https://klasma.github.io/Logging_2260/kartor/A 14887-2022 karta.png", "A 14887-2022")</f>
        <v/>
      </c>
      <c r="U142">
        <f>HYPERLINK("https://klasma.github.io/Logging_2260/knärot/A 14887-2022 karta knärot.png", "A 14887-2022")</f>
        <v/>
      </c>
      <c r="V142">
        <f>HYPERLINK("https://klasma.github.io/Logging_2260/klagomål/A 14887-2022 FSC-klagomål.docx", "A 14887-2022")</f>
        <v/>
      </c>
      <c r="W142">
        <f>HYPERLINK("https://klasma.github.io/Logging_2260/klagomålsmail/A 14887-2022 FSC-klagomål mail.docx", "A 14887-2022")</f>
        <v/>
      </c>
      <c r="X142">
        <f>HYPERLINK("https://klasma.github.io/Logging_2260/tillsyn/A 14887-2022 tillsynsbegäran.docx", "A 14887-2022")</f>
        <v/>
      </c>
      <c r="Y142">
        <f>HYPERLINK("https://klasma.github.io/Logging_2260/tillsynsmail/A 14887-2022 tillsynsbegäran mail.docx", "A 14887-2022")</f>
        <v/>
      </c>
    </row>
    <row r="143" ht="15" customHeight="1">
      <c r="A143" t="inlineStr">
        <is>
          <t>A 41874-2025</t>
        </is>
      </c>
      <c r="B143" s="1" t="n">
        <v>45903.3452662037</v>
      </c>
      <c r="C143" s="1" t="n">
        <v>46185</v>
      </c>
      <c r="D143" t="inlineStr">
        <is>
          <t>VÄSTERNORRLANDS LÄN</t>
        </is>
      </c>
      <c r="E143" t="inlineStr">
        <is>
          <t>ÅNGE</t>
        </is>
      </c>
      <c r="F143" t="inlineStr">
        <is>
          <t>SCA</t>
        </is>
      </c>
      <c r="G143" t="n">
        <v>5.7</v>
      </c>
      <c r="H143" t="n">
        <v>4</v>
      </c>
      <c r="I143" t="n">
        <v>5</v>
      </c>
      <c r="J143" t="n">
        <v>4</v>
      </c>
      <c r="K143" t="n">
        <v>0</v>
      </c>
      <c r="L143" t="n">
        <v>0</v>
      </c>
      <c r="M143" t="n">
        <v>0</v>
      </c>
      <c r="N143" t="n">
        <v>0</v>
      </c>
      <c r="O143" t="n">
        <v>4</v>
      </c>
      <c r="P143" t="n">
        <v>0</v>
      </c>
      <c r="Q143" t="n">
        <v>11</v>
      </c>
      <c r="R143" s="2" t="inlineStr">
        <is>
          <t>Garnlav
Granticka
Lunglav
Ullticka
Korallrot
Spindelblomster
Stuplav
Vedticka
Ögonpyrola
Fläcknycklar
Revlummer</t>
        </is>
      </c>
      <c r="S143">
        <f>HYPERLINK("https://klasma.github.io/Logging_2260/artfynd/A 41874-2025 artfynd.xlsx", "A 41874-2025")</f>
        <v/>
      </c>
      <c r="T143">
        <f>HYPERLINK("https://klasma.github.io/Logging_2260/kartor/A 41874-2025 karta.png", "A 41874-2025")</f>
        <v/>
      </c>
      <c r="V143">
        <f>HYPERLINK("https://klasma.github.io/Logging_2260/klagomål/A 41874-2025 FSC-klagomål.docx", "A 41874-2025")</f>
        <v/>
      </c>
      <c r="W143">
        <f>HYPERLINK("https://klasma.github.io/Logging_2260/klagomålsmail/A 41874-2025 FSC-klagomål mail.docx", "A 41874-2025")</f>
        <v/>
      </c>
      <c r="X143">
        <f>HYPERLINK("https://klasma.github.io/Logging_2260/tillsyn/A 41874-2025 tillsynsbegäran.docx", "A 41874-2025")</f>
        <v/>
      </c>
      <c r="Y143">
        <f>HYPERLINK("https://klasma.github.io/Logging_2260/tillsynsmail/A 41874-2025 tillsynsbegäran mail.docx", "A 41874-2025")</f>
        <v/>
      </c>
    </row>
    <row r="144" ht="15" customHeight="1">
      <c r="A144" t="inlineStr">
        <is>
          <t>A 41254-2021</t>
        </is>
      </c>
      <c r="B144" s="1" t="n">
        <v>44424</v>
      </c>
      <c r="C144" s="1" t="n">
        <v>46185</v>
      </c>
      <c r="D144" t="inlineStr">
        <is>
          <t>VÄSTERNORRLANDS LÄN</t>
        </is>
      </c>
      <c r="E144" t="inlineStr">
        <is>
          <t>ÖRNSKÖLDSVIK</t>
        </is>
      </c>
      <c r="F144" t="inlineStr">
        <is>
          <t>Holmen skog AB</t>
        </is>
      </c>
      <c r="G144" t="n">
        <v>2.6</v>
      </c>
      <c r="H144" t="n">
        <v>2</v>
      </c>
      <c r="I144" t="n">
        <v>2</v>
      </c>
      <c r="J144" t="n">
        <v>7</v>
      </c>
      <c r="K144" t="n">
        <v>2</v>
      </c>
      <c r="L144" t="n">
        <v>0</v>
      </c>
      <c r="M144" t="n">
        <v>0</v>
      </c>
      <c r="N144" t="n">
        <v>0</v>
      </c>
      <c r="O144" t="n">
        <v>9</v>
      </c>
      <c r="P144" t="n">
        <v>2</v>
      </c>
      <c r="Q144" t="n">
        <v>11</v>
      </c>
      <c r="R144" s="2" t="inlineStr">
        <is>
          <t>Knärot
Rynkskinn
Doftskinn
Garnlav
Granticka
Lunglav
Rosenticka
Talltita
Ullticka
Korallblylav
Vedticka</t>
        </is>
      </c>
      <c r="S144">
        <f>HYPERLINK("https://klasma.github.io/Logging_2284/artfynd/A 41254-2021 artfynd.xlsx", "A 41254-2021")</f>
        <v/>
      </c>
      <c r="T144">
        <f>HYPERLINK("https://klasma.github.io/Logging_2284/kartor/A 41254-2021 karta.png", "A 41254-2021")</f>
        <v/>
      </c>
      <c r="U144">
        <f>HYPERLINK("https://klasma.github.io/Logging_2284/knärot/A 41254-2021 karta knärot.png", "A 41254-2021")</f>
        <v/>
      </c>
      <c r="V144">
        <f>HYPERLINK("https://klasma.github.io/Logging_2284/klagomål/A 41254-2021 FSC-klagomål.docx", "A 41254-2021")</f>
        <v/>
      </c>
      <c r="W144">
        <f>HYPERLINK("https://klasma.github.io/Logging_2284/klagomålsmail/A 41254-2021 FSC-klagomål mail.docx", "A 41254-2021")</f>
        <v/>
      </c>
      <c r="X144">
        <f>HYPERLINK("https://klasma.github.io/Logging_2284/tillsyn/A 41254-2021 tillsynsbegäran.docx", "A 41254-2021")</f>
        <v/>
      </c>
      <c r="Y144">
        <f>HYPERLINK("https://klasma.github.io/Logging_2284/tillsynsmail/A 41254-2021 tillsynsbegäran mail.docx", "A 41254-2021")</f>
        <v/>
      </c>
      <c r="Z144">
        <f>HYPERLINK("https://klasma.github.io/Logging_2284/fåglar/A 41254-2021 prioriterade fågelarter.docx", "A 41254-2021")</f>
        <v/>
      </c>
    </row>
    <row r="145" ht="15" customHeight="1">
      <c r="A145" t="inlineStr">
        <is>
          <t>A 33783-2025</t>
        </is>
      </c>
      <c r="B145" s="1" t="n">
        <v>45842.40699074074</v>
      </c>
      <c r="C145" s="1" t="n">
        <v>46185</v>
      </c>
      <c r="D145" t="inlineStr">
        <is>
          <t>VÄSTERNORRLANDS LÄN</t>
        </is>
      </c>
      <c r="E145" t="inlineStr">
        <is>
          <t>ÅNGE</t>
        </is>
      </c>
      <c r="F145" t="inlineStr">
        <is>
          <t>SCA</t>
        </is>
      </c>
      <c r="G145" t="n">
        <v>9.300000000000001</v>
      </c>
      <c r="H145" t="n">
        <v>6</v>
      </c>
      <c r="I145" t="n">
        <v>3</v>
      </c>
      <c r="J145" t="n">
        <v>4</v>
      </c>
      <c r="K145" t="n">
        <v>0</v>
      </c>
      <c r="L145" t="n">
        <v>0</v>
      </c>
      <c r="M145" t="n">
        <v>0</v>
      </c>
      <c r="N145" t="n">
        <v>0</v>
      </c>
      <c r="O145" t="n">
        <v>4</v>
      </c>
      <c r="P145" t="n">
        <v>0</v>
      </c>
      <c r="Q145" t="n">
        <v>11</v>
      </c>
      <c r="R145" s="2" t="inlineStr">
        <is>
          <t>Fjällvråk
Gultoppig fingersvamp
Järpe
Lunglav
Kransrams
Stuplav
Ögonpyrola
Orre
Tjäder
Fläcknycklar
Revlummer</t>
        </is>
      </c>
      <c r="S145">
        <f>HYPERLINK("https://klasma.github.io/Logging_2260/artfynd/A 33783-2025 artfynd.xlsx", "A 33783-2025")</f>
        <v/>
      </c>
      <c r="T145">
        <f>HYPERLINK("https://klasma.github.io/Logging_2260/kartor/A 33783-2025 karta.png", "A 33783-2025")</f>
        <v/>
      </c>
      <c r="V145">
        <f>HYPERLINK("https://klasma.github.io/Logging_2260/klagomål/A 33783-2025 FSC-klagomål.docx", "A 33783-2025")</f>
        <v/>
      </c>
      <c r="W145">
        <f>HYPERLINK("https://klasma.github.io/Logging_2260/klagomålsmail/A 33783-2025 FSC-klagomål mail.docx", "A 33783-2025")</f>
        <v/>
      </c>
      <c r="X145">
        <f>HYPERLINK("https://klasma.github.io/Logging_2260/tillsyn/A 33783-2025 tillsynsbegäran.docx", "A 33783-2025")</f>
        <v/>
      </c>
      <c r="Y145">
        <f>HYPERLINK("https://klasma.github.io/Logging_2260/tillsynsmail/A 33783-2025 tillsynsbegäran mail.docx", "A 33783-2025")</f>
        <v/>
      </c>
      <c r="Z145">
        <f>HYPERLINK("https://klasma.github.io/Logging_2260/fåglar/A 33783-2025 prioriterade fågelarter.docx", "A 33783-2025")</f>
        <v/>
      </c>
    </row>
    <row r="146" ht="15" customHeight="1">
      <c r="A146" t="inlineStr">
        <is>
          <t>A 34225-2025</t>
        </is>
      </c>
      <c r="B146" s="1" t="n">
        <v>45845.65666666667</v>
      </c>
      <c r="C146" s="1" t="n">
        <v>46185</v>
      </c>
      <c r="D146" t="inlineStr">
        <is>
          <t>VÄSTERNORRLANDS LÄN</t>
        </is>
      </c>
      <c r="E146" t="inlineStr">
        <is>
          <t>TIMRÅ</t>
        </is>
      </c>
      <c r="F146" t="inlineStr">
        <is>
          <t>SCA</t>
        </is>
      </c>
      <c r="G146" t="n">
        <v>2.8</v>
      </c>
      <c r="H146" t="n">
        <v>0</v>
      </c>
      <c r="I146" t="n">
        <v>3</v>
      </c>
      <c r="J146" t="n">
        <v>8</v>
      </c>
      <c r="K146" t="n">
        <v>0</v>
      </c>
      <c r="L146" t="n">
        <v>0</v>
      </c>
      <c r="M146" t="n">
        <v>0</v>
      </c>
      <c r="N146" t="n">
        <v>0</v>
      </c>
      <c r="O146" t="n">
        <v>8</v>
      </c>
      <c r="P146" t="n">
        <v>0</v>
      </c>
      <c r="Q146" t="n">
        <v>11</v>
      </c>
      <c r="R146" s="2" t="inlineStr">
        <is>
          <t>Doftskinn
Garnlav
Kortskaftad ärgspik
Lunglav
Motaggsvamp
Ullticka
Vedskivlav
Vedtrappmossa
Bårdlav
Stuplav
Vedticka</t>
        </is>
      </c>
      <c r="S146">
        <f>HYPERLINK("https://klasma.github.io/Logging_2262/artfynd/A 34225-2025 artfynd.xlsx", "A 34225-2025")</f>
        <v/>
      </c>
      <c r="T146">
        <f>HYPERLINK("https://klasma.github.io/Logging_2262/kartor/A 34225-2025 karta.png", "A 34225-2025")</f>
        <v/>
      </c>
      <c r="V146">
        <f>HYPERLINK("https://klasma.github.io/Logging_2262/klagomål/A 34225-2025 FSC-klagomål.docx", "A 34225-2025")</f>
        <v/>
      </c>
      <c r="W146">
        <f>HYPERLINK("https://klasma.github.io/Logging_2262/klagomålsmail/A 34225-2025 FSC-klagomål mail.docx", "A 34225-2025")</f>
        <v/>
      </c>
      <c r="X146">
        <f>HYPERLINK("https://klasma.github.io/Logging_2262/tillsyn/A 34225-2025 tillsynsbegäran.docx", "A 34225-2025")</f>
        <v/>
      </c>
      <c r="Y146">
        <f>HYPERLINK("https://klasma.github.io/Logging_2262/tillsynsmail/A 34225-2025 tillsynsbegäran mail.docx", "A 34225-2025")</f>
        <v/>
      </c>
    </row>
    <row r="147" ht="15" customHeight="1">
      <c r="A147" t="inlineStr">
        <is>
          <t>A 61326-2024</t>
        </is>
      </c>
      <c r="B147" s="1" t="n">
        <v>45646</v>
      </c>
      <c r="C147" s="1" t="n">
        <v>46185</v>
      </c>
      <c r="D147" t="inlineStr">
        <is>
          <t>VÄSTERNORRLANDS LÄN</t>
        </is>
      </c>
      <c r="E147" t="inlineStr">
        <is>
          <t>SOLLEFTEÅ</t>
        </is>
      </c>
      <c r="F147" t="inlineStr">
        <is>
          <t>SCA</t>
        </is>
      </c>
      <c r="G147" t="n">
        <v>7.9</v>
      </c>
      <c r="H147" t="n">
        <v>1</v>
      </c>
      <c r="I147" t="n">
        <v>1</v>
      </c>
      <c r="J147" t="n">
        <v>10</v>
      </c>
      <c r="K147" t="n">
        <v>0</v>
      </c>
      <c r="L147" t="n">
        <v>0</v>
      </c>
      <c r="M147" t="n">
        <v>0</v>
      </c>
      <c r="N147" t="n">
        <v>0</v>
      </c>
      <c r="O147" t="n">
        <v>10</v>
      </c>
      <c r="P147" t="n">
        <v>0</v>
      </c>
      <c r="Q147" t="n">
        <v>11</v>
      </c>
      <c r="R147" s="2" t="inlineStr">
        <is>
          <t>Gammelgransskål
Garnlav
Granticka
Lunglav
Mörk kolflarnlav
Skrovellav
Stiftgelélav
Tretåig hackspett
Ullticka
Vitgrynig nållav
Luddlav</t>
        </is>
      </c>
      <c r="S147">
        <f>HYPERLINK("https://klasma.github.io/Logging_2283/artfynd/A 61326-2024 artfynd.xlsx", "A 61326-2024")</f>
        <v/>
      </c>
      <c r="T147">
        <f>HYPERLINK("https://klasma.github.io/Logging_2283/kartor/A 61326-2024 karta.png", "A 61326-2024")</f>
        <v/>
      </c>
      <c r="U147">
        <f>HYPERLINK("https://klasma.github.io/Logging_2283/knärot/A 61326-2024 karta knärot.png",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c r="Z147">
        <f>HYPERLINK("https://klasma.github.io/Logging_2283/fåglar/A 61326-2024 prioriterade fågelarter.docx", "A 61326-2024")</f>
        <v/>
      </c>
    </row>
    <row r="148" ht="15" customHeight="1">
      <c r="A148" t="inlineStr">
        <is>
          <t>A 37975-2025</t>
        </is>
      </c>
      <c r="B148" s="1" t="n">
        <v>45881.67758101852</v>
      </c>
      <c r="C148" s="1" t="n">
        <v>46185</v>
      </c>
      <c r="D148" t="inlineStr">
        <is>
          <t>VÄSTERNORRLANDS LÄN</t>
        </is>
      </c>
      <c r="E148" t="inlineStr">
        <is>
          <t>SUNDSVALL</t>
        </is>
      </c>
      <c r="F148" t="inlineStr">
        <is>
          <t>SCA</t>
        </is>
      </c>
      <c r="G148" t="n">
        <v>6</v>
      </c>
      <c r="H148" t="n">
        <v>0</v>
      </c>
      <c r="I148" t="n">
        <v>3</v>
      </c>
      <c r="J148" t="n">
        <v>8</v>
      </c>
      <c r="K148" t="n">
        <v>0</v>
      </c>
      <c r="L148" t="n">
        <v>0</v>
      </c>
      <c r="M148" t="n">
        <v>0</v>
      </c>
      <c r="N148" t="n">
        <v>0</v>
      </c>
      <c r="O148" t="n">
        <v>8</v>
      </c>
      <c r="P148" t="n">
        <v>0</v>
      </c>
      <c r="Q148" t="n">
        <v>11</v>
      </c>
      <c r="R148" s="2" t="inlineStr">
        <is>
          <t>Garnlav
Kolflarnlav
Kortskaftad ärgspik
Lunglav
Mörk kolflarnlav
Ullticka
Vedflamlav
Vedskivlav
Bårdlav
Dropptaggsvamp
Korallblylav</t>
        </is>
      </c>
      <c r="S148">
        <f>HYPERLINK("https://klasma.github.io/Logging_2281/artfynd/A 37975-2025 artfynd.xlsx", "A 37975-2025")</f>
        <v/>
      </c>
      <c r="T148">
        <f>HYPERLINK("https://klasma.github.io/Logging_2281/kartor/A 37975-2025 karta.png", "A 37975-2025")</f>
        <v/>
      </c>
      <c r="V148">
        <f>HYPERLINK("https://klasma.github.io/Logging_2281/klagomål/A 37975-2025 FSC-klagomål.docx", "A 37975-2025")</f>
        <v/>
      </c>
      <c r="W148">
        <f>HYPERLINK("https://klasma.github.io/Logging_2281/klagomålsmail/A 37975-2025 FSC-klagomål mail.docx", "A 37975-2025")</f>
        <v/>
      </c>
      <c r="X148">
        <f>HYPERLINK("https://klasma.github.io/Logging_2281/tillsyn/A 37975-2025 tillsynsbegäran.docx", "A 37975-2025")</f>
        <v/>
      </c>
      <c r="Y148">
        <f>HYPERLINK("https://klasma.github.io/Logging_2281/tillsynsmail/A 37975-2025 tillsynsbegäran mail.docx", "A 37975-2025")</f>
        <v/>
      </c>
    </row>
    <row r="149" ht="15" customHeight="1">
      <c r="A149" t="inlineStr">
        <is>
          <t>A 3288-2026</t>
        </is>
      </c>
      <c r="B149" s="1" t="n">
        <v>46041.63579861111</v>
      </c>
      <c r="C149" s="1" t="n">
        <v>46185</v>
      </c>
      <c r="D149" t="inlineStr">
        <is>
          <t>VÄSTERNORRLANDS LÄN</t>
        </is>
      </c>
      <c r="E149" t="inlineStr">
        <is>
          <t>ÖRNSKÖLDSVIK</t>
        </is>
      </c>
      <c r="G149" t="n">
        <v>1.4</v>
      </c>
      <c r="H149" t="n">
        <v>5</v>
      </c>
      <c r="I149" t="n">
        <v>1</v>
      </c>
      <c r="J149" t="n">
        <v>7</v>
      </c>
      <c r="K149" t="n">
        <v>2</v>
      </c>
      <c r="L149" t="n">
        <v>0</v>
      </c>
      <c r="M149" t="n">
        <v>0</v>
      </c>
      <c r="N149" t="n">
        <v>0</v>
      </c>
      <c r="O149" t="n">
        <v>9</v>
      </c>
      <c r="P149" t="n">
        <v>2</v>
      </c>
      <c r="Q149" t="n">
        <v>11</v>
      </c>
      <c r="R149" s="2" t="inlineStr">
        <is>
          <t>Knärot
Rynkskinn
Gammelgransskål
Järpe
Rosenticka
Stjärntagging
Talltita
Tretåig hackspett
Ullticka
Vedticka
Revlummer</t>
        </is>
      </c>
      <c r="S149">
        <f>HYPERLINK("https://klasma.github.io/Logging_2284/artfynd/A 3288-2026 artfynd.xlsx", "A 3288-2026")</f>
        <v/>
      </c>
      <c r="T149">
        <f>HYPERLINK("https://klasma.github.io/Logging_2284/kartor/A 3288-2026 karta.png", "A 3288-2026")</f>
        <v/>
      </c>
      <c r="U149">
        <f>HYPERLINK("https://klasma.github.io/Logging_2284/knärot/A 3288-2026 karta knärot.png", "A 3288-2026")</f>
        <v/>
      </c>
      <c r="V149">
        <f>HYPERLINK("https://klasma.github.io/Logging_2284/klagomål/A 3288-2026 FSC-klagomål.docx", "A 3288-2026")</f>
        <v/>
      </c>
      <c r="W149">
        <f>HYPERLINK("https://klasma.github.io/Logging_2284/klagomålsmail/A 3288-2026 FSC-klagomål mail.docx", "A 3288-2026")</f>
        <v/>
      </c>
      <c r="X149">
        <f>HYPERLINK("https://klasma.github.io/Logging_2284/tillsyn/A 3288-2026 tillsynsbegäran.docx", "A 3288-2026")</f>
        <v/>
      </c>
      <c r="Y149">
        <f>HYPERLINK("https://klasma.github.io/Logging_2284/tillsynsmail/A 3288-2026 tillsynsbegäran mail.docx", "A 3288-2026")</f>
        <v/>
      </c>
      <c r="Z149">
        <f>HYPERLINK("https://klasma.github.io/Logging_2284/fåglar/A 3288-2026 prioriterade fågelarter.docx", "A 3288-2026")</f>
        <v/>
      </c>
    </row>
    <row r="150" ht="15" customHeight="1">
      <c r="A150" t="inlineStr">
        <is>
          <t>A 46041-2022</t>
        </is>
      </c>
      <c r="B150" s="1" t="n">
        <v>44846</v>
      </c>
      <c r="C150" s="1" t="n">
        <v>46185</v>
      </c>
      <c r="D150" t="inlineStr">
        <is>
          <t>VÄSTERNORRLANDS LÄN</t>
        </is>
      </c>
      <c r="E150" t="inlineStr">
        <is>
          <t>SOLLEFTEÅ</t>
        </is>
      </c>
      <c r="F150" t="inlineStr">
        <is>
          <t>SCA</t>
        </is>
      </c>
      <c r="G150" t="n">
        <v>21.1</v>
      </c>
      <c r="H150" t="n">
        <v>4</v>
      </c>
      <c r="I150" t="n">
        <v>0</v>
      </c>
      <c r="J150" t="n">
        <v>10</v>
      </c>
      <c r="K150" t="n">
        <v>1</v>
      </c>
      <c r="L150" t="n">
        <v>0</v>
      </c>
      <c r="M150" t="n">
        <v>0</v>
      </c>
      <c r="N150" t="n">
        <v>0</v>
      </c>
      <c r="O150" t="n">
        <v>11</v>
      </c>
      <c r="P150" t="n">
        <v>1</v>
      </c>
      <c r="Q150" t="n">
        <v>11</v>
      </c>
      <c r="R150" s="2" t="inlineStr">
        <is>
          <t>Knärot
Gammelgransskål
Garnlav
Granticka
Kolflarnlav
Lunglav
Skrovellav
Spillkråka
Talltita
Tretåig hackspett
Vitgrynig nållav</t>
        </is>
      </c>
      <c r="S150">
        <f>HYPERLINK("https://klasma.github.io/Logging_2283/artfynd/A 46041-2022 artfynd.xlsx", "A 46041-2022")</f>
        <v/>
      </c>
      <c r="T150">
        <f>HYPERLINK("https://klasma.github.io/Logging_2283/kartor/A 46041-2022 karta.png", "A 46041-2022")</f>
        <v/>
      </c>
      <c r="U150">
        <f>HYPERLINK("https://klasma.github.io/Logging_2283/knärot/A 46041-2022 karta knärot.png", "A 46041-2022")</f>
        <v/>
      </c>
      <c r="V150">
        <f>HYPERLINK("https://klasma.github.io/Logging_2283/klagomål/A 46041-2022 FSC-klagomål.docx", "A 46041-2022")</f>
        <v/>
      </c>
      <c r="W150">
        <f>HYPERLINK("https://klasma.github.io/Logging_2283/klagomålsmail/A 46041-2022 FSC-klagomål mail.docx", "A 46041-2022")</f>
        <v/>
      </c>
      <c r="X150">
        <f>HYPERLINK("https://klasma.github.io/Logging_2283/tillsyn/A 46041-2022 tillsynsbegäran.docx", "A 46041-2022")</f>
        <v/>
      </c>
      <c r="Y150">
        <f>HYPERLINK("https://klasma.github.io/Logging_2283/tillsynsmail/A 46041-2022 tillsynsbegäran mail.docx", "A 46041-2022")</f>
        <v/>
      </c>
      <c r="Z150">
        <f>HYPERLINK("https://klasma.github.io/Logging_2283/fåglar/A 46041-2022 prioriterade fågelarter.docx", "A 46041-2022")</f>
        <v/>
      </c>
    </row>
    <row r="151" ht="15" customHeight="1">
      <c r="A151" t="inlineStr">
        <is>
          <t>A 22044-2026</t>
        </is>
      </c>
      <c r="B151" s="1" t="n">
        <v>46153.46756944444</v>
      </c>
      <c r="C151" s="1" t="n">
        <v>46185</v>
      </c>
      <c r="D151" t="inlineStr">
        <is>
          <t>VÄSTERNORRLANDS LÄN</t>
        </is>
      </c>
      <c r="E151" t="inlineStr">
        <is>
          <t>KRAMFORS</t>
        </is>
      </c>
      <c r="G151" t="n">
        <v>5.2</v>
      </c>
      <c r="H151" t="n">
        <v>6</v>
      </c>
      <c r="I151" t="n">
        <v>4</v>
      </c>
      <c r="J151" t="n">
        <v>4</v>
      </c>
      <c r="K151" t="n">
        <v>1</v>
      </c>
      <c r="L151" t="n">
        <v>0</v>
      </c>
      <c r="M151" t="n">
        <v>0</v>
      </c>
      <c r="N151" t="n">
        <v>0</v>
      </c>
      <c r="O151" t="n">
        <v>5</v>
      </c>
      <c r="P151" t="n">
        <v>1</v>
      </c>
      <c r="Q151" t="n">
        <v>11</v>
      </c>
      <c r="R151" s="2" t="inlineStr">
        <is>
          <t>Knärot
Garnlav
Kötticka
Spillkråka
Tretåig hackspett
Mörk husmossa
Plattlummer
Stor aspticka
Stuplav
Blåsippa
Revlummer</t>
        </is>
      </c>
      <c r="S151">
        <f>HYPERLINK("https://klasma.github.io/Logging_2282/artfynd/A 22044-2026 artfynd.xlsx", "A 22044-2026")</f>
        <v/>
      </c>
      <c r="T151">
        <f>HYPERLINK("https://klasma.github.io/Logging_2282/kartor/A 22044-2026 karta.png", "A 22044-2026")</f>
        <v/>
      </c>
      <c r="U151">
        <f>HYPERLINK("https://klasma.github.io/Logging_2282/knärot/A 22044-2026 karta knärot.png", "A 22044-2026")</f>
        <v/>
      </c>
      <c r="V151">
        <f>HYPERLINK("https://klasma.github.io/Logging_2282/klagomål/A 22044-2026 FSC-klagomål.docx", "A 22044-2026")</f>
        <v/>
      </c>
      <c r="W151">
        <f>HYPERLINK("https://klasma.github.io/Logging_2282/klagomålsmail/A 22044-2026 FSC-klagomål mail.docx", "A 22044-2026")</f>
        <v/>
      </c>
      <c r="X151">
        <f>HYPERLINK("https://klasma.github.io/Logging_2282/tillsyn/A 22044-2026 tillsynsbegäran.docx", "A 22044-2026")</f>
        <v/>
      </c>
      <c r="Y151">
        <f>HYPERLINK("https://klasma.github.io/Logging_2282/tillsynsmail/A 22044-2026 tillsynsbegäran mail.docx", "A 22044-2026")</f>
        <v/>
      </c>
      <c r="Z151">
        <f>HYPERLINK("https://klasma.github.io/Logging_2282/fåglar/A 22044-2026 prioriterade fågelarter.docx", "A 22044-2026")</f>
        <v/>
      </c>
    </row>
    <row r="152" ht="15" customHeight="1">
      <c r="A152" t="inlineStr">
        <is>
          <t>A 15388-2026</t>
        </is>
      </c>
      <c r="B152" s="1" t="n">
        <v>46106</v>
      </c>
      <c r="C152" s="1" t="n">
        <v>46185</v>
      </c>
      <c r="D152" t="inlineStr">
        <is>
          <t>VÄSTERNORRLANDS LÄN</t>
        </is>
      </c>
      <c r="E152" t="inlineStr">
        <is>
          <t>SOLLEFTEÅ</t>
        </is>
      </c>
      <c r="F152" t="inlineStr">
        <is>
          <t>SCA</t>
        </is>
      </c>
      <c r="G152" t="n">
        <v>16.1</v>
      </c>
      <c r="H152" t="n">
        <v>4</v>
      </c>
      <c r="I152" t="n">
        <v>0</v>
      </c>
      <c r="J152" t="n">
        <v>8</v>
      </c>
      <c r="K152" t="n">
        <v>3</v>
      </c>
      <c r="L152" t="n">
        <v>0</v>
      </c>
      <c r="M152" t="n">
        <v>0</v>
      </c>
      <c r="N152" t="n">
        <v>0</v>
      </c>
      <c r="O152" t="n">
        <v>11</v>
      </c>
      <c r="P152" t="n">
        <v>3</v>
      </c>
      <c r="Q152" t="n">
        <v>11</v>
      </c>
      <c r="R152" s="2" t="inlineStr">
        <is>
          <t>Blackticka
Knärot
Rynkskinn
Gammelgransskål
Garnlav
Lunglav
Spillkråka
Talltita
Tretåig hackspett
Ullticka
Vitgrynig nållav</t>
        </is>
      </c>
      <c r="S152">
        <f>HYPERLINK("https://klasma.github.io/Logging_2283/artfynd/A 15388-2026 artfynd.xlsx", "A 15388-2026")</f>
        <v/>
      </c>
      <c r="T152">
        <f>HYPERLINK("https://klasma.github.io/Logging_2283/kartor/A 15388-2026 karta.png", "A 15388-2026")</f>
        <v/>
      </c>
      <c r="U152">
        <f>HYPERLINK("https://klasma.github.io/Logging_2283/knärot/A 15388-2026 karta knärot.png", "A 15388-2026")</f>
        <v/>
      </c>
      <c r="V152">
        <f>HYPERLINK("https://klasma.github.io/Logging_2283/klagomål/A 15388-2026 FSC-klagomål.docx", "A 15388-2026")</f>
        <v/>
      </c>
      <c r="W152">
        <f>HYPERLINK("https://klasma.github.io/Logging_2283/klagomålsmail/A 15388-2026 FSC-klagomål mail.docx", "A 15388-2026")</f>
        <v/>
      </c>
      <c r="X152">
        <f>HYPERLINK("https://klasma.github.io/Logging_2283/tillsyn/A 15388-2026 tillsynsbegäran.docx", "A 15388-2026")</f>
        <v/>
      </c>
      <c r="Y152">
        <f>HYPERLINK("https://klasma.github.io/Logging_2283/tillsynsmail/A 15388-2026 tillsynsbegäran mail.docx", "A 15388-2026")</f>
        <v/>
      </c>
      <c r="Z152">
        <f>HYPERLINK("https://klasma.github.io/Logging_2283/fåglar/A 15388-2026 prioriterade fågelarter.docx", "A 15388-2026")</f>
        <v/>
      </c>
    </row>
    <row r="153" ht="15" customHeight="1">
      <c r="A153" t="inlineStr">
        <is>
          <t>A 42290-2025</t>
        </is>
      </c>
      <c r="B153" s="1" t="n">
        <v>45904</v>
      </c>
      <c r="C153" s="1" t="n">
        <v>46185</v>
      </c>
      <c r="D153" t="inlineStr">
        <is>
          <t>VÄSTERNORRLANDS LÄN</t>
        </is>
      </c>
      <c r="E153" t="inlineStr">
        <is>
          <t>KRAMFORS</t>
        </is>
      </c>
      <c r="G153" t="n">
        <v>11.4</v>
      </c>
      <c r="H153" t="n">
        <v>6</v>
      </c>
      <c r="I153" t="n">
        <v>1</v>
      </c>
      <c r="J153" t="n">
        <v>7</v>
      </c>
      <c r="K153" t="n">
        <v>1</v>
      </c>
      <c r="L153" t="n">
        <v>0</v>
      </c>
      <c r="M153" t="n">
        <v>0</v>
      </c>
      <c r="N153" t="n">
        <v>0</v>
      </c>
      <c r="O153" t="n">
        <v>8</v>
      </c>
      <c r="P153" t="n">
        <v>1</v>
      </c>
      <c r="Q153" t="n">
        <v>11</v>
      </c>
      <c r="R153" s="2" t="inlineStr">
        <is>
          <t>Knärot
Garnlav
Järpe
Rosenticka
Skogshare
Spillkråka
Tretåig hackspett
Ullticka
Vedticka
Tjäder
Revlummer</t>
        </is>
      </c>
      <c r="S153">
        <f>HYPERLINK("https://klasma.github.io/Logging_2282/artfynd/A 42290-2025 artfynd.xlsx", "A 42290-2025")</f>
        <v/>
      </c>
      <c r="T153">
        <f>HYPERLINK("https://klasma.github.io/Logging_2282/kartor/A 42290-2025 karta.png", "A 42290-2025")</f>
        <v/>
      </c>
      <c r="U153">
        <f>HYPERLINK("https://klasma.github.io/Logging_2282/knärot/A 42290-2025 karta knärot.png", "A 42290-2025")</f>
        <v/>
      </c>
      <c r="V153">
        <f>HYPERLINK("https://klasma.github.io/Logging_2282/klagomål/A 42290-2025 FSC-klagomål.docx", "A 42290-2025")</f>
        <v/>
      </c>
      <c r="W153">
        <f>HYPERLINK("https://klasma.github.io/Logging_2282/klagomålsmail/A 42290-2025 FSC-klagomål mail.docx", "A 42290-2025")</f>
        <v/>
      </c>
      <c r="X153">
        <f>HYPERLINK("https://klasma.github.io/Logging_2282/tillsyn/A 42290-2025 tillsynsbegäran.docx", "A 42290-2025")</f>
        <v/>
      </c>
      <c r="Y153">
        <f>HYPERLINK("https://klasma.github.io/Logging_2282/tillsynsmail/A 42290-2025 tillsynsbegäran mail.docx", "A 42290-2025")</f>
        <v/>
      </c>
      <c r="Z153">
        <f>HYPERLINK("https://klasma.github.io/Logging_2282/fåglar/A 42290-2025 prioriterade fågelarter.docx", "A 42290-2025")</f>
        <v/>
      </c>
    </row>
    <row r="154" ht="15" customHeight="1">
      <c r="A154" t="inlineStr">
        <is>
          <t>A 23901-2026</t>
        </is>
      </c>
      <c r="B154" s="1" t="n">
        <v>46167.46954861111</v>
      </c>
      <c r="C154" s="1" t="n">
        <v>46185</v>
      </c>
      <c r="D154" t="inlineStr">
        <is>
          <t>VÄSTERNORRLANDS LÄN</t>
        </is>
      </c>
      <c r="E154" t="inlineStr">
        <is>
          <t>SUNDSVALL</t>
        </is>
      </c>
      <c r="F154" t="inlineStr">
        <is>
          <t>SCA</t>
        </is>
      </c>
      <c r="G154" t="n">
        <v>13.2</v>
      </c>
      <c r="H154" t="n">
        <v>1</v>
      </c>
      <c r="I154" t="n">
        <v>3</v>
      </c>
      <c r="J154" t="n">
        <v>6</v>
      </c>
      <c r="K154" t="n">
        <v>2</v>
      </c>
      <c r="L154" t="n">
        <v>0</v>
      </c>
      <c r="M154" t="n">
        <v>0</v>
      </c>
      <c r="N154" t="n">
        <v>0</v>
      </c>
      <c r="O154" t="n">
        <v>8</v>
      </c>
      <c r="P154" t="n">
        <v>2</v>
      </c>
      <c r="Q154" t="n">
        <v>11</v>
      </c>
      <c r="R154" s="2" t="inlineStr">
        <is>
          <t>Knärot
Rynkskinn
Gammelgransskål
Garnlav
Granticka
Lunglav
Rödbrun blekspik
Ullticka
Gulnål
Stor aspticka
Vedticka</t>
        </is>
      </c>
      <c r="S154">
        <f>HYPERLINK("https://klasma.github.io/Logging_2281/artfynd/A 23901-2026 artfynd.xlsx", "A 23901-2026")</f>
        <v/>
      </c>
      <c r="T154">
        <f>HYPERLINK("https://klasma.github.io/Logging_2281/kartor/A 23901-2026 karta.png", "A 23901-2026")</f>
        <v/>
      </c>
      <c r="U154">
        <f>HYPERLINK("https://klasma.github.io/Logging_2281/knärot/A 23901-2026 karta knärot.png", "A 23901-2026")</f>
        <v/>
      </c>
      <c r="V154">
        <f>HYPERLINK("https://klasma.github.io/Logging_2281/klagomål/A 23901-2026 FSC-klagomål.docx", "A 23901-2026")</f>
        <v/>
      </c>
      <c r="W154">
        <f>HYPERLINK("https://klasma.github.io/Logging_2281/klagomålsmail/A 23901-2026 FSC-klagomål mail.docx", "A 23901-2026")</f>
        <v/>
      </c>
      <c r="X154">
        <f>HYPERLINK("https://klasma.github.io/Logging_2281/tillsyn/A 23901-2026 tillsynsbegäran.docx", "A 23901-2026")</f>
        <v/>
      </c>
      <c r="Y154">
        <f>HYPERLINK("https://klasma.github.io/Logging_2281/tillsynsmail/A 23901-2026 tillsynsbegäran mail.docx", "A 23901-2026")</f>
        <v/>
      </c>
    </row>
    <row r="155" ht="15" customHeight="1">
      <c r="A155" t="inlineStr">
        <is>
          <t>A 11894-2022</t>
        </is>
      </c>
      <c r="B155" s="1" t="n">
        <v>44635</v>
      </c>
      <c r="C155" s="1" t="n">
        <v>46185</v>
      </c>
      <c r="D155" t="inlineStr">
        <is>
          <t>VÄSTERNORRLANDS LÄN</t>
        </is>
      </c>
      <c r="E155" t="inlineStr">
        <is>
          <t>ÅNGE</t>
        </is>
      </c>
      <c r="G155" t="n">
        <v>10.6</v>
      </c>
      <c r="H155" t="n">
        <v>4</v>
      </c>
      <c r="I155" t="n">
        <v>2</v>
      </c>
      <c r="J155" t="n">
        <v>7</v>
      </c>
      <c r="K155" t="n">
        <v>1</v>
      </c>
      <c r="L155" t="n">
        <v>0</v>
      </c>
      <c r="M155" t="n">
        <v>0</v>
      </c>
      <c r="N155" t="n">
        <v>0</v>
      </c>
      <c r="O155" t="n">
        <v>8</v>
      </c>
      <c r="P155" t="n">
        <v>1</v>
      </c>
      <c r="Q155" t="n">
        <v>11</v>
      </c>
      <c r="R155" s="2" t="inlineStr">
        <is>
          <t>Rynkskinn
Gammelgransskål
Garnlav
Granticka
Spillkråka
Tretåig hackspett
Ullticka
Vitgrynig nållav
Plattlummer
Vedticka
Fläcknycklar</t>
        </is>
      </c>
      <c r="S155">
        <f>HYPERLINK("https://klasma.github.io/Logging_2260/artfynd/A 11894-2022 artfynd.xlsx", "A 11894-2022")</f>
        <v/>
      </c>
      <c r="T155">
        <f>HYPERLINK("https://klasma.github.io/Logging_2260/kartor/A 11894-2022 karta.png", "A 11894-2022")</f>
        <v/>
      </c>
      <c r="V155">
        <f>HYPERLINK("https://klasma.github.io/Logging_2260/klagomål/A 11894-2022 FSC-klagomål.docx", "A 11894-2022")</f>
        <v/>
      </c>
      <c r="W155">
        <f>HYPERLINK("https://klasma.github.io/Logging_2260/klagomålsmail/A 11894-2022 FSC-klagomål mail.docx", "A 11894-2022")</f>
        <v/>
      </c>
      <c r="X155">
        <f>HYPERLINK("https://klasma.github.io/Logging_2260/tillsyn/A 11894-2022 tillsynsbegäran.docx", "A 11894-2022")</f>
        <v/>
      </c>
      <c r="Y155">
        <f>HYPERLINK("https://klasma.github.io/Logging_2260/tillsynsmail/A 11894-2022 tillsynsbegäran mail.docx", "A 11894-2022")</f>
        <v/>
      </c>
      <c r="Z155">
        <f>HYPERLINK("https://klasma.github.io/Logging_2260/fåglar/A 11894-2022 prioriterade fågelarter.docx", "A 11894-2022")</f>
        <v/>
      </c>
    </row>
    <row r="156" ht="15" customHeight="1">
      <c r="A156" t="inlineStr">
        <is>
          <t>A 37126-2025</t>
        </is>
      </c>
      <c r="B156" s="1" t="n">
        <v>45875.52920138889</v>
      </c>
      <c r="C156" s="1" t="n">
        <v>46185</v>
      </c>
      <c r="D156" t="inlineStr">
        <is>
          <t>VÄSTERNORRLANDS LÄN</t>
        </is>
      </c>
      <c r="E156" t="inlineStr">
        <is>
          <t>KRAMFORS</t>
        </is>
      </c>
      <c r="G156" t="n">
        <v>6.3</v>
      </c>
      <c r="H156" t="n">
        <v>5</v>
      </c>
      <c r="I156" t="n">
        <v>3</v>
      </c>
      <c r="J156" t="n">
        <v>5</v>
      </c>
      <c r="K156" t="n">
        <v>1</v>
      </c>
      <c r="L156" t="n">
        <v>0</v>
      </c>
      <c r="M156" t="n">
        <v>0</v>
      </c>
      <c r="N156" t="n">
        <v>0</v>
      </c>
      <c r="O156" t="n">
        <v>6</v>
      </c>
      <c r="P156" t="n">
        <v>1</v>
      </c>
      <c r="Q156" t="n">
        <v>11</v>
      </c>
      <c r="R156" s="2" t="inlineStr">
        <is>
          <t>Knärot
Garnlav
Järpe
Skogshare
Spillkråka
Ullticka
Dropptaggsvamp
Norrlandslav
Vedticka
Tjäder
Revlummer</t>
        </is>
      </c>
      <c r="S156">
        <f>HYPERLINK("https://klasma.github.io/Logging_2282/artfynd/A 37126-2025 artfynd.xlsx", "A 37126-2025")</f>
        <v/>
      </c>
      <c r="T156">
        <f>HYPERLINK("https://klasma.github.io/Logging_2282/kartor/A 37126-2025 karta.png", "A 37126-2025")</f>
        <v/>
      </c>
      <c r="U156">
        <f>HYPERLINK("https://klasma.github.io/Logging_2282/knärot/A 37126-2025 karta knärot.png", "A 37126-2025")</f>
        <v/>
      </c>
      <c r="V156">
        <f>HYPERLINK("https://klasma.github.io/Logging_2282/klagomål/A 37126-2025 FSC-klagomål.docx", "A 37126-2025")</f>
        <v/>
      </c>
      <c r="W156">
        <f>HYPERLINK("https://klasma.github.io/Logging_2282/klagomålsmail/A 37126-2025 FSC-klagomål mail.docx", "A 37126-2025")</f>
        <v/>
      </c>
      <c r="X156">
        <f>HYPERLINK("https://klasma.github.io/Logging_2282/tillsyn/A 37126-2025 tillsynsbegäran.docx", "A 37126-2025")</f>
        <v/>
      </c>
      <c r="Y156">
        <f>HYPERLINK("https://klasma.github.io/Logging_2282/tillsynsmail/A 37126-2025 tillsynsbegäran mail.docx", "A 37126-2025")</f>
        <v/>
      </c>
      <c r="Z156">
        <f>HYPERLINK("https://klasma.github.io/Logging_2282/fåglar/A 37126-2025 prioriterade fågelarter.docx", "A 37126-2025")</f>
        <v/>
      </c>
    </row>
    <row r="157" ht="15" customHeight="1">
      <c r="A157" t="inlineStr">
        <is>
          <t>A 18563-2022</t>
        </is>
      </c>
      <c r="B157" s="1" t="n">
        <v>44686</v>
      </c>
      <c r="C157" s="1" t="n">
        <v>46185</v>
      </c>
      <c r="D157" t="inlineStr">
        <is>
          <t>VÄSTERNORRLANDS LÄN</t>
        </is>
      </c>
      <c r="E157" t="inlineStr">
        <is>
          <t>HÄRNÖSAND</t>
        </is>
      </c>
      <c r="F157" t="inlineStr">
        <is>
          <t>SCA</t>
        </is>
      </c>
      <c r="G157" t="n">
        <v>17.5</v>
      </c>
      <c r="H157" t="n">
        <v>1</v>
      </c>
      <c r="I157" t="n">
        <v>5</v>
      </c>
      <c r="J157" t="n">
        <v>5</v>
      </c>
      <c r="K157" t="n">
        <v>1</v>
      </c>
      <c r="L157" t="n">
        <v>0</v>
      </c>
      <c r="M157" t="n">
        <v>0</v>
      </c>
      <c r="N157" t="n">
        <v>0</v>
      </c>
      <c r="O157" t="n">
        <v>6</v>
      </c>
      <c r="P157" t="n">
        <v>1</v>
      </c>
      <c r="Q157" t="n">
        <v>11</v>
      </c>
      <c r="R157" s="2" t="inlineStr">
        <is>
          <t>Rynkskinn
Garnlav
Granticka
Rosenticka
Sötgräs
Ullticka
Dvärghäxört
Strutbräken
Tibast
Trådticka
Vedticka</t>
        </is>
      </c>
      <c r="S157">
        <f>HYPERLINK("https://klasma.github.io/Logging_2280/artfynd/A 18563-2022 artfynd.xlsx", "A 18563-2022")</f>
        <v/>
      </c>
      <c r="T157">
        <f>HYPERLINK("https://klasma.github.io/Logging_2280/kartor/A 18563-2022 karta.png", "A 18563-2022")</f>
        <v/>
      </c>
      <c r="V157">
        <f>HYPERLINK("https://klasma.github.io/Logging_2280/klagomål/A 18563-2022 FSC-klagomål.docx", "A 18563-2022")</f>
        <v/>
      </c>
      <c r="W157">
        <f>HYPERLINK("https://klasma.github.io/Logging_2280/klagomålsmail/A 18563-2022 FSC-klagomål mail.docx", "A 18563-2022")</f>
        <v/>
      </c>
      <c r="X157">
        <f>HYPERLINK("https://klasma.github.io/Logging_2280/tillsyn/A 18563-2022 tillsynsbegäran.docx", "A 18563-2022")</f>
        <v/>
      </c>
      <c r="Y157">
        <f>HYPERLINK("https://klasma.github.io/Logging_2280/tillsynsmail/A 18563-2022 tillsynsbegäran mail.docx", "A 18563-2022")</f>
        <v/>
      </c>
    </row>
    <row r="158" ht="15" customHeight="1">
      <c r="A158" t="inlineStr">
        <is>
          <t>A 11228-2026</t>
        </is>
      </c>
      <c r="B158" s="1" t="n">
        <v>46080</v>
      </c>
      <c r="C158" s="1" t="n">
        <v>46185</v>
      </c>
      <c r="D158" t="inlineStr">
        <is>
          <t>VÄSTERNORRLANDS LÄN</t>
        </is>
      </c>
      <c r="E158" t="inlineStr">
        <is>
          <t>ÖRNSKÖLDSVIK</t>
        </is>
      </c>
      <c r="G158" t="n">
        <v>23.4</v>
      </c>
      <c r="H158" t="n">
        <v>4</v>
      </c>
      <c r="I158" t="n">
        <v>2</v>
      </c>
      <c r="J158" t="n">
        <v>7</v>
      </c>
      <c r="K158" t="n">
        <v>1</v>
      </c>
      <c r="L158" t="n">
        <v>0</v>
      </c>
      <c r="M158" t="n">
        <v>0</v>
      </c>
      <c r="N158" t="n">
        <v>0</v>
      </c>
      <c r="O158" t="n">
        <v>8</v>
      </c>
      <c r="P158" t="n">
        <v>1</v>
      </c>
      <c r="Q158" t="n">
        <v>11</v>
      </c>
      <c r="R158" s="2" t="inlineStr">
        <is>
          <t>Knärot
Garnlav
Lunglav
Rosenticka
Skogshare
Spillkråka
Tretåig hackspett
Ullticka
Korallblylav
Stuplav
Revlummer</t>
        </is>
      </c>
      <c r="S158">
        <f>HYPERLINK("https://klasma.github.io/Logging_2284/artfynd/A 11228-2026 artfynd.xlsx", "A 11228-2026")</f>
        <v/>
      </c>
      <c r="T158">
        <f>HYPERLINK("https://klasma.github.io/Logging_2284/kartor/A 11228-2026 karta.png", "A 11228-2026")</f>
        <v/>
      </c>
      <c r="U158">
        <f>HYPERLINK("https://klasma.github.io/Logging_2284/knärot/A 11228-2026 karta knärot.png", "A 11228-2026")</f>
        <v/>
      </c>
      <c r="V158">
        <f>HYPERLINK("https://klasma.github.io/Logging_2284/klagomål/A 11228-2026 FSC-klagomål.docx", "A 11228-2026")</f>
        <v/>
      </c>
      <c r="W158">
        <f>HYPERLINK("https://klasma.github.io/Logging_2284/klagomålsmail/A 11228-2026 FSC-klagomål mail.docx", "A 11228-2026")</f>
        <v/>
      </c>
      <c r="X158">
        <f>HYPERLINK("https://klasma.github.io/Logging_2284/tillsyn/A 11228-2026 tillsynsbegäran.docx", "A 11228-2026")</f>
        <v/>
      </c>
      <c r="Y158">
        <f>HYPERLINK("https://klasma.github.io/Logging_2284/tillsynsmail/A 11228-2026 tillsynsbegäran mail.docx", "A 11228-2026")</f>
        <v/>
      </c>
      <c r="Z158">
        <f>HYPERLINK("https://klasma.github.io/Logging_2284/fåglar/A 11228-2026 prioriterade fågelarter.docx", "A 11228-2026")</f>
        <v/>
      </c>
    </row>
    <row r="159" ht="15" customHeight="1">
      <c r="A159" t="inlineStr">
        <is>
          <t>A 32460-2024</t>
        </is>
      </c>
      <c r="B159" s="1" t="n">
        <v>45512</v>
      </c>
      <c r="C159" s="1" t="n">
        <v>46185</v>
      </c>
      <c r="D159" t="inlineStr">
        <is>
          <t>VÄSTERNORRLANDS LÄN</t>
        </is>
      </c>
      <c r="E159" t="inlineStr">
        <is>
          <t>SOLLEFTEÅ</t>
        </is>
      </c>
      <c r="F159" t="inlineStr">
        <is>
          <t>SCA</t>
        </is>
      </c>
      <c r="G159" t="n">
        <v>6</v>
      </c>
      <c r="H159" t="n">
        <v>4</v>
      </c>
      <c r="I159" t="n">
        <v>4</v>
      </c>
      <c r="J159" t="n">
        <v>6</v>
      </c>
      <c r="K159" t="n">
        <v>1</v>
      </c>
      <c r="L159" t="n">
        <v>0</v>
      </c>
      <c r="M159" t="n">
        <v>0</v>
      </c>
      <c r="N159" t="n">
        <v>0</v>
      </c>
      <c r="O159" t="n">
        <v>7</v>
      </c>
      <c r="P159" t="n">
        <v>1</v>
      </c>
      <c r="Q159" t="n">
        <v>11</v>
      </c>
      <c r="R159" s="2" t="inlineStr">
        <is>
          <t>Knärot
Doftskinn
Garnlav
Granticka
Lunglav
Talltita
Ullticka
Bårdlav
Lappranunkel
Spindelblomster
Vedticka</t>
        </is>
      </c>
      <c r="S159">
        <f>HYPERLINK("https://klasma.github.io/Logging_2283/artfynd/A 32460-2024 artfynd.xlsx", "A 32460-2024")</f>
        <v/>
      </c>
      <c r="T159">
        <f>HYPERLINK("https://klasma.github.io/Logging_2283/kartor/A 32460-2024 karta.png", "A 32460-2024")</f>
        <v/>
      </c>
      <c r="U159">
        <f>HYPERLINK("https://klasma.github.io/Logging_2283/knärot/A 32460-2024 karta knärot.png", "A 32460-2024")</f>
        <v/>
      </c>
      <c r="V159">
        <f>HYPERLINK("https://klasma.github.io/Logging_2283/klagomål/A 32460-2024 FSC-klagomål.docx", "A 32460-2024")</f>
        <v/>
      </c>
      <c r="W159">
        <f>HYPERLINK("https://klasma.github.io/Logging_2283/klagomålsmail/A 32460-2024 FSC-klagomål mail.docx", "A 32460-2024")</f>
        <v/>
      </c>
      <c r="X159">
        <f>HYPERLINK("https://klasma.github.io/Logging_2283/tillsyn/A 32460-2024 tillsynsbegäran.docx", "A 32460-2024")</f>
        <v/>
      </c>
      <c r="Y159">
        <f>HYPERLINK("https://klasma.github.io/Logging_2283/tillsynsmail/A 32460-2024 tillsynsbegäran mail.docx", "A 32460-2024")</f>
        <v/>
      </c>
      <c r="Z159">
        <f>HYPERLINK("https://klasma.github.io/Logging_2283/fåglar/A 32460-2024 prioriterade fågelarter.docx", "A 32460-2024")</f>
        <v/>
      </c>
    </row>
    <row r="160" ht="15" customHeight="1">
      <c r="A160" t="inlineStr">
        <is>
          <t>A 20804-2026</t>
        </is>
      </c>
      <c r="B160" s="1" t="n">
        <v>46141.68069444445</v>
      </c>
      <c r="C160" s="1" t="n">
        <v>46185</v>
      </c>
      <c r="D160" t="inlineStr">
        <is>
          <t>VÄSTERNORRLANDS LÄN</t>
        </is>
      </c>
      <c r="E160" t="inlineStr">
        <is>
          <t>KRAMFORS</t>
        </is>
      </c>
      <c r="G160" t="n">
        <v>11.9</v>
      </c>
      <c r="H160" t="n">
        <v>3</v>
      </c>
      <c r="I160" t="n">
        <v>4</v>
      </c>
      <c r="J160" t="n">
        <v>5</v>
      </c>
      <c r="K160" t="n">
        <v>1</v>
      </c>
      <c r="L160" t="n">
        <v>0</v>
      </c>
      <c r="M160" t="n">
        <v>0</v>
      </c>
      <c r="N160" t="n">
        <v>0</v>
      </c>
      <c r="O160" t="n">
        <v>6</v>
      </c>
      <c r="P160" t="n">
        <v>1</v>
      </c>
      <c r="Q160" t="n">
        <v>11</v>
      </c>
      <c r="R160" s="2" t="inlineStr">
        <is>
          <t>Rynkskinn
Brunpudrad nållav
Garnlav
Järpe
Spillkråka
Ullticka
Bårdlav
Stor aspticka
Stuplav
Vedticka
Revlummer</t>
        </is>
      </c>
      <c r="S160">
        <f>HYPERLINK("https://klasma.github.io/Logging_2282/artfynd/A 20804-2026 artfynd.xlsx", "A 20804-2026")</f>
        <v/>
      </c>
      <c r="T160">
        <f>HYPERLINK("https://klasma.github.io/Logging_2282/kartor/A 20804-2026 karta.png", "A 20804-2026")</f>
        <v/>
      </c>
      <c r="V160">
        <f>HYPERLINK("https://klasma.github.io/Logging_2282/klagomål/A 20804-2026 FSC-klagomål.docx", "A 20804-2026")</f>
        <v/>
      </c>
      <c r="W160">
        <f>HYPERLINK("https://klasma.github.io/Logging_2282/klagomålsmail/A 20804-2026 FSC-klagomål mail.docx", "A 20804-2026")</f>
        <v/>
      </c>
      <c r="X160">
        <f>HYPERLINK("https://klasma.github.io/Logging_2282/tillsyn/A 20804-2026 tillsynsbegäran.docx", "A 20804-2026")</f>
        <v/>
      </c>
      <c r="Y160">
        <f>HYPERLINK("https://klasma.github.io/Logging_2282/tillsynsmail/A 20804-2026 tillsynsbegäran mail.docx", "A 20804-2026")</f>
        <v/>
      </c>
      <c r="Z160">
        <f>HYPERLINK("https://klasma.github.io/Logging_2282/fåglar/A 20804-2026 prioriterade fågelarter.docx", "A 20804-2026")</f>
        <v/>
      </c>
    </row>
    <row r="161" ht="15" customHeight="1">
      <c r="A161" t="inlineStr">
        <is>
          <t>A 6429-2022</t>
        </is>
      </c>
      <c r="B161" s="1" t="n">
        <v>44600</v>
      </c>
      <c r="C161" s="1" t="n">
        <v>46185</v>
      </c>
      <c r="D161" t="inlineStr">
        <is>
          <t>VÄSTERNORRLANDS LÄN</t>
        </is>
      </c>
      <c r="E161" t="inlineStr">
        <is>
          <t>ÅNGE</t>
        </is>
      </c>
      <c r="F161" t="inlineStr">
        <is>
          <t>SCA</t>
        </is>
      </c>
      <c r="G161" t="n">
        <v>32.8</v>
      </c>
      <c r="H161" t="n">
        <v>0</v>
      </c>
      <c r="I161" t="n">
        <v>2</v>
      </c>
      <c r="J161" t="n">
        <v>9</v>
      </c>
      <c r="K161" t="n">
        <v>0</v>
      </c>
      <c r="L161" t="n">
        <v>0</v>
      </c>
      <c r="M161" t="n">
        <v>0</v>
      </c>
      <c r="N161" t="n">
        <v>0</v>
      </c>
      <c r="O161" t="n">
        <v>9</v>
      </c>
      <c r="P161" t="n">
        <v>0</v>
      </c>
      <c r="Q161" t="n">
        <v>11</v>
      </c>
      <c r="R161" s="2" t="inlineStr">
        <is>
          <t>Blanksvart spiklav
Blågrå svartspik
Garnlav
Kortskaftad ärgspik
Lunglav
Mörk kolflarnlav
Rosenticka
Ullticka
Vedflamlav
Barkticka
Korallblylav</t>
        </is>
      </c>
      <c r="S161">
        <f>HYPERLINK("https://klasma.github.io/Logging_2260/artfynd/A 6429-2022 artfynd.xlsx", "A 6429-2022")</f>
        <v/>
      </c>
      <c r="T161">
        <f>HYPERLINK("https://klasma.github.io/Logging_2260/kartor/A 6429-2022 karta.png", "A 6429-2022")</f>
        <v/>
      </c>
      <c r="V161">
        <f>HYPERLINK("https://klasma.github.io/Logging_2260/klagomål/A 6429-2022 FSC-klagomål.docx", "A 6429-2022")</f>
        <v/>
      </c>
      <c r="W161">
        <f>HYPERLINK("https://klasma.github.io/Logging_2260/klagomålsmail/A 6429-2022 FSC-klagomål mail.docx", "A 6429-2022")</f>
        <v/>
      </c>
      <c r="X161">
        <f>HYPERLINK("https://klasma.github.io/Logging_2260/tillsyn/A 6429-2022 tillsynsbegäran.docx", "A 6429-2022")</f>
        <v/>
      </c>
      <c r="Y161">
        <f>HYPERLINK("https://klasma.github.io/Logging_2260/tillsynsmail/A 6429-2022 tillsynsbegäran mail.docx", "A 6429-2022")</f>
        <v/>
      </c>
    </row>
    <row r="162" ht="15" customHeight="1">
      <c r="A162" t="inlineStr">
        <is>
          <t>A 11025-2025</t>
        </is>
      </c>
      <c r="B162" s="1" t="n">
        <v>45723.46942129629</v>
      </c>
      <c r="C162" s="1" t="n">
        <v>46185</v>
      </c>
      <c r="D162" t="inlineStr">
        <is>
          <t>VÄSTERNORRLANDS LÄN</t>
        </is>
      </c>
      <c r="E162" t="inlineStr">
        <is>
          <t>TIMRÅ</t>
        </is>
      </c>
      <c r="F162" t="inlineStr">
        <is>
          <t>SCA</t>
        </is>
      </c>
      <c r="G162" t="n">
        <v>6.9</v>
      </c>
      <c r="H162" t="n">
        <v>3</v>
      </c>
      <c r="I162" t="n">
        <v>1</v>
      </c>
      <c r="J162" t="n">
        <v>9</v>
      </c>
      <c r="K162" t="n">
        <v>0</v>
      </c>
      <c r="L162" t="n">
        <v>0</v>
      </c>
      <c r="M162" t="n">
        <v>0</v>
      </c>
      <c r="N162" t="n">
        <v>0</v>
      </c>
      <c r="O162" t="n">
        <v>9</v>
      </c>
      <c r="P162" t="n">
        <v>0</v>
      </c>
      <c r="Q162" t="n">
        <v>11</v>
      </c>
      <c r="R162" s="2" t="inlineStr">
        <is>
          <t>Doftskinn
Gammelgransskål
Garnlav
Lunglav
Rosenticka
Spillkråka
Stjärntagging
Tretåig hackspett
Ullticka
Vedticka
Revlummer</t>
        </is>
      </c>
      <c r="S162">
        <f>HYPERLINK("https://klasma.github.io/Logging_2262/artfynd/A 11025-2025 artfynd.xlsx", "A 11025-2025")</f>
        <v/>
      </c>
      <c r="T162">
        <f>HYPERLINK("https://klasma.github.io/Logging_2262/kartor/A 11025-2025 karta.png", "A 11025-2025")</f>
        <v/>
      </c>
      <c r="V162">
        <f>HYPERLINK("https://klasma.github.io/Logging_2262/klagomål/A 11025-2025 FSC-klagomål.docx", "A 11025-2025")</f>
        <v/>
      </c>
      <c r="W162">
        <f>HYPERLINK("https://klasma.github.io/Logging_2262/klagomålsmail/A 11025-2025 FSC-klagomål mail.docx", "A 11025-2025")</f>
        <v/>
      </c>
      <c r="X162">
        <f>HYPERLINK("https://klasma.github.io/Logging_2262/tillsyn/A 11025-2025 tillsynsbegäran.docx", "A 11025-2025")</f>
        <v/>
      </c>
      <c r="Y162">
        <f>HYPERLINK("https://klasma.github.io/Logging_2262/tillsynsmail/A 11025-2025 tillsynsbegäran mail.docx", "A 11025-2025")</f>
        <v/>
      </c>
      <c r="Z162">
        <f>HYPERLINK("https://klasma.github.io/Logging_2262/fåglar/A 11025-2025 prioriterade fågelarter.docx", "A 11025-2025")</f>
        <v/>
      </c>
    </row>
    <row r="163" ht="15" customHeight="1">
      <c r="A163" t="inlineStr">
        <is>
          <t>A 40603-2022</t>
        </is>
      </c>
      <c r="B163" s="1" t="n">
        <v>44823</v>
      </c>
      <c r="C163" s="1" t="n">
        <v>46185</v>
      </c>
      <c r="D163" t="inlineStr">
        <is>
          <t>VÄSTERNORRLANDS LÄN</t>
        </is>
      </c>
      <c r="E163" t="inlineStr">
        <is>
          <t>SUNDSVALL</t>
        </is>
      </c>
      <c r="G163" t="n">
        <v>6.7</v>
      </c>
      <c r="H163" t="n">
        <v>3</v>
      </c>
      <c r="I163" t="n">
        <v>4</v>
      </c>
      <c r="J163" t="n">
        <v>4</v>
      </c>
      <c r="K163" t="n">
        <v>1</v>
      </c>
      <c r="L163" t="n">
        <v>0</v>
      </c>
      <c r="M163" t="n">
        <v>0</v>
      </c>
      <c r="N163" t="n">
        <v>0</v>
      </c>
      <c r="O163" t="n">
        <v>5</v>
      </c>
      <c r="P163" t="n">
        <v>1</v>
      </c>
      <c r="Q163" t="n">
        <v>11</v>
      </c>
      <c r="R163" s="2" t="inlineStr">
        <is>
          <t>Knärot
Garnlav
Orange taggsvamp
Tallticka
Violettgrå tagellav
Grönpyrola
Skinnlav
Stor aspticka
Vårärt
Nattviol
Blåsippa</t>
        </is>
      </c>
      <c r="S163">
        <f>HYPERLINK("https://klasma.github.io/Logging_2281/artfynd/A 40603-2022 artfynd.xlsx", "A 40603-2022")</f>
        <v/>
      </c>
      <c r="T163">
        <f>HYPERLINK("https://klasma.github.io/Logging_2281/kartor/A 40603-2022 karta.png", "A 40603-2022")</f>
        <v/>
      </c>
      <c r="U163">
        <f>HYPERLINK("https://klasma.github.io/Logging_2281/knärot/A 40603-2022 karta knärot.png", "A 40603-2022")</f>
        <v/>
      </c>
      <c r="V163">
        <f>HYPERLINK("https://klasma.github.io/Logging_2281/klagomål/A 40603-2022 FSC-klagomål.docx", "A 40603-2022")</f>
        <v/>
      </c>
      <c r="W163">
        <f>HYPERLINK("https://klasma.github.io/Logging_2281/klagomålsmail/A 40603-2022 FSC-klagomål mail.docx", "A 40603-2022")</f>
        <v/>
      </c>
      <c r="X163">
        <f>HYPERLINK("https://klasma.github.io/Logging_2281/tillsyn/A 40603-2022 tillsynsbegäran.docx", "A 40603-2022")</f>
        <v/>
      </c>
      <c r="Y163">
        <f>HYPERLINK("https://klasma.github.io/Logging_2281/tillsynsmail/A 40603-2022 tillsynsbegäran mail.docx", "A 40603-2022")</f>
        <v/>
      </c>
    </row>
    <row r="164" ht="15" customHeight="1">
      <c r="A164" t="inlineStr">
        <is>
          <t>A 18981-2025</t>
        </is>
      </c>
      <c r="B164" s="1" t="n">
        <v>45764</v>
      </c>
      <c r="C164" s="1" t="n">
        <v>46185</v>
      </c>
      <c r="D164" t="inlineStr">
        <is>
          <t>VÄSTERNORRLANDS LÄN</t>
        </is>
      </c>
      <c r="E164" t="inlineStr">
        <is>
          <t>SUNDSVALL</t>
        </is>
      </c>
      <c r="F164" t="inlineStr">
        <is>
          <t>SCA</t>
        </is>
      </c>
      <c r="G164" t="n">
        <v>1.8</v>
      </c>
      <c r="H164" t="n">
        <v>5</v>
      </c>
      <c r="I164" t="n">
        <v>3</v>
      </c>
      <c r="J164" t="n">
        <v>5</v>
      </c>
      <c r="K164" t="n">
        <v>0</v>
      </c>
      <c r="L164" t="n">
        <v>0</v>
      </c>
      <c r="M164" t="n">
        <v>0</v>
      </c>
      <c r="N164" t="n">
        <v>0</v>
      </c>
      <c r="O164" t="n">
        <v>5</v>
      </c>
      <c r="P164" t="n">
        <v>0</v>
      </c>
      <c r="Q164" t="n">
        <v>11</v>
      </c>
      <c r="R164" s="2" t="inlineStr">
        <is>
          <t>Gammelgransskål
Garnlav
Rosenticka
Spillkråka
Tretåig hackspett
Barkkornlav
Kattfotslav
Vedticka
Tjäder
Nattviol
Revlummer</t>
        </is>
      </c>
      <c r="S164">
        <f>HYPERLINK("https://klasma.github.io/Logging_2281/artfynd/A 18981-2025 artfynd.xlsx", "A 18981-2025")</f>
        <v/>
      </c>
      <c r="T164">
        <f>HYPERLINK("https://klasma.github.io/Logging_2281/kartor/A 18981-2025 karta.png", "A 18981-2025")</f>
        <v/>
      </c>
      <c r="V164">
        <f>HYPERLINK("https://klasma.github.io/Logging_2281/klagomål/A 18981-2025 FSC-klagomål.docx", "A 18981-2025")</f>
        <v/>
      </c>
      <c r="W164">
        <f>HYPERLINK("https://klasma.github.io/Logging_2281/klagomålsmail/A 18981-2025 FSC-klagomål mail.docx", "A 18981-2025")</f>
        <v/>
      </c>
      <c r="X164">
        <f>HYPERLINK("https://klasma.github.io/Logging_2281/tillsyn/A 18981-2025 tillsynsbegäran.docx", "A 18981-2025")</f>
        <v/>
      </c>
      <c r="Y164">
        <f>HYPERLINK("https://klasma.github.io/Logging_2281/tillsynsmail/A 18981-2025 tillsynsbegäran mail.docx", "A 18981-2025")</f>
        <v/>
      </c>
      <c r="Z164">
        <f>HYPERLINK("https://klasma.github.io/Logging_2281/fåglar/A 18981-2025 prioriterade fågelarter.docx", "A 18981-2025")</f>
        <v/>
      </c>
    </row>
    <row r="165" ht="15" customHeight="1">
      <c r="A165" t="inlineStr">
        <is>
          <t>A 20024-2025</t>
        </is>
      </c>
      <c r="B165" s="1" t="n">
        <v>45772</v>
      </c>
      <c r="C165" s="1" t="n">
        <v>46185</v>
      </c>
      <c r="D165" t="inlineStr">
        <is>
          <t>VÄSTERNORRLANDS LÄN</t>
        </is>
      </c>
      <c r="E165" t="inlineStr">
        <is>
          <t>SUNDSVALL</t>
        </is>
      </c>
      <c r="F165" t="inlineStr">
        <is>
          <t>SCA</t>
        </is>
      </c>
      <c r="G165" t="n">
        <v>5.6</v>
      </c>
      <c r="H165" t="n">
        <v>6</v>
      </c>
      <c r="I165" t="n">
        <v>3</v>
      </c>
      <c r="J165" t="n">
        <v>5</v>
      </c>
      <c r="K165" t="n">
        <v>0</v>
      </c>
      <c r="L165" t="n">
        <v>0</v>
      </c>
      <c r="M165" t="n">
        <v>0</v>
      </c>
      <c r="N165" t="n">
        <v>0</v>
      </c>
      <c r="O165" t="n">
        <v>5</v>
      </c>
      <c r="P165" t="n">
        <v>0</v>
      </c>
      <c r="Q165" t="n">
        <v>11</v>
      </c>
      <c r="R165" s="2" t="inlineStr">
        <is>
          <t>Garnlav
Lunglav
Spillkråka
Stjärntagging
Tretåig hackspett
Skinnlav
Stor aspticka
Tvåblad
Kungsfågel
Tjäder
Mattlummer</t>
        </is>
      </c>
      <c r="S165">
        <f>HYPERLINK("https://klasma.github.io/Logging_2281/artfynd/A 20024-2025 artfynd.xlsx", "A 20024-2025")</f>
        <v/>
      </c>
      <c r="T165">
        <f>HYPERLINK("https://klasma.github.io/Logging_2281/kartor/A 20024-2025 karta.png", "A 20024-2025")</f>
        <v/>
      </c>
      <c r="V165">
        <f>HYPERLINK("https://klasma.github.io/Logging_2281/klagomål/A 20024-2025 FSC-klagomål.docx", "A 20024-2025")</f>
        <v/>
      </c>
      <c r="W165">
        <f>HYPERLINK("https://klasma.github.io/Logging_2281/klagomålsmail/A 20024-2025 FSC-klagomål mail.docx", "A 20024-2025")</f>
        <v/>
      </c>
      <c r="X165">
        <f>HYPERLINK("https://klasma.github.io/Logging_2281/tillsyn/A 20024-2025 tillsynsbegäran.docx", "A 20024-2025")</f>
        <v/>
      </c>
      <c r="Y165">
        <f>HYPERLINK("https://klasma.github.io/Logging_2281/tillsynsmail/A 20024-2025 tillsynsbegäran mail.docx", "A 20024-2025")</f>
        <v/>
      </c>
      <c r="Z165">
        <f>HYPERLINK("https://klasma.github.io/Logging_2281/fåglar/A 20024-2025 prioriterade fågelarter.docx", "A 20024-2025")</f>
        <v/>
      </c>
    </row>
    <row r="166" ht="15" customHeight="1">
      <c r="A166" t="inlineStr">
        <is>
          <t>A 747-2022</t>
        </is>
      </c>
      <c r="B166" s="1" t="n">
        <v>44568</v>
      </c>
      <c r="C166" s="1" t="n">
        <v>46185</v>
      </c>
      <c r="D166" t="inlineStr">
        <is>
          <t>VÄSTERNORRLANDS LÄN</t>
        </is>
      </c>
      <c r="E166" t="inlineStr">
        <is>
          <t>SOLLEFTEÅ</t>
        </is>
      </c>
      <c r="F166" t="inlineStr">
        <is>
          <t>SCA</t>
        </is>
      </c>
      <c r="G166" t="n">
        <v>10.9</v>
      </c>
      <c r="H166" t="n">
        <v>1</v>
      </c>
      <c r="I166" t="n">
        <v>3</v>
      </c>
      <c r="J166" t="n">
        <v>6</v>
      </c>
      <c r="K166" t="n">
        <v>1</v>
      </c>
      <c r="L166" t="n">
        <v>0</v>
      </c>
      <c r="M166" t="n">
        <v>0</v>
      </c>
      <c r="N166" t="n">
        <v>0</v>
      </c>
      <c r="O166" t="n">
        <v>7</v>
      </c>
      <c r="P166" t="n">
        <v>1</v>
      </c>
      <c r="Q166" t="n">
        <v>10</v>
      </c>
      <c r="R166" s="2" t="inlineStr">
        <is>
          <t>Rynkskinn
Doftskinn
Granticka
Lunglav
Rosenticka
Tretåig hackspett
Ullticka
Norrlandslav
Stuplav
Vedticka</t>
        </is>
      </c>
      <c r="S166">
        <f>HYPERLINK("https://klasma.github.io/Logging_2283/artfynd/A 747-2022 artfynd.xlsx", "A 747-2022")</f>
        <v/>
      </c>
      <c r="T166">
        <f>HYPERLINK("https://klasma.github.io/Logging_2283/kartor/A 747-2022 karta.png", "A 747-2022")</f>
        <v/>
      </c>
      <c r="V166">
        <f>HYPERLINK("https://klasma.github.io/Logging_2283/klagomål/A 747-2022 FSC-klagomål.docx", "A 747-2022")</f>
        <v/>
      </c>
      <c r="W166">
        <f>HYPERLINK("https://klasma.github.io/Logging_2283/klagomålsmail/A 747-2022 FSC-klagomål mail.docx", "A 747-2022")</f>
        <v/>
      </c>
      <c r="X166">
        <f>HYPERLINK("https://klasma.github.io/Logging_2283/tillsyn/A 747-2022 tillsynsbegäran.docx", "A 747-2022")</f>
        <v/>
      </c>
      <c r="Y166">
        <f>HYPERLINK("https://klasma.github.io/Logging_2283/tillsynsmail/A 747-2022 tillsynsbegäran mail.docx", "A 747-2022")</f>
        <v/>
      </c>
      <c r="Z166">
        <f>HYPERLINK("https://klasma.github.io/Logging_2283/fåglar/A 747-2022 prioriterade fågelarter.docx", "A 747-2022")</f>
        <v/>
      </c>
    </row>
    <row r="167" ht="15" customHeight="1">
      <c r="A167" t="inlineStr">
        <is>
          <t>A 9201-2022</t>
        </is>
      </c>
      <c r="B167" s="1" t="n">
        <v>44615.92618055556</v>
      </c>
      <c r="C167" s="1" t="n">
        <v>46185</v>
      </c>
      <c r="D167" t="inlineStr">
        <is>
          <t>VÄSTERNORRLANDS LÄN</t>
        </is>
      </c>
      <c r="E167" t="inlineStr">
        <is>
          <t>SUNDSVALL</t>
        </is>
      </c>
      <c r="G167" t="n">
        <v>9.699999999999999</v>
      </c>
      <c r="H167" t="n">
        <v>4</v>
      </c>
      <c r="I167" t="n">
        <v>1</v>
      </c>
      <c r="J167" t="n">
        <v>6</v>
      </c>
      <c r="K167" t="n">
        <v>1</v>
      </c>
      <c r="L167" t="n">
        <v>0</v>
      </c>
      <c r="M167" t="n">
        <v>0</v>
      </c>
      <c r="N167" t="n">
        <v>0</v>
      </c>
      <c r="O167" t="n">
        <v>7</v>
      </c>
      <c r="P167" t="n">
        <v>1</v>
      </c>
      <c r="Q167" t="n">
        <v>10</v>
      </c>
      <c r="R167" s="2" t="inlineStr">
        <is>
          <t>Knärot
Garnlav
Kortskaftad ärgspik
Orange taggsvamp
Spillkråka
Ullticka
Vedskivlav
Bronshjon
Tjäder
Vanlig padda</t>
        </is>
      </c>
      <c r="S167">
        <f>HYPERLINK("https://klasma.github.io/Logging_2281/artfynd/A 9201-2022 artfynd.xlsx", "A 9201-2022")</f>
        <v/>
      </c>
      <c r="T167">
        <f>HYPERLINK("https://klasma.github.io/Logging_2281/kartor/A 9201-2022 karta.png", "A 9201-2022")</f>
        <v/>
      </c>
      <c r="U167">
        <f>HYPERLINK("https://klasma.github.io/Logging_2281/knärot/A 9201-2022 karta knärot.png", "A 9201-2022")</f>
        <v/>
      </c>
      <c r="V167">
        <f>HYPERLINK("https://klasma.github.io/Logging_2281/klagomål/A 9201-2022 FSC-klagomål.docx", "A 9201-2022")</f>
        <v/>
      </c>
      <c r="W167">
        <f>HYPERLINK("https://klasma.github.io/Logging_2281/klagomålsmail/A 9201-2022 FSC-klagomål mail.docx", "A 9201-2022")</f>
        <v/>
      </c>
      <c r="X167">
        <f>HYPERLINK("https://klasma.github.io/Logging_2281/tillsyn/A 9201-2022 tillsynsbegäran.docx", "A 9201-2022")</f>
        <v/>
      </c>
      <c r="Y167">
        <f>HYPERLINK("https://klasma.github.io/Logging_2281/tillsynsmail/A 9201-2022 tillsynsbegäran mail.docx", "A 9201-2022")</f>
        <v/>
      </c>
      <c r="Z167">
        <f>HYPERLINK("https://klasma.github.io/Logging_2281/fåglar/A 9201-2022 prioriterade fågelarter.docx", "A 9201-2022")</f>
        <v/>
      </c>
    </row>
    <row r="168" ht="15" customHeight="1">
      <c r="A168" t="inlineStr">
        <is>
          <t>A 38665-2025</t>
        </is>
      </c>
      <c r="B168" s="1" t="n">
        <v>45884.61528935185</v>
      </c>
      <c r="C168" s="1" t="n">
        <v>46185</v>
      </c>
      <c r="D168" t="inlineStr">
        <is>
          <t>VÄSTERNORRLANDS LÄN</t>
        </is>
      </c>
      <c r="E168" t="inlineStr">
        <is>
          <t>SOLLEFTEÅ</t>
        </is>
      </c>
      <c r="F168" t="inlineStr">
        <is>
          <t>SCA</t>
        </is>
      </c>
      <c r="G168" t="n">
        <v>3.9</v>
      </c>
      <c r="H168" t="n">
        <v>0</v>
      </c>
      <c r="I168" t="n">
        <v>1</v>
      </c>
      <c r="J168" t="n">
        <v>9</v>
      </c>
      <c r="K168" t="n">
        <v>0</v>
      </c>
      <c r="L168" t="n">
        <v>0</v>
      </c>
      <c r="M168" t="n">
        <v>0</v>
      </c>
      <c r="N168" t="n">
        <v>0</v>
      </c>
      <c r="O168" t="n">
        <v>9</v>
      </c>
      <c r="P168" t="n">
        <v>0</v>
      </c>
      <c r="Q168" t="n">
        <v>10</v>
      </c>
      <c r="R168" s="2" t="inlineStr">
        <is>
          <t>Blå taggsvamp
Gammelgransskål
Kolflarnlav
Lunglav
Nordtagging
Rosenticka
Ullticka
Vaddporing
Vitgrynig nållav
Luddlav</t>
        </is>
      </c>
      <c r="S168">
        <f>HYPERLINK("https://klasma.github.io/Logging_2283/artfynd/A 38665-2025 artfynd.xlsx", "A 38665-2025")</f>
        <v/>
      </c>
      <c r="T168">
        <f>HYPERLINK("https://klasma.github.io/Logging_2283/kartor/A 38665-2025 karta.png", "A 38665-2025")</f>
        <v/>
      </c>
      <c r="V168">
        <f>HYPERLINK("https://klasma.github.io/Logging_2283/klagomål/A 38665-2025 FSC-klagomål.docx", "A 38665-2025")</f>
        <v/>
      </c>
      <c r="W168">
        <f>HYPERLINK("https://klasma.github.io/Logging_2283/klagomålsmail/A 38665-2025 FSC-klagomål mail.docx", "A 38665-2025")</f>
        <v/>
      </c>
      <c r="X168">
        <f>HYPERLINK("https://klasma.github.io/Logging_2283/tillsyn/A 38665-2025 tillsynsbegäran.docx", "A 38665-2025")</f>
        <v/>
      </c>
      <c r="Y168">
        <f>HYPERLINK("https://klasma.github.io/Logging_2283/tillsynsmail/A 38665-2025 tillsynsbegäran mail.docx", "A 38665-2025")</f>
        <v/>
      </c>
    </row>
    <row r="169" ht="15" customHeight="1">
      <c r="A169" t="inlineStr">
        <is>
          <t>A 30267-2025</t>
        </is>
      </c>
      <c r="B169" s="1" t="n">
        <v>45827</v>
      </c>
      <c r="C169" s="1" t="n">
        <v>46185</v>
      </c>
      <c r="D169" t="inlineStr">
        <is>
          <t>VÄSTERNORRLANDS LÄN</t>
        </is>
      </c>
      <c r="E169" t="inlineStr">
        <is>
          <t>TIMRÅ</t>
        </is>
      </c>
      <c r="F169" t="inlineStr">
        <is>
          <t>SCA</t>
        </is>
      </c>
      <c r="G169" t="n">
        <v>6.1</v>
      </c>
      <c r="H169" t="n">
        <v>4</v>
      </c>
      <c r="I169" t="n">
        <v>1</v>
      </c>
      <c r="J169" t="n">
        <v>6</v>
      </c>
      <c r="K169" t="n">
        <v>1</v>
      </c>
      <c r="L169" t="n">
        <v>0</v>
      </c>
      <c r="M169" t="n">
        <v>0</v>
      </c>
      <c r="N169" t="n">
        <v>0</v>
      </c>
      <c r="O169" t="n">
        <v>7</v>
      </c>
      <c r="P169" t="n">
        <v>1</v>
      </c>
      <c r="Q169" t="n">
        <v>10</v>
      </c>
      <c r="R169" s="2" t="inlineStr">
        <is>
          <t>Knärot
Doftskinn
Garnlav
Lunglav
Rosenticka
Tretåig hackspett
Ullticka
Vedticka
Fläcknycklar
Revlummer</t>
        </is>
      </c>
      <c r="S169">
        <f>HYPERLINK("https://klasma.github.io/Logging_2262/artfynd/A 30267-2025 artfynd.xlsx", "A 30267-2025")</f>
        <v/>
      </c>
      <c r="T169">
        <f>HYPERLINK("https://klasma.github.io/Logging_2262/kartor/A 30267-2025 karta.png", "A 30267-2025")</f>
        <v/>
      </c>
      <c r="U169">
        <f>HYPERLINK("https://klasma.github.io/Logging_2262/knärot/A 30267-2025 karta knärot.png", "A 30267-2025")</f>
        <v/>
      </c>
      <c r="V169">
        <f>HYPERLINK("https://klasma.github.io/Logging_2262/klagomål/A 30267-2025 FSC-klagomål.docx", "A 30267-2025")</f>
        <v/>
      </c>
      <c r="W169">
        <f>HYPERLINK("https://klasma.github.io/Logging_2262/klagomålsmail/A 30267-2025 FSC-klagomål mail.docx", "A 30267-2025")</f>
        <v/>
      </c>
      <c r="X169">
        <f>HYPERLINK("https://klasma.github.io/Logging_2262/tillsyn/A 30267-2025 tillsynsbegäran.docx", "A 30267-2025")</f>
        <v/>
      </c>
      <c r="Y169">
        <f>HYPERLINK("https://klasma.github.io/Logging_2262/tillsynsmail/A 30267-2025 tillsynsbegäran mail.docx", "A 30267-2025")</f>
        <v/>
      </c>
      <c r="Z169">
        <f>HYPERLINK("https://klasma.github.io/Logging_2262/fåglar/A 30267-2025 prioriterade fågelarter.docx", "A 30267-2025")</f>
        <v/>
      </c>
    </row>
    <row r="170" ht="15" customHeight="1">
      <c r="A170" t="inlineStr">
        <is>
          <t>A 51693-2024</t>
        </is>
      </c>
      <c r="B170" s="1" t="n">
        <v>45607.34570601852</v>
      </c>
      <c r="C170" s="1" t="n">
        <v>46185</v>
      </c>
      <c r="D170" t="inlineStr">
        <is>
          <t>VÄSTERNORRLANDS LÄN</t>
        </is>
      </c>
      <c r="E170" t="inlineStr">
        <is>
          <t>SOLLEFTEÅ</t>
        </is>
      </c>
      <c r="F170" t="inlineStr">
        <is>
          <t>SCA</t>
        </is>
      </c>
      <c r="G170" t="n">
        <v>5.2</v>
      </c>
      <c r="H170" t="n">
        <v>3</v>
      </c>
      <c r="I170" t="n">
        <v>2</v>
      </c>
      <c r="J170" t="n">
        <v>7</v>
      </c>
      <c r="K170" t="n">
        <v>1</v>
      </c>
      <c r="L170" t="n">
        <v>0</v>
      </c>
      <c r="M170" t="n">
        <v>0</v>
      </c>
      <c r="N170" t="n">
        <v>0</v>
      </c>
      <c r="O170" t="n">
        <v>8</v>
      </c>
      <c r="P170" t="n">
        <v>1</v>
      </c>
      <c r="Q170" t="n">
        <v>10</v>
      </c>
      <c r="R170" s="2" t="inlineStr">
        <is>
          <t>Knärot
Garnlav
Granticka
Kolflarnlav
Lunglav
Spillkråka
Tretåig hackspett
Ullticka
Dropptaggsvamp
Skuggblåslav</t>
        </is>
      </c>
      <c r="S170">
        <f>HYPERLINK("https://klasma.github.io/Logging_2283/artfynd/A 51693-2024 artfynd.xlsx", "A 51693-2024")</f>
        <v/>
      </c>
      <c r="T170">
        <f>HYPERLINK("https://klasma.github.io/Logging_2283/kartor/A 51693-2024 karta.png", "A 51693-2024")</f>
        <v/>
      </c>
      <c r="U170">
        <f>HYPERLINK("https://klasma.github.io/Logging_2283/knärot/A 51693-2024 karta knärot.png", "A 51693-2024")</f>
        <v/>
      </c>
      <c r="V170">
        <f>HYPERLINK("https://klasma.github.io/Logging_2283/klagomål/A 51693-2024 FSC-klagomål.docx", "A 51693-2024")</f>
        <v/>
      </c>
      <c r="W170">
        <f>HYPERLINK("https://klasma.github.io/Logging_2283/klagomålsmail/A 51693-2024 FSC-klagomål mail.docx", "A 51693-2024")</f>
        <v/>
      </c>
      <c r="X170">
        <f>HYPERLINK("https://klasma.github.io/Logging_2283/tillsyn/A 51693-2024 tillsynsbegäran.docx", "A 51693-2024")</f>
        <v/>
      </c>
      <c r="Y170">
        <f>HYPERLINK("https://klasma.github.io/Logging_2283/tillsynsmail/A 51693-2024 tillsynsbegäran mail.docx", "A 51693-2024")</f>
        <v/>
      </c>
      <c r="Z170">
        <f>HYPERLINK("https://klasma.github.io/Logging_2283/fåglar/A 51693-2024 prioriterade fågelarter.docx", "A 51693-2024")</f>
        <v/>
      </c>
    </row>
    <row r="171" ht="15" customHeight="1">
      <c r="A171" t="inlineStr">
        <is>
          <t>A 50817-2025</t>
        </is>
      </c>
      <c r="B171" s="1" t="n">
        <v>45946.53168981482</v>
      </c>
      <c r="C171" s="1" t="n">
        <v>46185</v>
      </c>
      <c r="D171" t="inlineStr">
        <is>
          <t>VÄSTERNORRLANDS LÄN</t>
        </is>
      </c>
      <c r="E171" t="inlineStr">
        <is>
          <t>SUNDSVALL</t>
        </is>
      </c>
      <c r="F171" t="inlineStr">
        <is>
          <t>SCA</t>
        </is>
      </c>
      <c r="G171" t="n">
        <v>6.1</v>
      </c>
      <c r="H171" t="n">
        <v>6</v>
      </c>
      <c r="I171" t="n">
        <v>2</v>
      </c>
      <c r="J171" t="n">
        <v>4</v>
      </c>
      <c r="K171" t="n">
        <v>1</v>
      </c>
      <c r="L171" t="n">
        <v>0</v>
      </c>
      <c r="M171" t="n">
        <v>0</v>
      </c>
      <c r="N171" t="n">
        <v>0</v>
      </c>
      <c r="O171" t="n">
        <v>5</v>
      </c>
      <c r="P171" t="n">
        <v>1</v>
      </c>
      <c r="Q171" t="n">
        <v>10</v>
      </c>
      <c r="R171" s="2" t="inlineStr">
        <is>
          <t>Knärot
Garnlav
Lunglav
Talltita
Tretåig hackspett
Brandticka
Jättesvampmal
Tjäder
Fläcknycklar
Nattviol</t>
        </is>
      </c>
      <c r="S171">
        <f>HYPERLINK("https://klasma.github.io/Logging_2281/artfynd/A 50817-2025 artfynd.xlsx", "A 50817-2025")</f>
        <v/>
      </c>
      <c r="T171">
        <f>HYPERLINK("https://klasma.github.io/Logging_2281/kartor/A 50817-2025 karta.png", "A 50817-2025")</f>
        <v/>
      </c>
      <c r="U171">
        <f>HYPERLINK("https://klasma.github.io/Logging_2281/knärot/A 50817-2025 karta knärot.png", "A 50817-2025")</f>
        <v/>
      </c>
      <c r="V171">
        <f>HYPERLINK("https://klasma.github.io/Logging_2281/klagomål/A 50817-2025 FSC-klagomål.docx", "A 50817-2025")</f>
        <v/>
      </c>
      <c r="W171">
        <f>HYPERLINK("https://klasma.github.io/Logging_2281/klagomålsmail/A 50817-2025 FSC-klagomål mail.docx", "A 50817-2025")</f>
        <v/>
      </c>
      <c r="X171">
        <f>HYPERLINK("https://klasma.github.io/Logging_2281/tillsyn/A 50817-2025 tillsynsbegäran.docx", "A 50817-2025")</f>
        <v/>
      </c>
      <c r="Y171">
        <f>HYPERLINK("https://klasma.github.io/Logging_2281/tillsynsmail/A 50817-2025 tillsynsbegäran mail.docx", "A 50817-2025")</f>
        <v/>
      </c>
      <c r="Z171">
        <f>HYPERLINK("https://klasma.github.io/Logging_2281/fåglar/A 50817-2025 prioriterade fågelarter.docx", "A 50817-2025")</f>
        <v/>
      </c>
    </row>
    <row r="172" ht="15" customHeight="1">
      <c r="A172" t="inlineStr">
        <is>
          <t>A 5435-2026</t>
        </is>
      </c>
      <c r="B172" s="1" t="n">
        <v>46050</v>
      </c>
      <c r="C172" s="1" t="n">
        <v>46185</v>
      </c>
      <c r="D172" t="inlineStr">
        <is>
          <t>VÄSTERNORRLANDS LÄN</t>
        </is>
      </c>
      <c r="E172" t="inlineStr">
        <is>
          <t>ÅNGE</t>
        </is>
      </c>
      <c r="F172" t="inlineStr">
        <is>
          <t>SCA</t>
        </is>
      </c>
      <c r="G172" t="n">
        <v>19.9</v>
      </c>
      <c r="H172" t="n">
        <v>0</v>
      </c>
      <c r="I172" t="n">
        <v>1</v>
      </c>
      <c r="J172" t="n">
        <v>8</v>
      </c>
      <c r="K172" t="n">
        <v>1</v>
      </c>
      <c r="L172" t="n">
        <v>0</v>
      </c>
      <c r="M172" t="n">
        <v>0</v>
      </c>
      <c r="N172" t="n">
        <v>0</v>
      </c>
      <c r="O172" t="n">
        <v>9</v>
      </c>
      <c r="P172" t="n">
        <v>1</v>
      </c>
      <c r="Q172" t="n">
        <v>10</v>
      </c>
      <c r="R172" s="2" t="inlineStr">
        <is>
          <t>Gräddporing
Blanksvart spiklav
Blågrå svartspik
Dvärgbägarlav
Kolflarnlav
Mörk kolflarnlav
Nordtagging
Vedflamlav
Vedskivlav
Dropptaggsvamp</t>
        </is>
      </c>
      <c r="S172">
        <f>HYPERLINK("https://klasma.github.io/Logging_2260/artfynd/A 5435-2026 artfynd.xlsx", "A 5435-2026")</f>
        <v/>
      </c>
      <c r="T172">
        <f>HYPERLINK("https://klasma.github.io/Logging_2260/kartor/A 5435-2026 karta.png", "A 5435-2026")</f>
        <v/>
      </c>
      <c r="V172">
        <f>HYPERLINK("https://klasma.github.io/Logging_2260/klagomål/A 5435-2026 FSC-klagomål.docx", "A 5435-2026")</f>
        <v/>
      </c>
      <c r="W172">
        <f>HYPERLINK("https://klasma.github.io/Logging_2260/klagomålsmail/A 5435-2026 FSC-klagomål mail.docx", "A 5435-2026")</f>
        <v/>
      </c>
      <c r="X172">
        <f>HYPERLINK("https://klasma.github.io/Logging_2260/tillsyn/A 5435-2026 tillsynsbegäran.docx", "A 5435-2026")</f>
        <v/>
      </c>
      <c r="Y172">
        <f>HYPERLINK("https://klasma.github.io/Logging_2260/tillsynsmail/A 5435-2026 tillsynsbegäran mail.docx", "A 5435-2026")</f>
        <v/>
      </c>
    </row>
    <row r="173" ht="15" customHeight="1">
      <c r="A173" t="inlineStr">
        <is>
          <t>A 39496-2024</t>
        </is>
      </c>
      <c r="B173" s="1" t="n">
        <v>45551</v>
      </c>
      <c r="C173" s="1" t="n">
        <v>46185</v>
      </c>
      <c r="D173" t="inlineStr">
        <is>
          <t>VÄSTERNORRLANDS LÄN</t>
        </is>
      </c>
      <c r="E173" t="inlineStr">
        <is>
          <t>ÅNGE</t>
        </is>
      </c>
      <c r="F173" t="inlineStr">
        <is>
          <t>SCA</t>
        </is>
      </c>
      <c r="G173" t="n">
        <v>6.1</v>
      </c>
      <c r="H173" t="n">
        <v>2</v>
      </c>
      <c r="I173" t="n">
        <v>4</v>
      </c>
      <c r="J173" t="n">
        <v>5</v>
      </c>
      <c r="K173" t="n">
        <v>1</v>
      </c>
      <c r="L173" t="n">
        <v>0</v>
      </c>
      <c r="M173" t="n">
        <v>0</v>
      </c>
      <c r="N173" t="n">
        <v>0</v>
      </c>
      <c r="O173" t="n">
        <v>6</v>
      </c>
      <c r="P173" t="n">
        <v>1</v>
      </c>
      <c r="Q173" t="n">
        <v>10</v>
      </c>
      <c r="R173" s="2" t="inlineStr">
        <is>
          <t>Knärot
Lunglav
Mörk kolflarnlav
Spillkråka
Vedflamlav
Vedtrappmossa
Dropptaggsvamp
Luddlav
Skarp dropptaggsvamp
Vedticka</t>
        </is>
      </c>
      <c r="S173">
        <f>HYPERLINK("https://klasma.github.io/Logging_2260/artfynd/A 39496-2024 artfynd.xlsx", "A 39496-2024")</f>
        <v/>
      </c>
      <c r="T173">
        <f>HYPERLINK("https://klasma.github.io/Logging_2260/kartor/A 39496-2024 karta.png", "A 39496-2024")</f>
        <v/>
      </c>
      <c r="U173">
        <f>HYPERLINK("https://klasma.github.io/Logging_2260/knärot/A 39496-2024 karta knärot.png", "A 39496-2024")</f>
        <v/>
      </c>
      <c r="V173">
        <f>HYPERLINK("https://klasma.github.io/Logging_2260/klagomål/A 39496-2024 FSC-klagomål.docx", "A 39496-2024")</f>
        <v/>
      </c>
      <c r="W173">
        <f>HYPERLINK("https://klasma.github.io/Logging_2260/klagomålsmail/A 39496-2024 FSC-klagomål mail.docx", "A 39496-2024")</f>
        <v/>
      </c>
      <c r="X173">
        <f>HYPERLINK("https://klasma.github.io/Logging_2260/tillsyn/A 39496-2024 tillsynsbegäran.docx", "A 39496-2024")</f>
        <v/>
      </c>
      <c r="Y173">
        <f>HYPERLINK("https://klasma.github.io/Logging_2260/tillsynsmail/A 39496-2024 tillsynsbegäran mail.docx", "A 39496-2024")</f>
        <v/>
      </c>
      <c r="Z173">
        <f>HYPERLINK("https://klasma.github.io/Logging_2260/fåglar/A 39496-2024 prioriterade fågelarter.docx", "A 39496-2024")</f>
        <v/>
      </c>
    </row>
    <row r="174" ht="15" customHeight="1">
      <c r="A174" t="inlineStr">
        <is>
          <t>A 26361-2023</t>
        </is>
      </c>
      <c r="B174" s="1" t="n">
        <v>45091</v>
      </c>
      <c r="C174" s="1" t="n">
        <v>46185</v>
      </c>
      <c r="D174" t="inlineStr">
        <is>
          <t>VÄSTERNORRLANDS LÄN</t>
        </is>
      </c>
      <c r="E174" t="inlineStr">
        <is>
          <t>ÅNGE</t>
        </is>
      </c>
      <c r="F174" t="inlineStr">
        <is>
          <t>SCA</t>
        </is>
      </c>
      <c r="G174" t="n">
        <v>5.5</v>
      </c>
      <c r="H174" t="n">
        <v>4</v>
      </c>
      <c r="I174" t="n">
        <v>1</v>
      </c>
      <c r="J174" t="n">
        <v>8</v>
      </c>
      <c r="K174" t="n">
        <v>1</v>
      </c>
      <c r="L174" t="n">
        <v>0</v>
      </c>
      <c r="M174" t="n">
        <v>0</v>
      </c>
      <c r="N174" t="n">
        <v>0</v>
      </c>
      <c r="O174" t="n">
        <v>9</v>
      </c>
      <c r="P174" t="n">
        <v>1</v>
      </c>
      <c r="Q174" t="n">
        <v>10</v>
      </c>
      <c r="R174" s="2" t="inlineStr">
        <is>
          <t>Knärot
Brunpudrad nållav
Garnlav
Järpe
Lunglav
Skrovellav
Talltita
Tretåig hackspett
Vedskivlav
Dropptaggsvamp</t>
        </is>
      </c>
      <c r="S174">
        <f>HYPERLINK("https://klasma.github.io/Logging_2260/artfynd/A 26361-2023 artfynd.xlsx", "A 26361-2023")</f>
        <v/>
      </c>
      <c r="T174">
        <f>HYPERLINK("https://klasma.github.io/Logging_2260/kartor/A 26361-2023 karta.png", "A 26361-2023")</f>
        <v/>
      </c>
      <c r="U174">
        <f>HYPERLINK("https://klasma.github.io/Logging_2260/knärot/A 26361-2023 karta knärot.png", "A 26361-2023")</f>
        <v/>
      </c>
      <c r="V174">
        <f>HYPERLINK("https://klasma.github.io/Logging_2260/klagomål/A 26361-2023 FSC-klagomål.docx", "A 26361-2023")</f>
        <v/>
      </c>
      <c r="W174">
        <f>HYPERLINK("https://klasma.github.io/Logging_2260/klagomålsmail/A 26361-2023 FSC-klagomål mail.docx", "A 26361-2023")</f>
        <v/>
      </c>
      <c r="X174">
        <f>HYPERLINK("https://klasma.github.io/Logging_2260/tillsyn/A 26361-2023 tillsynsbegäran.docx", "A 26361-2023")</f>
        <v/>
      </c>
      <c r="Y174">
        <f>HYPERLINK("https://klasma.github.io/Logging_2260/tillsynsmail/A 26361-2023 tillsynsbegäran mail.docx", "A 26361-2023")</f>
        <v/>
      </c>
      <c r="Z174">
        <f>HYPERLINK("https://klasma.github.io/Logging_2260/fåglar/A 26361-2023 prioriterade fågelarter.docx", "A 26361-2023")</f>
        <v/>
      </c>
    </row>
    <row r="175" ht="15" customHeight="1">
      <c r="A175" t="inlineStr">
        <is>
          <t>A 43682-2025</t>
        </is>
      </c>
      <c r="B175" s="1" t="n">
        <v>45912</v>
      </c>
      <c r="C175" s="1" t="n">
        <v>46185</v>
      </c>
      <c r="D175" t="inlineStr">
        <is>
          <t>VÄSTERNORRLANDS LÄN</t>
        </is>
      </c>
      <c r="E175" t="inlineStr">
        <is>
          <t>ÖRNSKÖLDSVIK</t>
        </is>
      </c>
      <c r="G175" t="n">
        <v>6.4</v>
      </c>
      <c r="H175" t="n">
        <v>2</v>
      </c>
      <c r="I175" t="n">
        <v>1</v>
      </c>
      <c r="J175" t="n">
        <v>8</v>
      </c>
      <c r="K175" t="n">
        <v>1</v>
      </c>
      <c r="L175" t="n">
        <v>0</v>
      </c>
      <c r="M175" t="n">
        <v>0</v>
      </c>
      <c r="N175" t="n">
        <v>0</v>
      </c>
      <c r="O175" t="n">
        <v>9</v>
      </c>
      <c r="P175" t="n">
        <v>1</v>
      </c>
      <c r="Q175" t="n">
        <v>10</v>
      </c>
      <c r="R175" s="2" t="inlineStr">
        <is>
          <t>Rynkskinn
Doftskinn
Gammelgransskål
Gränsticka
Spillkråka
Talltita
Ullticka
Vedflamlav
Vedskivlav
Tallfingersvamp</t>
        </is>
      </c>
      <c r="S175">
        <f>HYPERLINK("https://klasma.github.io/Logging_2284/artfynd/A 43682-2025 artfynd.xlsx", "A 43682-2025")</f>
        <v/>
      </c>
      <c r="T175">
        <f>HYPERLINK("https://klasma.github.io/Logging_2284/kartor/A 43682-2025 karta.png", "A 43682-2025")</f>
        <v/>
      </c>
      <c r="V175">
        <f>HYPERLINK("https://klasma.github.io/Logging_2284/klagomål/A 43682-2025 FSC-klagomål.docx", "A 43682-2025")</f>
        <v/>
      </c>
      <c r="W175">
        <f>HYPERLINK("https://klasma.github.io/Logging_2284/klagomålsmail/A 43682-2025 FSC-klagomål mail.docx", "A 43682-2025")</f>
        <v/>
      </c>
      <c r="X175">
        <f>HYPERLINK("https://klasma.github.io/Logging_2284/tillsyn/A 43682-2025 tillsynsbegäran.docx", "A 43682-2025")</f>
        <v/>
      </c>
      <c r="Y175">
        <f>HYPERLINK("https://klasma.github.io/Logging_2284/tillsynsmail/A 43682-2025 tillsynsbegäran mail.docx", "A 43682-2025")</f>
        <v/>
      </c>
      <c r="Z175">
        <f>HYPERLINK("https://klasma.github.io/Logging_2284/fåglar/A 43682-2025 prioriterade fågelarter.docx", "A 43682-2025")</f>
        <v/>
      </c>
    </row>
    <row r="176" ht="15" customHeight="1">
      <c r="A176" t="inlineStr">
        <is>
          <t>A 38950-2021</t>
        </is>
      </c>
      <c r="B176" s="1" t="n">
        <v>44411</v>
      </c>
      <c r="C176" s="1" t="n">
        <v>46185</v>
      </c>
      <c r="D176" t="inlineStr">
        <is>
          <t>VÄSTERNORRLANDS LÄN</t>
        </is>
      </c>
      <c r="E176" t="inlineStr">
        <is>
          <t>KRAMFORS</t>
        </is>
      </c>
      <c r="G176" t="n">
        <v>10</v>
      </c>
      <c r="H176" t="n">
        <v>1</v>
      </c>
      <c r="I176" t="n">
        <v>1</v>
      </c>
      <c r="J176" t="n">
        <v>8</v>
      </c>
      <c r="K176" t="n">
        <v>1</v>
      </c>
      <c r="L176" t="n">
        <v>0</v>
      </c>
      <c r="M176" t="n">
        <v>0</v>
      </c>
      <c r="N176" t="n">
        <v>0</v>
      </c>
      <c r="O176" t="n">
        <v>9</v>
      </c>
      <c r="P176" t="n">
        <v>1</v>
      </c>
      <c r="Q176" t="n">
        <v>10</v>
      </c>
      <c r="R176" s="2" t="inlineStr">
        <is>
          <t>Ringlav
Doftskinn
Garnlav
Granticka
Gränsticka
Gul taggsvamp
Talltita
Ullticka
Violettgrå tagellav
Vedticka</t>
        </is>
      </c>
      <c r="S176">
        <f>HYPERLINK("https://klasma.github.io/Logging_2282/artfynd/A 38950-2021 artfynd.xlsx", "A 38950-2021")</f>
        <v/>
      </c>
      <c r="T176">
        <f>HYPERLINK("https://klasma.github.io/Logging_2282/kartor/A 38950-2021 karta.png", "A 38950-2021")</f>
        <v/>
      </c>
      <c r="V176">
        <f>HYPERLINK("https://klasma.github.io/Logging_2282/klagomål/A 38950-2021 FSC-klagomål.docx", "A 38950-2021")</f>
        <v/>
      </c>
      <c r="W176">
        <f>HYPERLINK("https://klasma.github.io/Logging_2282/klagomålsmail/A 38950-2021 FSC-klagomål mail.docx", "A 38950-2021")</f>
        <v/>
      </c>
      <c r="X176">
        <f>HYPERLINK("https://klasma.github.io/Logging_2282/tillsyn/A 38950-2021 tillsynsbegäran.docx", "A 38950-2021")</f>
        <v/>
      </c>
      <c r="Y176">
        <f>HYPERLINK("https://klasma.github.io/Logging_2282/tillsynsmail/A 38950-2021 tillsynsbegäran mail.docx", "A 38950-2021")</f>
        <v/>
      </c>
      <c r="Z176">
        <f>HYPERLINK("https://klasma.github.io/Logging_2282/fåglar/A 38950-2021 prioriterade fågelarter.docx", "A 38950-2021")</f>
        <v/>
      </c>
    </row>
    <row r="177" ht="15" customHeight="1">
      <c r="A177" t="inlineStr">
        <is>
          <t>A 30840-2023</t>
        </is>
      </c>
      <c r="B177" s="1" t="n">
        <v>45112</v>
      </c>
      <c r="C177" s="1" t="n">
        <v>46185</v>
      </c>
      <c r="D177" t="inlineStr">
        <is>
          <t>VÄSTERNORRLANDS LÄN</t>
        </is>
      </c>
      <c r="E177" t="inlineStr">
        <is>
          <t>ÅNGE</t>
        </is>
      </c>
      <c r="F177" t="inlineStr">
        <is>
          <t>SCA</t>
        </is>
      </c>
      <c r="G177" t="n">
        <v>9.699999999999999</v>
      </c>
      <c r="H177" t="n">
        <v>4</v>
      </c>
      <c r="I177" t="n">
        <v>1</v>
      </c>
      <c r="J177" t="n">
        <v>7</v>
      </c>
      <c r="K177" t="n">
        <v>1</v>
      </c>
      <c r="L177" t="n">
        <v>0</v>
      </c>
      <c r="M177" t="n">
        <v>0</v>
      </c>
      <c r="N177" t="n">
        <v>0</v>
      </c>
      <c r="O177" t="n">
        <v>8</v>
      </c>
      <c r="P177" t="n">
        <v>1</v>
      </c>
      <c r="Q177" t="n">
        <v>10</v>
      </c>
      <c r="R177" s="2" t="inlineStr">
        <is>
          <t>Knärot
Kolflarnlav
Mörk kolflarnlav
Spillkråka
Tallticka
Talltita
Ullticka
Vedtrappmossa
Dropptaggsvamp
Tjäder</t>
        </is>
      </c>
      <c r="S177">
        <f>HYPERLINK("https://klasma.github.io/Logging_2260/artfynd/A 30840-2023 artfynd.xlsx", "A 30840-2023")</f>
        <v/>
      </c>
      <c r="T177">
        <f>HYPERLINK("https://klasma.github.io/Logging_2260/kartor/A 30840-2023 karta.png", "A 30840-2023")</f>
        <v/>
      </c>
      <c r="U177">
        <f>HYPERLINK("https://klasma.github.io/Logging_2260/knärot/A 30840-2023 karta knärot.png", "A 30840-2023")</f>
        <v/>
      </c>
      <c r="V177">
        <f>HYPERLINK("https://klasma.github.io/Logging_2260/klagomål/A 30840-2023 FSC-klagomål.docx", "A 30840-2023")</f>
        <v/>
      </c>
      <c r="W177">
        <f>HYPERLINK("https://klasma.github.io/Logging_2260/klagomålsmail/A 30840-2023 FSC-klagomål mail.docx", "A 30840-2023")</f>
        <v/>
      </c>
      <c r="X177">
        <f>HYPERLINK("https://klasma.github.io/Logging_2260/tillsyn/A 30840-2023 tillsynsbegäran.docx", "A 30840-2023")</f>
        <v/>
      </c>
      <c r="Y177">
        <f>HYPERLINK("https://klasma.github.io/Logging_2260/tillsynsmail/A 30840-2023 tillsynsbegäran mail.docx", "A 30840-2023")</f>
        <v/>
      </c>
      <c r="Z177">
        <f>HYPERLINK("https://klasma.github.io/Logging_2260/fåglar/A 30840-2023 prioriterade fågelarter.docx", "A 30840-2023")</f>
        <v/>
      </c>
    </row>
    <row r="178" ht="15" customHeight="1">
      <c r="A178" t="inlineStr">
        <is>
          <t>A 15274-2025</t>
        </is>
      </c>
      <c r="B178" s="1" t="n">
        <v>45744.67758101852</v>
      </c>
      <c r="C178" s="1" t="n">
        <v>46185</v>
      </c>
      <c r="D178" t="inlineStr">
        <is>
          <t>VÄSTERNORRLANDS LÄN</t>
        </is>
      </c>
      <c r="E178" t="inlineStr">
        <is>
          <t>SUNDSVALL</t>
        </is>
      </c>
      <c r="F178" t="inlineStr">
        <is>
          <t>SCA</t>
        </is>
      </c>
      <c r="G178" t="n">
        <v>9.4</v>
      </c>
      <c r="H178" t="n">
        <v>4</v>
      </c>
      <c r="I178" t="n">
        <v>5</v>
      </c>
      <c r="J178" t="n">
        <v>3</v>
      </c>
      <c r="K178" t="n">
        <v>1</v>
      </c>
      <c r="L178" t="n">
        <v>0</v>
      </c>
      <c r="M178" t="n">
        <v>0</v>
      </c>
      <c r="N178" t="n">
        <v>0</v>
      </c>
      <c r="O178" t="n">
        <v>4</v>
      </c>
      <c r="P178" t="n">
        <v>1</v>
      </c>
      <c r="Q178" t="n">
        <v>10</v>
      </c>
      <c r="R178" s="2" t="inlineStr">
        <is>
          <t>Knärot
Garnlav
Spillkråka
Ullticka
Grön sköldmossa
Mörk husmossa
Skinnlav
Stor aspticka
Vedticka
Nattviol</t>
        </is>
      </c>
      <c r="S178">
        <f>HYPERLINK("https://klasma.github.io/Logging_2281/artfynd/A 15274-2025 artfynd.xlsx", "A 15274-2025")</f>
        <v/>
      </c>
      <c r="T178">
        <f>HYPERLINK("https://klasma.github.io/Logging_2281/kartor/A 15274-2025 karta.png", "A 15274-2025")</f>
        <v/>
      </c>
      <c r="U178">
        <f>HYPERLINK("https://klasma.github.io/Logging_2281/knärot/A 15274-2025 karta knärot.png", "A 15274-2025")</f>
        <v/>
      </c>
      <c r="V178">
        <f>HYPERLINK("https://klasma.github.io/Logging_2281/klagomål/A 15274-2025 FSC-klagomål.docx", "A 15274-2025")</f>
        <v/>
      </c>
      <c r="W178">
        <f>HYPERLINK("https://klasma.github.io/Logging_2281/klagomålsmail/A 15274-2025 FSC-klagomål mail.docx", "A 15274-2025")</f>
        <v/>
      </c>
      <c r="X178">
        <f>HYPERLINK("https://klasma.github.io/Logging_2281/tillsyn/A 15274-2025 tillsynsbegäran.docx", "A 15274-2025")</f>
        <v/>
      </c>
      <c r="Y178">
        <f>HYPERLINK("https://klasma.github.io/Logging_2281/tillsynsmail/A 15274-2025 tillsynsbegäran mail.docx", "A 15274-2025")</f>
        <v/>
      </c>
      <c r="Z178">
        <f>HYPERLINK("https://klasma.github.io/Logging_2281/fåglar/A 15274-2025 prioriterade fågelarter.docx", "A 15274-2025")</f>
        <v/>
      </c>
    </row>
    <row r="179" ht="15" customHeight="1">
      <c r="A179" t="inlineStr">
        <is>
          <t>A 61524-2025</t>
        </is>
      </c>
      <c r="B179" s="1" t="n">
        <v>46001.68811342592</v>
      </c>
      <c r="C179" s="1" t="n">
        <v>46185</v>
      </c>
      <c r="D179" t="inlineStr">
        <is>
          <t>VÄSTERNORRLANDS LÄN</t>
        </is>
      </c>
      <c r="E179" t="inlineStr">
        <is>
          <t>ÅNGE</t>
        </is>
      </c>
      <c r="F179" t="inlineStr">
        <is>
          <t>SCA</t>
        </is>
      </c>
      <c r="G179" t="n">
        <v>3.4</v>
      </c>
      <c r="H179" t="n">
        <v>2</v>
      </c>
      <c r="I179" t="n">
        <v>2</v>
      </c>
      <c r="J179" t="n">
        <v>6</v>
      </c>
      <c r="K179" t="n">
        <v>2</v>
      </c>
      <c r="L179" t="n">
        <v>0</v>
      </c>
      <c r="M179" t="n">
        <v>0</v>
      </c>
      <c r="N179" t="n">
        <v>0</v>
      </c>
      <c r="O179" t="n">
        <v>8</v>
      </c>
      <c r="P179" t="n">
        <v>2</v>
      </c>
      <c r="Q179" t="n">
        <v>10</v>
      </c>
      <c r="R179" s="2" t="inlineStr">
        <is>
          <t>Knärot
Tajgataggsvamp
Koralltaggsvamp
Oljetagging
Orange taggsvamp
Rosenticka
Svart taggsvamp agg.
Vaddporing
Grönkulla
Rökmusseron</t>
        </is>
      </c>
      <c r="S179">
        <f>HYPERLINK("https://klasma.github.io/Logging_2260/artfynd/A 61524-2025 artfynd.xlsx", "A 61524-2025")</f>
        <v/>
      </c>
      <c r="T179">
        <f>HYPERLINK("https://klasma.github.io/Logging_2260/kartor/A 61524-2025 karta.png", "A 61524-2025")</f>
        <v/>
      </c>
      <c r="U179">
        <f>HYPERLINK("https://klasma.github.io/Logging_2260/knärot/A 61524-2025 karta knärot.png", "A 61524-2025")</f>
        <v/>
      </c>
      <c r="V179">
        <f>HYPERLINK("https://klasma.github.io/Logging_2260/klagomål/A 61524-2025 FSC-klagomål.docx", "A 61524-2025")</f>
        <v/>
      </c>
      <c r="W179">
        <f>HYPERLINK("https://klasma.github.io/Logging_2260/klagomålsmail/A 61524-2025 FSC-klagomål mail.docx", "A 61524-2025")</f>
        <v/>
      </c>
      <c r="X179">
        <f>HYPERLINK("https://klasma.github.io/Logging_2260/tillsyn/A 61524-2025 tillsynsbegäran.docx", "A 61524-2025")</f>
        <v/>
      </c>
      <c r="Y179">
        <f>HYPERLINK("https://klasma.github.io/Logging_2260/tillsynsmail/A 61524-2025 tillsynsbegäran mail.docx", "A 61524-2025")</f>
        <v/>
      </c>
    </row>
    <row r="180" ht="15" customHeight="1">
      <c r="A180" t="inlineStr">
        <is>
          <t>A 62197-2025</t>
        </is>
      </c>
      <c r="B180" s="1" t="n">
        <v>46006.55293981481</v>
      </c>
      <c r="C180" s="1" t="n">
        <v>46185</v>
      </c>
      <c r="D180" t="inlineStr">
        <is>
          <t>VÄSTERNORRLANDS LÄN</t>
        </is>
      </c>
      <c r="E180" t="inlineStr">
        <is>
          <t>SOLLEFTEÅ</t>
        </is>
      </c>
      <c r="F180" t="inlineStr">
        <is>
          <t>SCA</t>
        </is>
      </c>
      <c r="G180" t="n">
        <v>12.2</v>
      </c>
      <c r="H180" t="n">
        <v>2</v>
      </c>
      <c r="I180" t="n">
        <v>1</v>
      </c>
      <c r="J180" t="n">
        <v>6</v>
      </c>
      <c r="K180" t="n">
        <v>3</v>
      </c>
      <c r="L180" t="n">
        <v>0</v>
      </c>
      <c r="M180" t="n">
        <v>0</v>
      </c>
      <c r="N180" t="n">
        <v>0</v>
      </c>
      <c r="O180" t="n">
        <v>9</v>
      </c>
      <c r="P180" t="n">
        <v>3</v>
      </c>
      <c r="Q180" t="n">
        <v>10</v>
      </c>
      <c r="R180" s="2" t="inlineStr">
        <is>
          <t>Lappticka
Rynkskinn
Ulltickeporing
Garnlav
Granticka
Olisthaerus substriatus
Rosenticka
Talltita
Ullticka
Plattlummer</t>
        </is>
      </c>
      <c r="S180">
        <f>HYPERLINK("https://klasma.github.io/Logging_2283/artfynd/A 62197-2025 artfynd.xlsx", "A 62197-2025")</f>
        <v/>
      </c>
      <c r="T180">
        <f>HYPERLINK("https://klasma.github.io/Logging_2283/kartor/A 62197-2025 karta.png", "A 62197-2025")</f>
        <v/>
      </c>
      <c r="V180">
        <f>HYPERLINK("https://klasma.github.io/Logging_2283/klagomål/A 62197-2025 FSC-klagomål.docx", "A 62197-2025")</f>
        <v/>
      </c>
      <c r="W180">
        <f>HYPERLINK("https://klasma.github.io/Logging_2283/klagomålsmail/A 62197-2025 FSC-klagomål mail.docx", "A 62197-2025")</f>
        <v/>
      </c>
      <c r="X180">
        <f>HYPERLINK("https://klasma.github.io/Logging_2283/tillsyn/A 62197-2025 tillsynsbegäran.docx", "A 62197-2025")</f>
        <v/>
      </c>
      <c r="Y180">
        <f>HYPERLINK("https://klasma.github.io/Logging_2283/tillsynsmail/A 62197-2025 tillsynsbegäran mail.docx", "A 62197-2025")</f>
        <v/>
      </c>
      <c r="Z180">
        <f>HYPERLINK("https://klasma.github.io/Logging_2283/fåglar/A 62197-2025 prioriterade fågelarter.docx", "A 62197-2025")</f>
        <v/>
      </c>
    </row>
    <row r="181" ht="15" customHeight="1">
      <c r="A181" t="inlineStr">
        <is>
          <t>A 25323-2023</t>
        </is>
      </c>
      <c r="B181" s="1" t="n">
        <v>45086</v>
      </c>
      <c r="C181" s="1" t="n">
        <v>46185</v>
      </c>
      <c r="D181" t="inlineStr">
        <is>
          <t>VÄSTERNORRLANDS LÄN</t>
        </is>
      </c>
      <c r="E181" t="inlineStr">
        <is>
          <t>ÅNGE</t>
        </is>
      </c>
      <c r="F181" t="inlineStr">
        <is>
          <t>SCA</t>
        </is>
      </c>
      <c r="G181" t="n">
        <v>1.8</v>
      </c>
      <c r="H181" t="n">
        <v>1</v>
      </c>
      <c r="I181" t="n">
        <v>3</v>
      </c>
      <c r="J181" t="n">
        <v>5</v>
      </c>
      <c r="K181" t="n">
        <v>2</v>
      </c>
      <c r="L181" t="n">
        <v>0</v>
      </c>
      <c r="M181" t="n">
        <v>0</v>
      </c>
      <c r="N181" t="n">
        <v>0</v>
      </c>
      <c r="O181" t="n">
        <v>7</v>
      </c>
      <c r="P181" t="n">
        <v>2</v>
      </c>
      <c r="Q181" t="n">
        <v>10</v>
      </c>
      <c r="R181" s="2" t="inlineStr">
        <is>
          <t>Laxgröppa
Smalfotad taggsvamp
Garnlav
Skrovlig taggsvamp
Svart taggsvamp agg.
Talltita
Vedtrappmossa
Dropptaggsvamp
Skarp dropptaggsvamp
Vedticka</t>
        </is>
      </c>
      <c r="S181">
        <f>HYPERLINK("https://klasma.github.io/Logging_2260/artfynd/A 25323-2023 artfynd.xlsx", "A 25323-2023")</f>
        <v/>
      </c>
      <c r="T181">
        <f>HYPERLINK("https://klasma.github.io/Logging_2260/kartor/A 25323-2023 karta.png", "A 25323-2023")</f>
        <v/>
      </c>
      <c r="U181">
        <f>HYPERLINK("https://klasma.github.io/Logging_2260/knärot/A 25323-2023 karta knärot.png", "A 25323-2023")</f>
        <v/>
      </c>
      <c r="V181">
        <f>HYPERLINK("https://klasma.github.io/Logging_2260/klagomål/A 25323-2023 FSC-klagomål.docx", "A 25323-2023")</f>
        <v/>
      </c>
      <c r="W181">
        <f>HYPERLINK("https://klasma.github.io/Logging_2260/klagomålsmail/A 25323-2023 FSC-klagomål mail.docx", "A 25323-2023")</f>
        <v/>
      </c>
      <c r="X181">
        <f>HYPERLINK("https://klasma.github.io/Logging_2260/tillsyn/A 25323-2023 tillsynsbegäran.docx", "A 25323-2023")</f>
        <v/>
      </c>
      <c r="Y181">
        <f>HYPERLINK("https://klasma.github.io/Logging_2260/tillsynsmail/A 25323-2023 tillsynsbegäran mail.docx", "A 25323-2023")</f>
        <v/>
      </c>
      <c r="Z181">
        <f>HYPERLINK("https://klasma.github.io/Logging_2260/fåglar/A 25323-2023 prioriterade fågelarter.docx", "A 25323-2023")</f>
        <v/>
      </c>
    </row>
    <row r="182" ht="15" customHeight="1">
      <c r="A182" t="inlineStr">
        <is>
          <t>A 55927-2023</t>
        </is>
      </c>
      <c r="B182" s="1" t="n">
        <v>45239</v>
      </c>
      <c r="C182" s="1" t="n">
        <v>46185</v>
      </c>
      <c r="D182" t="inlineStr">
        <is>
          <t>VÄSTERNORRLANDS LÄN</t>
        </is>
      </c>
      <c r="E182" t="inlineStr">
        <is>
          <t>TIMRÅ</t>
        </is>
      </c>
      <c r="F182" t="inlineStr">
        <is>
          <t>SCA</t>
        </is>
      </c>
      <c r="G182" t="n">
        <v>18.6</v>
      </c>
      <c r="H182" t="n">
        <v>4</v>
      </c>
      <c r="I182" t="n">
        <v>2</v>
      </c>
      <c r="J182" t="n">
        <v>5</v>
      </c>
      <c r="K182" t="n">
        <v>2</v>
      </c>
      <c r="L182" t="n">
        <v>0</v>
      </c>
      <c r="M182" t="n">
        <v>0</v>
      </c>
      <c r="N182" t="n">
        <v>0</v>
      </c>
      <c r="O182" t="n">
        <v>7</v>
      </c>
      <c r="P182" t="n">
        <v>2</v>
      </c>
      <c r="Q182" t="n">
        <v>10</v>
      </c>
      <c r="R182" s="2" t="inlineStr">
        <is>
          <t>Knärot
Långskägg
Garnlav
Lunglav
Stiftgelélav
Tretåig hackspett
Veckticka
Korallblylav
Skinnlav
Blåsippa</t>
        </is>
      </c>
      <c r="S182">
        <f>HYPERLINK("https://klasma.github.io/Logging_2262/artfynd/A 55927-2023 artfynd.xlsx", "A 55927-2023")</f>
        <v/>
      </c>
      <c r="T182">
        <f>HYPERLINK("https://klasma.github.io/Logging_2262/kartor/A 55927-2023 karta.png", "A 55927-2023")</f>
        <v/>
      </c>
      <c r="U182">
        <f>HYPERLINK("https://klasma.github.io/Logging_2262/knärot/A 55927-2023 karta knärot.png", "A 55927-2023")</f>
        <v/>
      </c>
      <c r="V182">
        <f>HYPERLINK("https://klasma.github.io/Logging_2262/klagomål/A 55927-2023 FSC-klagomål.docx", "A 55927-2023")</f>
        <v/>
      </c>
      <c r="W182">
        <f>HYPERLINK("https://klasma.github.io/Logging_2262/klagomålsmail/A 55927-2023 FSC-klagomål mail.docx", "A 55927-2023")</f>
        <v/>
      </c>
      <c r="X182">
        <f>HYPERLINK("https://klasma.github.io/Logging_2262/tillsyn/A 55927-2023 tillsynsbegäran.docx", "A 55927-2023")</f>
        <v/>
      </c>
      <c r="Y182">
        <f>HYPERLINK("https://klasma.github.io/Logging_2262/tillsynsmail/A 55927-2023 tillsynsbegäran mail.docx", "A 55927-2023")</f>
        <v/>
      </c>
      <c r="Z182">
        <f>HYPERLINK("https://klasma.github.io/Logging_2262/fåglar/A 55927-2023 prioriterade fågelarter.docx", "A 55927-2023")</f>
        <v/>
      </c>
    </row>
    <row r="183" ht="15" customHeight="1">
      <c r="A183" t="inlineStr">
        <is>
          <t>A 37488-2023</t>
        </is>
      </c>
      <c r="B183" s="1" t="n">
        <v>45156</v>
      </c>
      <c r="C183" s="1" t="n">
        <v>46185</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66171-2021</t>
        </is>
      </c>
      <c r="B184" s="1" t="n">
        <v>44517</v>
      </c>
      <c r="C184" s="1" t="n">
        <v>46185</v>
      </c>
      <c r="D184" t="inlineStr">
        <is>
          <t>VÄSTERNORRLANDS LÄN</t>
        </is>
      </c>
      <c r="E184" t="inlineStr">
        <is>
          <t>SOLLEFTEÅ</t>
        </is>
      </c>
      <c r="F184" t="inlineStr">
        <is>
          <t>SCA</t>
        </is>
      </c>
      <c r="G184" t="n">
        <v>8.5</v>
      </c>
      <c r="H184" t="n">
        <v>3</v>
      </c>
      <c r="I184" t="n">
        <v>0</v>
      </c>
      <c r="J184" t="n">
        <v>7</v>
      </c>
      <c r="K184" t="n">
        <v>3</v>
      </c>
      <c r="L184" t="n">
        <v>0</v>
      </c>
      <c r="M184" t="n">
        <v>0</v>
      </c>
      <c r="N184" t="n">
        <v>0</v>
      </c>
      <c r="O184" t="n">
        <v>10</v>
      </c>
      <c r="P184" t="n">
        <v>3</v>
      </c>
      <c r="Q184" t="n">
        <v>10</v>
      </c>
      <c r="R184" s="2" t="inlineStr">
        <is>
          <t>Knärot
Ostticka
Rynkskinn
Duvhök
Gammelgransskål
Garnlav
Lunglav
Rosenticka
Tretåig hackspett
Ullticka</t>
        </is>
      </c>
      <c r="S184">
        <f>HYPERLINK("https://klasma.github.io/Logging_2283/artfynd/A 66171-2021 artfynd.xlsx", "A 66171-2021")</f>
        <v/>
      </c>
      <c r="T184">
        <f>HYPERLINK("https://klasma.github.io/Logging_2283/kartor/A 66171-2021 karta.png", "A 66171-2021")</f>
        <v/>
      </c>
      <c r="U184">
        <f>HYPERLINK("https://klasma.github.io/Logging_2283/knärot/A 66171-2021 karta knärot.png", "A 66171-2021")</f>
        <v/>
      </c>
      <c r="V184">
        <f>HYPERLINK("https://klasma.github.io/Logging_2283/klagomål/A 66171-2021 FSC-klagomål.docx", "A 66171-2021")</f>
        <v/>
      </c>
      <c r="W184">
        <f>HYPERLINK("https://klasma.github.io/Logging_2283/klagomålsmail/A 66171-2021 FSC-klagomål mail.docx", "A 66171-2021")</f>
        <v/>
      </c>
      <c r="X184">
        <f>HYPERLINK("https://klasma.github.io/Logging_2283/tillsyn/A 66171-2021 tillsynsbegäran.docx", "A 66171-2021")</f>
        <v/>
      </c>
      <c r="Y184">
        <f>HYPERLINK("https://klasma.github.io/Logging_2283/tillsynsmail/A 66171-2021 tillsynsbegäran mail.docx", "A 66171-2021")</f>
        <v/>
      </c>
      <c r="Z184">
        <f>HYPERLINK("https://klasma.github.io/Logging_2283/fåglar/A 66171-2021 prioriterade fågelarter.docx", "A 66171-2021")</f>
        <v/>
      </c>
    </row>
    <row r="185" ht="15" customHeight="1">
      <c r="A185" t="inlineStr">
        <is>
          <t>A 19827-2025</t>
        </is>
      </c>
      <c r="B185" s="1" t="n">
        <v>45771.46918981482</v>
      </c>
      <c r="C185" s="1" t="n">
        <v>46185</v>
      </c>
      <c r="D185" t="inlineStr">
        <is>
          <t>VÄSTERNORRLANDS LÄN</t>
        </is>
      </c>
      <c r="E185" t="inlineStr">
        <is>
          <t>SUNDSVALL</t>
        </is>
      </c>
      <c r="F185" t="inlineStr">
        <is>
          <t>Naturvårdsverket</t>
        </is>
      </c>
      <c r="G185" t="n">
        <v>3.8</v>
      </c>
      <c r="H185" t="n">
        <v>1</v>
      </c>
      <c r="I185" t="n">
        <v>0</v>
      </c>
      <c r="J185" t="n">
        <v>10</v>
      </c>
      <c r="K185" t="n">
        <v>0</v>
      </c>
      <c r="L185" t="n">
        <v>0</v>
      </c>
      <c r="M185" t="n">
        <v>0</v>
      </c>
      <c r="N185" t="n">
        <v>0</v>
      </c>
      <c r="O185" t="n">
        <v>10</v>
      </c>
      <c r="P185" t="n">
        <v>0</v>
      </c>
      <c r="Q185" t="n">
        <v>10</v>
      </c>
      <c r="R185" s="2" t="inlineStr">
        <is>
          <t>Gammelgransskål
Garnlav
Kortskaftad ärgspik
Lunglav
Nordtagging
Tretåig hackspett
Ullticka
Vedflamlav
Vedskivlav
Violettgrå tagellav</t>
        </is>
      </c>
      <c r="S185">
        <f>HYPERLINK("https://klasma.github.io/Logging_2281/artfynd/A 19827-2025 artfynd.xlsx", "A 19827-2025")</f>
        <v/>
      </c>
      <c r="T185">
        <f>HYPERLINK("https://klasma.github.io/Logging_2281/kartor/A 19827-2025 karta.png", "A 19827-2025")</f>
        <v/>
      </c>
      <c r="V185">
        <f>HYPERLINK("https://klasma.github.io/Logging_2281/klagomål/A 19827-2025 FSC-klagomål.docx", "A 19827-2025")</f>
        <v/>
      </c>
      <c r="W185">
        <f>HYPERLINK("https://klasma.github.io/Logging_2281/klagomålsmail/A 19827-2025 FSC-klagomål mail.docx", "A 19827-2025")</f>
        <v/>
      </c>
      <c r="X185">
        <f>HYPERLINK("https://klasma.github.io/Logging_2281/tillsyn/A 19827-2025 tillsynsbegäran.docx", "A 19827-2025")</f>
        <v/>
      </c>
      <c r="Y185">
        <f>HYPERLINK("https://klasma.github.io/Logging_2281/tillsynsmail/A 19827-2025 tillsynsbegäran mail.docx", "A 19827-2025")</f>
        <v/>
      </c>
      <c r="Z185">
        <f>HYPERLINK("https://klasma.github.io/Logging_2281/fåglar/A 19827-2025 prioriterade fågelarter.docx", "A 19827-2025")</f>
        <v/>
      </c>
    </row>
    <row r="186" ht="15" customHeight="1">
      <c r="A186" t="inlineStr">
        <is>
          <t>A 14787-2026</t>
        </is>
      </c>
      <c r="B186" s="1" t="n">
        <v>46101</v>
      </c>
      <c r="C186" s="1" t="n">
        <v>46185</v>
      </c>
      <c r="D186" t="inlineStr">
        <is>
          <t>VÄSTERNORRLANDS LÄN</t>
        </is>
      </c>
      <c r="E186" t="inlineStr">
        <is>
          <t>SOLLEFTEÅ</t>
        </is>
      </c>
      <c r="F186" t="inlineStr">
        <is>
          <t>SCA</t>
        </is>
      </c>
      <c r="G186" t="n">
        <v>6.1</v>
      </c>
      <c r="H186" t="n">
        <v>3</v>
      </c>
      <c r="I186" t="n">
        <v>0</v>
      </c>
      <c r="J186" t="n">
        <v>8</v>
      </c>
      <c r="K186" t="n">
        <v>2</v>
      </c>
      <c r="L186" t="n">
        <v>0</v>
      </c>
      <c r="M186" t="n">
        <v>0</v>
      </c>
      <c r="N186" t="n">
        <v>0</v>
      </c>
      <c r="O186" t="n">
        <v>10</v>
      </c>
      <c r="P186" t="n">
        <v>2</v>
      </c>
      <c r="Q186" t="n">
        <v>10</v>
      </c>
      <c r="R186" s="2" t="inlineStr">
        <is>
          <t>Knärot
Ulltickeporing
Gammelgransskål
Garnlav
Järpe
Lunglav
Rosenticka
Tallticka
Tretåig hackspett
Ullticka</t>
        </is>
      </c>
      <c r="S186">
        <f>HYPERLINK("https://klasma.github.io/Logging_2283/artfynd/A 14787-2026 artfynd.xlsx", "A 14787-2026")</f>
        <v/>
      </c>
      <c r="T186">
        <f>HYPERLINK("https://klasma.github.io/Logging_2283/kartor/A 14787-2026 karta.png", "A 14787-2026")</f>
        <v/>
      </c>
      <c r="U186">
        <f>HYPERLINK("https://klasma.github.io/Logging_2283/knärot/A 14787-2026 karta knärot.png", "A 14787-2026")</f>
        <v/>
      </c>
      <c r="V186">
        <f>HYPERLINK("https://klasma.github.io/Logging_2283/klagomål/A 14787-2026 FSC-klagomål.docx", "A 14787-2026")</f>
        <v/>
      </c>
      <c r="W186">
        <f>HYPERLINK("https://klasma.github.io/Logging_2283/klagomålsmail/A 14787-2026 FSC-klagomål mail.docx", "A 14787-2026")</f>
        <v/>
      </c>
      <c r="X186">
        <f>HYPERLINK("https://klasma.github.io/Logging_2283/tillsyn/A 14787-2026 tillsynsbegäran.docx", "A 14787-2026")</f>
        <v/>
      </c>
      <c r="Y186">
        <f>HYPERLINK("https://klasma.github.io/Logging_2283/tillsynsmail/A 14787-2026 tillsynsbegäran mail.docx", "A 14787-2026")</f>
        <v/>
      </c>
      <c r="Z186">
        <f>HYPERLINK("https://klasma.github.io/Logging_2283/fåglar/A 14787-2026 prioriterade fågelarter.docx", "A 14787-2026")</f>
        <v/>
      </c>
    </row>
    <row r="187" ht="15" customHeight="1">
      <c r="A187" t="inlineStr">
        <is>
          <t>A 40871-2024</t>
        </is>
      </c>
      <c r="B187" s="1" t="n">
        <v>45558</v>
      </c>
      <c r="C187" s="1" t="n">
        <v>46185</v>
      </c>
      <c r="D187" t="inlineStr">
        <is>
          <t>VÄSTERNORRLANDS LÄN</t>
        </is>
      </c>
      <c r="E187" t="inlineStr">
        <is>
          <t>HÄRNÖSAND</t>
        </is>
      </c>
      <c r="F187" t="inlineStr">
        <is>
          <t>SCA</t>
        </is>
      </c>
      <c r="G187" t="n">
        <v>6</v>
      </c>
      <c r="H187" t="n">
        <v>3</v>
      </c>
      <c r="I187" t="n">
        <v>5</v>
      </c>
      <c r="J187" t="n">
        <v>3</v>
      </c>
      <c r="K187" t="n">
        <v>1</v>
      </c>
      <c r="L187" t="n">
        <v>0</v>
      </c>
      <c r="M187" t="n">
        <v>0</v>
      </c>
      <c r="N187" t="n">
        <v>0</v>
      </c>
      <c r="O187" t="n">
        <v>4</v>
      </c>
      <c r="P187" t="n">
        <v>1</v>
      </c>
      <c r="Q187" t="n">
        <v>10</v>
      </c>
      <c r="R187" s="2" t="inlineStr">
        <is>
          <t>Knärot
Lunglav
Rosenticka
Ullticka
Skinnlav
Slanklav
Stor aspticka
Tvåblad
Vedticka
Blåsippa</t>
        </is>
      </c>
      <c r="S187">
        <f>HYPERLINK("https://klasma.github.io/Logging_2280/artfynd/A 40871-2024 artfynd.xlsx", "A 40871-2024")</f>
        <v/>
      </c>
      <c r="T187">
        <f>HYPERLINK("https://klasma.github.io/Logging_2280/kartor/A 40871-2024 karta.png", "A 40871-2024")</f>
        <v/>
      </c>
      <c r="U187">
        <f>HYPERLINK("https://klasma.github.io/Logging_2280/knärot/A 40871-2024 karta knärot.png", "A 40871-2024")</f>
        <v/>
      </c>
      <c r="V187">
        <f>HYPERLINK("https://klasma.github.io/Logging_2280/klagomål/A 40871-2024 FSC-klagomål.docx", "A 40871-2024")</f>
        <v/>
      </c>
      <c r="W187">
        <f>HYPERLINK("https://klasma.github.io/Logging_2280/klagomålsmail/A 40871-2024 FSC-klagomål mail.docx", "A 40871-2024")</f>
        <v/>
      </c>
      <c r="X187">
        <f>HYPERLINK("https://klasma.github.io/Logging_2280/tillsyn/A 40871-2024 tillsynsbegäran.docx", "A 40871-2024")</f>
        <v/>
      </c>
      <c r="Y187">
        <f>HYPERLINK("https://klasma.github.io/Logging_2280/tillsynsmail/A 40871-2024 tillsynsbegäran mail.docx", "A 40871-2024")</f>
        <v/>
      </c>
    </row>
    <row r="188" ht="15" customHeight="1">
      <c r="A188" t="inlineStr">
        <is>
          <t>A 45572-2025</t>
        </is>
      </c>
      <c r="B188" s="1" t="n">
        <v>45922</v>
      </c>
      <c r="C188" s="1" t="n">
        <v>46185</v>
      </c>
      <c r="D188" t="inlineStr">
        <is>
          <t>VÄSTERNORRLANDS LÄN</t>
        </is>
      </c>
      <c r="E188" t="inlineStr">
        <is>
          <t>SUNDSVALL</t>
        </is>
      </c>
      <c r="F188" t="inlineStr">
        <is>
          <t>SCA</t>
        </is>
      </c>
      <c r="G188" t="n">
        <v>4.1</v>
      </c>
      <c r="H188" t="n">
        <v>5</v>
      </c>
      <c r="I188" t="n">
        <v>3</v>
      </c>
      <c r="J188" t="n">
        <v>5</v>
      </c>
      <c r="K188" t="n">
        <v>0</v>
      </c>
      <c r="L188" t="n">
        <v>0</v>
      </c>
      <c r="M188" t="n">
        <v>0</v>
      </c>
      <c r="N188" t="n">
        <v>0</v>
      </c>
      <c r="O188" t="n">
        <v>5</v>
      </c>
      <c r="P188" t="n">
        <v>0</v>
      </c>
      <c r="Q188" t="n">
        <v>10</v>
      </c>
      <c r="R188" s="2" t="inlineStr">
        <is>
          <t>Lunglav
Spillkråka
Talltita
Tretåig hackspett
Ullticka
Bårdlav
Stuplav
Vedticka
Tjäder
Revlummer</t>
        </is>
      </c>
      <c r="S188">
        <f>HYPERLINK("https://klasma.github.io/Logging_2281/artfynd/A 45572-2025 artfynd.xlsx", "A 45572-2025")</f>
        <v/>
      </c>
      <c r="T188">
        <f>HYPERLINK("https://klasma.github.io/Logging_2281/kartor/A 45572-2025 karta.png", "A 45572-2025")</f>
        <v/>
      </c>
      <c r="V188">
        <f>HYPERLINK("https://klasma.github.io/Logging_2281/klagomål/A 45572-2025 FSC-klagomål.docx", "A 45572-2025")</f>
        <v/>
      </c>
      <c r="W188">
        <f>HYPERLINK("https://klasma.github.io/Logging_2281/klagomålsmail/A 45572-2025 FSC-klagomål mail.docx", "A 45572-2025")</f>
        <v/>
      </c>
      <c r="X188">
        <f>HYPERLINK("https://klasma.github.io/Logging_2281/tillsyn/A 45572-2025 tillsynsbegäran.docx", "A 45572-2025")</f>
        <v/>
      </c>
      <c r="Y188">
        <f>HYPERLINK("https://klasma.github.io/Logging_2281/tillsynsmail/A 45572-2025 tillsynsbegäran mail.docx", "A 45572-2025")</f>
        <v/>
      </c>
      <c r="Z188">
        <f>HYPERLINK("https://klasma.github.io/Logging_2281/fåglar/A 45572-2025 prioriterade fågelarter.docx", "A 45572-2025")</f>
        <v/>
      </c>
    </row>
    <row r="189" ht="15" customHeight="1">
      <c r="A189" t="inlineStr">
        <is>
          <t>A 418-2026</t>
        </is>
      </c>
      <c r="B189" s="1" t="n">
        <v>46028</v>
      </c>
      <c r="C189" s="1" t="n">
        <v>46185</v>
      </c>
      <c r="D189" t="inlineStr">
        <is>
          <t>VÄSTERNORRLANDS LÄN</t>
        </is>
      </c>
      <c r="E189" t="inlineStr">
        <is>
          <t>SUNDSVALL</t>
        </is>
      </c>
      <c r="G189" t="n">
        <v>3.9</v>
      </c>
      <c r="H189" t="n">
        <v>2</v>
      </c>
      <c r="I189" t="n">
        <v>1</v>
      </c>
      <c r="J189" t="n">
        <v>7</v>
      </c>
      <c r="K189" t="n">
        <v>1</v>
      </c>
      <c r="L189" t="n">
        <v>1</v>
      </c>
      <c r="M189" t="n">
        <v>0</v>
      </c>
      <c r="N189" t="n">
        <v>0</v>
      </c>
      <c r="O189" t="n">
        <v>9</v>
      </c>
      <c r="P189" t="n">
        <v>2</v>
      </c>
      <c r="Q189" t="n">
        <v>10</v>
      </c>
      <c r="R189" s="2" t="inlineStr">
        <is>
          <t>Trådbrosklav
Knärot
Garnlav
Gultoppig fingersvamp
Kötticka
Orange taggsvamp
Tretåig hackspett
Ullticka
Violettgrå tagellav
Skinnlav</t>
        </is>
      </c>
      <c r="S189">
        <f>HYPERLINK("https://klasma.github.io/Logging_2281/artfynd/A 418-2026 artfynd.xlsx", "A 418-2026")</f>
        <v/>
      </c>
      <c r="T189">
        <f>HYPERLINK("https://klasma.github.io/Logging_2281/kartor/A 418-2026 karta.png", "A 418-2026")</f>
        <v/>
      </c>
      <c r="U189">
        <f>HYPERLINK("https://klasma.github.io/Logging_2281/knärot/A 418-2026 karta knärot.png", "A 418-2026")</f>
        <v/>
      </c>
      <c r="V189">
        <f>HYPERLINK("https://klasma.github.io/Logging_2281/klagomål/A 418-2026 FSC-klagomål.docx", "A 418-2026")</f>
        <v/>
      </c>
      <c r="W189">
        <f>HYPERLINK("https://klasma.github.io/Logging_2281/klagomålsmail/A 418-2026 FSC-klagomål mail.docx", "A 418-2026")</f>
        <v/>
      </c>
      <c r="X189">
        <f>HYPERLINK("https://klasma.github.io/Logging_2281/tillsyn/A 418-2026 tillsynsbegäran.docx", "A 418-2026")</f>
        <v/>
      </c>
      <c r="Y189">
        <f>HYPERLINK("https://klasma.github.io/Logging_2281/tillsynsmail/A 418-2026 tillsynsbegäran mail.docx", "A 418-2026")</f>
        <v/>
      </c>
      <c r="Z189">
        <f>HYPERLINK("https://klasma.github.io/Logging_2281/fåglar/A 418-2026 prioriterade fågelarter.docx", "A 418-2026")</f>
        <v/>
      </c>
    </row>
    <row r="190" ht="15" customHeight="1">
      <c r="A190" t="inlineStr">
        <is>
          <t>A 25171-2026</t>
        </is>
      </c>
      <c r="B190" s="1" t="n">
        <v>46175.51101851852</v>
      </c>
      <c r="C190" s="1" t="n">
        <v>46185</v>
      </c>
      <c r="D190" t="inlineStr">
        <is>
          <t>VÄSTERNORRLANDS LÄN</t>
        </is>
      </c>
      <c r="E190" t="inlineStr">
        <is>
          <t>SUNDSVALL</t>
        </is>
      </c>
      <c r="F190" t="inlineStr">
        <is>
          <t>SCA</t>
        </is>
      </c>
      <c r="G190" t="n">
        <v>5.9</v>
      </c>
      <c r="H190" t="n">
        <v>1</v>
      </c>
      <c r="I190" t="n">
        <v>4</v>
      </c>
      <c r="J190" t="n">
        <v>4</v>
      </c>
      <c r="K190" t="n">
        <v>2</v>
      </c>
      <c r="L190" t="n">
        <v>0</v>
      </c>
      <c r="M190" t="n">
        <v>0</v>
      </c>
      <c r="N190" t="n">
        <v>0</v>
      </c>
      <c r="O190" t="n">
        <v>6</v>
      </c>
      <c r="P190" t="n">
        <v>2</v>
      </c>
      <c r="Q190" t="n">
        <v>10</v>
      </c>
      <c r="R190" s="2" t="inlineStr">
        <is>
          <t>Aspfjädermossa
Knärot
Garnlav
Lunglav
Skrovellav
Ullticka
Barkkornlav
Gulnål
Skinnlav
Vedticka</t>
        </is>
      </c>
      <c r="S190">
        <f>HYPERLINK("https://klasma.github.io/Logging_2281/artfynd/A 25171-2026 artfynd.xlsx", "A 25171-2026")</f>
        <v/>
      </c>
      <c r="T190">
        <f>HYPERLINK("https://klasma.github.io/Logging_2281/kartor/A 25171-2026 karta.png", "A 25171-2026")</f>
        <v/>
      </c>
      <c r="U190">
        <f>HYPERLINK("https://klasma.github.io/Logging_2281/knärot/A 25171-2026 karta knärot.png", "A 25171-2026")</f>
        <v/>
      </c>
      <c r="V190">
        <f>HYPERLINK("https://klasma.github.io/Logging_2281/klagomål/A 25171-2026 FSC-klagomål.docx", "A 25171-2026")</f>
        <v/>
      </c>
      <c r="W190">
        <f>HYPERLINK("https://klasma.github.io/Logging_2281/klagomålsmail/A 25171-2026 FSC-klagomål mail.docx", "A 25171-2026")</f>
        <v/>
      </c>
      <c r="X190">
        <f>HYPERLINK("https://klasma.github.io/Logging_2281/tillsyn/A 25171-2026 tillsynsbegäran.docx", "A 25171-2026")</f>
        <v/>
      </c>
      <c r="Y190">
        <f>HYPERLINK("https://klasma.github.io/Logging_2281/tillsynsmail/A 25171-2026 tillsynsbegäran mail.docx", "A 25171-2026")</f>
        <v/>
      </c>
    </row>
    <row r="191" ht="15" customHeight="1">
      <c r="A191" t="inlineStr">
        <is>
          <t>A 30474-2025</t>
        </is>
      </c>
      <c r="B191" s="1" t="n">
        <v>45828.34430555555</v>
      </c>
      <c r="C191" s="1" t="n">
        <v>46185</v>
      </c>
      <c r="D191" t="inlineStr">
        <is>
          <t>VÄSTERNORRLANDS LÄN</t>
        </is>
      </c>
      <c r="E191" t="inlineStr">
        <is>
          <t>ÅNGE</t>
        </is>
      </c>
      <c r="F191" t="inlineStr">
        <is>
          <t>SCA</t>
        </is>
      </c>
      <c r="G191" t="n">
        <v>15.2</v>
      </c>
      <c r="H191" t="n">
        <v>1</v>
      </c>
      <c r="I191" t="n">
        <v>3</v>
      </c>
      <c r="J191" t="n">
        <v>5</v>
      </c>
      <c r="K191" t="n">
        <v>1</v>
      </c>
      <c r="L191" t="n">
        <v>0</v>
      </c>
      <c r="M191" t="n">
        <v>0</v>
      </c>
      <c r="N191" t="n">
        <v>0</v>
      </c>
      <c r="O191" t="n">
        <v>6</v>
      </c>
      <c r="P191" t="n">
        <v>1</v>
      </c>
      <c r="Q191" t="n">
        <v>10</v>
      </c>
      <c r="R191" s="2" t="inlineStr">
        <is>
          <t>Liten aspgelélav
Gammelgransskål
Garnlav
Lunglav
Skrovellav
Violettgrå tagellav
Bårdlav
Korallblylav
Stuplav
Revlummer</t>
        </is>
      </c>
      <c r="S191">
        <f>HYPERLINK("https://klasma.github.io/Logging_2260/artfynd/A 30474-2025 artfynd.xlsx", "A 30474-2025")</f>
        <v/>
      </c>
      <c r="T191">
        <f>HYPERLINK("https://klasma.github.io/Logging_2260/kartor/A 30474-2025 karta.png", "A 30474-2025")</f>
        <v/>
      </c>
      <c r="V191">
        <f>HYPERLINK("https://klasma.github.io/Logging_2260/klagomål/A 30474-2025 FSC-klagomål.docx", "A 30474-2025")</f>
        <v/>
      </c>
      <c r="W191">
        <f>HYPERLINK("https://klasma.github.io/Logging_2260/klagomålsmail/A 30474-2025 FSC-klagomål mail.docx", "A 30474-2025")</f>
        <v/>
      </c>
      <c r="X191">
        <f>HYPERLINK("https://klasma.github.io/Logging_2260/tillsyn/A 30474-2025 tillsynsbegäran.docx", "A 30474-2025")</f>
        <v/>
      </c>
      <c r="Y191">
        <f>HYPERLINK("https://klasma.github.io/Logging_2260/tillsynsmail/A 30474-2025 tillsynsbegäran mail.docx", "A 30474-2025")</f>
        <v/>
      </c>
    </row>
    <row r="192" ht="15" customHeight="1">
      <c r="A192" t="inlineStr">
        <is>
          <t>A 16147-2022</t>
        </is>
      </c>
      <c r="B192" s="1" t="n">
        <v>44665</v>
      </c>
      <c r="C192" s="1" t="n">
        <v>46185</v>
      </c>
      <c r="D192" t="inlineStr">
        <is>
          <t>VÄSTERNORRLANDS LÄN</t>
        </is>
      </c>
      <c r="E192" t="inlineStr">
        <is>
          <t>SUNDSVALL</t>
        </is>
      </c>
      <c r="F192" t="inlineStr">
        <is>
          <t>SCA</t>
        </is>
      </c>
      <c r="G192" t="n">
        <v>8.800000000000001</v>
      </c>
      <c r="H192" t="n">
        <v>5</v>
      </c>
      <c r="I192" t="n">
        <v>1</v>
      </c>
      <c r="J192" t="n">
        <v>7</v>
      </c>
      <c r="K192" t="n">
        <v>1</v>
      </c>
      <c r="L192" t="n">
        <v>0</v>
      </c>
      <c r="M192" t="n">
        <v>0</v>
      </c>
      <c r="N192" t="n">
        <v>0</v>
      </c>
      <c r="O192" t="n">
        <v>8</v>
      </c>
      <c r="P192" t="n">
        <v>1</v>
      </c>
      <c r="Q192" t="n">
        <v>10</v>
      </c>
      <c r="R192" s="2" t="inlineStr">
        <is>
          <t>Knärot
Gammelgransskål
Garnlav
Järpe
Rosenticka
Talltita
Tretåig hackspett
Ullticka
Dropptaggsvamp
Revlummer</t>
        </is>
      </c>
      <c r="S192">
        <f>HYPERLINK("https://klasma.github.io/Logging_2281/artfynd/A 16147-2022 artfynd.xlsx", "A 16147-2022")</f>
        <v/>
      </c>
      <c r="T192">
        <f>HYPERLINK("https://klasma.github.io/Logging_2281/kartor/A 16147-2022 karta.png", "A 16147-2022")</f>
        <v/>
      </c>
      <c r="U192">
        <f>HYPERLINK("https://klasma.github.io/Logging_2281/knärot/A 16147-2022 karta knärot.png", "A 16147-2022")</f>
        <v/>
      </c>
      <c r="V192">
        <f>HYPERLINK("https://klasma.github.io/Logging_2281/klagomål/A 16147-2022 FSC-klagomål.docx", "A 16147-2022")</f>
        <v/>
      </c>
      <c r="W192">
        <f>HYPERLINK("https://klasma.github.io/Logging_2281/klagomålsmail/A 16147-2022 FSC-klagomål mail.docx", "A 16147-2022")</f>
        <v/>
      </c>
      <c r="X192">
        <f>HYPERLINK("https://klasma.github.io/Logging_2281/tillsyn/A 16147-2022 tillsynsbegäran.docx", "A 16147-2022")</f>
        <v/>
      </c>
      <c r="Y192">
        <f>HYPERLINK("https://klasma.github.io/Logging_2281/tillsynsmail/A 16147-2022 tillsynsbegäran mail.docx", "A 16147-2022")</f>
        <v/>
      </c>
      <c r="Z192">
        <f>HYPERLINK("https://klasma.github.io/Logging_2281/fåglar/A 16147-2022 prioriterade fågelarter.docx", "A 16147-2022")</f>
        <v/>
      </c>
    </row>
    <row r="193" ht="15" customHeight="1">
      <c r="A193" t="inlineStr">
        <is>
          <t>A 45976-2024</t>
        </is>
      </c>
      <c r="B193" s="1" t="n">
        <v>45580</v>
      </c>
      <c r="C193" s="1" t="n">
        <v>46185</v>
      </c>
      <c r="D193" t="inlineStr">
        <is>
          <t>VÄSTERNORRLANDS LÄN</t>
        </is>
      </c>
      <c r="E193" t="inlineStr">
        <is>
          <t>SUNDSVALL</t>
        </is>
      </c>
      <c r="F193" t="inlineStr">
        <is>
          <t>SCA</t>
        </is>
      </c>
      <c r="G193" t="n">
        <v>3</v>
      </c>
      <c r="H193" t="n">
        <v>6</v>
      </c>
      <c r="I193" t="n">
        <v>2</v>
      </c>
      <c r="J193" t="n">
        <v>5</v>
      </c>
      <c r="K193" t="n">
        <v>1</v>
      </c>
      <c r="L193" t="n">
        <v>0</v>
      </c>
      <c r="M193" t="n">
        <v>0</v>
      </c>
      <c r="N193" t="n">
        <v>0</v>
      </c>
      <c r="O193" t="n">
        <v>6</v>
      </c>
      <c r="P193" t="n">
        <v>1</v>
      </c>
      <c r="Q193" t="n">
        <v>10</v>
      </c>
      <c r="R193" s="2" t="inlineStr">
        <is>
          <t>Knärot
Lunglav
Spillkråka
Talltita
Tretåig hackspett
Ullticka
Grönpyrola
Jättesvampmal
Tjäder
Revlummer</t>
        </is>
      </c>
      <c r="S193">
        <f>HYPERLINK("https://klasma.github.io/Logging_2281/artfynd/A 45976-2024 artfynd.xlsx", "A 45976-2024")</f>
        <v/>
      </c>
      <c r="T193">
        <f>HYPERLINK("https://klasma.github.io/Logging_2281/kartor/A 45976-2024 karta.png", "A 45976-2024")</f>
        <v/>
      </c>
      <c r="U193">
        <f>HYPERLINK("https://klasma.github.io/Logging_2281/knärot/A 45976-2024 karta knärot.png", "A 45976-2024")</f>
        <v/>
      </c>
      <c r="V193">
        <f>HYPERLINK("https://klasma.github.io/Logging_2281/klagomål/A 45976-2024 FSC-klagomål.docx", "A 45976-2024")</f>
        <v/>
      </c>
      <c r="W193">
        <f>HYPERLINK("https://klasma.github.io/Logging_2281/klagomålsmail/A 45976-2024 FSC-klagomål mail.docx", "A 45976-2024")</f>
        <v/>
      </c>
      <c r="X193">
        <f>HYPERLINK("https://klasma.github.io/Logging_2281/tillsyn/A 45976-2024 tillsynsbegäran.docx", "A 45976-2024")</f>
        <v/>
      </c>
      <c r="Y193">
        <f>HYPERLINK("https://klasma.github.io/Logging_2281/tillsynsmail/A 45976-2024 tillsynsbegäran mail.docx", "A 45976-2024")</f>
        <v/>
      </c>
      <c r="Z193">
        <f>HYPERLINK("https://klasma.github.io/Logging_2281/fåglar/A 45976-2024 prioriterade fågelarter.docx", "A 45976-2024")</f>
        <v/>
      </c>
    </row>
    <row r="194" ht="15" customHeight="1">
      <c r="A194" t="inlineStr">
        <is>
          <t>A 18009-2022</t>
        </is>
      </c>
      <c r="B194" s="1" t="n">
        <v>44683</v>
      </c>
      <c r="C194" s="1" t="n">
        <v>46185</v>
      </c>
      <c r="D194" t="inlineStr">
        <is>
          <t>VÄSTERNORRLANDS LÄN</t>
        </is>
      </c>
      <c r="E194" t="inlineStr">
        <is>
          <t>SOLLEFTEÅ</t>
        </is>
      </c>
      <c r="F194" t="inlineStr">
        <is>
          <t>SCA</t>
        </is>
      </c>
      <c r="G194" t="n">
        <v>3.6</v>
      </c>
      <c r="H194" t="n">
        <v>5</v>
      </c>
      <c r="I194" t="n">
        <v>1</v>
      </c>
      <c r="J194" t="n">
        <v>8</v>
      </c>
      <c r="K194" t="n">
        <v>1</v>
      </c>
      <c r="L194" t="n">
        <v>0</v>
      </c>
      <c r="M194" t="n">
        <v>0</v>
      </c>
      <c r="N194" t="n">
        <v>0</v>
      </c>
      <c r="O194" t="n">
        <v>9</v>
      </c>
      <c r="P194" t="n">
        <v>1</v>
      </c>
      <c r="Q194" t="n">
        <v>10</v>
      </c>
      <c r="R194" s="2" t="inlineStr">
        <is>
          <t>Knärot
Garnlav
Granticka
Järpe
Skogshare
Spillkråka
Talltita
Tretåig hackspett
Ullticka
Bollvitmossa</t>
        </is>
      </c>
      <c r="S194">
        <f>HYPERLINK("https://klasma.github.io/Logging_2283/artfynd/A 18009-2022 artfynd.xlsx", "A 18009-2022")</f>
        <v/>
      </c>
      <c r="T194">
        <f>HYPERLINK("https://klasma.github.io/Logging_2283/kartor/A 18009-2022 karta.png", "A 18009-2022")</f>
        <v/>
      </c>
      <c r="U194">
        <f>HYPERLINK("https://klasma.github.io/Logging_2283/knärot/A 18009-2022 karta knärot.png", "A 18009-2022")</f>
        <v/>
      </c>
      <c r="V194">
        <f>HYPERLINK("https://klasma.github.io/Logging_2283/klagomål/A 18009-2022 FSC-klagomål.docx", "A 18009-2022")</f>
        <v/>
      </c>
      <c r="W194">
        <f>HYPERLINK("https://klasma.github.io/Logging_2283/klagomålsmail/A 18009-2022 FSC-klagomål mail.docx", "A 18009-2022")</f>
        <v/>
      </c>
      <c r="X194">
        <f>HYPERLINK("https://klasma.github.io/Logging_2283/tillsyn/A 18009-2022 tillsynsbegäran.docx", "A 18009-2022")</f>
        <v/>
      </c>
      <c r="Y194">
        <f>HYPERLINK("https://klasma.github.io/Logging_2283/tillsynsmail/A 18009-2022 tillsynsbegäran mail.docx", "A 18009-2022")</f>
        <v/>
      </c>
      <c r="Z194">
        <f>HYPERLINK("https://klasma.github.io/Logging_2283/fåglar/A 18009-2022 prioriterade fågelarter.docx", "A 18009-2022")</f>
        <v/>
      </c>
    </row>
    <row r="195" ht="15" customHeight="1">
      <c r="A195" t="inlineStr">
        <is>
          <t>A 18084-2026</t>
        </is>
      </c>
      <c r="B195" s="1" t="n">
        <v>46125</v>
      </c>
      <c r="C195" s="1" t="n">
        <v>46185</v>
      </c>
      <c r="D195" t="inlineStr">
        <is>
          <t>VÄSTERNORRLANDS LÄN</t>
        </is>
      </c>
      <c r="E195" t="inlineStr">
        <is>
          <t>SOLLEFTEÅ</t>
        </is>
      </c>
      <c r="G195" t="n">
        <v>29.2</v>
      </c>
      <c r="H195" t="n">
        <v>1</v>
      </c>
      <c r="I195" t="n">
        <v>2</v>
      </c>
      <c r="J195" t="n">
        <v>5</v>
      </c>
      <c r="K195" t="n">
        <v>3</v>
      </c>
      <c r="L195" t="n">
        <v>0</v>
      </c>
      <c r="M195" t="n">
        <v>0</v>
      </c>
      <c r="N195" t="n">
        <v>0</v>
      </c>
      <c r="O195" t="n">
        <v>8</v>
      </c>
      <c r="P195" t="n">
        <v>3</v>
      </c>
      <c r="Q195" t="n">
        <v>10</v>
      </c>
      <c r="R195" s="2" t="inlineStr">
        <is>
          <t>Knärot
Liten hornflikmossa
Rynkskinn
Granticka
Lunglav
Rosenticka
Ullticka
Vedtrappmossa
Bårdlav
Skinnlav</t>
        </is>
      </c>
      <c r="S195">
        <f>HYPERLINK("https://klasma.github.io/Logging_2283/artfynd/A 18084-2026 artfynd.xlsx", "A 18084-2026")</f>
        <v/>
      </c>
      <c r="T195">
        <f>HYPERLINK("https://klasma.github.io/Logging_2283/kartor/A 18084-2026 karta.png", "A 18084-2026")</f>
        <v/>
      </c>
      <c r="U195">
        <f>HYPERLINK("https://klasma.github.io/Logging_2283/knärot/A 18084-2026 karta knärot.png", "A 18084-2026")</f>
        <v/>
      </c>
      <c r="V195">
        <f>HYPERLINK("https://klasma.github.io/Logging_2283/klagomål/A 18084-2026 FSC-klagomål.docx", "A 18084-2026")</f>
        <v/>
      </c>
      <c r="W195">
        <f>HYPERLINK("https://klasma.github.io/Logging_2283/klagomålsmail/A 18084-2026 FSC-klagomål mail.docx", "A 18084-2026")</f>
        <v/>
      </c>
      <c r="X195">
        <f>HYPERLINK("https://klasma.github.io/Logging_2283/tillsyn/A 18084-2026 tillsynsbegäran.docx", "A 18084-2026")</f>
        <v/>
      </c>
      <c r="Y195">
        <f>HYPERLINK("https://klasma.github.io/Logging_2283/tillsynsmail/A 18084-2026 tillsynsbegäran mail.docx", "A 18084-2026")</f>
        <v/>
      </c>
    </row>
    <row r="196" ht="15" customHeight="1">
      <c r="A196" t="inlineStr">
        <is>
          <t>A 48961-2024</t>
        </is>
      </c>
      <c r="B196" s="1" t="n">
        <v>45594</v>
      </c>
      <c r="C196" s="1" t="n">
        <v>46185</v>
      </c>
      <c r="D196" t="inlineStr">
        <is>
          <t>VÄSTERNORRLANDS LÄN</t>
        </is>
      </c>
      <c r="E196" t="inlineStr">
        <is>
          <t>SUNDSVALL</t>
        </is>
      </c>
      <c r="F196" t="inlineStr">
        <is>
          <t>SCA</t>
        </is>
      </c>
      <c r="G196" t="n">
        <v>4.5</v>
      </c>
      <c r="H196" t="n">
        <v>7</v>
      </c>
      <c r="I196" t="n">
        <v>0</v>
      </c>
      <c r="J196" t="n">
        <v>7</v>
      </c>
      <c r="K196" t="n">
        <v>1</v>
      </c>
      <c r="L196" t="n">
        <v>0</v>
      </c>
      <c r="M196" t="n">
        <v>0</v>
      </c>
      <c r="N196" t="n">
        <v>0</v>
      </c>
      <c r="O196" t="n">
        <v>8</v>
      </c>
      <c r="P196" t="n">
        <v>1</v>
      </c>
      <c r="Q196" t="n">
        <v>10</v>
      </c>
      <c r="R196" s="2" t="inlineStr">
        <is>
          <t>Knärot
Garnlav
Järpe
Lunglav
Spillkråka
Svartvit flugsnappare
Tretåig hackspett
Ullticka
Tjäder
Revlummer</t>
        </is>
      </c>
      <c r="S196">
        <f>HYPERLINK("https://klasma.github.io/Logging_2281/artfynd/A 48961-2024 artfynd.xlsx", "A 48961-2024")</f>
        <v/>
      </c>
      <c r="T196">
        <f>HYPERLINK("https://klasma.github.io/Logging_2281/kartor/A 48961-2024 karta.png", "A 48961-2024")</f>
        <v/>
      </c>
      <c r="U196">
        <f>HYPERLINK("https://klasma.github.io/Logging_2281/knärot/A 48961-2024 karta knärot.png", "A 48961-2024")</f>
        <v/>
      </c>
      <c r="V196">
        <f>HYPERLINK("https://klasma.github.io/Logging_2281/klagomål/A 48961-2024 FSC-klagomål.docx", "A 48961-2024")</f>
        <v/>
      </c>
      <c r="W196">
        <f>HYPERLINK("https://klasma.github.io/Logging_2281/klagomålsmail/A 48961-2024 FSC-klagomål mail.docx", "A 48961-2024")</f>
        <v/>
      </c>
      <c r="X196">
        <f>HYPERLINK("https://klasma.github.io/Logging_2281/tillsyn/A 48961-2024 tillsynsbegäran.docx", "A 48961-2024")</f>
        <v/>
      </c>
      <c r="Y196">
        <f>HYPERLINK("https://klasma.github.io/Logging_2281/tillsynsmail/A 48961-2024 tillsynsbegäran mail.docx", "A 48961-2024")</f>
        <v/>
      </c>
      <c r="Z196">
        <f>HYPERLINK("https://klasma.github.io/Logging_2281/fåglar/A 48961-2024 prioriterade fågelarter.docx", "A 48961-2024")</f>
        <v/>
      </c>
    </row>
    <row r="197" ht="15" customHeight="1">
      <c r="A197" t="inlineStr">
        <is>
          <t>A 19825-2023</t>
        </is>
      </c>
      <c r="B197" s="1" t="n">
        <v>45051</v>
      </c>
      <c r="C197" s="1" t="n">
        <v>46185</v>
      </c>
      <c r="D197" t="inlineStr">
        <is>
          <t>VÄSTERNORRLANDS LÄN</t>
        </is>
      </c>
      <c r="E197" t="inlineStr">
        <is>
          <t>SOLLEFTEÅ</t>
        </is>
      </c>
      <c r="F197" t="inlineStr">
        <is>
          <t>SCA</t>
        </is>
      </c>
      <c r="G197" t="n">
        <v>18</v>
      </c>
      <c r="H197" t="n">
        <v>0</v>
      </c>
      <c r="I197" t="n">
        <v>1</v>
      </c>
      <c r="J197" t="n">
        <v>8</v>
      </c>
      <c r="K197" t="n">
        <v>1</v>
      </c>
      <c r="L197" t="n">
        <v>0</v>
      </c>
      <c r="M197" t="n">
        <v>0</v>
      </c>
      <c r="N197" t="n">
        <v>0</v>
      </c>
      <c r="O197" t="n">
        <v>9</v>
      </c>
      <c r="P197" t="n">
        <v>1</v>
      </c>
      <c r="Q197" t="n">
        <v>10</v>
      </c>
      <c r="R197" s="2" t="inlineStr">
        <is>
          <t>Gräddticka
Doftskinn
Gammelgransskål
Garnlav
Granticka
Gränsticka
Lunglav
Ullticka
Vitgrynig nållav
Vedticka</t>
        </is>
      </c>
      <c r="S197">
        <f>HYPERLINK("https://klasma.github.io/Logging_2283/artfynd/A 19825-2023 artfynd.xlsx", "A 19825-2023")</f>
        <v/>
      </c>
      <c r="T197">
        <f>HYPERLINK("https://klasma.github.io/Logging_2283/kartor/A 19825-2023 karta.png", "A 19825-2023")</f>
        <v/>
      </c>
      <c r="V197">
        <f>HYPERLINK("https://klasma.github.io/Logging_2283/klagomål/A 19825-2023 FSC-klagomål.docx", "A 19825-2023")</f>
        <v/>
      </c>
      <c r="W197">
        <f>HYPERLINK("https://klasma.github.io/Logging_2283/klagomålsmail/A 19825-2023 FSC-klagomål mail.docx", "A 19825-2023")</f>
        <v/>
      </c>
      <c r="X197">
        <f>HYPERLINK("https://klasma.github.io/Logging_2283/tillsyn/A 19825-2023 tillsynsbegäran.docx", "A 19825-2023")</f>
        <v/>
      </c>
      <c r="Y197">
        <f>HYPERLINK("https://klasma.github.io/Logging_2283/tillsynsmail/A 19825-2023 tillsynsbegäran mail.docx", "A 19825-2023")</f>
        <v/>
      </c>
    </row>
    <row r="198" ht="15" customHeight="1">
      <c r="A198" t="inlineStr">
        <is>
          <t>A 34711-2023</t>
        </is>
      </c>
      <c r="B198" s="1" t="n">
        <v>45139</v>
      </c>
      <c r="C198" s="1" t="n">
        <v>46185</v>
      </c>
      <c r="D198" t="inlineStr">
        <is>
          <t>VÄSTERNORRLANDS LÄN</t>
        </is>
      </c>
      <c r="E198" t="inlineStr">
        <is>
          <t>HÄRNÖSAND</t>
        </is>
      </c>
      <c r="G198" t="n">
        <v>11.6</v>
      </c>
      <c r="H198" t="n">
        <v>0</v>
      </c>
      <c r="I198" t="n">
        <v>4</v>
      </c>
      <c r="J198" t="n">
        <v>4</v>
      </c>
      <c r="K198" t="n">
        <v>2</v>
      </c>
      <c r="L198" t="n">
        <v>0</v>
      </c>
      <c r="M198" t="n">
        <v>0</v>
      </c>
      <c r="N198" t="n">
        <v>0</v>
      </c>
      <c r="O198" t="n">
        <v>6</v>
      </c>
      <c r="P198" t="n">
        <v>2</v>
      </c>
      <c r="Q198" t="n">
        <v>10</v>
      </c>
      <c r="R198" s="2" t="inlineStr">
        <is>
          <t>Aspfjädermossa
Aspgelélav
Doftskinn
Granticka
Kolflarnlav
Ullticka
Korallblylav
Skinnlav
Stuplav
Vedticka</t>
        </is>
      </c>
      <c r="S198">
        <f>HYPERLINK("https://klasma.github.io/Logging_2280/artfynd/A 34711-2023 artfynd.xlsx", "A 34711-2023")</f>
        <v/>
      </c>
      <c r="T198">
        <f>HYPERLINK("https://klasma.github.io/Logging_2280/kartor/A 34711-2023 karta.png", "A 34711-2023")</f>
        <v/>
      </c>
      <c r="V198">
        <f>HYPERLINK("https://klasma.github.io/Logging_2280/klagomål/A 34711-2023 FSC-klagomål.docx", "A 34711-2023")</f>
        <v/>
      </c>
      <c r="W198">
        <f>HYPERLINK("https://klasma.github.io/Logging_2280/klagomålsmail/A 34711-2023 FSC-klagomål mail.docx", "A 34711-2023")</f>
        <v/>
      </c>
      <c r="X198">
        <f>HYPERLINK("https://klasma.github.io/Logging_2280/tillsyn/A 34711-2023 tillsynsbegäran.docx", "A 34711-2023")</f>
        <v/>
      </c>
      <c r="Y198">
        <f>HYPERLINK("https://klasma.github.io/Logging_2280/tillsynsmail/A 34711-2023 tillsynsbegäran mail.docx", "A 34711-2023")</f>
        <v/>
      </c>
    </row>
    <row r="199" ht="15" customHeight="1">
      <c r="A199" t="inlineStr">
        <is>
          <t>A 16398-2023</t>
        </is>
      </c>
      <c r="B199" s="1" t="n">
        <v>45022</v>
      </c>
      <c r="C199" s="1" t="n">
        <v>46185</v>
      </c>
      <c r="D199" t="inlineStr">
        <is>
          <t>VÄSTERNORRLANDS LÄN</t>
        </is>
      </c>
      <c r="E199" t="inlineStr">
        <is>
          <t>SUNDSVALL</t>
        </is>
      </c>
      <c r="G199" t="n">
        <v>10</v>
      </c>
      <c r="H199" t="n">
        <v>1</v>
      </c>
      <c r="I199" t="n">
        <v>4</v>
      </c>
      <c r="J199" t="n">
        <v>5</v>
      </c>
      <c r="K199" t="n">
        <v>1</v>
      </c>
      <c r="L199" t="n">
        <v>0</v>
      </c>
      <c r="M199" t="n">
        <v>0</v>
      </c>
      <c r="N199" t="n">
        <v>0</v>
      </c>
      <c r="O199" t="n">
        <v>6</v>
      </c>
      <c r="P199" t="n">
        <v>1</v>
      </c>
      <c r="Q199" t="n">
        <v>10</v>
      </c>
      <c r="R199" s="2" t="inlineStr">
        <is>
          <t>Knärot
Garnlav
Ullticka
Vedflamlav
Vedskivlav
Violettgrå tagellav
Björksplintborre
Bronshjon
Grönpyrola
Vågbandad barkbock</t>
        </is>
      </c>
      <c r="S199">
        <f>HYPERLINK("https://klasma.github.io/Logging_2281/artfynd/A 16398-2023 artfynd.xlsx", "A 16398-2023")</f>
        <v/>
      </c>
      <c r="T199">
        <f>HYPERLINK("https://klasma.github.io/Logging_2281/kartor/A 16398-2023 karta.png", "A 16398-2023")</f>
        <v/>
      </c>
      <c r="U199">
        <f>HYPERLINK("https://klasma.github.io/Logging_2281/knärot/A 16398-2023 karta knärot.png", "A 16398-2023")</f>
        <v/>
      </c>
      <c r="V199">
        <f>HYPERLINK("https://klasma.github.io/Logging_2281/klagomål/A 16398-2023 FSC-klagomål.docx", "A 16398-2023")</f>
        <v/>
      </c>
      <c r="W199">
        <f>HYPERLINK("https://klasma.github.io/Logging_2281/klagomålsmail/A 16398-2023 FSC-klagomål mail.docx", "A 16398-2023")</f>
        <v/>
      </c>
      <c r="X199">
        <f>HYPERLINK("https://klasma.github.io/Logging_2281/tillsyn/A 16398-2023 tillsynsbegäran.docx", "A 16398-2023")</f>
        <v/>
      </c>
      <c r="Y199">
        <f>HYPERLINK("https://klasma.github.io/Logging_2281/tillsynsmail/A 16398-2023 tillsynsbegäran mail.docx", "A 16398-2023")</f>
        <v/>
      </c>
    </row>
    <row r="200" ht="15" customHeight="1">
      <c r="A200" t="inlineStr">
        <is>
          <t>A 23771-2025</t>
        </is>
      </c>
      <c r="B200" s="1" t="n">
        <v>45793.48614583333</v>
      </c>
      <c r="C200" s="1" t="n">
        <v>46185</v>
      </c>
      <c r="D200" t="inlineStr">
        <is>
          <t>VÄSTERNORRLANDS LÄN</t>
        </is>
      </c>
      <c r="E200" t="inlineStr">
        <is>
          <t>ÖRNSKÖLDSVIK</t>
        </is>
      </c>
      <c r="F200" t="inlineStr">
        <is>
          <t>Holmen skog AB</t>
        </is>
      </c>
      <c r="G200" t="n">
        <v>10.6</v>
      </c>
      <c r="H200" t="n">
        <v>5</v>
      </c>
      <c r="I200" t="n">
        <v>2</v>
      </c>
      <c r="J200" t="n">
        <v>6</v>
      </c>
      <c r="K200" t="n">
        <v>0</v>
      </c>
      <c r="L200" t="n">
        <v>0</v>
      </c>
      <c r="M200" t="n">
        <v>0</v>
      </c>
      <c r="N200" t="n">
        <v>0</v>
      </c>
      <c r="O200" t="n">
        <v>6</v>
      </c>
      <c r="P200" t="n">
        <v>0</v>
      </c>
      <c r="Q200" t="n">
        <v>10</v>
      </c>
      <c r="R200" s="2" t="inlineStr">
        <is>
          <t>Gammelgransskål
Garnlav
Granticka
Järpe
Spillkråka
Ullticka
Plattlummer
Vedticka
Fläcknycklar
Revlummer</t>
        </is>
      </c>
      <c r="S200">
        <f>HYPERLINK("https://klasma.github.io/Logging_2284/artfynd/A 23771-2025 artfynd.xlsx", "A 23771-2025")</f>
        <v/>
      </c>
      <c r="T200">
        <f>HYPERLINK("https://klasma.github.io/Logging_2284/kartor/A 23771-2025 karta.png", "A 23771-2025")</f>
        <v/>
      </c>
      <c r="V200">
        <f>HYPERLINK("https://klasma.github.io/Logging_2284/klagomål/A 23771-2025 FSC-klagomål.docx", "A 23771-2025")</f>
        <v/>
      </c>
      <c r="W200">
        <f>HYPERLINK("https://klasma.github.io/Logging_2284/klagomålsmail/A 23771-2025 FSC-klagomål mail.docx", "A 23771-2025")</f>
        <v/>
      </c>
      <c r="X200">
        <f>HYPERLINK("https://klasma.github.io/Logging_2284/tillsyn/A 23771-2025 tillsynsbegäran.docx", "A 23771-2025")</f>
        <v/>
      </c>
      <c r="Y200">
        <f>HYPERLINK("https://klasma.github.io/Logging_2284/tillsynsmail/A 23771-2025 tillsynsbegäran mail.docx", "A 23771-2025")</f>
        <v/>
      </c>
      <c r="Z200">
        <f>HYPERLINK("https://klasma.github.io/Logging_2284/fåglar/A 23771-2025 prioriterade fågelarter.docx", "A 23771-2025")</f>
        <v/>
      </c>
    </row>
    <row r="201" ht="15" customHeight="1">
      <c r="A201" t="inlineStr">
        <is>
          <t>A 45577-2021</t>
        </is>
      </c>
      <c r="B201" s="1" t="n">
        <v>44440</v>
      </c>
      <c r="C201" s="1" t="n">
        <v>46185</v>
      </c>
      <c r="D201" t="inlineStr">
        <is>
          <t>VÄSTERNORRLANDS LÄN</t>
        </is>
      </c>
      <c r="E201" t="inlineStr">
        <is>
          <t>KRAMFORS</t>
        </is>
      </c>
      <c r="F201" t="inlineStr">
        <is>
          <t>Kommuner</t>
        </is>
      </c>
      <c r="G201" t="n">
        <v>6.7</v>
      </c>
      <c r="H201" t="n">
        <v>9</v>
      </c>
      <c r="I201" t="n">
        <v>0</v>
      </c>
      <c r="J201" t="n">
        <v>5</v>
      </c>
      <c r="K201" t="n">
        <v>1</v>
      </c>
      <c r="L201" t="n">
        <v>2</v>
      </c>
      <c r="M201" t="n">
        <v>0</v>
      </c>
      <c r="N201" t="n">
        <v>0</v>
      </c>
      <c r="O201" t="n">
        <v>8</v>
      </c>
      <c r="P201" t="n">
        <v>3</v>
      </c>
      <c r="Q201" t="n">
        <v>9</v>
      </c>
      <c r="R201" s="2" t="inlineStr">
        <is>
          <t>Ejder
Grönfink
Hussvala
Fiskmås
Gulsparv
Spillkråka
Svartvit flugsnappare
Tobisgrissla
Trädlärka</t>
        </is>
      </c>
      <c r="S201">
        <f>HYPERLINK("https://klasma.github.io/Logging_2282/artfynd/A 45577-2021 artfynd.xlsx", "A 45577-2021")</f>
        <v/>
      </c>
      <c r="T201">
        <f>HYPERLINK("https://klasma.github.io/Logging_2282/kartor/A 45577-2021 karta.png", "A 45577-2021")</f>
        <v/>
      </c>
      <c r="V201">
        <f>HYPERLINK("https://klasma.github.io/Logging_2282/klagomål/A 45577-2021 FSC-klagomål.docx", "A 45577-2021")</f>
        <v/>
      </c>
      <c r="W201">
        <f>HYPERLINK("https://klasma.github.io/Logging_2282/klagomålsmail/A 45577-2021 FSC-klagomål mail.docx", "A 45577-2021")</f>
        <v/>
      </c>
      <c r="X201">
        <f>HYPERLINK("https://klasma.github.io/Logging_2282/tillsyn/A 45577-2021 tillsynsbegäran.docx", "A 45577-2021")</f>
        <v/>
      </c>
      <c r="Y201">
        <f>HYPERLINK("https://klasma.github.io/Logging_2282/tillsynsmail/A 45577-2021 tillsynsbegäran mail.docx", "A 45577-2021")</f>
        <v/>
      </c>
      <c r="Z201">
        <f>HYPERLINK("https://klasma.github.io/Logging_2282/fåglar/A 45577-2021 prioriterade fågelarter.docx", "A 45577-2021")</f>
        <v/>
      </c>
    </row>
    <row r="202" ht="15" customHeight="1">
      <c r="A202" t="inlineStr">
        <is>
          <t>A 34519-2022</t>
        </is>
      </c>
      <c r="B202" s="1" t="n">
        <v>44792</v>
      </c>
      <c r="C202" s="1" t="n">
        <v>46185</v>
      </c>
      <c r="D202" t="inlineStr">
        <is>
          <t>VÄSTERNORRLANDS LÄN</t>
        </is>
      </c>
      <c r="E202" t="inlineStr">
        <is>
          <t>ÅNGE</t>
        </is>
      </c>
      <c r="F202" t="inlineStr">
        <is>
          <t>SCA</t>
        </is>
      </c>
      <c r="G202" t="n">
        <v>6.3</v>
      </c>
      <c r="H202" t="n">
        <v>1</v>
      </c>
      <c r="I202" t="n">
        <v>3</v>
      </c>
      <c r="J202" t="n">
        <v>5</v>
      </c>
      <c r="K202" t="n">
        <v>1</v>
      </c>
      <c r="L202" t="n">
        <v>0</v>
      </c>
      <c r="M202" t="n">
        <v>0</v>
      </c>
      <c r="N202" t="n">
        <v>0</v>
      </c>
      <c r="O202" t="n">
        <v>6</v>
      </c>
      <c r="P202" t="n">
        <v>1</v>
      </c>
      <c r="Q202" t="n">
        <v>9</v>
      </c>
      <c r="R202" s="2" t="inlineStr">
        <is>
          <t>Knärot
Gammelgransskål
Lunglav
Skrovellav
Stiftgelélav
Vitgrynig nållav
Korallblylav
Luddlav
Stuplav</t>
        </is>
      </c>
      <c r="S202">
        <f>HYPERLINK("https://klasma.github.io/Logging_2260/artfynd/A 34519-2022 artfynd.xlsx", "A 34519-2022")</f>
        <v/>
      </c>
      <c r="T202">
        <f>HYPERLINK("https://klasma.github.io/Logging_2260/kartor/A 34519-2022 karta.png", "A 34519-2022")</f>
        <v/>
      </c>
      <c r="U202">
        <f>HYPERLINK("https://klasma.github.io/Logging_2260/knärot/A 34519-2022 karta knärot.png", "A 34519-2022")</f>
        <v/>
      </c>
      <c r="V202">
        <f>HYPERLINK("https://klasma.github.io/Logging_2260/klagomål/A 34519-2022 FSC-klagomål.docx", "A 34519-2022")</f>
        <v/>
      </c>
      <c r="W202">
        <f>HYPERLINK("https://klasma.github.io/Logging_2260/klagomålsmail/A 34519-2022 FSC-klagomål mail.docx", "A 34519-2022")</f>
        <v/>
      </c>
      <c r="X202">
        <f>HYPERLINK("https://klasma.github.io/Logging_2260/tillsyn/A 34519-2022 tillsynsbegäran.docx", "A 34519-2022")</f>
        <v/>
      </c>
      <c r="Y202">
        <f>HYPERLINK("https://klasma.github.io/Logging_2260/tillsynsmail/A 34519-2022 tillsynsbegäran mail.docx", "A 34519-2022")</f>
        <v/>
      </c>
    </row>
    <row r="203" ht="15" customHeight="1">
      <c r="A203" t="inlineStr">
        <is>
          <t>A 12865-2024</t>
        </is>
      </c>
      <c r="B203" s="1" t="n">
        <v>45384</v>
      </c>
      <c r="C203" s="1" t="n">
        <v>46185</v>
      </c>
      <c r="D203" t="inlineStr">
        <is>
          <t>VÄSTERNORRLANDS LÄN</t>
        </is>
      </c>
      <c r="E203" t="inlineStr">
        <is>
          <t>SOLLEFTEÅ</t>
        </is>
      </c>
      <c r="F203" t="inlineStr">
        <is>
          <t>SCA</t>
        </is>
      </c>
      <c r="G203" t="n">
        <v>3.2</v>
      </c>
      <c r="H203" t="n">
        <v>1</v>
      </c>
      <c r="I203" t="n">
        <v>2</v>
      </c>
      <c r="J203" t="n">
        <v>6</v>
      </c>
      <c r="K203" t="n">
        <v>1</v>
      </c>
      <c r="L203" t="n">
        <v>0</v>
      </c>
      <c r="M203" t="n">
        <v>0</v>
      </c>
      <c r="N203" t="n">
        <v>0</v>
      </c>
      <c r="O203" t="n">
        <v>7</v>
      </c>
      <c r="P203" t="n">
        <v>1</v>
      </c>
      <c r="Q203" t="n">
        <v>9</v>
      </c>
      <c r="R203" s="2" t="inlineStr">
        <is>
          <t>Knärot
Granticka
Lunglav
Myskmåra
Olisthaerus substriatus
Rosenticka
Vedtrappmossa
Blodticka
Skinnlav</t>
        </is>
      </c>
      <c r="S203">
        <f>HYPERLINK("https://klasma.github.io/Logging_2283/artfynd/A 12865-2024 artfynd.xlsx", "A 12865-2024")</f>
        <v/>
      </c>
      <c r="T203">
        <f>HYPERLINK("https://klasma.github.io/Logging_2283/kartor/A 12865-2024 karta.png", "A 12865-2024")</f>
        <v/>
      </c>
      <c r="U203">
        <f>HYPERLINK("https://klasma.github.io/Logging_2283/knärot/A 12865-2024 karta knärot.png", "A 12865-2024")</f>
        <v/>
      </c>
      <c r="V203">
        <f>HYPERLINK("https://klasma.github.io/Logging_2283/klagomål/A 12865-2024 FSC-klagomål.docx", "A 12865-2024")</f>
        <v/>
      </c>
      <c r="W203">
        <f>HYPERLINK("https://klasma.github.io/Logging_2283/klagomålsmail/A 12865-2024 FSC-klagomål mail.docx", "A 12865-2024")</f>
        <v/>
      </c>
      <c r="X203">
        <f>HYPERLINK("https://klasma.github.io/Logging_2283/tillsyn/A 12865-2024 tillsynsbegäran.docx", "A 12865-2024")</f>
        <v/>
      </c>
      <c r="Y203">
        <f>HYPERLINK("https://klasma.github.io/Logging_2283/tillsynsmail/A 12865-2024 tillsynsbegäran mail.docx", "A 12865-2024")</f>
        <v/>
      </c>
    </row>
    <row r="204" ht="15" customHeight="1">
      <c r="A204" t="inlineStr">
        <is>
          <t>A 20751-2024</t>
        </is>
      </c>
      <c r="B204" s="1" t="n">
        <v>45436</v>
      </c>
      <c r="C204" s="1" t="n">
        <v>46185</v>
      </c>
      <c r="D204" t="inlineStr">
        <is>
          <t>VÄSTERNORRLANDS LÄN</t>
        </is>
      </c>
      <c r="E204" t="inlineStr">
        <is>
          <t>SUNDSVALL</t>
        </is>
      </c>
      <c r="G204" t="n">
        <v>0.7</v>
      </c>
      <c r="H204" t="n">
        <v>2</v>
      </c>
      <c r="I204" t="n">
        <v>4</v>
      </c>
      <c r="J204" t="n">
        <v>3</v>
      </c>
      <c r="K204" t="n">
        <v>0</v>
      </c>
      <c r="L204" t="n">
        <v>0</v>
      </c>
      <c r="M204" t="n">
        <v>0</v>
      </c>
      <c r="N204" t="n">
        <v>0</v>
      </c>
      <c r="O204" t="n">
        <v>3</v>
      </c>
      <c r="P204" t="n">
        <v>0</v>
      </c>
      <c r="Q204" t="n">
        <v>9</v>
      </c>
      <c r="R204" s="2" t="inlineStr">
        <is>
          <t>Lunglav
Rosenticka
Ullticka
Stor aspticka
Svart trolldruva
Tibast
Vårärt
Blåsippa
Revlummer</t>
        </is>
      </c>
      <c r="S204">
        <f>HYPERLINK("https://klasma.github.io/Logging_2281/artfynd/A 20751-2024 artfynd.xlsx", "A 20751-2024")</f>
        <v/>
      </c>
      <c r="T204">
        <f>HYPERLINK("https://klasma.github.io/Logging_2281/kartor/A 20751-2024 karta.png", "A 20751-2024")</f>
        <v/>
      </c>
      <c r="V204">
        <f>HYPERLINK("https://klasma.github.io/Logging_2281/klagomål/A 20751-2024 FSC-klagomål.docx", "A 20751-2024")</f>
        <v/>
      </c>
      <c r="W204">
        <f>HYPERLINK("https://klasma.github.io/Logging_2281/klagomålsmail/A 20751-2024 FSC-klagomål mail.docx", "A 20751-2024")</f>
        <v/>
      </c>
      <c r="X204">
        <f>HYPERLINK("https://klasma.github.io/Logging_2281/tillsyn/A 20751-2024 tillsynsbegäran.docx", "A 20751-2024")</f>
        <v/>
      </c>
      <c r="Y204">
        <f>HYPERLINK("https://klasma.github.io/Logging_2281/tillsynsmail/A 20751-2024 tillsynsbegäran mail.docx", "A 20751-2024")</f>
        <v/>
      </c>
    </row>
    <row r="205" ht="15" customHeight="1">
      <c r="A205" t="inlineStr">
        <is>
          <t>A 34786-2021</t>
        </is>
      </c>
      <c r="B205" s="1" t="n">
        <v>44382</v>
      </c>
      <c r="C205" s="1" t="n">
        <v>46185</v>
      </c>
      <c r="D205" t="inlineStr">
        <is>
          <t>VÄSTERNORRLANDS LÄN</t>
        </is>
      </c>
      <c r="E205" t="inlineStr">
        <is>
          <t>ÅNGE</t>
        </is>
      </c>
      <c r="F205" t="inlineStr">
        <is>
          <t>SCA</t>
        </is>
      </c>
      <c r="G205" t="n">
        <v>10.3</v>
      </c>
      <c r="H205" t="n">
        <v>2</v>
      </c>
      <c r="I205" t="n">
        <v>4</v>
      </c>
      <c r="J205" t="n">
        <v>4</v>
      </c>
      <c r="K205" t="n">
        <v>0</v>
      </c>
      <c r="L205" t="n">
        <v>0</v>
      </c>
      <c r="M205" t="n">
        <v>0</v>
      </c>
      <c r="N205" t="n">
        <v>0</v>
      </c>
      <c r="O205" t="n">
        <v>4</v>
      </c>
      <c r="P205" t="n">
        <v>0</v>
      </c>
      <c r="Q205" t="n">
        <v>9</v>
      </c>
      <c r="R205" s="2" t="inlineStr">
        <is>
          <t>Garnlav
Lunglav
Skrovellav
Ullticka
Kransrams
Spindelblomster
Stuplav
Ögonpyrola
Fläcknycklar</t>
        </is>
      </c>
      <c r="S205">
        <f>HYPERLINK("https://klasma.github.io/Logging_2260/artfynd/A 34786-2021 artfynd.xlsx", "A 34786-2021")</f>
        <v/>
      </c>
      <c r="T205">
        <f>HYPERLINK("https://klasma.github.io/Logging_2260/kartor/A 34786-2021 karta.png", "A 34786-2021")</f>
        <v/>
      </c>
      <c r="V205">
        <f>HYPERLINK("https://klasma.github.io/Logging_2260/klagomål/A 34786-2021 FSC-klagomål.docx", "A 34786-2021")</f>
        <v/>
      </c>
      <c r="W205">
        <f>HYPERLINK("https://klasma.github.io/Logging_2260/klagomålsmail/A 34786-2021 FSC-klagomål mail.docx", "A 34786-2021")</f>
        <v/>
      </c>
      <c r="X205">
        <f>HYPERLINK("https://klasma.github.io/Logging_2260/tillsyn/A 34786-2021 tillsynsbegäran.docx", "A 34786-2021")</f>
        <v/>
      </c>
      <c r="Y205">
        <f>HYPERLINK("https://klasma.github.io/Logging_2260/tillsynsmail/A 34786-2021 tillsynsbegäran mail.docx", "A 34786-2021")</f>
        <v/>
      </c>
    </row>
    <row r="206" ht="15" customHeight="1">
      <c r="A206" t="inlineStr">
        <is>
          <t>A 47177-2024</t>
        </is>
      </c>
      <c r="B206" s="1" t="n">
        <v>45586.61596064815</v>
      </c>
      <c r="C206" s="1" t="n">
        <v>46185</v>
      </c>
      <c r="D206" t="inlineStr">
        <is>
          <t>VÄSTERNORRLANDS LÄN</t>
        </is>
      </c>
      <c r="E206" t="inlineStr">
        <is>
          <t>SUNDSVALL</t>
        </is>
      </c>
      <c r="F206" t="inlineStr">
        <is>
          <t>SCA</t>
        </is>
      </c>
      <c r="G206" t="n">
        <v>12.3</v>
      </c>
      <c r="H206" t="n">
        <v>4</v>
      </c>
      <c r="I206" t="n">
        <v>1</v>
      </c>
      <c r="J206" t="n">
        <v>6</v>
      </c>
      <c r="K206" t="n">
        <v>2</v>
      </c>
      <c r="L206" t="n">
        <v>0</v>
      </c>
      <c r="M206" t="n">
        <v>0</v>
      </c>
      <c r="N206" t="n">
        <v>0</v>
      </c>
      <c r="O206" t="n">
        <v>8</v>
      </c>
      <c r="P206" t="n">
        <v>2</v>
      </c>
      <c r="Q206" t="n">
        <v>9</v>
      </c>
      <c r="R206" s="2" t="inlineStr">
        <is>
          <t>Knärot
Rynkskinn
Garnlav
Lunglav
Rosenticka
Spillkråka
Tretåig hackspett
Ullticka
Spindelblomster</t>
        </is>
      </c>
      <c r="S206">
        <f>HYPERLINK("https://klasma.github.io/Logging_2281/artfynd/A 47177-2024 artfynd.xlsx", "A 47177-2024")</f>
        <v/>
      </c>
      <c r="T206">
        <f>HYPERLINK("https://klasma.github.io/Logging_2281/kartor/A 47177-2024 karta.png", "A 47177-2024")</f>
        <v/>
      </c>
      <c r="U206">
        <f>HYPERLINK("https://klasma.github.io/Logging_2281/knärot/A 47177-2024 karta knärot.png", "A 47177-2024")</f>
        <v/>
      </c>
      <c r="V206">
        <f>HYPERLINK("https://klasma.github.io/Logging_2281/klagomål/A 47177-2024 FSC-klagomål.docx", "A 47177-2024")</f>
        <v/>
      </c>
      <c r="W206">
        <f>HYPERLINK("https://klasma.github.io/Logging_2281/klagomålsmail/A 47177-2024 FSC-klagomål mail.docx", "A 47177-2024")</f>
        <v/>
      </c>
      <c r="X206">
        <f>HYPERLINK("https://klasma.github.io/Logging_2281/tillsyn/A 47177-2024 tillsynsbegäran.docx", "A 47177-2024")</f>
        <v/>
      </c>
      <c r="Y206">
        <f>HYPERLINK("https://klasma.github.io/Logging_2281/tillsynsmail/A 47177-2024 tillsynsbegäran mail.docx", "A 47177-2024")</f>
        <v/>
      </c>
      <c r="Z206">
        <f>HYPERLINK("https://klasma.github.io/Logging_2281/fåglar/A 47177-2024 prioriterade fågelarter.docx", "A 47177-2024")</f>
        <v/>
      </c>
    </row>
    <row r="207" ht="15" customHeight="1">
      <c r="A207" t="inlineStr">
        <is>
          <t>A 22621-2023</t>
        </is>
      </c>
      <c r="B207" s="1" t="n">
        <v>45071</v>
      </c>
      <c r="C207" s="1" t="n">
        <v>46185</v>
      </c>
      <c r="D207" t="inlineStr">
        <is>
          <t>VÄSTERNORRLANDS LÄN</t>
        </is>
      </c>
      <c r="E207" t="inlineStr">
        <is>
          <t>SUNDSVALL</t>
        </is>
      </c>
      <c r="F207" t="inlineStr">
        <is>
          <t>Holmen skog AB</t>
        </is>
      </c>
      <c r="G207" t="n">
        <v>7.3</v>
      </c>
      <c r="H207" t="n">
        <v>0</v>
      </c>
      <c r="I207" t="n">
        <v>6</v>
      </c>
      <c r="J207" t="n">
        <v>3</v>
      </c>
      <c r="K207" t="n">
        <v>0</v>
      </c>
      <c r="L207" t="n">
        <v>0</v>
      </c>
      <c r="M207" t="n">
        <v>0</v>
      </c>
      <c r="N207" t="n">
        <v>0</v>
      </c>
      <c r="O207" t="n">
        <v>3</v>
      </c>
      <c r="P207" t="n">
        <v>0</v>
      </c>
      <c r="Q207" t="n">
        <v>9</v>
      </c>
      <c r="R207" s="2" t="inlineStr">
        <is>
          <t>Garnlav
Lunglav
Ullticka
Barkkornlav
Bårdlav
Korallblylav
Skinnlav
Stor aspticka
Stuplav</t>
        </is>
      </c>
      <c r="S207">
        <f>HYPERLINK("https://klasma.github.io/Logging_2281/artfynd/A 22621-2023 artfynd.xlsx", "A 22621-2023")</f>
        <v/>
      </c>
      <c r="T207">
        <f>HYPERLINK("https://klasma.github.io/Logging_2281/kartor/A 22621-2023 karta.png", "A 22621-2023")</f>
        <v/>
      </c>
      <c r="V207">
        <f>HYPERLINK("https://klasma.github.io/Logging_2281/klagomål/A 22621-2023 FSC-klagomål.docx", "A 22621-2023")</f>
        <v/>
      </c>
      <c r="W207">
        <f>HYPERLINK("https://klasma.github.io/Logging_2281/klagomålsmail/A 22621-2023 FSC-klagomål mail.docx", "A 22621-2023")</f>
        <v/>
      </c>
      <c r="X207">
        <f>HYPERLINK("https://klasma.github.io/Logging_2281/tillsyn/A 22621-2023 tillsynsbegäran.docx", "A 22621-2023")</f>
        <v/>
      </c>
      <c r="Y207">
        <f>HYPERLINK("https://klasma.github.io/Logging_2281/tillsynsmail/A 22621-2023 tillsynsbegäran mail.docx", "A 22621-2023")</f>
        <v/>
      </c>
    </row>
    <row r="208" ht="15" customHeight="1">
      <c r="A208" t="inlineStr">
        <is>
          <t>A 41884-2025</t>
        </is>
      </c>
      <c r="B208" s="1" t="n">
        <v>45903</v>
      </c>
      <c r="C208" s="1" t="n">
        <v>46185</v>
      </c>
      <c r="D208" t="inlineStr">
        <is>
          <t>VÄSTERNORRLANDS LÄN</t>
        </is>
      </c>
      <c r="E208" t="inlineStr">
        <is>
          <t>SUNDSVALL</t>
        </is>
      </c>
      <c r="F208" t="inlineStr">
        <is>
          <t>SCA</t>
        </is>
      </c>
      <c r="G208" t="n">
        <v>16</v>
      </c>
      <c r="H208" t="n">
        <v>1</v>
      </c>
      <c r="I208" t="n">
        <v>5</v>
      </c>
      <c r="J208" t="n">
        <v>3</v>
      </c>
      <c r="K208" t="n">
        <v>0</v>
      </c>
      <c r="L208" t="n">
        <v>0</v>
      </c>
      <c r="M208" t="n">
        <v>0</v>
      </c>
      <c r="N208" t="n">
        <v>0</v>
      </c>
      <c r="O208" t="n">
        <v>3</v>
      </c>
      <c r="P208" t="n">
        <v>0</v>
      </c>
      <c r="Q208" t="n">
        <v>9</v>
      </c>
      <c r="R208" s="2" t="inlineStr">
        <is>
          <t>Garnlav
Kötticka
Lunglav
Luddlav
Mörk husmossa
Sotriska
Stubbspretmossa
Svavelriska
Nattviol</t>
        </is>
      </c>
      <c r="S208">
        <f>HYPERLINK("https://klasma.github.io/Logging_2281/artfynd/A 41884-2025 artfynd.xlsx", "A 41884-2025")</f>
        <v/>
      </c>
      <c r="T208">
        <f>HYPERLINK("https://klasma.github.io/Logging_2281/kartor/A 41884-2025 karta.png", "A 41884-2025")</f>
        <v/>
      </c>
      <c r="V208">
        <f>HYPERLINK("https://klasma.github.io/Logging_2281/klagomål/A 41884-2025 FSC-klagomål.docx", "A 41884-2025")</f>
        <v/>
      </c>
      <c r="W208">
        <f>HYPERLINK("https://klasma.github.io/Logging_2281/klagomålsmail/A 41884-2025 FSC-klagomål mail.docx", "A 41884-2025")</f>
        <v/>
      </c>
      <c r="X208">
        <f>HYPERLINK("https://klasma.github.io/Logging_2281/tillsyn/A 41884-2025 tillsynsbegäran.docx", "A 41884-2025")</f>
        <v/>
      </c>
      <c r="Y208">
        <f>HYPERLINK("https://klasma.github.io/Logging_2281/tillsynsmail/A 41884-2025 tillsynsbegäran mail.docx", "A 41884-2025")</f>
        <v/>
      </c>
    </row>
    <row r="209" ht="15" customHeight="1">
      <c r="A209" t="inlineStr">
        <is>
          <t>A 46958-2023</t>
        </is>
      </c>
      <c r="B209" s="1" t="n">
        <v>45195</v>
      </c>
      <c r="C209" s="1" t="n">
        <v>46185</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34546-2025</t>
        </is>
      </c>
      <c r="B210" s="1" t="n">
        <v>45847.54039351852</v>
      </c>
      <c r="C210" s="1" t="n">
        <v>46185</v>
      </c>
      <c r="D210" t="inlineStr">
        <is>
          <t>VÄSTERNORRLANDS LÄN</t>
        </is>
      </c>
      <c r="E210" t="inlineStr">
        <is>
          <t>HÄRNÖSAND</t>
        </is>
      </c>
      <c r="F210" t="inlineStr">
        <is>
          <t>Kyrkan</t>
        </is>
      </c>
      <c r="G210" t="n">
        <v>6.9</v>
      </c>
      <c r="H210" t="n">
        <v>3</v>
      </c>
      <c r="I210" t="n">
        <v>2</v>
      </c>
      <c r="J210" t="n">
        <v>4</v>
      </c>
      <c r="K210" t="n">
        <v>1</v>
      </c>
      <c r="L210" t="n">
        <v>0</v>
      </c>
      <c r="M210" t="n">
        <v>0</v>
      </c>
      <c r="N210" t="n">
        <v>0</v>
      </c>
      <c r="O210" t="n">
        <v>5</v>
      </c>
      <c r="P210" t="n">
        <v>1</v>
      </c>
      <c r="Q210" t="n">
        <v>9</v>
      </c>
      <c r="R210" s="2" t="inlineStr">
        <is>
          <t>Rynkskinn
Garnlav
Rosenticka
Tretåig hackspett
Ullticka
Fjällig taggsvamp s.str.
Vedticka
Tjäder
Revlummer</t>
        </is>
      </c>
      <c r="S210">
        <f>HYPERLINK("https://klasma.github.io/Logging_2280/artfynd/A 34546-2025 artfynd.xlsx", "A 34546-2025")</f>
        <v/>
      </c>
      <c r="T210">
        <f>HYPERLINK("https://klasma.github.io/Logging_2280/kartor/A 34546-2025 karta.png", "A 34546-2025")</f>
        <v/>
      </c>
      <c r="V210">
        <f>HYPERLINK("https://klasma.github.io/Logging_2280/klagomål/A 34546-2025 FSC-klagomål.docx", "A 34546-2025")</f>
        <v/>
      </c>
      <c r="W210">
        <f>HYPERLINK("https://klasma.github.io/Logging_2280/klagomålsmail/A 34546-2025 FSC-klagomål mail.docx", "A 34546-2025")</f>
        <v/>
      </c>
      <c r="X210">
        <f>HYPERLINK("https://klasma.github.io/Logging_2280/tillsyn/A 34546-2025 tillsynsbegäran.docx", "A 34546-2025")</f>
        <v/>
      </c>
      <c r="Y210">
        <f>HYPERLINK("https://klasma.github.io/Logging_2280/tillsynsmail/A 34546-2025 tillsynsbegäran mail.docx", "A 34546-2025")</f>
        <v/>
      </c>
      <c r="Z210">
        <f>HYPERLINK("https://klasma.github.io/Logging_2280/fåglar/A 34546-2025 prioriterade fågelarter.docx", "A 34546-2025")</f>
        <v/>
      </c>
    </row>
    <row r="211" ht="15" customHeight="1">
      <c r="A211" t="inlineStr">
        <is>
          <t>A 46080-2025</t>
        </is>
      </c>
      <c r="B211" s="1" t="n">
        <v>45924.51101851852</v>
      </c>
      <c r="C211" s="1" t="n">
        <v>46185</v>
      </c>
      <c r="D211" t="inlineStr">
        <is>
          <t>VÄSTERNORRLANDS LÄN</t>
        </is>
      </c>
      <c r="E211" t="inlineStr">
        <is>
          <t>TIMRÅ</t>
        </is>
      </c>
      <c r="F211" t="inlineStr">
        <is>
          <t>SCA</t>
        </is>
      </c>
      <c r="G211" t="n">
        <v>1.3</v>
      </c>
      <c r="H211" t="n">
        <v>0</v>
      </c>
      <c r="I211" t="n">
        <v>1</v>
      </c>
      <c r="J211" t="n">
        <v>7</v>
      </c>
      <c r="K211" t="n">
        <v>1</v>
      </c>
      <c r="L211" t="n">
        <v>0</v>
      </c>
      <c r="M211" t="n">
        <v>0</v>
      </c>
      <c r="N211" t="n">
        <v>0</v>
      </c>
      <c r="O211" t="n">
        <v>8</v>
      </c>
      <c r="P211" t="n">
        <v>1</v>
      </c>
      <c r="Q211" t="n">
        <v>9</v>
      </c>
      <c r="R211" s="2" t="inlineStr">
        <is>
          <t>Smalfotad taggsvamp
Dvärgbägarlav
Garnlav
Kolflarnlav
Kortskaftad ärgspik
Mörk kolflarnlav
Vaddporing
Vedskivlav
Dropptaggsvamp</t>
        </is>
      </c>
      <c r="S211">
        <f>HYPERLINK("https://klasma.github.io/Logging_2262/artfynd/A 46080-2025 artfynd.xlsx", "A 46080-2025")</f>
        <v/>
      </c>
      <c r="T211">
        <f>HYPERLINK("https://klasma.github.io/Logging_2262/kartor/A 46080-2025 karta.png", "A 46080-2025")</f>
        <v/>
      </c>
      <c r="V211">
        <f>HYPERLINK("https://klasma.github.io/Logging_2262/klagomål/A 46080-2025 FSC-klagomål.docx", "A 46080-2025")</f>
        <v/>
      </c>
      <c r="W211">
        <f>HYPERLINK("https://klasma.github.io/Logging_2262/klagomålsmail/A 46080-2025 FSC-klagomål mail.docx", "A 46080-2025")</f>
        <v/>
      </c>
      <c r="X211">
        <f>HYPERLINK("https://klasma.github.io/Logging_2262/tillsyn/A 46080-2025 tillsynsbegäran.docx", "A 46080-2025")</f>
        <v/>
      </c>
      <c r="Y211">
        <f>HYPERLINK("https://klasma.github.io/Logging_2262/tillsynsmail/A 46080-2025 tillsynsbegäran mail.docx", "A 46080-2025")</f>
        <v/>
      </c>
    </row>
    <row r="212" ht="15" customHeight="1">
      <c r="A212" t="inlineStr">
        <is>
          <t>A 17976-2025</t>
        </is>
      </c>
      <c r="B212" s="1" t="n">
        <v>45761</v>
      </c>
      <c r="C212" s="1" t="n">
        <v>46185</v>
      </c>
      <c r="D212" t="inlineStr">
        <is>
          <t>VÄSTERNORRLANDS LÄN</t>
        </is>
      </c>
      <c r="E212" t="inlineStr">
        <is>
          <t>TIMRÅ</t>
        </is>
      </c>
      <c r="F212" t="inlineStr">
        <is>
          <t>SCA</t>
        </is>
      </c>
      <c r="G212" t="n">
        <v>6.5</v>
      </c>
      <c r="H212" t="n">
        <v>1</v>
      </c>
      <c r="I212" t="n">
        <v>0</v>
      </c>
      <c r="J212" t="n">
        <v>6</v>
      </c>
      <c r="K212" t="n">
        <v>3</v>
      </c>
      <c r="L212" t="n">
        <v>0</v>
      </c>
      <c r="M212" t="n">
        <v>0</v>
      </c>
      <c r="N212" t="n">
        <v>0</v>
      </c>
      <c r="O212" t="n">
        <v>9</v>
      </c>
      <c r="P212" t="n">
        <v>3</v>
      </c>
      <c r="Q212" t="n">
        <v>9</v>
      </c>
      <c r="R212" s="2" t="inlineStr">
        <is>
          <t>Gräddporing
Knärot
Rynkskinn
Garnlav
Kolflarnlav
Lunglav
Rosenticka
Ullticka
Violettgrå tagellav</t>
        </is>
      </c>
      <c r="S212">
        <f>HYPERLINK("https://klasma.github.io/Logging_2262/artfynd/A 17976-2025 artfynd.xlsx", "A 17976-2025")</f>
        <v/>
      </c>
      <c r="T212">
        <f>HYPERLINK("https://klasma.github.io/Logging_2262/kartor/A 17976-2025 karta.png", "A 17976-2025")</f>
        <v/>
      </c>
      <c r="U212">
        <f>HYPERLINK("https://klasma.github.io/Logging_2262/knärot/A 17976-2025 karta knärot.png", "A 17976-2025")</f>
        <v/>
      </c>
      <c r="V212">
        <f>HYPERLINK("https://klasma.github.io/Logging_2262/klagomål/A 17976-2025 FSC-klagomål.docx", "A 17976-2025")</f>
        <v/>
      </c>
      <c r="W212">
        <f>HYPERLINK("https://klasma.github.io/Logging_2262/klagomålsmail/A 17976-2025 FSC-klagomål mail.docx", "A 17976-2025")</f>
        <v/>
      </c>
      <c r="X212">
        <f>HYPERLINK("https://klasma.github.io/Logging_2262/tillsyn/A 17976-2025 tillsynsbegäran.docx", "A 17976-2025")</f>
        <v/>
      </c>
      <c r="Y212">
        <f>HYPERLINK("https://klasma.github.io/Logging_2262/tillsynsmail/A 17976-2025 tillsynsbegäran mail.docx", "A 17976-2025")</f>
        <v/>
      </c>
    </row>
    <row r="213" ht="15" customHeight="1">
      <c r="A213" t="inlineStr">
        <is>
          <t>A 26655-2022</t>
        </is>
      </c>
      <c r="B213" s="1" t="n">
        <v>44739</v>
      </c>
      <c r="C213" s="1" t="n">
        <v>46185</v>
      </c>
      <c r="D213" t="inlineStr">
        <is>
          <t>VÄSTERNORRLANDS LÄN</t>
        </is>
      </c>
      <c r="E213" t="inlineStr">
        <is>
          <t>SOLLEFTEÅ</t>
        </is>
      </c>
      <c r="F213" t="inlineStr">
        <is>
          <t>Holmen skog AB</t>
        </is>
      </c>
      <c r="G213" t="n">
        <v>5.8</v>
      </c>
      <c r="H213" t="n">
        <v>3</v>
      </c>
      <c r="I213" t="n">
        <v>1</v>
      </c>
      <c r="J213" t="n">
        <v>6</v>
      </c>
      <c r="K213" t="n">
        <v>2</v>
      </c>
      <c r="L213" t="n">
        <v>0</v>
      </c>
      <c r="M213" t="n">
        <v>0</v>
      </c>
      <c r="N213" t="n">
        <v>0</v>
      </c>
      <c r="O213" t="n">
        <v>8</v>
      </c>
      <c r="P213" t="n">
        <v>2</v>
      </c>
      <c r="Q213" t="n">
        <v>9</v>
      </c>
      <c r="R213" s="2" t="inlineStr">
        <is>
          <t>Knärot
Ulltickeporing
Garnlav
Lunglav
Rosenticka
Talltita
Tretåig hackspett
Ullticka
Vedticka</t>
        </is>
      </c>
      <c r="S213">
        <f>HYPERLINK("https://klasma.github.io/Logging_2283/artfynd/A 26655-2022 artfynd.xlsx", "A 26655-2022")</f>
        <v/>
      </c>
      <c r="T213">
        <f>HYPERLINK("https://klasma.github.io/Logging_2283/kartor/A 26655-2022 karta.png", "A 26655-2022")</f>
        <v/>
      </c>
      <c r="U213">
        <f>HYPERLINK("https://klasma.github.io/Logging_2283/knärot/A 26655-2022 karta knärot.png", "A 26655-2022")</f>
        <v/>
      </c>
      <c r="V213">
        <f>HYPERLINK("https://klasma.github.io/Logging_2283/klagomål/A 26655-2022 FSC-klagomål.docx", "A 26655-2022")</f>
        <v/>
      </c>
      <c r="W213">
        <f>HYPERLINK("https://klasma.github.io/Logging_2283/klagomålsmail/A 26655-2022 FSC-klagomål mail.docx", "A 26655-2022")</f>
        <v/>
      </c>
      <c r="X213">
        <f>HYPERLINK("https://klasma.github.io/Logging_2283/tillsyn/A 26655-2022 tillsynsbegäran.docx", "A 26655-2022")</f>
        <v/>
      </c>
      <c r="Y213">
        <f>HYPERLINK("https://klasma.github.io/Logging_2283/tillsynsmail/A 26655-2022 tillsynsbegäran mail.docx", "A 26655-2022")</f>
        <v/>
      </c>
      <c r="Z213">
        <f>HYPERLINK("https://klasma.github.io/Logging_2283/fåglar/A 26655-2022 prioriterade fågelarter.docx", "A 26655-2022")</f>
        <v/>
      </c>
    </row>
    <row r="214" ht="15" customHeight="1">
      <c r="A214" t="inlineStr">
        <is>
          <t>A 43604-2023</t>
        </is>
      </c>
      <c r="B214" s="1" t="n">
        <v>45181</v>
      </c>
      <c r="C214" s="1" t="n">
        <v>46185</v>
      </c>
      <c r="D214" t="inlineStr">
        <is>
          <t>VÄSTERNORRLANDS LÄN</t>
        </is>
      </c>
      <c r="E214" t="inlineStr">
        <is>
          <t>ÖRNSKÖLDSVIK</t>
        </is>
      </c>
      <c r="F214" t="inlineStr">
        <is>
          <t>Kyrkan</t>
        </is>
      </c>
      <c r="G214" t="n">
        <v>38.7</v>
      </c>
      <c r="H214" t="n">
        <v>1</v>
      </c>
      <c r="I214" t="n">
        <v>1</v>
      </c>
      <c r="J214" t="n">
        <v>7</v>
      </c>
      <c r="K214" t="n">
        <v>1</v>
      </c>
      <c r="L214" t="n">
        <v>0</v>
      </c>
      <c r="M214" t="n">
        <v>0</v>
      </c>
      <c r="N214" t="n">
        <v>0</v>
      </c>
      <c r="O214" t="n">
        <v>8</v>
      </c>
      <c r="P214" t="n">
        <v>1</v>
      </c>
      <c r="Q214" t="n">
        <v>9</v>
      </c>
      <c r="R214" s="2" t="inlineStr">
        <is>
          <t>Vit aspticka
Garnlav
Kolflarnlav
Kötticka
Tallriska
Talltita
Ullticka
Vedskivlav
Stor aspticka</t>
        </is>
      </c>
      <c r="S214">
        <f>HYPERLINK("https://klasma.github.io/Logging_2284/artfynd/A 43604-2023 artfynd.xlsx", "A 43604-2023")</f>
        <v/>
      </c>
      <c r="T214">
        <f>HYPERLINK("https://klasma.github.io/Logging_2284/kartor/A 43604-2023 karta.png", "A 43604-2023")</f>
        <v/>
      </c>
      <c r="V214">
        <f>HYPERLINK("https://klasma.github.io/Logging_2284/klagomål/A 43604-2023 FSC-klagomål.docx", "A 43604-2023")</f>
        <v/>
      </c>
      <c r="W214">
        <f>HYPERLINK("https://klasma.github.io/Logging_2284/klagomålsmail/A 43604-2023 FSC-klagomål mail.docx", "A 43604-2023")</f>
        <v/>
      </c>
      <c r="X214">
        <f>HYPERLINK("https://klasma.github.io/Logging_2284/tillsyn/A 43604-2023 tillsynsbegäran.docx", "A 43604-2023")</f>
        <v/>
      </c>
      <c r="Y214">
        <f>HYPERLINK("https://klasma.github.io/Logging_2284/tillsynsmail/A 43604-2023 tillsynsbegäran mail.docx", "A 43604-2023")</f>
        <v/>
      </c>
      <c r="Z214">
        <f>HYPERLINK("https://klasma.github.io/Logging_2284/fåglar/A 43604-2023 prioriterade fågelarter.docx", "A 43604-2023")</f>
        <v/>
      </c>
    </row>
    <row r="215" ht="15" customHeight="1">
      <c r="A215" t="inlineStr">
        <is>
          <t>A 40274-2022</t>
        </is>
      </c>
      <c r="B215" s="1" t="n">
        <v>44820</v>
      </c>
      <c r="C215" s="1" t="n">
        <v>46185</v>
      </c>
      <c r="D215" t="inlineStr">
        <is>
          <t>VÄSTERNORRLANDS LÄN</t>
        </is>
      </c>
      <c r="E215" t="inlineStr">
        <is>
          <t>SOLLEFTEÅ</t>
        </is>
      </c>
      <c r="F215" t="inlineStr">
        <is>
          <t>SCA</t>
        </is>
      </c>
      <c r="G215" t="n">
        <v>2.1</v>
      </c>
      <c r="H215" t="n">
        <v>3</v>
      </c>
      <c r="I215" t="n">
        <v>0</v>
      </c>
      <c r="J215" t="n">
        <v>7</v>
      </c>
      <c r="K215" t="n">
        <v>2</v>
      </c>
      <c r="L215" t="n">
        <v>0</v>
      </c>
      <c r="M215" t="n">
        <v>0</v>
      </c>
      <c r="N215" t="n">
        <v>0</v>
      </c>
      <c r="O215" t="n">
        <v>9</v>
      </c>
      <c r="P215" t="n">
        <v>2</v>
      </c>
      <c r="Q215" t="n">
        <v>9</v>
      </c>
      <c r="R215" s="2" t="inlineStr">
        <is>
          <t>Knärot
Rynkskinn
Garnlav
Kolflarnlav
Lunglav
Rosenticka
Talltita
Tretåig hackspett
Ullticka</t>
        </is>
      </c>
      <c r="S215">
        <f>HYPERLINK("https://klasma.github.io/Logging_2283/artfynd/A 40274-2022 artfynd.xlsx", "A 40274-2022")</f>
        <v/>
      </c>
      <c r="T215">
        <f>HYPERLINK("https://klasma.github.io/Logging_2283/kartor/A 40274-2022 karta.png", "A 40274-2022")</f>
        <v/>
      </c>
      <c r="U215">
        <f>HYPERLINK("https://klasma.github.io/Logging_2283/knärot/A 40274-2022 karta knärot.png", "A 40274-2022")</f>
        <v/>
      </c>
      <c r="V215">
        <f>HYPERLINK("https://klasma.github.io/Logging_2283/klagomål/A 40274-2022 FSC-klagomål.docx", "A 40274-2022")</f>
        <v/>
      </c>
      <c r="W215">
        <f>HYPERLINK("https://klasma.github.io/Logging_2283/klagomålsmail/A 40274-2022 FSC-klagomål mail.docx", "A 40274-2022")</f>
        <v/>
      </c>
      <c r="X215">
        <f>HYPERLINK("https://klasma.github.io/Logging_2283/tillsyn/A 40274-2022 tillsynsbegäran.docx", "A 40274-2022")</f>
        <v/>
      </c>
      <c r="Y215">
        <f>HYPERLINK("https://klasma.github.io/Logging_2283/tillsynsmail/A 40274-2022 tillsynsbegäran mail.docx", "A 40274-2022")</f>
        <v/>
      </c>
      <c r="Z215">
        <f>HYPERLINK("https://klasma.github.io/Logging_2283/fåglar/A 40274-2022 prioriterade fågelarter.docx", "A 40274-2022")</f>
        <v/>
      </c>
    </row>
    <row r="216" ht="15" customHeight="1">
      <c r="A216" t="inlineStr">
        <is>
          <t>A 26473-2025</t>
        </is>
      </c>
      <c r="B216" s="1" t="n">
        <v>45807</v>
      </c>
      <c r="C216" s="1" t="n">
        <v>46185</v>
      </c>
      <c r="D216" t="inlineStr">
        <is>
          <t>VÄSTERNORRLANDS LÄN</t>
        </is>
      </c>
      <c r="E216" t="inlineStr">
        <is>
          <t>ÅNGE</t>
        </is>
      </c>
      <c r="F216" t="inlineStr">
        <is>
          <t>SCA</t>
        </is>
      </c>
      <c r="G216" t="n">
        <v>1.1</v>
      </c>
      <c r="H216" t="n">
        <v>3</v>
      </c>
      <c r="I216" t="n">
        <v>4</v>
      </c>
      <c r="J216" t="n">
        <v>4</v>
      </c>
      <c r="K216" t="n">
        <v>1</v>
      </c>
      <c r="L216" t="n">
        <v>0</v>
      </c>
      <c r="M216" t="n">
        <v>0</v>
      </c>
      <c r="N216" t="n">
        <v>0</v>
      </c>
      <c r="O216" t="n">
        <v>5</v>
      </c>
      <c r="P216" t="n">
        <v>1</v>
      </c>
      <c r="Q216" t="n">
        <v>9</v>
      </c>
      <c r="R216" s="2" t="inlineStr">
        <is>
          <t>Knärot
Garnlav
Lunglav
Rosenticka
Spillkråka
Dropptaggsvamp
Luddlav
Skinnlav
Spindelblomster</t>
        </is>
      </c>
      <c r="S216">
        <f>HYPERLINK("https://klasma.github.io/Logging_2260/artfynd/A 26473-2025 artfynd.xlsx", "A 26473-2025")</f>
        <v/>
      </c>
      <c r="T216">
        <f>HYPERLINK("https://klasma.github.io/Logging_2260/kartor/A 26473-2025 karta.png", "A 26473-2025")</f>
        <v/>
      </c>
      <c r="U216">
        <f>HYPERLINK("https://klasma.github.io/Logging_2260/knärot/A 26473-2025 karta knärot.png", "A 26473-2025")</f>
        <v/>
      </c>
      <c r="V216">
        <f>HYPERLINK("https://klasma.github.io/Logging_2260/klagomål/A 26473-2025 FSC-klagomål.docx", "A 26473-2025")</f>
        <v/>
      </c>
      <c r="W216">
        <f>HYPERLINK("https://klasma.github.io/Logging_2260/klagomålsmail/A 26473-2025 FSC-klagomål mail.docx", "A 26473-2025")</f>
        <v/>
      </c>
      <c r="X216">
        <f>HYPERLINK("https://klasma.github.io/Logging_2260/tillsyn/A 26473-2025 tillsynsbegäran.docx", "A 26473-2025")</f>
        <v/>
      </c>
      <c r="Y216">
        <f>HYPERLINK("https://klasma.github.io/Logging_2260/tillsynsmail/A 26473-2025 tillsynsbegäran mail.docx", "A 26473-2025")</f>
        <v/>
      </c>
      <c r="Z216">
        <f>HYPERLINK("https://klasma.github.io/Logging_2260/fåglar/A 26473-2025 prioriterade fågelarter.docx", "A 26473-2025")</f>
        <v/>
      </c>
    </row>
    <row r="217" ht="15" customHeight="1">
      <c r="A217" t="inlineStr">
        <is>
          <t>A 12336-2026</t>
        </is>
      </c>
      <c r="B217" s="1" t="n">
        <v>46087</v>
      </c>
      <c r="C217" s="1" t="n">
        <v>46185</v>
      </c>
      <c r="D217" t="inlineStr">
        <is>
          <t>VÄSTERNORRLANDS LÄN</t>
        </is>
      </c>
      <c r="E217" t="inlineStr">
        <is>
          <t>ÖRNSKÖLDSVIK</t>
        </is>
      </c>
      <c r="F217" t="inlineStr">
        <is>
          <t>Kommuner</t>
        </is>
      </c>
      <c r="G217" t="n">
        <v>6.1</v>
      </c>
      <c r="H217" t="n">
        <v>3</v>
      </c>
      <c r="I217" t="n">
        <v>1</v>
      </c>
      <c r="J217" t="n">
        <v>6</v>
      </c>
      <c r="K217" t="n">
        <v>2</v>
      </c>
      <c r="L217" t="n">
        <v>0</v>
      </c>
      <c r="M217" t="n">
        <v>0</v>
      </c>
      <c r="N217" t="n">
        <v>0</v>
      </c>
      <c r="O217" t="n">
        <v>8</v>
      </c>
      <c r="P217" t="n">
        <v>2</v>
      </c>
      <c r="Q217" t="n">
        <v>9</v>
      </c>
      <c r="R217" s="2" t="inlineStr">
        <is>
          <t>Knärot
Rynkskinn
Garnlav
Gränsticka
Spillkråka
Stjärntagging
Talltita
Ullticka
Vedticka</t>
        </is>
      </c>
      <c r="S217">
        <f>HYPERLINK("https://klasma.github.io/Logging_2284/artfynd/A 12336-2026 artfynd.xlsx", "A 12336-2026")</f>
        <v/>
      </c>
      <c r="T217">
        <f>HYPERLINK("https://klasma.github.io/Logging_2284/kartor/A 12336-2026 karta.png", "A 12336-2026")</f>
        <v/>
      </c>
      <c r="U217">
        <f>HYPERLINK("https://klasma.github.io/Logging_2284/knärot/A 12336-2026 karta knärot.png", "A 12336-2026")</f>
        <v/>
      </c>
      <c r="V217">
        <f>HYPERLINK("https://klasma.github.io/Logging_2284/klagomål/A 12336-2026 FSC-klagomål.docx", "A 12336-2026")</f>
        <v/>
      </c>
      <c r="W217">
        <f>HYPERLINK("https://klasma.github.io/Logging_2284/klagomålsmail/A 12336-2026 FSC-klagomål mail.docx", "A 12336-2026")</f>
        <v/>
      </c>
      <c r="X217">
        <f>HYPERLINK("https://klasma.github.io/Logging_2284/tillsyn/A 12336-2026 tillsynsbegäran.docx", "A 12336-2026")</f>
        <v/>
      </c>
      <c r="Y217">
        <f>HYPERLINK("https://klasma.github.io/Logging_2284/tillsynsmail/A 12336-2026 tillsynsbegäran mail.docx", "A 12336-2026")</f>
        <v/>
      </c>
      <c r="Z217">
        <f>HYPERLINK("https://klasma.github.io/Logging_2284/fåglar/A 12336-2026 prioriterade fågelarter.docx", "A 12336-2026")</f>
        <v/>
      </c>
    </row>
    <row r="218" ht="15" customHeight="1">
      <c r="A218" t="inlineStr">
        <is>
          <t>A 44607-2021</t>
        </is>
      </c>
      <c r="B218" s="1" t="n">
        <v>44435</v>
      </c>
      <c r="C218" s="1" t="n">
        <v>46185</v>
      </c>
      <c r="D218" t="inlineStr">
        <is>
          <t>VÄSTERNORRLANDS LÄN</t>
        </is>
      </c>
      <c r="E218" t="inlineStr">
        <is>
          <t>ÅNGE</t>
        </is>
      </c>
      <c r="F218" t="inlineStr">
        <is>
          <t>SCA</t>
        </is>
      </c>
      <c r="G218" t="n">
        <v>7.2</v>
      </c>
      <c r="H218" t="n">
        <v>1</v>
      </c>
      <c r="I218" t="n">
        <v>2</v>
      </c>
      <c r="J218" t="n">
        <v>6</v>
      </c>
      <c r="K218" t="n">
        <v>1</v>
      </c>
      <c r="L218" t="n">
        <v>0</v>
      </c>
      <c r="M218" t="n">
        <v>0</v>
      </c>
      <c r="N218" t="n">
        <v>0</v>
      </c>
      <c r="O218" t="n">
        <v>7</v>
      </c>
      <c r="P218" t="n">
        <v>1</v>
      </c>
      <c r="Q218" t="n">
        <v>9</v>
      </c>
      <c r="R218" s="2" t="inlineStr">
        <is>
          <t>Fläckporing
Dvärgbägarlav
Kolflarnlav
Mörk kolflarnlav
Skrovlig taggsvamp
Talltita
Vedflamlav
Dropptaggsvamp
Vedticka</t>
        </is>
      </c>
      <c r="S218">
        <f>HYPERLINK("https://klasma.github.io/Logging_2260/artfynd/A 44607-2021 artfynd.xlsx", "A 44607-2021")</f>
        <v/>
      </c>
      <c r="T218">
        <f>HYPERLINK("https://klasma.github.io/Logging_2260/kartor/A 44607-2021 karta.png", "A 44607-2021")</f>
        <v/>
      </c>
      <c r="V218">
        <f>HYPERLINK("https://klasma.github.io/Logging_2260/klagomål/A 44607-2021 FSC-klagomål.docx", "A 44607-2021")</f>
        <v/>
      </c>
      <c r="W218">
        <f>HYPERLINK("https://klasma.github.io/Logging_2260/klagomålsmail/A 44607-2021 FSC-klagomål mail.docx", "A 44607-2021")</f>
        <v/>
      </c>
      <c r="X218">
        <f>HYPERLINK("https://klasma.github.io/Logging_2260/tillsyn/A 44607-2021 tillsynsbegäran.docx", "A 44607-2021")</f>
        <v/>
      </c>
      <c r="Y218">
        <f>HYPERLINK("https://klasma.github.io/Logging_2260/tillsynsmail/A 44607-2021 tillsynsbegäran mail.docx", "A 44607-2021")</f>
        <v/>
      </c>
      <c r="Z218">
        <f>HYPERLINK("https://klasma.github.io/Logging_2260/fåglar/A 44607-2021 prioriterade fågelarter.docx", "A 44607-2021")</f>
        <v/>
      </c>
    </row>
    <row r="219" ht="15" customHeight="1">
      <c r="A219" t="inlineStr">
        <is>
          <t>A 40545-2024</t>
        </is>
      </c>
      <c r="B219" s="1" t="n">
        <v>45555</v>
      </c>
      <c r="C219" s="1" t="n">
        <v>46185</v>
      </c>
      <c r="D219" t="inlineStr">
        <is>
          <t>VÄSTERNORRLANDS LÄN</t>
        </is>
      </c>
      <c r="E219" t="inlineStr">
        <is>
          <t>ÅNGE</t>
        </is>
      </c>
      <c r="F219" t="inlineStr">
        <is>
          <t>SCA</t>
        </is>
      </c>
      <c r="G219" t="n">
        <v>9.1</v>
      </c>
      <c r="H219" t="n">
        <v>4</v>
      </c>
      <c r="I219" t="n">
        <v>1</v>
      </c>
      <c r="J219" t="n">
        <v>7</v>
      </c>
      <c r="K219" t="n">
        <v>1</v>
      </c>
      <c r="L219" t="n">
        <v>0</v>
      </c>
      <c r="M219" t="n">
        <v>0</v>
      </c>
      <c r="N219" t="n">
        <v>0</v>
      </c>
      <c r="O219" t="n">
        <v>8</v>
      </c>
      <c r="P219" t="n">
        <v>1</v>
      </c>
      <c r="Q219" t="n">
        <v>9</v>
      </c>
      <c r="R219" s="2" t="inlineStr">
        <is>
          <t>Knärot
Garnlav
Granticka
Kungsörn
Lunglav
Talltita
Tretåig hackspett
Ullticka
Stuplav</t>
        </is>
      </c>
      <c r="S219">
        <f>HYPERLINK("https://klasma.github.io/Logging_2260/artfynd/A 40545-2024 artfynd.xlsx", "A 40545-2024")</f>
        <v/>
      </c>
      <c r="T219">
        <f>HYPERLINK("https://klasma.github.io/Logging_2260/kartor/A 40545-2024 karta.png", "A 40545-2024")</f>
        <v/>
      </c>
      <c r="U219">
        <f>HYPERLINK("https://klasma.github.io/Logging_2260/knärot/A 40545-2024 karta knärot.png", "A 40545-2024")</f>
        <v/>
      </c>
      <c r="V219">
        <f>HYPERLINK("https://klasma.github.io/Logging_2260/klagomål/A 40545-2024 FSC-klagomål.docx", "A 40545-2024")</f>
        <v/>
      </c>
      <c r="W219">
        <f>HYPERLINK("https://klasma.github.io/Logging_2260/klagomålsmail/A 40545-2024 FSC-klagomål mail.docx", "A 40545-2024")</f>
        <v/>
      </c>
      <c r="X219">
        <f>HYPERLINK("https://klasma.github.io/Logging_2260/tillsyn/A 40545-2024 tillsynsbegäran.docx", "A 40545-2024")</f>
        <v/>
      </c>
      <c r="Y219">
        <f>HYPERLINK("https://klasma.github.io/Logging_2260/tillsynsmail/A 40545-2024 tillsynsbegäran mail.docx", "A 40545-2024")</f>
        <v/>
      </c>
      <c r="Z219">
        <f>HYPERLINK("https://klasma.github.io/Logging_2260/fåglar/A 40545-2024 prioriterade fågelarter.docx", "A 40545-2024")</f>
        <v/>
      </c>
    </row>
    <row r="220" ht="15" customHeight="1">
      <c r="A220" t="inlineStr">
        <is>
          <t>A 46124-2024</t>
        </is>
      </c>
      <c r="B220" s="1" t="n">
        <v>45581</v>
      </c>
      <c r="C220" s="1" t="n">
        <v>46185</v>
      </c>
      <c r="D220" t="inlineStr">
        <is>
          <t>VÄSTERNORRLANDS LÄN</t>
        </is>
      </c>
      <c r="E220" t="inlineStr">
        <is>
          <t>SUNDSVALL</t>
        </is>
      </c>
      <c r="G220" t="n">
        <v>6.2</v>
      </c>
      <c r="H220" t="n">
        <v>4</v>
      </c>
      <c r="I220" t="n">
        <v>2</v>
      </c>
      <c r="J220" t="n">
        <v>4</v>
      </c>
      <c r="K220" t="n">
        <v>1</v>
      </c>
      <c r="L220" t="n">
        <v>0</v>
      </c>
      <c r="M220" t="n">
        <v>0</v>
      </c>
      <c r="N220" t="n">
        <v>0</v>
      </c>
      <c r="O220" t="n">
        <v>5</v>
      </c>
      <c r="P220" t="n">
        <v>1</v>
      </c>
      <c r="Q220" t="n">
        <v>9</v>
      </c>
      <c r="R220" s="2" t="inlineStr">
        <is>
          <t>Knärot
Gränsticka
Svart taggsvamp agg.
Ullticka
Violettgrå tagellav
Dropptaggsvamp
Grön sköldmossa
Gråspett
Blåsippa</t>
        </is>
      </c>
      <c r="S220">
        <f>HYPERLINK("https://klasma.github.io/Logging_2281/artfynd/A 46124-2024 artfynd.xlsx", "A 46124-2024")</f>
        <v/>
      </c>
      <c r="T220">
        <f>HYPERLINK("https://klasma.github.io/Logging_2281/kartor/A 46124-2024 karta.png", "A 46124-2024")</f>
        <v/>
      </c>
      <c r="U220">
        <f>HYPERLINK("https://klasma.github.io/Logging_2281/knärot/A 46124-2024 karta knärot.png", "A 46124-2024")</f>
        <v/>
      </c>
      <c r="V220">
        <f>HYPERLINK("https://klasma.github.io/Logging_2281/klagomål/A 46124-2024 FSC-klagomål.docx", "A 46124-2024")</f>
        <v/>
      </c>
      <c r="W220">
        <f>HYPERLINK("https://klasma.github.io/Logging_2281/klagomålsmail/A 46124-2024 FSC-klagomål mail.docx", "A 46124-2024")</f>
        <v/>
      </c>
      <c r="X220">
        <f>HYPERLINK("https://klasma.github.io/Logging_2281/tillsyn/A 46124-2024 tillsynsbegäran.docx", "A 46124-2024")</f>
        <v/>
      </c>
      <c r="Y220">
        <f>HYPERLINK("https://klasma.github.io/Logging_2281/tillsynsmail/A 46124-2024 tillsynsbegäran mail.docx", "A 46124-2024")</f>
        <v/>
      </c>
      <c r="Z220">
        <f>HYPERLINK("https://klasma.github.io/Logging_2281/fåglar/A 46124-2024 prioriterade fågelarter.docx", "A 46124-2024")</f>
        <v/>
      </c>
    </row>
    <row r="221" ht="15" customHeight="1">
      <c r="A221" t="inlineStr">
        <is>
          <t>A 30272-2023</t>
        </is>
      </c>
      <c r="B221" s="1" t="n">
        <v>45099</v>
      </c>
      <c r="C221" s="1" t="n">
        <v>46185</v>
      </c>
      <c r="D221" t="inlineStr">
        <is>
          <t>VÄSTERNORRLANDS LÄN</t>
        </is>
      </c>
      <c r="E221" t="inlineStr">
        <is>
          <t>SUNDSVALL</t>
        </is>
      </c>
      <c r="G221" t="n">
        <v>4.1</v>
      </c>
      <c r="H221" t="n">
        <v>2</v>
      </c>
      <c r="I221" t="n">
        <v>4</v>
      </c>
      <c r="J221" t="n">
        <v>4</v>
      </c>
      <c r="K221" t="n">
        <v>1</v>
      </c>
      <c r="L221" t="n">
        <v>0</v>
      </c>
      <c r="M221" t="n">
        <v>0</v>
      </c>
      <c r="N221" t="n">
        <v>0</v>
      </c>
      <c r="O221" t="n">
        <v>5</v>
      </c>
      <c r="P221" t="n">
        <v>1</v>
      </c>
      <c r="Q221" t="n">
        <v>9</v>
      </c>
      <c r="R221" s="2" t="inlineStr">
        <is>
          <t>Knärot
Järpe
Rosenticka
Ullticka
Äggvaxskivling
Bronshjon
Mörk husmossa
Skarp dropptaggsvamp
Vågbandad barkbock</t>
        </is>
      </c>
      <c r="S221">
        <f>HYPERLINK("https://klasma.github.io/Logging_2281/artfynd/A 30272-2023 artfynd.xlsx", "A 30272-2023")</f>
        <v/>
      </c>
      <c r="T221">
        <f>HYPERLINK("https://klasma.github.io/Logging_2281/kartor/A 30272-2023 karta.png", "A 30272-2023")</f>
        <v/>
      </c>
      <c r="U221">
        <f>HYPERLINK("https://klasma.github.io/Logging_2281/knärot/A 30272-2023 karta knärot.png", "A 30272-2023")</f>
        <v/>
      </c>
      <c r="V221">
        <f>HYPERLINK("https://klasma.github.io/Logging_2281/klagomål/A 30272-2023 FSC-klagomål.docx", "A 30272-2023")</f>
        <v/>
      </c>
      <c r="W221">
        <f>HYPERLINK("https://klasma.github.io/Logging_2281/klagomålsmail/A 30272-2023 FSC-klagomål mail.docx", "A 30272-2023")</f>
        <v/>
      </c>
      <c r="X221">
        <f>HYPERLINK("https://klasma.github.io/Logging_2281/tillsyn/A 30272-2023 tillsynsbegäran.docx", "A 30272-2023")</f>
        <v/>
      </c>
      <c r="Y221">
        <f>HYPERLINK("https://klasma.github.io/Logging_2281/tillsynsmail/A 30272-2023 tillsynsbegäran mail.docx", "A 30272-2023")</f>
        <v/>
      </c>
      <c r="Z221">
        <f>HYPERLINK("https://klasma.github.io/Logging_2281/fåglar/A 30272-2023 prioriterade fågelarter.docx", "A 30272-2023")</f>
        <v/>
      </c>
    </row>
    <row r="222" ht="15" customHeight="1">
      <c r="A222" t="inlineStr">
        <is>
          <t>A 26314-2024</t>
        </is>
      </c>
      <c r="B222" s="1" t="n">
        <v>45468</v>
      </c>
      <c r="C222" s="1" t="n">
        <v>46185</v>
      </c>
      <c r="D222" t="inlineStr">
        <is>
          <t>VÄSTERNORRLANDS LÄN</t>
        </is>
      </c>
      <c r="E222" t="inlineStr">
        <is>
          <t>ÅNGE</t>
        </is>
      </c>
      <c r="F222" t="inlineStr">
        <is>
          <t>SCA</t>
        </is>
      </c>
      <c r="G222" t="n">
        <v>11.9</v>
      </c>
      <c r="H222" t="n">
        <v>1</v>
      </c>
      <c r="I222" t="n">
        <v>1</v>
      </c>
      <c r="J222" t="n">
        <v>6</v>
      </c>
      <c r="K222" t="n">
        <v>2</v>
      </c>
      <c r="L222" t="n">
        <v>0</v>
      </c>
      <c r="M222" t="n">
        <v>0</v>
      </c>
      <c r="N222" t="n">
        <v>0</v>
      </c>
      <c r="O222" t="n">
        <v>8</v>
      </c>
      <c r="P222" t="n">
        <v>2</v>
      </c>
      <c r="Q222" t="n">
        <v>9</v>
      </c>
      <c r="R222" s="2" t="inlineStr">
        <is>
          <t>Fläckporing
Knärot
Dvärgbägarlav
Kolflarnlav
Lunglav
Mörk kolflarnlav
Vedflamlav
Vedskivlav
Dropptaggsvamp</t>
        </is>
      </c>
      <c r="S222">
        <f>HYPERLINK("https://klasma.github.io/Logging_2260/artfynd/A 26314-2024 artfynd.xlsx", "A 26314-2024")</f>
        <v/>
      </c>
      <c r="T222">
        <f>HYPERLINK("https://klasma.github.io/Logging_2260/kartor/A 26314-2024 karta.png", "A 26314-2024")</f>
        <v/>
      </c>
      <c r="U222">
        <f>HYPERLINK("https://klasma.github.io/Logging_2260/knärot/A 26314-2024 karta knärot.png", "A 26314-2024")</f>
        <v/>
      </c>
      <c r="V222">
        <f>HYPERLINK("https://klasma.github.io/Logging_2260/klagomål/A 26314-2024 FSC-klagomål.docx", "A 26314-2024")</f>
        <v/>
      </c>
      <c r="W222">
        <f>HYPERLINK("https://klasma.github.io/Logging_2260/klagomålsmail/A 26314-2024 FSC-klagomål mail.docx", "A 26314-2024")</f>
        <v/>
      </c>
      <c r="X222">
        <f>HYPERLINK("https://klasma.github.io/Logging_2260/tillsyn/A 26314-2024 tillsynsbegäran.docx", "A 26314-2024")</f>
        <v/>
      </c>
      <c r="Y222">
        <f>HYPERLINK("https://klasma.github.io/Logging_2260/tillsynsmail/A 26314-2024 tillsynsbegäran mail.docx", "A 26314-2024")</f>
        <v/>
      </c>
    </row>
    <row r="223" ht="15" customHeight="1">
      <c r="A223" t="inlineStr">
        <is>
          <t>A 42962-2024</t>
        </is>
      </c>
      <c r="B223" s="1" t="n">
        <v>45567.37194444444</v>
      </c>
      <c r="C223" s="1" t="n">
        <v>46185</v>
      </c>
      <c r="D223" t="inlineStr">
        <is>
          <t>VÄSTERNORRLANDS LÄN</t>
        </is>
      </c>
      <c r="E223" t="inlineStr">
        <is>
          <t>ÅNGE</t>
        </is>
      </c>
      <c r="F223" t="inlineStr">
        <is>
          <t>SCA</t>
        </is>
      </c>
      <c r="G223" t="n">
        <v>11.2</v>
      </c>
      <c r="H223" t="n">
        <v>0</v>
      </c>
      <c r="I223" t="n">
        <v>0</v>
      </c>
      <c r="J223" t="n">
        <v>8</v>
      </c>
      <c r="K223" t="n">
        <v>1</v>
      </c>
      <c r="L223" t="n">
        <v>0</v>
      </c>
      <c r="M223" t="n">
        <v>0</v>
      </c>
      <c r="N223" t="n">
        <v>0</v>
      </c>
      <c r="O223" t="n">
        <v>9</v>
      </c>
      <c r="P223" t="n">
        <v>1</v>
      </c>
      <c r="Q223" t="n">
        <v>9</v>
      </c>
      <c r="R223" s="2" t="inlineStr">
        <is>
          <t>Gräddporing
Dvärgbägarlav
Lunglav
Mörk kolflarnlav
Vedflamlav
Vedskivlav
Vedtrappmossa
Violettgrå tagellav
Vitplätt</t>
        </is>
      </c>
      <c r="S223">
        <f>HYPERLINK("https://klasma.github.io/Logging_2260/artfynd/A 42962-2024 artfynd.xlsx", "A 42962-2024")</f>
        <v/>
      </c>
      <c r="T223">
        <f>HYPERLINK("https://klasma.github.io/Logging_2260/kartor/A 42962-2024 karta.png", "A 42962-2024")</f>
        <v/>
      </c>
      <c r="V223">
        <f>HYPERLINK("https://klasma.github.io/Logging_2260/klagomål/A 42962-2024 FSC-klagomål.docx", "A 42962-2024")</f>
        <v/>
      </c>
      <c r="W223">
        <f>HYPERLINK("https://klasma.github.io/Logging_2260/klagomålsmail/A 42962-2024 FSC-klagomål mail.docx", "A 42962-2024")</f>
        <v/>
      </c>
      <c r="X223">
        <f>HYPERLINK("https://klasma.github.io/Logging_2260/tillsyn/A 42962-2024 tillsynsbegäran.docx", "A 42962-2024")</f>
        <v/>
      </c>
      <c r="Y223">
        <f>HYPERLINK("https://klasma.github.io/Logging_2260/tillsynsmail/A 42962-2024 tillsynsbegäran mail.docx", "A 42962-2024")</f>
        <v/>
      </c>
    </row>
    <row r="224" ht="15" customHeight="1">
      <c r="A224" t="inlineStr">
        <is>
          <t>A 29686-2024</t>
        </is>
      </c>
      <c r="B224" s="1" t="n">
        <v>45484</v>
      </c>
      <c r="C224" s="1" t="n">
        <v>46185</v>
      </c>
      <c r="D224" t="inlineStr">
        <is>
          <t>VÄSTERNORRLANDS LÄN</t>
        </is>
      </c>
      <c r="E224" t="inlineStr">
        <is>
          <t>HÄRNÖSAND</t>
        </is>
      </c>
      <c r="F224" t="inlineStr">
        <is>
          <t>SCA</t>
        </is>
      </c>
      <c r="G224" t="n">
        <v>12.8</v>
      </c>
      <c r="H224" t="n">
        <v>1</v>
      </c>
      <c r="I224" t="n">
        <v>3</v>
      </c>
      <c r="J224" t="n">
        <v>6</v>
      </c>
      <c r="K224" t="n">
        <v>0</v>
      </c>
      <c r="L224" t="n">
        <v>0</v>
      </c>
      <c r="M224" t="n">
        <v>0</v>
      </c>
      <c r="N224" t="n">
        <v>0</v>
      </c>
      <c r="O224" t="n">
        <v>6</v>
      </c>
      <c r="P224" t="n">
        <v>0</v>
      </c>
      <c r="Q224" t="n">
        <v>9</v>
      </c>
      <c r="R224" s="2" t="inlineStr">
        <is>
          <t>Doftskinn
Garnlav
Granticka
Lunglav
Tretåig hackspett
Violettgrå tagellav
Gytterlav
Skinnlav
Stor aspticka</t>
        </is>
      </c>
      <c r="S224">
        <f>HYPERLINK("https://klasma.github.io/Logging_2280/artfynd/A 29686-2024 artfynd.xlsx", "A 29686-2024")</f>
        <v/>
      </c>
      <c r="T224">
        <f>HYPERLINK("https://klasma.github.io/Logging_2280/kartor/A 29686-2024 karta.png", "A 29686-2024")</f>
        <v/>
      </c>
      <c r="V224">
        <f>HYPERLINK("https://klasma.github.io/Logging_2280/klagomål/A 29686-2024 FSC-klagomål.docx", "A 29686-2024")</f>
        <v/>
      </c>
      <c r="W224">
        <f>HYPERLINK("https://klasma.github.io/Logging_2280/klagomålsmail/A 29686-2024 FSC-klagomål mail.docx", "A 29686-2024")</f>
        <v/>
      </c>
      <c r="X224">
        <f>HYPERLINK("https://klasma.github.io/Logging_2280/tillsyn/A 29686-2024 tillsynsbegäran.docx", "A 29686-2024")</f>
        <v/>
      </c>
      <c r="Y224">
        <f>HYPERLINK("https://klasma.github.io/Logging_2280/tillsynsmail/A 29686-2024 tillsynsbegäran mail.docx", "A 29686-2024")</f>
        <v/>
      </c>
      <c r="Z224">
        <f>HYPERLINK("https://klasma.github.io/Logging_2280/fåglar/A 29686-2024 prioriterade fågelarter.docx", "A 29686-2024")</f>
        <v/>
      </c>
    </row>
    <row r="225" ht="15" customHeight="1">
      <c r="A225" t="inlineStr">
        <is>
          <t>A 21981-2026</t>
        </is>
      </c>
      <c r="B225" s="1" t="n">
        <v>46153</v>
      </c>
      <c r="C225" s="1" t="n">
        <v>46185</v>
      </c>
      <c r="D225" t="inlineStr">
        <is>
          <t>VÄSTERNORRLANDS LÄN</t>
        </is>
      </c>
      <c r="E225" t="inlineStr">
        <is>
          <t>ÖRNSKÖLDSVIK</t>
        </is>
      </c>
      <c r="F225" t="inlineStr">
        <is>
          <t>Holmen skog AB</t>
        </is>
      </c>
      <c r="G225" t="n">
        <v>4.6</v>
      </c>
      <c r="H225" t="n">
        <v>4</v>
      </c>
      <c r="I225" t="n">
        <v>1</v>
      </c>
      <c r="J225" t="n">
        <v>6</v>
      </c>
      <c r="K225" t="n">
        <v>1</v>
      </c>
      <c r="L225" t="n">
        <v>0</v>
      </c>
      <c r="M225" t="n">
        <v>0</v>
      </c>
      <c r="N225" t="n">
        <v>0</v>
      </c>
      <c r="O225" t="n">
        <v>7</v>
      </c>
      <c r="P225" t="n">
        <v>1</v>
      </c>
      <c r="Q225" t="n">
        <v>9</v>
      </c>
      <c r="R225" s="2" t="inlineStr">
        <is>
          <t>Grantickeporing
Garnlav
Granticka
Gränsticka
Spillkråka
Talltita
Tretåig hackspett
Vedticka
Vanlig groda</t>
        </is>
      </c>
      <c r="S225">
        <f>HYPERLINK("https://klasma.github.io/Logging_2284/artfynd/A 21981-2026 artfynd.xlsx", "A 21981-2026")</f>
        <v/>
      </c>
      <c r="T225">
        <f>HYPERLINK("https://klasma.github.io/Logging_2284/kartor/A 21981-2026 karta.png", "A 21981-2026")</f>
        <v/>
      </c>
      <c r="V225">
        <f>HYPERLINK("https://klasma.github.io/Logging_2284/klagomål/A 21981-2026 FSC-klagomål.docx", "A 21981-2026")</f>
        <v/>
      </c>
      <c r="W225">
        <f>HYPERLINK("https://klasma.github.io/Logging_2284/klagomålsmail/A 21981-2026 FSC-klagomål mail.docx", "A 21981-2026")</f>
        <v/>
      </c>
      <c r="X225">
        <f>HYPERLINK("https://klasma.github.io/Logging_2284/tillsyn/A 21981-2026 tillsynsbegäran.docx", "A 21981-2026")</f>
        <v/>
      </c>
      <c r="Y225">
        <f>HYPERLINK("https://klasma.github.io/Logging_2284/tillsynsmail/A 21981-2026 tillsynsbegäran mail.docx", "A 21981-2026")</f>
        <v/>
      </c>
      <c r="Z225">
        <f>HYPERLINK("https://klasma.github.io/Logging_2284/fåglar/A 21981-2026 prioriterade fågelarter.docx", "A 21981-2026")</f>
        <v/>
      </c>
    </row>
    <row r="226" ht="15" customHeight="1">
      <c r="A226" t="inlineStr">
        <is>
          <t>A 12146-2025</t>
        </is>
      </c>
      <c r="B226" s="1" t="n">
        <v>45729</v>
      </c>
      <c r="C226" s="1" t="n">
        <v>46185</v>
      </c>
      <c r="D226" t="inlineStr">
        <is>
          <t>VÄSTERNORRLANDS LÄN</t>
        </is>
      </c>
      <c r="E226" t="inlineStr">
        <is>
          <t>SOLLEFTEÅ</t>
        </is>
      </c>
      <c r="F226" t="inlineStr">
        <is>
          <t>SCA</t>
        </is>
      </c>
      <c r="G226" t="n">
        <v>7.4</v>
      </c>
      <c r="H226" t="n">
        <v>4</v>
      </c>
      <c r="I226" t="n">
        <v>1</v>
      </c>
      <c r="J226" t="n">
        <v>7</v>
      </c>
      <c r="K226" t="n">
        <v>0</v>
      </c>
      <c r="L226" t="n">
        <v>0</v>
      </c>
      <c r="M226" t="n">
        <v>0</v>
      </c>
      <c r="N226" t="n">
        <v>0</v>
      </c>
      <c r="O226" t="n">
        <v>7</v>
      </c>
      <c r="P226" t="n">
        <v>0</v>
      </c>
      <c r="Q226" t="n">
        <v>9</v>
      </c>
      <c r="R226" s="2" t="inlineStr">
        <is>
          <t>Gammelgransskål
Garnlav
Granticka
Harticka
Lunglav
Talltita
Tretåig hackspett
Lappranunkel
Tjäder</t>
        </is>
      </c>
      <c r="S226">
        <f>HYPERLINK("https://klasma.github.io/Logging_2283/artfynd/A 12146-2025 artfynd.xlsx", "A 12146-2025")</f>
        <v/>
      </c>
      <c r="T226">
        <f>HYPERLINK("https://klasma.github.io/Logging_2283/kartor/A 12146-2025 karta.png", "A 12146-2025")</f>
        <v/>
      </c>
      <c r="V226">
        <f>HYPERLINK("https://klasma.github.io/Logging_2283/klagomål/A 12146-2025 FSC-klagomål.docx", "A 12146-2025")</f>
        <v/>
      </c>
      <c r="W226">
        <f>HYPERLINK("https://klasma.github.io/Logging_2283/klagomålsmail/A 12146-2025 FSC-klagomål mail.docx", "A 12146-2025")</f>
        <v/>
      </c>
      <c r="X226">
        <f>HYPERLINK("https://klasma.github.io/Logging_2283/tillsyn/A 12146-2025 tillsynsbegäran.docx", "A 12146-2025")</f>
        <v/>
      </c>
      <c r="Y226">
        <f>HYPERLINK("https://klasma.github.io/Logging_2283/tillsynsmail/A 12146-2025 tillsynsbegäran mail.docx", "A 12146-2025")</f>
        <v/>
      </c>
      <c r="Z226">
        <f>HYPERLINK("https://klasma.github.io/Logging_2283/fåglar/A 12146-2025 prioriterade fågelarter.docx", "A 12146-2025")</f>
        <v/>
      </c>
    </row>
    <row r="227" ht="15" customHeight="1">
      <c r="A227" t="inlineStr">
        <is>
          <t>A 18392-2026</t>
        </is>
      </c>
      <c r="B227" s="1" t="n">
        <v>46126.65784722222</v>
      </c>
      <c r="C227" s="1" t="n">
        <v>46185</v>
      </c>
      <c r="D227" t="inlineStr">
        <is>
          <t>VÄSTERNORRLANDS LÄN</t>
        </is>
      </c>
      <c r="E227" t="inlineStr">
        <is>
          <t>SOLLEFTEÅ</t>
        </is>
      </c>
      <c r="F227" t="inlineStr">
        <is>
          <t>SCA</t>
        </is>
      </c>
      <c r="G227" t="n">
        <v>3.1</v>
      </c>
      <c r="H227" t="n">
        <v>2</v>
      </c>
      <c r="I227" t="n">
        <v>1</v>
      </c>
      <c r="J227" t="n">
        <v>5</v>
      </c>
      <c r="K227" t="n">
        <v>2</v>
      </c>
      <c r="L227" t="n">
        <v>0</v>
      </c>
      <c r="M227" t="n">
        <v>0</v>
      </c>
      <c r="N227" t="n">
        <v>0</v>
      </c>
      <c r="O227" t="n">
        <v>7</v>
      </c>
      <c r="P227" t="n">
        <v>2</v>
      </c>
      <c r="Q227" t="n">
        <v>9</v>
      </c>
      <c r="R227" s="2" t="inlineStr">
        <is>
          <t>Knärot
Rynkskinn
Garnlav
Lunglav
Mörk kolflarnlav
Rosenticka
Ullticka
Stuplav
Revlummer</t>
        </is>
      </c>
      <c r="S227">
        <f>HYPERLINK("https://klasma.github.io/Logging_2283/artfynd/A 18392-2026 artfynd.xlsx", "A 18392-2026")</f>
        <v/>
      </c>
      <c r="T227">
        <f>HYPERLINK("https://klasma.github.io/Logging_2283/kartor/A 18392-2026 karta.png", "A 18392-2026")</f>
        <v/>
      </c>
      <c r="U227">
        <f>HYPERLINK("https://klasma.github.io/Logging_2283/knärot/A 18392-2026 karta knärot.png", "A 18392-2026")</f>
        <v/>
      </c>
      <c r="V227">
        <f>HYPERLINK("https://klasma.github.io/Logging_2283/klagomål/A 18392-2026 FSC-klagomål.docx", "A 18392-2026")</f>
        <v/>
      </c>
      <c r="W227">
        <f>HYPERLINK("https://klasma.github.io/Logging_2283/klagomålsmail/A 18392-2026 FSC-klagomål mail.docx", "A 18392-2026")</f>
        <v/>
      </c>
      <c r="X227">
        <f>HYPERLINK("https://klasma.github.io/Logging_2283/tillsyn/A 18392-2026 tillsynsbegäran.docx", "A 18392-2026")</f>
        <v/>
      </c>
      <c r="Y227">
        <f>HYPERLINK("https://klasma.github.io/Logging_2283/tillsynsmail/A 18392-2026 tillsynsbegäran mail.docx", "A 18392-2026")</f>
        <v/>
      </c>
    </row>
    <row r="228" ht="15" customHeight="1">
      <c r="A228" t="inlineStr">
        <is>
          <t>A 24755-2024</t>
        </is>
      </c>
      <c r="B228" s="1" t="n">
        <v>45460</v>
      </c>
      <c r="C228" s="1" t="n">
        <v>46185</v>
      </c>
      <c r="D228" t="inlineStr">
        <is>
          <t>VÄSTERNORRLANDS LÄN</t>
        </is>
      </c>
      <c r="E228" t="inlineStr">
        <is>
          <t>SOLLEFTEÅ</t>
        </is>
      </c>
      <c r="G228" t="n">
        <v>14</v>
      </c>
      <c r="H228" t="n">
        <v>4</v>
      </c>
      <c r="I228" t="n">
        <v>3</v>
      </c>
      <c r="J228" t="n">
        <v>4</v>
      </c>
      <c r="K228" t="n">
        <v>1</v>
      </c>
      <c r="L228" t="n">
        <v>0</v>
      </c>
      <c r="M228" t="n">
        <v>0</v>
      </c>
      <c r="N228" t="n">
        <v>0</v>
      </c>
      <c r="O228" t="n">
        <v>5</v>
      </c>
      <c r="P228" t="n">
        <v>1</v>
      </c>
      <c r="Q228" t="n">
        <v>9</v>
      </c>
      <c r="R228" s="2" t="inlineStr">
        <is>
          <t>Rynkskinn
Rosenticka
Spillkråka
Tretåig hackspett
Ullticka
Plattlummer
Tallfingersvamp
Vedticka
Revlummer</t>
        </is>
      </c>
      <c r="S228">
        <f>HYPERLINK("https://klasma.github.io/Logging_2283/artfynd/A 24755-2024 artfynd.xlsx", "A 24755-2024")</f>
        <v/>
      </c>
      <c r="T228">
        <f>HYPERLINK("https://klasma.github.io/Logging_2283/kartor/A 24755-2024 karta.png", "A 24755-2024")</f>
        <v/>
      </c>
      <c r="V228">
        <f>HYPERLINK("https://klasma.github.io/Logging_2283/klagomål/A 24755-2024 FSC-klagomål.docx", "A 24755-2024")</f>
        <v/>
      </c>
      <c r="W228">
        <f>HYPERLINK("https://klasma.github.io/Logging_2283/klagomålsmail/A 24755-2024 FSC-klagomål mail.docx", "A 24755-2024")</f>
        <v/>
      </c>
      <c r="X228">
        <f>HYPERLINK("https://klasma.github.io/Logging_2283/tillsyn/A 24755-2024 tillsynsbegäran.docx", "A 24755-2024")</f>
        <v/>
      </c>
      <c r="Y228">
        <f>HYPERLINK("https://klasma.github.io/Logging_2283/tillsynsmail/A 24755-2024 tillsynsbegäran mail.docx", "A 24755-2024")</f>
        <v/>
      </c>
      <c r="Z228">
        <f>HYPERLINK("https://klasma.github.io/Logging_2283/fåglar/A 24755-2024 prioriterade fågelarter.docx", "A 24755-2024")</f>
        <v/>
      </c>
    </row>
    <row r="229" ht="15" customHeight="1">
      <c r="A229" t="inlineStr">
        <is>
          <t>A 14582-2024</t>
        </is>
      </c>
      <c r="B229" s="1" t="n">
        <v>45394</v>
      </c>
      <c r="C229" s="1" t="n">
        <v>46185</v>
      </c>
      <c r="D229" t="inlineStr">
        <is>
          <t>VÄSTERNORRLANDS LÄN</t>
        </is>
      </c>
      <c r="E229" t="inlineStr">
        <is>
          <t>HÄRNÖSAND</t>
        </is>
      </c>
      <c r="F229" t="inlineStr">
        <is>
          <t>SCA</t>
        </is>
      </c>
      <c r="G229" t="n">
        <v>4.1</v>
      </c>
      <c r="H229" t="n">
        <v>1</v>
      </c>
      <c r="I229" t="n">
        <v>0</v>
      </c>
      <c r="J229" t="n">
        <v>9</v>
      </c>
      <c r="K229" t="n">
        <v>0</v>
      </c>
      <c r="L229" t="n">
        <v>0</v>
      </c>
      <c r="M229" t="n">
        <v>0</v>
      </c>
      <c r="N229" t="n">
        <v>0</v>
      </c>
      <c r="O229" t="n">
        <v>9</v>
      </c>
      <c r="P229" t="n">
        <v>0</v>
      </c>
      <c r="Q229" t="n">
        <v>9</v>
      </c>
      <c r="R229" s="2" t="inlineStr">
        <is>
          <t>Dvärgbägarlav
Garnlav
Kortskaftad ärgspik
Mörk kolflarnlav
Nordtagging
Tretåig hackspett
Ullticka
Vedflamlav
Vedskivlav</t>
        </is>
      </c>
      <c r="S229">
        <f>HYPERLINK("https://klasma.github.io/Logging_2280/artfynd/A 14582-2024 artfynd.xlsx", "A 14582-2024")</f>
        <v/>
      </c>
      <c r="T229">
        <f>HYPERLINK("https://klasma.github.io/Logging_2280/kartor/A 14582-2024 karta.png", "A 14582-2024")</f>
        <v/>
      </c>
      <c r="V229">
        <f>HYPERLINK("https://klasma.github.io/Logging_2280/klagomål/A 14582-2024 FSC-klagomål.docx", "A 14582-2024")</f>
        <v/>
      </c>
      <c r="W229">
        <f>HYPERLINK("https://klasma.github.io/Logging_2280/klagomålsmail/A 14582-2024 FSC-klagomål mail.docx", "A 14582-2024")</f>
        <v/>
      </c>
      <c r="X229">
        <f>HYPERLINK("https://klasma.github.io/Logging_2280/tillsyn/A 14582-2024 tillsynsbegäran.docx", "A 14582-2024")</f>
        <v/>
      </c>
      <c r="Y229">
        <f>HYPERLINK("https://klasma.github.io/Logging_2280/tillsynsmail/A 14582-2024 tillsynsbegäran mail.docx", "A 14582-2024")</f>
        <v/>
      </c>
      <c r="Z229">
        <f>HYPERLINK("https://klasma.github.io/Logging_2280/fåglar/A 14582-2024 prioriterade fågelarter.docx", "A 14582-2024")</f>
        <v/>
      </c>
    </row>
    <row r="230" ht="15" customHeight="1">
      <c r="A230" t="inlineStr">
        <is>
          <t>A 19845-2026</t>
        </is>
      </c>
      <c r="B230" s="1" t="n">
        <v>46135.61526620371</v>
      </c>
      <c r="C230" s="1" t="n">
        <v>46185</v>
      </c>
      <c r="D230" t="inlineStr">
        <is>
          <t>VÄSTERNORRLANDS LÄN</t>
        </is>
      </c>
      <c r="E230" t="inlineStr">
        <is>
          <t>ÅNGE</t>
        </is>
      </c>
      <c r="G230" t="n">
        <v>4.7</v>
      </c>
      <c r="H230" t="n">
        <v>3</v>
      </c>
      <c r="I230" t="n">
        <v>2</v>
      </c>
      <c r="J230" t="n">
        <v>5</v>
      </c>
      <c r="K230" t="n">
        <v>1</v>
      </c>
      <c r="L230" t="n">
        <v>0</v>
      </c>
      <c r="M230" t="n">
        <v>0</v>
      </c>
      <c r="N230" t="n">
        <v>0</v>
      </c>
      <c r="O230" t="n">
        <v>6</v>
      </c>
      <c r="P230" t="n">
        <v>1</v>
      </c>
      <c r="Q230" t="n">
        <v>9</v>
      </c>
      <c r="R230" s="2" t="inlineStr">
        <is>
          <t>Knärot
Kötticka
Rosenticka
Tretåig hackspett
Ullticka
Vitgrynig nållav
Svart trolldruva
Vedticka
Revlummer</t>
        </is>
      </c>
      <c r="S230">
        <f>HYPERLINK("https://klasma.github.io/Logging_2260/artfynd/A 19845-2026 artfynd.xlsx", "A 19845-2026")</f>
        <v/>
      </c>
      <c r="T230">
        <f>HYPERLINK("https://klasma.github.io/Logging_2260/kartor/A 19845-2026 karta.png", "A 19845-2026")</f>
        <v/>
      </c>
      <c r="U230">
        <f>HYPERLINK("https://klasma.github.io/Logging_2260/knärot/A 19845-2026 karta knärot.png", "A 19845-2026")</f>
        <v/>
      </c>
      <c r="V230">
        <f>HYPERLINK("https://klasma.github.io/Logging_2260/klagomål/A 19845-2026 FSC-klagomål.docx", "A 19845-2026")</f>
        <v/>
      </c>
      <c r="W230">
        <f>HYPERLINK("https://klasma.github.io/Logging_2260/klagomålsmail/A 19845-2026 FSC-klagomål mail.docx", "A 19845-2026")</f>
        <v/>
      </c>
      <c r="X230">
        <f>HYPERLINK("https://klasma.github.io/Logging_2260/tillsyn/A 19845-2026 tillsynsbegäran.docx", "A 19845-2026")</f>
        <v/>
      </c>
      <c r="Y230">
        <f>HYPERLINK("https://klasma.github.io/Logging_2260/tillsynsmail/A 19845-2026 tillsynsbegäran mail.docx", "A 19845-2026")</f>
        <v/>
      </c>
      <c r="Z230">
        <f>HYPERLINK("https://klasma.github.io/Logging_2260/fåglar/A 19845-2026 prioriterade fågelarter.docx", "A 19845-2026")</f>
        <v/>
      </c>
    </row>
    <row r="231" ht="15" customHeight="1">
      <c r="A231" t="inlineStr">
        <is>
          <t>A 57790-2024</t>
        </is>
      </c>
      <c r="B231" s="1" t="n">
        <v>45631</v>
      </c>
      <c r="C231" s="1" t="n">
        <v>46185</v>
      </c>
      <c r="D231" t="inlineStr">
        <is>
          <t>VÄSTERNORRLANDS LÄN</t>
        </is>
      </c>
      <c r="E231" t="inlineStr">
        <is>
          <t>SOLLEFTEÅ</t>
        </is>
      </c>
      <c r="G231" t="n">
        <v>4.7</v>
      </c>
      <c r="H231" t="n">
        <v>4</v>
      </c>
      <c r="I231" t="n">
        <v>2</v>
      </c>
      <c r="J231" t="n">
        <v>6</v>
      </c>
      <c r="K231" t="n">
        <v>1</v>
      </c>
      <c r="L231" t="n">
        <v>0</v>
      </c>
      <c r="M231" t="n">
        <v>0</v>
      </c>
      <c r="N231" t="n">
        <v>0</v>
      </c>
      <c r="O231" t="n">
        <v>7</v>
      </c>
      <c r="P231" t="n">
        <v>1</v>
      </c>
      <c r="Q231" t="n">
        <v>9</v>
      </c>
      <c r="R231" s="2" t="inlineStr">
        <is>
          <t>Knärot
Garnlav
Rosenticka
Spillkråka
Talltita
Tretåig hackspett
Ullticka
Norrlandslav
Vedticka</t>
        </is>
      </c>
      <c r="S231">
        <f>HYPERLINK("https://klasma.github.io/Logging_2283/artfynd/A 57790-2024 artfynd.xlsx", "A 57790-2024")</f>
        <v/>
      </c>
      <c r="T231">
        <f>HYPERLINK("https://klasma.github.io/Logging_2283/kartor/A 57790-2024 karta.png", "A 57790-2024")</f>
        <v/>
      </c>
      <c r="U231">
        <f>HYPERLINK("https://klasma.github.io/Logging_2283/knärot/A 57790-2024 karta knärot.png", "A 57790-2024")</f>
        <v/>
      </c>
      <c r="V231">
        <f>HYPERLINK("https://klasma.github.io/Logging_2283/klagomål/A 57790-2024 FSC-klagomål.docx", "A 57790-2024")</f>
        <v/>
      </c>
      <c r="W231">
        <f>HYPERLINK("https://klasma.github.io/Logging_2283/klagomålsmail/A 57790-2024 FSC-klagomål mail.docx", "A 57790-2024")</f>
        <v/>
      </c>
      <c r="X231">
        <f>HYPERLINK("https://klasma.github.io/Logging_2283/tillsyn/A 57790-2024 tillsynsbegäran.docx", "A 57790-2024")</f>
        <v/>
      </c>
      <c r="Y231">
        <f>HYPERLINK("https://klasma.github.io/Logging_2283/tillsynsmail/A 57790-2024 tillsynsbegäran mail.docx", "A 57790-2024")</f>
        <v/>
      </c>
      <c r="Z231">
        <f>HYPERLINK("https://klasma.github.io/Logging_2283/fåglar/A 57790-2024 prioriterade fågelarter.docx", "A 57790-2024")</f>
        <v/>
      </c>
    </row>
    <row r="232" ht="15" customHeight="1">
      <c r="A232" t="inlineStr">
        <is>
          <t>A 39197-2025</t>
        </is>
      </c>
      <c r="B232" s="1" t="n">
        <v>45888.69832175926</v>
      </c>
      <c r="C232" s="1" t="n">
        <v>46185</v>
      </c>
      <c r="D232" t="inlineStr">
        <is>
          <t>VÄSTERNORRLANDS LÄN</t>
        </is>
      </c>
      <c r="E232" t="inlineStr">
        <is>
          <t>SOLLEFTEÅ</t>
        </is>
      </c>
      <c r="G232" t="n">
        <v>1.8</v>
      </c>
      <c r="H232" t="n">
        <v>2</v>
      </c>
      <c r="I232" t="n">
        <v>3</v>
      </c>
      <c r="J232" t="n">
        <v>5</v>
      </c>
      <c r="K232" t="n">
        <v>1</v>
      </c>
      <c r="L232" t="n">
        <v>0</v>
      </c>
      <c r="M232" t="n">
        <v>0</v>
      </c>
      <c r="N232" t="n">
        <v>0</v>
      </c>
      <c r="O232" t="n">
        <v>6</v>
      </c>
      <c r="P232" t="n">
        <v>1</v>
      </c>
      <c r="Q232" t="n">
        <v>9</v>
      </c>
      <c r="R232" s="2" t="inlineStr">
        <is>
          <t>Knärot
Gammelgransskål
Lunglav
Skrovellav
Tretåig hackspett
Ullticka
Stuplav
Trådticka
Vedticka</t>
        </is>
      </c>
      <c r="S232">
        <f>HYPERLINK("https://klasma.github.io/Logging_2283/artfynd/A 39197-2025 artfynd.xlsx", "A 39197-2025")</f>
        <v/>
      </c>
      <c r="T232">
        <f>HYPERLINK("https://klasma.github.io/Logging_2283/kartor/A 39197-2025 karta.png", "A 39197-2025")</f>
        <v/>
      </c>
      <c r="U232">
        <f>HYPERLINK("https://klasma.github.io/Logging_2283/knärot/A 39197-2025 karta knärot.png", "A 39197-2025")</f>
        <v/>
      </c>
      <c r="V232">
        <f>HYPERLINK("https://klasma.github.io/Logging_2283/klagomål/A 39197-2025 FSC-klagomål.docx", "A 39197-2025")</f>
        <v/>
      </c>
      <c r="W232">
        <f>HYPERLINK("https://klasma.github.io/Logging_2283/klagomålsmail/A 39197-2025 FSC-klagomål mail.docx", "A 39197-2025")</f>
        <v/>
      </c>
      <c r="X232">
        <f>HYPERLINK("https://klasma.github.io/Logging_2283/tillsyn/A 39197-2025 tillsynsbegäran.docx", "A 39197-2025")</f>
        <v/>
      </c>
      <c r="Y232">
        <f>HYPERLINK("https://klasma.github.io/Logging_2283/tillsynsmail/A 39197-2025 tillsynsbegäran mail.docx", "A 39197-2025")</f>
        <v/>
      </c>
      <c r="Z232">
        <f>HYPERLINK("https://klasma.github.io/Logging_2283/fåglar/A 39197-2025 prioriterade fågelarter.docx", "A 39197-2025")</f>
        <v/>
      </c>
    </row>
    <row r="233" ht="15" customHeight="1">
      <c r="A233" t="inlineStr">
        <is>
          <t>A 38409-2024</t>
        </is>
      </c>
      <c r="B233" s="1" t="n">
        <v>45546</v>
      </c>
      <c r="C233" s="1" t="n">
        <v>46185</v>
      </c>
      <c r="D233" t="inlineStr">
        <is>
          <t>VÄSTERNORRLANDS LÄN</t>
        </is>
      </c>
      <c r="E233" t="inlineStr">
        <is>
          <t>HÄRNÖSAND</t>
        </is>
      </c>
      <c r="F233" t="inlineStr">
        <is>
          <t>SCA</t>
        </is>
      </c>
      <c r="G233" t="n">
        <v>7.7</v>
      </c>
      <c r="H233" t="n">
        <v>3</v>
      </c>
      <c r="I233" t="n">
        <v>1</v>
      </c>
      <c r="J233" t="n">
        <v>7</v>
      </c>
      <c r="K233" t="n">
        <v>1</v>
      </c>
      <c r="L233" t="n">
        <v>0</v>
      </c>
      <c r="M233" t="n">
        <v>0</v>
      </c>
      <c r="N233" t="n">
        <v>0</v>
      </c>
      <c r="O233" t="n">
        <v>8</v>
      </c>
      <c r="P233" t="n">
        <v>1</v>
      </c>
      <c r="Q233" t="n">
        <v>9</v>
      </c>
      <c r="R233" s="2" t="inlineStr">
        <is>
          <t>Knärot
Garnlav
Lunglav
Mörk kolflarnlav
Talltita
Tretåig hackspett
Ullticka
Vedskivlav
Korallblylav</t>
        </is>
      </c>
      <c r="S233">
        <f>HYPERLINK("https://klasma.github.io/Logging_2280/artfynd/A 38409-2024 artfynd.xlsx", "A 38409-2024")</f>
        <v/>
      </c>
      <c r="T233">
        <f>HYPERLINK("https://klasma.github.io/Logging_2280/kartor/A 38409-2024 karta.png", "A 38409-2024")</f>
        <v/>
      </c>
      <c r="U233">
        <f>HYPERLINK("https://klasma.github.io/Logging_2280/knärot/A 38409-2024 karta knärot.png", "A 38409-2024")</f>
        <v/>
      </c>
      <c r="V233">
        <f>HYPERLINK("https://klasma.github.io/Logging_2280/klagomål/A 38409-2024 FSC-klagomål.docx", "A 38409-2024")</f>
        <v/>
      </c>
      <c r="W233">
        <f>HYPERLINK("https://klasma.github.io/Logging_2280/klagomålsmail/A 38409-2024 FSC-klagomål mail.docx", "A 38409-2024")</f>
        <v/>
      </c>
      <c r="X233">
        <f>HYPERLINK("https://klasma.github.io/Logging_2280/tillsyn/A 38409-2024 tillsynsbegäran.docx", "A 38409-2024")</f>
        <v/>
      </c>
      <c r="Y233">
        <f>HYPERLINK("https://klasma.github.io/Logging_2280/tillsynsmail/A 38409-2024 tillsynsbegäran mail.docx", "A 38409-2024")</f>
        <v/>
      </c>
      <c r="Z233">
        <f>HYPERLINK("https://klasma.github.io/Logging_2280/fåglar/A 38409-2024 prioriterade fågelarter.docx", "A 38409-2024")</f>
        <v/>
      </c>
    </row>
    <row r="234" ht="15" customHeight="1">
      <c r="A234" t="inlineStr">
        <is>
          <t>A 24424-2025</t>
        </is>
      </c>
      <c r="B234" s="1" t="n">
        <v>45797</v>
      </c>
      <c r="C234" s="1" t="n">
        <v>46185</v>
      </c>
      <c r="D234" t="inlineStr">
        <is>
          <t>VÄSTERNORRLANDS LÄN</t>
        </is>
      </c>
      <c r="E234" t="inlineStr">
        <is>
          <t>SUNDSVALL</t>
        </is>
      </c>
      <c r="F234" t="inlineStr">
        <is>
          <t>SCA</t>
        </is>
      </c>
      <c r="G234" t="n">
        <v>4</v>
      </c>
      <c r="H234" t="n">
        <v>3</v>
      </c>
      <c r="I234" t="n">
        <v>2</v>
      </c>
      <c r="J234" t="n">
        <v>6</v>
      </c>
      <c r="K234" t="n">
        <v>0</v>
      </c>
      <c r="L234" t="n">
        <v>0</v>
      </c>
      <c r="M234" t="n">
        <v>0</v>
      </c>
      <c r="N234" t="n">
        <v>0</v>
      </c>
      <c r="O234" t="n">
        <v>6</v>
      </c>
      <c r="P234" t="n">
        <v>0</v>
      </c>
      <c r="Q234" t="n">
        <v>9</v>
      </c>
      <c r="R234" s="2" t="inlineStr">
        <is>
          <t>Garnlav
Lunglav
Rosenticka
Spillkråka
Tretåig hackspett
Ullticka
Skinnlav
Vedticka
Revlummer</t>
        </is>
      </c>
      <c r="S234">
        <f>HYPERLINK("https://klasma.github.io/Logging_2281/artfynd/A 24424-2025 artfynd.xlsx", "A 24424-2025")</f>
        <v/>
      </c>
      <c r="T234">
        <f>HYPERLINK("https://klasma.github.io/Logging_2281/kartor/A 24424-2025 karta.png", "A 24424-2025")</f>
        <v/>
      </c>
      <c r="V234">
        <f>HYPERLINK("https://klasma.github.io/Logging_2281/klagomål/A 24424-2025 FSC-klagomål.docx", "A 24424-2025")</f>
        <v/>
      </c>
      <c r="W234">
        <f>HYPERLINK("https://klasma.github.io/Logging_2281/klagomålsmail/A 24424-2025 FSC-klagomål mail.docx", "A 24424-2025")</f>
        <v/>
      </c>
      <c r="X234">
        <f>HYPERLINK("https://klasma.github.io/Logging_2281/tillsyn/A 24424-2025 tillsynsbegäran.docx", "A 24424-2025")</f>
        <v/>
      </c>
      <c r="Y234">
        <f>HYPERLINK("https://klasma.github.io/Logging_2281/tillsynsmail/A 24424-2025 tillsynsbegäran mail.docx", "A 24424-2025")</f>
        <v/>
      </c>
      <c r="Z234">
        <f>HYPERLINK("https://klasma.github.io/Logging_2281/fåglar/A 24424-2025 prioriterade fågelarter.docx", "A 24424-2025")</f>
        <v/>
      </c>
    </row>
    <row r="235" ht="15" customHeight="1">
      <c r="A235" t="inlineStr">
        <is>
          <t>A 34699-2024</t>
        </is>
      </c>
      <c r="B235" s="1" t="n">
        <v>45526</v>
      </c>
      <c r="C235" s="1" t="n">
        <v>46185</v>
      </c>
      <c r="D235" t="inlineStr">
        <is>
          <t>VÄSTERNORRLANDS LÄN</t>
        </is>
      </c>
      <c r="E235" t="inlineStr">
        <is>
          <t>SUNDSVALL</t>
        </is>
      </c>
      <c r="G235" t="n">
        <v>16.5</v>
      </c>
      <c r="H235" t="n">
        <v>3</v>
      </c>
      <c r="I235" t="n">
        <v>1</v>
      </c>
      <c r="J235" t="n">
        <v>6</v>
      </c>
      <c r="K235" t="n">
        <v>1</v>
      </c>
      <c r="L235" t="n">
        <v>0</v>
      </c>
      <c r="M235" t="n">
        <v>0</v>
      </c>
      <c r="N235" t="n">
        <v>0</v>
      </c>
      <c r="O235" t="n">
        <v>7</v>
      </c>
      <c r="P235" t="n">
        <v>1</v>
      </c>
      <c r="Q235" t="n">
        <v>9</v>
      </c>
      <c r="R235" s="2" t="inlineStr">
        <is>
          <t>Rynkskinn
Garnlav
Gränsticka
Talltita
Ullticka
Vedflamlav
Vedskivlav
Spindelblomster
Nattviol</t>
        </is>
      </c>
      <c r="S235">
        <f>HYPERLINK("https://klasma.github.io/Logging_2281/artfynd/A 34699-2024 artfynd.xlsx", "A 34699-2024")</f>
        <v/>
      </c>
      <c r="T235">
        <f>HYPERLINK("https://klasma.github.io/Logging_2281/kartor/A 34699-2024 karta.png", "A 34699-2024")</f>
        <v/>
      </c>
      <c r="V235">
        <f>HYPERLINK("https://klasma.github.io/Logging_2281/klagomål/A 34699-2024 FSC-klagomål.docx", "A 34699-2024")</f>
        <v/>
      </c>
      <c r="W235">
        <f>HYPERLINK("https://klasma.github.io/Logging_2281/klagomålsmail/A 34699-2024 FSC-klagomål mail.docx", "A 34699-2024")</f>
        <v/>
      </c>
      <c r="X235">
        <f>HYPERLINK("https://klasma.github.io/Logging_2281/tillsyn/A 34699-2024 tillsynsbegäran.docx", "A 34699-2024")</f>
        <v/>
      </c>
      <c r="Y235">
        <f>HYPERLINK("https://klasma.github.io/Logging_2281/tillsynsmail/A 34699-2024 tillsynsbegäran mail.docx", "A 34699-2024")</f>
        <v/>
      </c>
      <c r="Z235">
        <f>HYPERLINK("https://klasma.github.io/Logging_2281/fåglar/A 34699-2024 prioriterade fågelarter.docx", "A 34699-2024")</f>
        <v/>
      </c>
    </row>
    <row r="236" ht="15" customHeight="1">
      <c r="A236" t="inlineStr">
        <is>
          <t>A 44496-2025</t>
        </is>
      </c>
      <c r="B236" s="1" t="n">
        <v>45916.66918981481</v>
      </c>
      <c r="C236" s="1" t="n">
        <v>46185</v>
      </c>
      <c r="D236" t="inlineStr">
        <is>
          <t>VÄSTERNORRLANDS LÄN</t>
        </is>
      </c>
      <c r="E236" t="inlineStr">
        <is>
          <t>KRAMFORS</t>
        </is>
      </c>
      <c r="G236" t="n">
        <v>5.1</v>
      </c>
      <c r="H236" t="n">
        <v>1</v>
      </c>
      <c r="I236" t="n">
        <v>0</v>
      </c>
      <c r="J236" t="n">
        <v>7</v>
      </c>
      <c r="K236" t="n">
        <v>1</v>
      </c>
      <c r="L236" t="n">
        <v>0</v>
      </c>
      <c r="M236" t="n">
        <v>0</v>
      </c>
      <c r="N236" t="n">
        <v>0</v>
      </c>
      <c r="O236" t="n">
        <v>8</v>
      </c>
      <c r="P236" t="n">
        <v>1</v>
      </c>
      <c r="Q236" t="n">
        <v>9</v>
      </c>
      <c r="R236" s="2" t="inlineStr">
        <is>
          <t>Ringlav
Blanksvart spiklav
Doftskinn
Garnlav
Kortskaftad ärgspik
Motaggsvamp
Ullticka
Vedskivlav
Fläcknycklar</t>
        </is>
      </c>
      <c r="S236">
        <f>HYPERLINK("https://klasma.github.io/Logging_2282/artfynd/A 44496-2025 artfynd.xlsx", "A 44496-2025")</f>
        <v/>
      </c>
      <c r="T236">
        <f>HYPERLINK("https://klasma.github.io/Logging_2282/kartor/A 44496-2025 karta.png", "A 44496-2025")</f>
        <v/>
      </c>
      <c r="V236">
        <f>HYPERLINK("https://klasma.github.io/Logging_2282/klagomål/A 44496-2025 FSC-klagomål.docx", "A 44496-2025")</f>
        <v/>
      </c>
      <c r="W236">
        <f>HYPERLINK("https://klasma.github.io/Logging_2282/klagomålsmail/A 44496-2025 FSC-klagomål mail.docx", "A 44496-2025")</f>
        <v/>
      </c>
      <c r="X236">
        <f>HYPERLINK("https://klasma.github.io/Logging_2282/tillsyn/A 44496-2025 tillsynsbegäran.docx", "A 44496-2025")</f>
        <v/>
      </c>
      <c r="Y236">
        <f>HYPERLINK("https://klasma.github.io/Logging_2282/tillsynsmail/A 44496-2025 tillsynsbegäran mail.docx", "A 44496-2025")</f>
        <v/>
      </c>
    </row>
    <row r="237" ht="15" customHeight="1">
      <c r="A237" t="inlineStr">
        <is>
          <t>A 61830-2025</t>
        </is>
      </c>
      <c r="B237" s="1" t="n">
        <v>46003</v>
      </c>
      <c r="C237" s="1" t="n">
        <v>46185</v>
      </c>
      <c r="D237" t="inlineStr">
        <is>
          <t>VÄSTERNORRLANDS LÄN</t>
        </is>
      </c>
      <c r="E237" t="inlineStr">
        <is>
          <t>SUNDSVALL</t>
        </is>
      </c>
      <c r="G237" t="n">
        <v>5.1</v>
      </c>
      <c r="H237" t="n">
        <v>2</v>
      </c>
      <c r="I237" t="n">
        <v>2</v>
      </c>
      <c r="J237" t="n">
        <v>6</v>
      </c>
      <c r="K237" t="n">
        <v>1</v>
      </c>
      <c r="L237" t="n">
        <v>0</v>
      </c>
      <c r="M237" t="n">
        <v>0</v>
      </c>
      <c r="N237" t="n">
        <v>0</v>
      </c>
      <c r="O237" t="n">
        <v>7</v>
      </c>
      <c r="P237" t="n">
        <v>1</v>
      </c>
      <c r="Q237" t="n">
        <v>9</v>
      </c>
      <c r="R237" s="2" t="inlineStr">
        <is>
          <t>Knärot
Garnlav
Tretåig hackspett
Ullticka
Vedflamlav
Vedskivlav
Violettgrå tagellav
Vedticka
Vågbandad barkbock</t>
        </is>
      </c>
      <c r="S237">
        <f>HYPERLINK("https://klasma.github.io/Logging_2281/artfynd/A 61830-2025 artfynd.xlsx", "A 61830-2025")</f>
        <v/>
      </c>
      <c r="T237">
        <f>HYPERLINK("https://klasma.github.io/Logging_2281/kartor/A 61830-2025 karta.png", "A 61830-2025")</f>
        <v/>
      </c>
      <c r="U237">
        <f>HYPERLINK("https://klasma.github.io/Logging_2281/knärot/A 61830-2025 karta knärot.png", "A 61830-2025")</f>
        <v/>
      </c>
      <c r="V237">
        <f>HYPERLINK("https://klasma.github.io/Logging_2281/klagomål/A 61830-2025 FSC-klagomål.docx", "A 61830-2025")</f>
        <v/>
      </c>
      <c r="W237">
        <f>HYPERLINK("https://klasma.github.io/Logging_2281/klagomålsmail/A 61830-2025 FSC-klagomål mail.docx", "A 61830-2025")</f>
        <v/>
      </c>
      <c r="X237">
        <f>HYPERLINK("https://klasma.github.io/Logging_2281/tillsyn/A 61830-2025 tillsynsbegäran.docx", "A 61830-2025")</f>
        <v/>
      </c>
      <c r="Y237">
        <f>HYPERLINK("https://klasma.github.io/Logging_2281/tillsynsmail/A 61830-2025 tillsynsbegäran mail.docx", "A 61830-2025")</f>
        <v/>
      </c>
      <c r="Z237">
        <f>HYPERLINK("https://klasma.github.io/Logging_2281/fåglar/A 61830-2025 prioriterade fågelarter.docx", "A 61830-2025")</f>
        <v/>
      </c>
    </row>
    <row r="238" ht="15" customHeight="1">
      <c r="A238" t="inlineStr">
        <is>
          <t>A 26084-2025</t>
        </is>
      </c>
      <c r="B238" s="1" t="n">
        <v>45805</v>
      </c>
      <c r="C238" s="1" t="n">
        <v>46185</v>
      </c>
      <c r="D238" t="inlineStr">
        <is>
          <t>VÄSTERNORRLANDS LÄN</t>
        </is>
      </c>
      <c r="E238" t="inlineStr">
        <is>
          <t>HÄRNÖSAND</t>
        </is>
      </c>
      <c r="F238" t="inlineStr">
        <is>
          <t>SCA</t>
        </is>
      </c>
      <c r="G238" t="n">
        <v>3.5</v>
      </c>
      <c r="H238" t="n">
        <v>2</v>
      </c>
      <c r="I238" t="n">
        <v>2</v>
      </c>
      <c r="J238" t="n">
        <v>7</v>
      </c>
      <c r="K238" t="n">
        <v>0</v>
      </c>
      <c r="L238" t="n">
        <v>0</v>
      </c>
      <c r="M238" t="n">
        <v>0</v>
      </c>
      <c r="N238" t="n">
        <v>0</v>
      </c>
      <c r="O238" t="n">
        <v>7</v>
      </c>
      <c r="P238" t="n">
        <v>0</v>
      </c>
      <c r="Q238" t="n">
        <v>9</v>
      </c>
      <c r="R238" s="2" t="inlineStr">
        <is>
          <t>Gammelgransskål
Garnlav
Lunglav
Rosenticka
Spillkråka
Talltita
Ullticka
Stuplav
Vedticka</t>
        </is>
      </c>
      <c r="S238">
        <f>HYPERLINK("https://klasma.github.io/Logging_2280/artfynd/A 26084-2025 artfynd.xlsx", "A 26084-2025")</f>
        <v/>
      </c>
      <c r="T238">
        <f>HYPERLINK("https://klasma.github.io/Logging_2280/kartor/A 26084-2025 karta.png", "A 26084-2025")</f>
        <v/>
      </c>
      <c r="V238">
        <f>HYPERLINK("https://klasma.github.io/Logging_2280/klagomål/A 26084-2025 FSC-klagomål.docx", "A 26084-2025")</f>
        <v/>
      </c>
      <c r="W238">
        <f>HYPERLINK("https://klasma.github.io/Logging_2280/klagomålsmail/A 26084-2025 FSC-klagomål mail.docx", "A 26084-2025")</f>
        <v/>
      </c>
      <c r="X238">
        <f>HYPERLINK("https://klasma.github.io/Logging_2280/tillsyn/A 26084-2025 tillsynsbegäran.docx", "A 26084-2025")</f>
        <v/>
      </c>
      <c r="Y238">
        <f>HYPERLINK("https://klasma.github.io/Logging_2280/tillsynsmail/A 26084-2025 tillsynsbegäran mail.docx", "A 26084-2025")</f>
        <v/>
      </c>
      <c r="Z238">
        <f>HYPERLINK("https://klasma.github.io/Logging_2280/fåglar/A 26084-2025 prioriterade fågelarter.docx", "A 26084-2025")</f>
        <v/>
      </c>
    </row>
    <row r="239" ht="15" customHeight="1">
      <c r="A239" t="inlineStr">
        <is>
          <t>A 4014-2026</t>
        </is>
      </c>
      <c r="B239" s="1" t="n">
        <v>46044</v>
      </c>
      <c r="C239" s="1" t="n">
        <v>46185</v>
      </c>
      <c r="D239" t="inlineStr">
        <is>
          <t>VÄSTERNORRLANDS LÄN</t>
        </is>
      </c>
      <c r="E239" t="inlineStr">
        <is>
          <t>KRAMFORS</t>
        </is>
      </c>
      <c r="G239" t="n">
        <v>12.2</v>
      </c>
      <c r="H239" t="n">
        <v>2</v>
      </c>
      <c r="I239" t="n">
        <v>1</v>
      </c>
      <c r="J239" t="n">
        <v>7</v>
      </c>
      <c r="K239" t="n">
        <v>1</v>
      </c>
      <c r="L239" t="n">
        <v>0</v>
      </c>
      <c r="M239" t="n">
        <v>0</v>
      </c>
      <c r="N239" t="n">
        <v>0</v>
      </c>
      <c r="O239" t="n">
        <v>8</v>
      </c>
      <c r="P239" t="n">
        <v>1</v>
      </c>
      <c r="Q239" t="n">
        <v>9</v>
      </c>
      <c r="R239" s="2" t="inlineStr">
        <is>
          <t>Rynkskinn
Garnlav
Lunglav
Rosenticka
Spillkråka
Tallticka
Tretåig hackspett
Ullticka
Stor aspticka</t>
        </is>
      </c>
      <c r="S239">
        <f>HYPERLINK("https://klasma.github.io/Logging_2282/artfynd/A 4014-2026 artfynd.xlsx", "A 4014-2026")</f>
        <v/>
      </c>
      <c r="T239">
        <f>HYPERLINK("https://klasma.github.io/Logging_2282/kartor/A 4014-2026 karta.png", "A 4014-2026")</f>
        <v/>
      </c>
      <c r="V239">
        <f>HYPERLINK("https://klasma.github.io/Logging_2282/klagomål/A 4014-2026 FSC-klagomål.docx", "A 4014-2026")</f>
        <v/>
      </c>
      <c r="W239">
        <f>HYPERLINK("https://klasma.github.io/Logging_2282/klagomålsmail/A 4014-2026 FSC-klagomål mail.docx", "A 4014-2026")</f>
        <v/>
      </c>
      <c r="X239">
        <f>HYPERLINK("https://klasma.github.io/Logging_2282/tillsyn/A 4014-2026 tillsynsbegäran.docx", "A 4014-2026")</f>
        <v/>
      </c>
      <c r="Y239">
        <f>HYPERLINK("https://klasma.github.io/Logging_2282/tillsynsmail/A 4014-2026 tillsynsbegäran mail.docx", "A 4014-2026")</f>
        <v/>
      </c>
      <c r="Z239">
        <f>HYPERLINK("https://klasma.github.io/Logging_2282/fåglar/A 4014-2026 prioriterade fågelarter.docx", "A 4014-2026")</f>
        <v/>
      </c>
    </row>
    <row r="240" ht="15" customHeight="1">
      <c r="A240" t="inlineStr">
        <is>
          <t>A 26604-2026</t>
        </is>
      </c>
      <c r="B240" s="1" t="n">
        <v>46183.96311342593</v>
      </c>
      <c r="C240" s="1" t="n">
        <v>46185</v>
      </c>
      <c r="D240" t="inlineStr">
        <is>
          <t>VÄSTERNORRLANDS LÄN</t>
        </is>
      </c>
      <c r="E240" t="inlineStr">
        <is>
          <t>ÅNGE</t>
        </is>
      </c>
      <c r="F240" t="inlineStr">
        <is>
          <t>Sveaskog</t>
        </is>
      </c>
      <c r="G240" t="n">
        <v>24.9</v>
      </c>
      <c r="H240" t="n">
        <v>6</v>
      </c>
      <c r="I240" t="n">
        <v>1</v>
      </c>
      <c r="J240" t="n">
        <v>5</v>
      </c>
      <c r="K240" t="n">
        <v>1</v>
      </c>
      <c r="L240" t="n">
        <v>0</v>
      </c>
      <c r="M240" t="n">
        <v>0</v>
      </c>
      <c r="N240" t="n">
        <v>0</v>
      </c>
      <c r="O240" t="n">
        <v>6</v>
      </c>
      <c r="P240" t="n">
        <v>1</v>
      </c>
      <c r="Q240" t="n">
        <v>9</v>
      </c>
      <c r="R240" s="2" t="inlineStr">
        <is>
          <t>Knärot
Fransfladdermus
Garnlav
Lunglav
Nordfladdermus
Tretåig hackspett
Norrlandslav
Vattenfladdermus
Revlummer</t>
        </is>
      </c>
      <c r="S240">
        <f>HYPERLINK("https://klasma.github.io/Logging_2260/artfynd/A 26604-2026 artfynd.xlsx", "A 26604-2026")</f>
        <v/>
      </c>
      <c r="T240">
        <f>HYPERLINK("https://klasma.github.io/Logging_2260/kartor/A 26604-2026 karta.png", "A 26604-2026")</f>
        <v/>
      </c>
      <c r="U240">
        <f>HYPERLINK("https://klasma.github.io/Logging_2260/knärot/A 26604-2026 karta knärot.png", "A 26604-2026")</f>
        <v/>
      </c>
      <c r="V240">
        <f>HYPERLINK("https://klasma.github.io/Logging_2260/klagomål/A 26604-2026 FSC-klagomål.docx", "A 26604-2026")</f>
        <v/>
      </c>
      <c r="W240">
        <f>HYPERLINK("https://klasma.github.io/Logging_2260/klagomålsmail/A 26604-2026 FSC-klagomål mail.docx", "A 26604-2026")</f>
        <v/>
      </c>
      <c r="X240">
        <f>HYPERLINK("https://klasma.github.io/Logging_2260/tillsyn/A 26604-2026 tillsynsbegäran.docx", "A 26604-2026")</f>
        <v/>
      </c>
      <c r="Y240">
        <f>HYPERLINK("https://klasma.github.io/Logging_2260/tillsynsmail/A 26604-2026 tillsynsbegäran mail.docx", "A 26604-2026")</f>
        <v/>
      </c>
      <c r="Z240">
        <f>HYPERLINK("https://klasma.github.io/Logging_2260/fåglar/A 26604-2026 prioriterade fågelarter.docx", "A 26604-2026")</f>
        <v/>
      </c>
    </row>
    <row r="241" ht="15" customHeight="1">
      <c r="A241" t="inlineStr">
        <is>
          <t>A 20694-2022</t>
        </is>
      </c>
      <c r="B241" s="1" t="n">
        <v>44700</v>
      </c>
      <c r="C241" s="1" t="n">
        <v>46185</v>
      </c>
      <c r="D241" t="inlineStr">
        <is>
          <t>VÄSTERNORRLANDS LÄN</t>
        </is>
      </c>
      <c r="E241" t="inlineStr">
        <is>
          <t>ÅNGE</t>
        </is>
      </c>
      <c r="G241" t="n">
        <v>5</v>
      </c>
      <c r="H241" t="n">
        <v>2</v>
      </c>
      <c r="I241" t="n">
        <v>2</v>
      </c>
      <c r="J241" t="n">
        <v>5</v>
      </c>
      <c r="K241" t="n">
        <v>1</v>
      </c>
      <c r="L241" t="n">
        <v>0</v>
      </c>
      <c r="M241" t="n">
        <v>0</v>
      </c>
      <c r="N241" t="n">
        <v>0</v>
      </c>
      <c r="O241" t="n">
        <v>6</v>
      </c>
      <c r="P241" t="n">
        <v>1</v>
      </c>
      <c r="Q241" t="n">
        <v>9</v>
      </c>
      <c r="R241" s="2" t="inlineStr">
        <is>
          <t>Knärot
Gammelgransskål
Gränsticka
Ullticka
Vedtrappmossa
Vitgrynig nållav
Mörk husmossa
Vedticka
Blåsippa</t>
        </is>
      </c>
      <c r="S241">
        <f>HYPERLINK("https://klasma.github.io/Logging_2260/artfynd/A 20694-2022 artfynd.xlsx", "A 20694-2022")</f>
        <v/>
      </c>
      <c r="T241">
        <f>HYPERLINK("https://klasma.github.io/Logging_2260/kartor/A 20694-2022 karta.png", "A 20694-2022")</f>
        <v/>
      </c>
      <c r="U241">
        <f>HYPERLINK("https://klasma.github.io/Logging_2260/knärot/A 20694-2022 karta knärot.png", "A 20694-2022")</f>
        <v/>
      </c>
      <c r="V241">
        <f>HYPERLINK("https://klasma.github.io/Logging_2260/klagomål/A 20694-2022 FSC-klagomål.docx", "A 20694-2022")</f>
        <v/>
      </c>
      <c r="W241">
        <f>HYPERLINK("https://klasma.github.io/Logging_2260/klagomålsmail/A 20694-2022 FSC-klagomål mail.docx", "A 20694-2022")</f>
        <v/>
      </c>
      <c r="X241">
        <f>HYPERLINK("https://klasma.github.io/Logging_2260/tillsyn/A 20694-2022 tillsynsbegäran.docx", "A 20694-2022")</f>
        <v/>
      </c>
      <c r="Y241">
        <f>HYPERLINK("https://klasma.github.io/Logging_2260/tillsynsmail/A 20694-2022 tillsynsbegäran mail.docx", "A 20694-2022")</f>
        <v/>
      </c>
    </row>
    <row r="242" ht="15" customHeight="1">
      <c r="A242" t="inlineStr">
        <is>
          <t>A 22204-2025</t>
        </is>
      </c>
      <c r="B242" s="1" t="n">
        <v>45785.65672453704</v>
      </c>
      <c r="C242" s="1" t="n">
        <v>46185</v>
      </c>
      <c r="D242" t="inlineStr">
        <is>
          <t>VÄSTERNORRLANDS LÄN</t>
        </is>
      </c>
      <c r="E242" t="inlineStr">
        <is>
          <t>TIMRÅ</t>
        </is>
      </c>
      <c r="F242" t="inlineStr">
        <is>
          <t>SCA</t>
        </is>
      </c>
      <c r="G242" t="n">
        <v>7.1</v>
      </c>
      <c r="H242" t="n">
        <v>2</v>
      </c>
      <c r="I242" t="n">
        <v>4</v>
      </c>
      <c r="J242" t="n">
        <v>4</v>
      </c>
      <c r="K242" t="n">
        <v>0</v>
      </c>
      <c r="L242" t="n">
        <v>0</v>
      </c>
      <c r="M242" t="n">
        <v>0</v>
      </c>
      <c r="N242" t="n">
        <v>0</v>
      </c>
      <c r="O242" t="n">
        <v>4</v>
      </c>
      <c r="P242" t="n">
        <v>0</v>
      </c>
      <c r="Q242" t="n">
        <v>9</v>
      </c>
      <c r="R242" s="2" t="inlineStr">
        <is>
          <t>Garnlav
Rosenticka
Tretåig hackspett
Ullticka
Bårdlav
Stuplav
Trådticka
Vedticka
Fläcknycklar</t>
        </is>
      </c>
      <c r="S242">
        <f>HYPERLINK("https://klasma.github.io/Logging_2262/artfynd/A 22204-2025 artfynd.xlsx", "A 22204-2025")</f>
        <v/>
      </c>
      <c r="T242">
        <f>HYPERLINK("https://klasma.github.io/Logging_2262/kartor/A 22204-2025 karta.png", "A 22204-2025")</f>
        <v/>
      </c>
      <c r="V242">
        <f>HYPERLINK("https://klasma.github.io/Logging_2262/klagomål/A 22204-2025 FSC-klagomål.docx", "A 22204-2025")</f>
        <v/>
      </c>
      <c r="W242">
        <f>HYPERLINK("https://klasma.github.io/Logging_2262/klagomålsmail/A 22204-2025 FSC-klagomål mail.docx", "A 22204-2025")</f>
        <v/>
      </c>
      <c r="X242">
        <f>HYPERLINK("https://klasma.github.io/Logging_2262/tillsyn/A 22204-2025 tillsynsbegäran.docx", "A 22204-2025")</f>
        <v/>
      </c>
      <c r="Y242">
        <f>HYPERLINK("https://klasma.github.io/Logging_2262/tillsynsmail/A 22204-2025 tillsynsbegäran mail.docx", "A 22204-2025")</f>
        <v/>
      </c>
      <c r="Z242">
        <f>HYPERLINK("https://klasma.github.io/Logging_2262/fåglar/A 22204-2025 prioriterade fågelarter.docx", "A 22204-2025")</f>
        <v/>
      </c>
    </row>
    <row r="243" ht="15" customHeight="1">
      <c r="A243" t="inlineStr">
        <is>
          <t>A 22737-2023</t>
        </is>
      </c>
      <c r="B243" s="1" t="n">
        <v>45071</v>
      </c>
      <c r="C243" s="1" t="n">
        <v>46185</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29620-2023</t>
        </is>
      </c>
      <c r="B244" s="1" t="n">
        <v>45106</v>
      </c>
      <c r="C244" s="1" t="n">
        <v>46185</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24459-2024</t>
        </is>
      </c>
      <c r="B245" s="1" t="n">
        <v>45457.9678125</v>
      </c>
      <c r="C245" s="1" t="n">
        <v>46185</v>
      </c>
      <c r="D245" t="inlineStr">
        <is>
          <t>VÄSTERNORRLANDS LÄN</t>
        </is>
      </c>
      <c r="E245" t="inlineStr">
        <is>
          <t>SOLLEFTEÅ</t>
        </is>
      </c>
      <c r="F245" t="inlineStr">
        <is>
          <t>SCA</t>
        </is>
      </c>
      <c r="G245" t="n">
        <v>6.1</v>
      </c>
      <c r="H245" t="n">
        <v>0</v>
      </c>
      <c r="I245" t="n">
        <v>2</v>
      </c>
      <c r="J245" t="n">
        <v>6</v>
      </c>
      <c r="K245" t="n">
        <v>0</v>
      </c>
      <c r="L245" t="n">
        <v>0</v>
      </c>
      <c r="M245" t="n">
        <v>0</v>
      </c>
      <c r="N245" t="n">
        <v>0</v>
      </c>
      <c r="O245" t="n">
        <v>6</v>
      </c>
      <c r="P245" t="n">
        <v>0</v>
      </c>
      <c r="Q245" t="n">
        <v>8</v>
      </c>
      <c r="R245" s="2" t="inlineStr">
        <is>
          <t>Garnlav
Granticka
Lunglav
Rosenticka
Rödbrun blekspik
Ullticka
Luddlav
Vedticka</t>
        </is>
      </c>
      <c r="S245">
        <f>HYPERLINK("https://klasma.github.io/Logging_2283/artfynd/A 24459-2024 artfynd.xlsx", "A 24459-2024")</f>
        <v/>
      </c>
      <c r="T245">
        <f>HYPERLINK("https://klasma.github.io/Logging_2283/kartor/A 24459-2024 karta.png", "A 24459-2024")</f>
        <v/>
      </c>
      <c r="V245">
        <f>HYPERLINK("https://klasma.github.io/Logging_2283/klagomål/A 24459-2024 FSC-klagomål.docx", "A 24459-2024")</f>
        <v/>
      </c>
      <c r="W245">
        <f>HYPERLINK("https://klasma.github.io/Logging_2283/klagomålsmail/A 24459-2024 FSC-klagomål mail.docx", "A 24459-2024")</f>
        <v/>
      </c>
      <c r="X245">
        <f>HYPERLINK("https://klasma.github.io/Logging_2283/tillsyn/A 24459-2024 tillsynsbegäran.docx", "A 24459-2024")</f>
        <v/>
      </c>
      <c r="Y245">
        <f>HYPERLINK("https://klasma.github.io/Logging_2283/tillsynsmail/A 24459-2024 tillsynsbegäran mail.docx", "A 24459-2024")</f>
        <v/>
      </c>
    </row>
    <row r="246" ht="15" customHeight="1">
      <c r="A246" t="inlineStr">
        <is>
          <t>A 31113-2025</t>
        </is>
      </c>
      <c r="B246" s="1" t="n">
        <v>45832.61501157407</v>
      </c>
      <c r="C246" s="1" t="n">
        <v>46185</v>
      </c>
      <c r="D246" t="inlineStr">
        <is>
          <t>VÄSTERNORRLANDS LÄN</t>
        </is>
      </c>
      <c r="E246" t="inlineStr">
        <is>
          <t>ÅNGE</t>
        </is>
      </c>
      <c r="F246" t="inlineStr">
        <is>
          <t>SCA</t>
        </is>
      </c>
      <c r="G246" t="n">
        <v>1.5</v>
      </c>
      <c r="H246" t="n">
        <v>3</v>
      </c>
      <c r="I246" t="n">
        <v>4</v>
      </c>
      <c r="J246" t="n">
        <v>3</v>
      </c>
      <c r="K246" t="n">
        <v>0</v>
      </c>
      <c r="L246" t="n">
        <v>0</v>
      </c>
      <c r="M246" t="n">
        <v>0</v>
      </c>
      <c r="N246" t="n">
        <v>0</v>
      </c>
      <c r="O246" t="n">
        <v>3</v>
      </c>
      <c r="P246" t="n">
        <v>0</v>
      </c>
      <c r="Q246" t="n">
        <v>8</v>
      </c>
      <c r="R246" s="2" t="inlineStr">
        <is>
          <t>Brunklöver
Månlåsbräken
Skogsklocka
Finbräken
Guckusko
Trådfräken
Tvåblad
Brudsporre</t>
        </is>
      </c>
      <c r="S246">
        <f>HYPERLINK("https://klasma.github.io/Logging_2260/artfynd/A 31113-2025 artfynd.xlsx", "A 31113-2025")</f>
        <v/>
      </c>
      <c r="T246">
        <f>HYPERLINK("https://klasma.github.io/Logging_2260/kartor/A 31113-2025 karta.png", "A 31113-2025")</f>
        <v/>
      </c>
      <c r="V246">
        <f>HYPERLINK("https://klasma.github.io/Logging_2260/klagomål/A 31113-2025 FSC-klagomål.docx", "A 31113-2025")</f>
        <v/>
      </c>
      <c r="W246">
        <f>HYPERLINK("https://klasma.github.io/Logging_2260/klagomålsmail/A 31113-2025 FSC-klagomål mail.docx", "A 31113-2025")</f>
        <v/>
      </c>
      <c r="X246">
        <f>HYPERLINK("https://klasma.github.io/Logging_2260/tillsyn/A 31113-2025 tillsynsbegäran.docx", "A 31113-2025")</f>
        <v/>
      </c>
      <c r="Y246">
        <f>HYPERLINK("https://klasma.github.io/Logging_2260/tillsynsmail/A 31113-2025 tillsynsbegäran mail.docx", "A 31113-2025")</f>
        <v/>
      </c>
    </row>
    <row r="247" ht="15" customHeight="1">
      <c r="A247" t="inlineStr">
        <is>
          <t>A 31504-2025</t>
        </is>
      </c>
      <c r="B247" s="1" t="n">
        <v>45833.59438657408</v>
      </c>
      <c r="C247" s="1" t="n">
        <v>46185</v>
      </c>
      <c r="D247" t="inlineStr">
        <is>
          <t>VÄSTERNORRLANDS LÄN</t>
        </is>
      </c>
      <c r="E247" t="inlineStr">
        <is>
          <t>SOLLEFTEÅ</t>
        </is>
      </c>
      <c r="F247" t="inlineStr">
        <is>
          <t>SCA</t>
        </is>
      </c>
      <c r="G247" t="n">
        <v>4.1</v>
      </c>
      <c r="H247" t="n">
        <v>2</v>
      </c>
      <c r="I247" t="n">
        <v>1</v>
      </c>
      <c r="J247" t="n">
        <v>5</v>
      </c>
      <c r="K247" t="n">
        <v>2</v>
      </c>
      <c r="L247" t="n">
        <v>0</v>
      </c>
      <c r="M247" t="n">
        <v>0</v>
      </c>
      <c r="N247" t="n">
        <v>0</v>
      </c>
      <c r="O247" t="n">
        <v>7</v>
      </c>
      <c r="P247" t="n">
        <v>2</v>
      </c>
      <c r="Q247" t="n">
        <v>8</v>
      </c>
      <c r="R247" s="2" t="inlineStr">
        <is>
          <t>Knärot
Rynkskinn
Duvhök
Garnlav
Kortskaftad ärgspik
Rosenticka
Vedskivlav
Vedticka</t>
        </is>
      </c>
      <c r="S247">
        <f>HYPERLINK("https://klasma.github.io/Logging_2283/artfynd/A 31504-2025 artfynd.xlsx", "A 31504-2025")</f>
        <v/>
      </c>
      <c r="T247">
        <f>HYPERLINK("https://klasma.github.io/Logging_2283/kartor/A 31504-2025 karta.png", "A 31504-2025")</f>
        <v/>
      </c>
      <c r="U247">
        <f>HYPERLINK("https://klasma.github.io/Logging_2283/knärot/A 31504-2025 karta knärot.png", "A 31504-2025")</f>
        <v/>
      </c>
      <c r="V247">
        <f>HYPERLINK("https://klasma.github.io/Logging_2283/klagomål/A 31504-2025 FSC-klagomål.docx", "A 31504-2025")</f>
        <v/>
      </c>
      <c r="W247">
        <f>HYPERLINK("https://klasma.github.io/Logging_2283/klagomålsmail/A 31504-2025 FSC-klagomål mail.docx", "A 31504-2025")</f>
        <v/>
      </c>
      <c r="X247">
        <f>HYPERLINK("https://klasma.github.io/Logging_2283/tillsyn/A 31504-2025 tillsynsbegäran.docx", "A 31504-2025")</f>
        <v/>
      </c>
      <c r="Y247">
        <f>HYPERLINK("https://klasma.github.io/Logging_2283/tillsynsmail/A 31504-2025 tillsynsbegäran mail.docx", "A 31504-2025")</f>
        <v/>
      </c>
      <c r="Z247">
        <f>HYPERLINK("https://klasma.github.io/Logging_2283/fåglar/A 31504-2025 prioriterade fågelarter.docx", "A 31504-2025")</f>
        <v/>
      </c>
    </row>
    <row r="248" ht="15" customHeight="1">
      <c r="A248" t="inlineStr">
        <is>
          <t>A 11540-2024</t>
        </is>
      </c>
      <c r="B248" s="1" t="n">
        <v>45372</v>
      </c>
      <c r="C248" s="1" t="n">
        <v>46185</v>
      </c>
      <c r="D248" t="inlineStr">
        <is>
          <t>VÄSTERNORRLANDS LÄN</t>
        </is>
      </c>
      <c r="E248" t="inlineStr">
        <is>
          <t>SOLLEFTEÅ</t>
        </is>
      </c>
      <c r="F248" t="inlineStr">
        <is>
          <t>SCA</t>
        </is>
      </c>
      <c r="G248" t="n">
        <v>2.2</v>
      </c>
      <c r="H248" t="n">
        <v>8</v>
      </c>
      <c r="I248" t="n">
        <v>1</v>
      </c>
      <c r="J248" t="n">
        <v>2</v>
      </c>
      <c r="K248" t="n">
        <v>1</v>
      </c>
      <c r="L248" t="n">
        <v>0</v>
      </c>
      <c r="M248" t="n">
        <v>0</v>
      </c>
      <c r="N248" t="n">
        <v>0</v>
      </c>
      <c r="O248" t="n">
        <v>3</v>
      </c>
      <c r="P248" t="n">
        <v>1</v>
      </c>
      <c r="Q248" t="n">
        <v>8</v>
      </c>
      <c r="R248" s="2" t="inlineStr">
        <is>
          <t>Knärot
Björktrast
Tretåig hackspett
Plattlummer
Grönsiska
Kungsfågel
Tjäder
Revlummer</t>
        </is>
      </c>
      <c r="S248">
        <f>HYPERLINK("https://klasma.github.io/Logging_2283/artfynd/A 11540-2024 artfynd.xlsx", "A 11540-2024")</f>
        <v/>
      </c>
      <c r="T248">
        <f>HYPERLINK("https://klasma.github.io/Logging_2283/kartor/A 11540-2024 karta.png", "A 11540-2024")</f>
        <v/>
      </c>
      <c r="U248">
        <f>HYPERLINK("https://klasma.github.io/Logging_2283/knärot/A 11540-2024 karta knärot.png", "A 11540-2024")</f>
        <v/>
      </c>
      <c r="V248">
        <f>HYPERLINK("https://klasma.github.io/Logging_2283/klagomål/A 11540-2024 FSC-klagomål.docx", "A 11540-2024")</f>
        <v/>
      </c>
      <c r="W248">
        <f>HYPERLINK("https://klasma.github.io/Logging_2283/klagomålsmail/A 11540-2024 FSC-klagomål mail.docx", "A 11540-2024")</f>
        <v/>
      </c>
      <c r="X248">
        <f>HYPERLINK("https://klasma.github.io/Logging_2283/tillsyn/A 11540-2024 tillsynsbegäran.docx", "A 11540-2024")</f>
        <v/>
      </c>
      <c r="Y248">
        <f>HYPERLINK("https://klasma.github.io/Logging_2283/tillsynsmail/A 11540-2024 tillsynsbegäran mail.docx", "A 11540-2024")</f>
        <v/>
      </c>
      <c r="Z248">
        <f>HYPERLINK("https://klasma.github.io/Logging_2283/fåglar/A 11540-2024 prioriterade fågelarter.docx", "A 11540-2024")</f>
        <v/>
      </c>
    </row>
    <row r="249" ht="15" customHeight="1">
      <c r="A249" t="inlineStr">
        <is>
          <t>A 32076-2025</t>
        </is>
      </c>
      <c r="B249" s="1" t="n">
        <v>45835.4509837963</v>
      </c>
      <c r="C249" s="1" t="n">
        <v>46185</v>
      </c>
      <c r="D249" t="inlineStr">
        <is>
          <t>VÄSTERNORRLANDS LÄN</t>
        </is>
      </c>
      <c r="E249" t="inlineStr">
        <is>
          <t>ÖRNSKÖLDSVIK</t>
        </is>
      </c>
      <c r="G249" t="n">
        <v>6.3</v>
      </c>
      <c r="H249" t="n">
        <v>2</v>
      </c>
      <c r="I249" t="n">
        <v>2</v>
      </c>
      <c r="J249" t="n">
        <v>5</v>
      </c>
      <c r="K249" t="n">
        <v>1</v>
      </c>
      <c r="L249" t="n">
        <v>0</v>
      </c>
      <c r="M249" t="n">
        <v>0</v>
      </c>
      <c r="N249" t="n">
        <v>0</v>
      </c>
      <c r="O249" t="n">
        <v>6</v>
      </c>
      <c r="P249" t="n">
        <v>1</v>
      </c>
      <c r="Q249" t="n">
        <v>8</v>
      </c>
      <c r="R249" s="2" t="inlineStr">
        <is>
          <t>Rynkskinn
Garnlav
Granticka
Järpe
Tretåig hackspett
Ullticka
Trådticka
Vedticka</t>
        </is>
      </c>
      <c r="S249">
        <f>HYPERLINK("https://klasma.github.io/Logging_2284/artfynd/A 32076-2025 artfynd.xlsx", "A 32076-2025")</f>
        <v/>
      </c>
      <c r="T249">
        <f>HYPERLINK("https://klasma.github.io/Logging_2284/kartor/A 32076-2025 karta.png", "A 32076-2025")</f>
        <v/>
      </c>
      <c r="V249">
        <f>HYPERLINK("https://klasma.github.io/Logging_2284/klagomål/A 32076-2025 FSC-klagomål.docx", "A 32076-2025")</f>
        <v/>
      </c>
      <c r="W249">
        <f>HYPERLINK("https://klasma.github.io/Logging_2284/klagomålsmail/A 32076-2025 FSC-klagomål mail.docx", "A 32076-2025")</f>
        <v/>
      </c>
      <c r="X249">
        <f>HYPERLINK("https://klasma.github.io/Logging_2284/tillsyn/A 32076-2025 tillsynsbegäran.docx", "A 32076-2025")</f>
        <v/>
      </c>
      <c r="Y249">
        <f>HYPERLINK("https://klasma.github.io/Logging_2284/tillsynsmail/A 32076-2025 tillsynsbegäran mail.docx", "A 32076-2025")</f>
        <v/>
      </c>
      <c r="Z249">
        <f>HYPERLINK("https://klasma.github.io/Logging_2284/fåglar/A 32076-2025 prioriterade fågelarter.docx", "A 32076-2025")</f>
        <v/>
      </c>
    </row>
    <row r="250" ht="15" customHeight="1">
      <c r="A250" t="inlineStr">
        <is>
          <t>A 46079-2025</t>
        </is>
      </c>
      <c r="B250" s="1" t="n">
        <v>45924.51083333333</v>
      </c>
      <c r="C250" s="1" t="n">
        <v>46185</v>
      </c>
      <c r="D250" t="inlineStr">
        <is>
          <t>VÄSTERNORRLANDS LÄN</t>
        </is>
      </c>
      <c r="E250" t="inlineStr">
        <is>
          <t>TIMRÅ</t>
        </is>
      </c>
      <c r="F250" t="inlineStr">
        <is>
          <t>SCA</t>
        </is>
      </c>
      <c r="G250" t="n">
        <v>2.7</v>
      </c>
      <c r="H250" t="n">
        <v>2</v>
      </c>
      <c r="I250" t="n">
        <v>3</v>
      </c>
      <c r="J250" t="n">
        <v>4</v>
      </c>
      <c r="K250" t="n">
        <v>1</v>
      </c>
      <c r="L250" t="n">
        <v>0</v>
      </c>
      <c r="M250" t="n">
        <v>0</v>
      </c>
      <c r="N250" t="n">
        <v>0</v>
      </c>
      <c r="O250" t="n">
        <v>5</v>
      </c>
      <c r="P250" t="n">
        <v>1</v>
      </c>
      <c r="Q250" t="n">
        <v>8</v>
      </c>
      <c r="R250" s="2" t="inlineStr">
        <is>
          <t>Aspgelélav
Kolflarnlav
Lunglav
Spillkråka
Tretåig hackspett
Korallblylav
Rävticka
Skinnlav</t>
        </is>
      </c>
      <c r="S250">
        <f>HYPERLINK("https://klasma.github.io/Logging_2262/artfynd/A 46079-2025 artfynd.xlsx", "A 46079-2025")</f>
        <v/>
      </c>
      <c r="T250">
        <f>HYPERLINK("https://klasma.github.io/Logging_2262/kartor/A 46079-2025 karta.png", "A 46079-2025")</f>
        <v/>
      </c>
      <c r="V250">
        <f>HYPERLINK("https://klasma.github.io/Logging_2262/klagomål/A 46079-2025 FSC-klagomål.docx", "A 46079-2025")</f>
        <v/>
      </c>
      <c r="W250">
        <f>HYPERLINK("https://klasma.github.io/Logging_2262/klagomålsmail/A 46079-2025 FSC-klagomål mail.docx", "A 46079-2025")</f>
        <v/>
      </c>
      <c r="X250">
        <f>HYPERLINK("https://klasma.github.io/Logging_2262/tillsyn/A 46079-2025 tillsynsbegäran.docx", "A 46079-2025")</f>
        <v/>
      </c>
      <c r="Y250">
        <f>HYPERLINK("https://klasma.github.io/Logging_2262/tillsynsmail/A 46079-2025 tillsynsbegäran mail.docx", "A 46079-2025")</f>
        <v/>
      </c>
      <c r="Z250">
        <f>HYPERLINK("https://klasma.github.io/Logging_2262/fåglar/A 46079-2025 prioriterade fågelarter.docx", "A 46079-2025")</f>
        <v/>
      </c>
    </row>
    <row r="251" ht="15" customHeight="1">
      <c r="A251" t="inlineStr">
        <is>
          <t>A 46417-2025</t>
        </is>
      </c>
      <c r="B251" s="1" t="n">
        <v>45925.59454861111</v>
      </c>
      <c r="C251" s="1" t="n">
        <v>46185</v>
      </c>
      <c r="D251" t="inlineStr">
        <is>
          <t>VÄSTERNORRLANDS LÄN</t>
        </is>
      </c>
      <c r="E251" t="inlineStr">
        <is>
          <t>ÅNGE</t>
        </is>
      </c>
      <c r="F251" t="inlineStr">
        <is>
          <t>SCA</t>
        </is>
      </c>
      <c r="G251" t="n">
        <v>6.6</v>
      </c>
      <c r="H251" t="n">
        <v>2</v>
      </c>
      <c r="I251" t="n">
        <v>1</v>
      </c>
      <c r="J251" t="n">
        <v>6</v>
      </c>
      <c r="K251" t="n">
        <v>0</v>
      </c>
      <c r="L251" t="n">
        <v>0</v>
      </c>
      <c r="M251" t="n">
        <v>0</v>
      </c>
      <c r="N251" t="n">
        <v>0</v>
      </c>
      <c r="O251" t="n">
        <v>6</v>
      </c>
      <c r="P251" t="n">
        <v>0</v>
      </c>
      <c r="Q251" t="n">
        <v>8</v>
      </c>
      <c r="R251" s="2" t="inlineStr">
        <is>
          <t>Garnlav
Kolflarnlav
Lunglav
Tretåig hackspett
Violettgrå tagellav
Vitgrynig nållav
Norrlandslav
Tjäder</t>
        </is>
      </c>
      <c r="S251">
        <f>HYPERLINK("https://klasma.github.io/Logging_2260/artfynd/A 46417-2025 artfynd.xlsx", "A 46417-2025")</f>
        <v/>
      </c>
      <c r="T251">
        <f>HYPERLINK("https://klasma.github.io/Logging_2260/kartor/A 46417-2025 karta.png", "A 46417-2025")</f>
        <v/>
      </c>
      <c r="V251">
        <f>HYPERLINK("https://klasma.github.io/Logging_2260/klagomål/A 46417-2025 FSC-klagomål.docx", "A 46417-2025")</f>
        <v/>
      </c>
      <c r="W251">
        <f>HYPERLINK("https://klasma.github.io/Logging_2260/klagomålsmail/A 46417-2025 FSC-klagomål mail.docx", "A 46417-2025")</f>
        <v/>
      </c>
      <c r="X251">
        <f>HYPERLINK("https://klasma.github.io/Logging_2260/tillsyn/A 46417-2025 tillsynsbegäran.docx", "A 46417-2025")</f>
        <v/>
      </c>
      <c r="Y251">
        <f>HYPERLINK("https://klasma.github.io/Logging_2260/tillsynsmail/A 46417-2025 tillsynsbegäran mail.docx", "A 46417-2025")</f>
        <v/>
      </c>
      <c r="Z251">
        <f>HYPERLINK("https://klasma.github.io/Logging_2260/fåglar/A 46417-2025 prioriterade fågelarter.docx", "A 46417-2025")</f>
        <v/>
      </c>
    </row>
    <row r="252" ht="15" customHeight="1">
      <c r="A252" t="inlineStr">
        <is>
          <t>A 45078-2025</t>
        </is>
      </c>
      <c r="B252" s="1" t="n">
        <v>45919</v>
      </c>
      <c r="C252" s="1" t="n">
        <v>46185</v>
      </c>
      <c r="D252" t="inlineStr">
        <is>
          <t>VÄSTERNORRLANDS LÄN</t>
        </is>
      </c>
      <c r="E252" t="inlineStr">
        <is>
          <t>SOLLEFTEÅ</t>
        </is>
      </c>
      <c r="F252" t="inlineStr">
        <is>
          <t>SCA</t>
        </is>
      </c>
      <c r="G252" t="n">
        <v>10.5</v>
      </c>
      <c r="H252" t="n">
        <v>1</v>
      </c>
      <c r="I252" t="n">
        <v>3</v>
      </c>
      <c r="J252" t="n">
        <v>4</v>
      </c>
      <c r="K252" t="n">
        <v>1</v>
      </c>
      <c r="L252" t="n">
        <v>0</v>
      </c>
      <c r="M252" t="n">
        <v>0</v>
      </c>
      <c r="N252" t="n">
        <v>0</v>
      </c>
      <c r="O252" t="n">
        <v>5</v>
      </c>
      <c r="P252" t="n">
        <v>1</v>
      </c>
      <c r="Q252" t="n">
        <v>8</v>
      </c>
      <c r="R252" s="2" t="inlineStr">
        <is>
          <t>Knärot
Garnlav
Lunglav
Mörk kolflarnlav
Vedskivlav
Dropptaggsvamp
Norrlandslav
Stuplav</t>
        </is>
      </c>
      <c r="S252">
        <f>HYPERLINK("https://klasma.github.io/Logging_2283/artfynd/A 45078-2025 artfynd.xlsx", "A 45078-2025")</f>
        <v/>
      </c>
      <c r="T252">
        <f>HYPERLINK("https://klasma.github.io/Logging_2283/kartor/A 45078-2025 karta.png", "A 45078-2025")</f>
        <v/>
      </c>
      <c r="U252">
        <f>HYPERLINK("https://klasma.github.io/Logging_2283/knärot/A 45078-2025 karta knärot.png", "A 45078-2025")</f>
        <v/>
      </c>
      <c r="V252">
        <f>HYPERLINK("https://klasma.github.io/Logging_2283/klagomål/A 45078-2025 FSC-klagomål.docx", "A 45078-2025")</f>
        <v/>
      </c>
      <c r="W252">
        <f>HYPERLINK("https://klasma.github.io/Logging_2283/klagomålsmail/A 45078-2025 FSC-klagomål mail.docx", "A 45078-2025")</f>
        <v/>
      </c>
      <c r="X252">
        <f>HYPERLINK("https://klasma.github.io/Logging_2283/tillsyn/A 45078-2025 tillsynsbegäran.docx", "A 45078-2025")</f>
        <v/>
      </c>
      <c r="Y252">
        <f>HYPERLINK("https://klasma.github.io/Logging_2283/tillsynsmail/A 45078-2025 tillsynsbegäran mail.docx", "A 45078-2025")</f>
        <v/>
      </c>
    </row>
    <row r="253" ht="15" customHeight="1">
      <c r="A253" t="inlineStr">
        <is>
          <t>A 36953-2025</t>
        </is>
      </c>
      <c r="B253" s="1" t="n">
        <v>45874.60950231482</v>
      </c>
      <c r="C253" s="1" t="n">
        <v>46185</v>
      </c>
      <c r="D253" t="inlineStr">
        <is>
          <t>VÄSTERNORRLANDS LÄN</t>
        </is>
      </c>
      <c r="E253" t="inlineStr">
        <is>
          <t>SUNDSVALL</t>
        </is>
      </c>
      <c r="G253" t="n">
        <v>11.1</v>
      </c>
      <c r="H253" t="n">
        <v>2</v>
      </c>
      <c r="I253" t="n">
        <v>1</v>
      </c>
      <c r="J253" t="n">
        <v>6</v>
      </c>
      <c r="K253" t="n">
        <v>1</v>
      </c>
      <c r="L253" t="n">
        <v>0</v>
      </c>
      <c r="M253" t="n">
        <v>0</v>
      </c>
      <c r="N253" t="n">
        <v>0</v>
      </c>
      <c r="O253" t="n">
        <v>7</v>
      </c>
      <c r="P253" t="n">
        <v>1</v>
      </c>
      <c r="Q253" t="n">
        <v>8</v>
      </c>
      <c r="R253" s="2" t="inlineStr">
        <is>
          <t>Rynkskinn
Garnlav
Orange taggsvamp
Rosenticka
Spillkråka
Tretåig hackspett
Violettgrå tagellav
Vedticka</t>
        </is>
      </c>
      <c r="S253">
        <f>HYPERLINK("https://klasma.github.io/Logging_2281/artfynd/A 36953-2025 artfynd.xlsx", "A 36953-2025")</f>
        <v/>
      </c>
      <c r="T253">
        <f>HYPERLINK("https://klasma.github.io/Logging_2281/kartor/A 36953-2025 karta.png", "A 36953-2025")</f>
        <v/>
      </c>
      <c r="V253">
        <f>HYPERLINK("https://klasma.github.io/Logging_2281/klagomål/A 36953-2025 FSC-klagomål.docx", "A 36953-2025")</f>
        <v/>
      </c>
      <c r="W253">
        <f>HYPERLINK("https://klasma.github.io/Logging_2281/klagomålsmail/A 36953-2025 FSC-klagomål mail.docx", "A 36953-2025")</f>
        <v/>
      </c>
      <c r="X253">
        <f>HYPERLINK("https://klasma.github.io/Logging_2281/tillsyn/A 36953-2025 tillsynsbegäran.docx", "A 36953-2025")</f>
        <v/>
      </c>
      <c r="Y253">
        <f>HYPERLINK("https://klasma.github.io/Logging_2281/tillsynsmail/A 36953-2025 tillsynsbegäran mail.docx", "A 36953-2025")</f>
        <v/>
      </c>
      <c r="Z253">
        <f>HYPERLINK("https://klasma.github.io/Logging_2281/fåglar/A 36953-2025 prioriterade fågelarter.docx", "A 36953-2025")</f>
        <v/>
      </c>
    </row>
    <row r="254" ht="15" customHeight="1">
      <c r="A254" t="inlineStr">
        <is>
          <t>A 50885-2025</t>
        </is>
      </c>
      <c r="B254" s="1" t="n">
        <v>45946.63587962963</v>
      </c>
      <c r="C254" s="1" t="n">
        <v>46185</v>
      </c>
      <c r="D254" t="inlineStr">
        <is>
          <t>VÄSTERNORRLANDS LÄN</t>
        </is>
      </c>
      <c r="E254" t="inlineStr">
        <is>
          <t>SUNDSVALL</t>
        </is>
      </c>
      <c r="F254" t="inlineStr">
        <is>
          <t>SCA</t>
        </is>
      </c>
      <c r="G254" t="n">
        <v>3.6</v>
      </c>
      <c r="H254" t="n">
        <v>7</v>
      </c>
      <c r="I254" t="n">
        <v>1</v>
      </c>
      <c r="J254" t="n">
        <v>3</v>
      </c>
      <c r="K254" t="n">
        <v>1</v>
      </c>
      <c r="L254" t="n">
        <v>0</v>
      </c>
      <c r="M254" t="n">
        <v>0</v>
      </c>
      <c r="N254" t="n">
        <v>0</v>
      </c>
      <c r="O254" t="n">
        <v>4</v>
      </c>
      <c r="P254" t="n">
        <v>1</v>
      </c>
      <c r="Q254" t="n">
        <v>8</v>
      </c>
      <c r="R254" s="2" t="inlineStr">
        <is>
          <t>Knärot
Järpe
Spillkråka
Tretåig hackspett
Vedticka
Lavskrika
Orre
Tjäder</t>
        </is>
      </c>
      <c r="S254">
        <f>HYPERLINK("https://klasma.github.io/Logging_2281/artfynd/A 50885-2025 artfynd.xlsx", "A 50885-2025")</f>
        <v/>
      </c>
      <c r="T254">
        <f>HYPERLINK("https://klasma.github.io/Logging_2281/kartor/A 50885-2025 karta.png", "A 50885-2025")</f>
        <v/>
      </c>
      <c r="U254">
        <f>HYPERLINK("https://klasma.github.io/Logging_2281/knärot/A 50885-2025 karta knärot.png", "A 50885-2025")</f>
        <v/>
      </c>
      <c r="V254">
        <f>HYPERLINK("https://klasma.github.io/Logging_2281/klagomål/A 50885-2025 FSC-klagomål.docx", "A 50885-2025")</f>
        <v/>
      </c>
      <c r="W254">
        <f>HYPERLINK("https://klasma.github.io/Logging_2281/klagomålsmail/A 50885-2025 FSC-klagomål mail.docx", "A 50885-2025")</f>
        <v/>
      </c>
      <c r="X254">
        <f>HYPERLINK("https://klasma.github.io/Logging_2281/tillsyn/A 50885-2025 tillsynsbegäran.docx", "A 50885-2025")</f>
        <v/>
      </c>
      <c r="Y254">
        <f>HYPERLINK("https://klasma.github.io/Logging_2281/tillsynsmail/A 50885-2025 tillsynsbegäran mail.docx", "A 50885-2025")</f>
        <v/>
      </c>
      <c r="Z254">
        <f>HYPERLINK("https://klasma.github.io/Logging_2281/fåglar/A 50885-2025 prioriterade fågelarter.docx", "A 50885-2025")</f>
        <v/>
      </c>
    </row>
    <row r="255" ht="15" customHeight="1">
      <c r="A255" t="inlineStr">
        <is>
          <t>A 50910-2025</t>
        </is>
      </c>
      <c r="B255" s="1" t="n">
        <v>45946.65672453704</v>
      </c>
      <c r="C255" s="1" t="n">
        <v>46185</v>
      </c>
      <c r="D255" t="inlineStr">
        <is>
          <t>VÄSTERNORRLANDS LÄN</t>
        </is>
      </c>
      <c r="E255" t="inlineStr">
        <is>
          <t>SUNDSVALL</t>
        </is>
      </c>
      <c r="F255" t="inlineStr">
        <is>
          <t>SCA</t>
        </is>
      </c>
      <c r="G255" t="n">
        <v>3.6</v>
      </c>
      <c r="H255" t="n">
        <v>7</v>
      </c>
      <c r="I255" t="n">
        <v>1</v>
      </c>
      <c r="J255" t="n">
        <v>3</v>
      </c>
      <c r="K255" t="n">
        <v>1</v>
      </c>
      <c r="L255" t="n">
        <v>0</v>
      </c>
      <c r="M255" t="n">
        <v>0</v>
      </c>
      <c r="N255" t="n">
        <v>0</v>
      </c>
      <c r="O255" t="n">
        <v>4</v>
      </c>
      <c r="P255" t="n">
        <v>1</v>
      </c>
      <c r="Q255" t="n">
        <v>8</v>
      </c>
      <c r="R255" s="2" t="inlineStr">
        <is>
          <t>Knärot
Järpe
Spillkråka
Tretåig hackspett
Vedticka
Lavskrika
Orre
Tjäder</t>
        </is>
      </c>
      <c r="S255">
        <f>HYPERLINK("https://klasma.github.io/Logging_2281/artfynd/A 50910-2025 artfynd.xlsx", "A 50910-2025")</f>
        <v/>
      </c>
      <c r="T255">
        <f>HYPERLINK("https://klasma.github.io/Logging_2281/kartor/A 50910-2025 karta.png", "A 50910-2025")</f>
        <v/>
      </c>
      <c r="U255">
        <f>HYPERLINK("https://klasma.github.io/Logging_2281/knärot/A 50910-2025 karta knärot.png", "A 50910-2025")</f>
        <v/>
      </c>
      <c r="V255">
        <f>HYPERLINK("https://klasma.github.io/Logging_2281/klagomål/A 50910-2025 FSC-klagomål.docx", "A 50910-2025")</f>
        <v/>
      </c>
      <c r="W255">
        <f>HYPERLINK("https://klasma.github.io/Logging_2281/klagomålsmail/A 50910-2025 FSC-klagomål mail.docx", "A 50910-2025")</f>
        <v/>
      </c>
      <c r="X255">
        <f>HYPERLINK("https://klasma.github.io/Logging_2281/tillsyn/A 50910-2025 tillsynsbegäran.docx", "A 50910-2025")</f>
        <v/>
      </c>
      <c r="Y255">
        <f>HYPERLINK("https://klasma.github.io/Logging_2281/tillsynsmail/A 50910-2025 tillsynsbegäran mail.docx", "A 50910-2025")</f>
        <v/>
      </c>
      <c r="Z255">
        <f>HYPERLINK("https://klasma.github.io/Logging_2281/fåglar/A 50910-2025 prioriterade fågelarter.docx", "A 50910-2025")</f>
        <v/>
      </c>
    </row>
    <row r="256" ht="15" customHeight="1">
      <c r="A256" t="inlineStr">
        <is>
          <t>A 21345-2023</t>
        </is>
      </c>
      <c r="B256" s="1" t="n">
        <v>45062</v>
      </c>
      <c r="C256" s="1" t="n">
        <v>46185</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10086-2023</t>
        </is>
      </c>
      <c r="B257" s="1" t="n">
        <v>44985</v>
      </c>
      <c r="C257" s="1" t="n">
        <v>46185</v>
      </c>
      <c r="D257" t="inlineStr">
        <is>
          <t>VÄSTERNORRLANDS LÄN</t>
        </is>
      </c>
      <c r="E257" t="inlineStr">
        <is>
          <t>ÅNGE</t>
        </is>
      </c>
      <c r="F257" t="inlineStr">
        <is>
          <t>SCA</t>
        </is>
      </c>
      <c r="G257" t="n">
        <v>2.4</v>
      </c>
      <c r="H257" t="n">
        <v>1</v>
      </c>
      <c r="I257" t="n">
        <v>3</v>
      </c>
      <c r="J257" t="n">
        <v>4</v>
      </c>
      <c r="K257" t="n">
        <v>0</v>
      </c>
      <c r="L257" t="n">
        <v>0</v>
      </c>
      <c r="M257" t="n">
        <v>0</v>
      </c>
      <c r="N257" t="n">
        <v>0</v>
      </c>
      <c r="O257" t="n">
        <v>4</v>
      </c>
      <c r="P257" t="n">
        <v>0</v>
      </c>
      <c r="Q257" t="n">
        <v>8</v>
      </c>
      <c r="R257" s="2" t="inlineStr">
        <is>
          <t>Gammelgransskål
Garnlav
Lunglav
Ullticka
Källpraktmossa
Vedticka
Vågbandad barkbock
Fläcknycklar</t>
        </is>
      </c>
      <c r="S257">
        <f>HYPERLINK("https://klasma.github.io/Logging_2260/artfynd/A 10086-2023 artfynd.xlsx", "A 10086-2023")</f>
        <v/>
      </c>
      <c r="T257">
        <f>HYPERLINK("https://klasma.github.io/Logging_2260/kartor/A 10086-2023 karta.png", "A 10086-2023")</f>
        <v/>
      </c>
      <c r="V257">
        <f>HYPERLINK("https://klasma.github.io/Logging_2260/klagomål/A 10086-2023 FSC-klagomål.docx", "A 10086-2023")</f>
        <v/>
      </c>
      <c r="W257">
        <f>HYPERLINK("https://klasma.github.io/Logging_2260/klagomålsmail/A 10086-2023 FSC-klagomål mail.docx", "A 10086-2023")</f>
        <v/>
      </c>
      <c r="X257">
        <f>HYPERLINK("https://klasma.github.io/Logging_2260/tillsyn/A 10086-2023 tillsynsbegäran.docx", "A 10086-2023")</f>
        <v/>
      </c>
      <c r="Y257">
        <f>HYPERLINK("https://klasma.github.io/Logging_2260/tillsynsmail/A 10086-2023 tillsynsbegäran mail.docx", "A 10086-2023")</f>
        <v/>
      </c>
    </row>
    <row r="258" ht="15" customHeight="1">
      <c r="A258" t="inlineStr">
        <is>
          <t>A 33746-2024</t>
        </is>
      </c>
      <c r="B258" s="1" t="n">
        <v>45520</v>
      </c>
      <c r="C258" s="1" t="n">
        <v>46185</v>
      </c>
      <c r="D258" t="inlineStr">
        <is>
          <t>VÄSTERNORRLANDS LÄN</t>
        </is>
      </c>
      <c r="E258" t="inlineStr">
        <is>
          <t>SUNDSVALL</t>
        </is>
      </c>
      <c r="F258" t="inlineStr">
        <is>
          <t>SCA</t>
        </is>
      </c>
      <c r="G258" t="n">
        <v>11.6</v>
      </c>
      <c r="H258" t="n">
        <v>2</v>
      </c>
      <c r="I258" t="n">
        <v>2</v>
      </c>
      <c r="J258" t="n">
        <v>4</v>
      </c>
      <c r="K258" t="n">
        <v>2</v>
      </c>
      <c r="L258" t="n">
        <v>0</v>
      </c>
      <c r="M258" t="n">
        <v>0</v>
      </c>
      <c r="N258" t="n">
        <v>0</v>
      </c>
      <c r="O258" t="n">
        <v>6</v>
      </c>
      <c r="P258" t="n">
        <v>2</v>
      </c>
      <c r="Q258" t="n">
        <v>8</v>
      </c>
      <c r="R258" s="2" t="inlineStr">
        <is>
          <t>Knärot
Rostskinn
Granticka
Rosenticka
Talltita
Ullticka
Brandticka
Vedticka</t>
        </is>
      </c>
      <c r="S258">
        <f>HYPERLINK("https://klasma.github.io/Logging_2281/artfynd/A 33746-2024 artfynd.xlsx", "A 33746-2024")</f>
        <v/>
      </c>
      <c r="T258">
        <f>HYPERLINK("https://klasma.github.io/Logging_2281/kartor/A 33746-2024 karta.png", "A 33746-2024")</f>
        <v/>
      </c>
      <c r="U258">
        <f>HYPERLINK("https://klasma.github.io/Logging_2281/knärot/A 33746-2024 karta knärot.png", "A 33746-2024")</f>
        <v/>
      </c>
      <c r="V258">
        <f>HYPERLINK("https://klasma.github.io/Logging_2281/klagomål/A 33746-2024 FSC-klagomål.docx", "A 33746-2024")</f>
        <v/>
      </c>
      <c r="W258">
        <f>HYPERLINK("https://klasma.github.io/Logging_2281/klagomålsmail/A 33746-2024 FSC-klagomål mail.docx", "A 33746-2024")</f>
        <v/>
      </c>
      <c r="X258">
        <f>HYPERLINK("https://klasma.github.io/Logging_2281/tillsyn/A 33746-2024 tillsynsbegäran.docx", "A 33746-2024")</f>
        <v/>
      </c>
      <c r="Y258">
        <f>HYPERLINK("https://klasma.github.io/Logging_2281/tillsynsmail/A 33746-2024 tillsynsbegäran mail.docx", "A 33746-2024")</f>
        <v/>
      </c>
      <c r="Z258">
        <f>HYPERLINK("https://klasma.github.io/Logging_2281/fåglar/A 33746-2024 prioriterade fågelarter.docx", "A 33746-2024")</f>
        <v/>
      </c>
    </row>
    <row r="259" ht="15" customHeight="1">
      <c r="A259" t="inlineStr">
        <is>
          <t>A 32200-2023</t>
        </is>
      </c>
      <c r="B259" s="1" t="n">
        <v>45119</v>
      </c>
      <c r="C259" s="1" t="n">
        <v>46185</v>
      </c>
      <c r="D259" t="inlineStr">
        <is>
          <t>VÄSTERNORRLANDS LÄN</t>
        </is>
      </c>
      <c r="E259" t="inlineStr">
        <is>
          <t>SOLLEFTEÅ</t>
        </is>
      </c>
      <c r="G259" t="n">
        <v>1.5</v>
      </c>
      <c r="H259" t="n">
        <v>3</v>
      </c>
      <c r="I259" t="n">
        <v>2</v>
      </c>
      <c r="J259" t="n">
        <v>5</v>
      </c>
      <c r="K259" t="n">
        <v>1</v>
      </c>
      <c r="L259" t="n">
        <v>0</v>
      </c>
      <c r="M259" t="n">
        <v>0</v>
      </c>
      <c r="N259" t="n">
        <v>0</v>
      </c>
      <c r="O259" t="n">
        <v>6</v>
      </c>
      <c r="P259" t="n">
        <v>1</v>
      </c>
      <c r="Q259" t="n">
        <v>8</v>
      </c>
      <c r="R259" s="2" t="inlineStr">
        <is>
          <t>Knärot
Garnlav
Rosenticka
Spillkråka
Tretåig hackspett
Ullticka
Grönpyrola
Vedticka</t>
        </is>
      </c>
      <c r="S259">
        <f>HYPERLINK("https://klasma.github.io/Logging_2283/artfynd/A 32200-2023 artfynd.xlsx", "A 32200-2023")</f>
        <v/>
      </c>
      <c r="T259">
        <f>HYPERLINK("https://klasma.github.io/Logging_2283/kartor/A 32200-2023 karta.png", "A 32200-2023")</f>
        <v/>
      </c>
      <c r="U259">
        <f>HYPERLINK("https://klasma.github.io/Logging_2283/knärot/A 32200-2023 karta knärot.png", "A 32200-2023")</f>
        <v/>
      </c>
      <c r="V259">
        <f>HYPERLINK("https://klasma.github.io/Logging_2283/klagomål/A 32200-2023 FSC-klagomål.docx", "A 32200-2023")</f>
        <v/>
      </c>
      <c r="W259">
        <f>HYPERLINK("https://klasma.github.io/Logging_2283/klagomålsmail/A 32200-2023 FSC-klagomål mail.docx", "A 32200-2023")</f>
        <v/>
      </c>
      <c r="X259">
        <f>HYPERLINK("https://klasma.github.io/Logging_2283/tillsyn/A 32200-2023 tillsynsbegäran.docx", "A 32200-2023")</f>
        <v/>
      </c>
      <c r="Y259">
        <f>HYPERLINK("https://klasma.github.io/Logging_2283/tillsynsmail/A 32200-2023 tillsynsbegäran mail.docx", "A 32200-2023")</f>
        <v/>
      </c>
      <c r="Z259">
        <f>HYPERLINK("https://klasma.github.io/Logging_2283/fåglar/A 32200-2023 prioriterade fågelarter.docx", "A 32200-2023")</f>
        <v/>
      </c>
    </row>
    <row r="260" ht="15" customHeight="1">
      <c r="A260" t="inlineStr">
        <is>
          <t>A 32160-2024</t>
        </is>
      </c>
      <c r="B260" s="1" t="n">
        <v>45511</v>
      </c>
      <c r="C260" s="1" t="n">
        <v>46185</v>
      </c>
      <c r="D260" t="inlineStr">
        <is>
          <t>VÄSTERNORRLANDS LÄN</t>
        </is>
      </c>
      <c r="E260" t="inlineStr">
        <is>
          <t>KRAMFORS</t>
        </is>
      </c>
      <c r="G260" t="n">
        <v>11.1</v>
      </c>
      <c r="H260" t="n">
        <v>4</v>
      </c>
      <c r="I260" t="n">
        <v>0</v>
      </c>
      <c r="J260" t="n">
        <v>5</v>
      </c>
      <c r="K260" t="n">
        <v>1</v>
      </c>
      <c r="L260" t="n">
        <v>0</v>
      </c>
      <c r="M260" t="n">
        <v>0</v>
      </c>
      <c r="N260" t="n">
        <v>0</v>
      </c>
      <c r="O260" t="n">
        <v>6</v>
      </c>
      <c r="P260" t="n">
        <v>1</v>
      </c>
      <c r="Q260" t="n">
        <v>8</v>
      </c>
      <c r="R260" s="2" t="inlineStr">
        <is>
          <t>Ringlav
Garnlav
Orange taggsvamp
Spillkråka
Tallticka
Talltita
Tjäder
Fläcknycklar</t>
        </is>
      </c>
      <c r="S260">
        <f>HYPERLINK("https://klasma.github.io/Logging_2282/artfynd/A 32160-2024 artfynd.xlsx", "A 32160-2024")</f>
        <v/>
      </c>
      <c r="T260">
        <f>HYPERLINK("https://klasma.github.io/Logging_2282/kartor/A 32160-2024 karta.png", "A 32160-2024")</f>
        <v/>
      </c>
      <c r="V260">
        <f>HYPERLINK("https://klasma.github.io/Logging_2282/klagomål/A 32160-2024 FSC-klagomål.docx", "A 32160-2024")</f>
        <v/>
      </c>
      <c r="W260">
        <f>HYPERLINK("https://klasma.github.io/Logging_2282/klagomålsmail/A 32160-2024 FSC-klagomål mail.docx", "A 32160-2024")</f>
        <v/>
      </c>
      <c r="X260">
        <f>HYPERLINK("https://klasma.github.io/Logging_2282/tillsyn/A 32160-2024 tillsynsbegäran.docx", "A 32160-2024")</f>
        <v/>
      </c>
      <c r="Y260">
        <f>HYPERLINK("https://klasma.github.io/Logging_2282/tillsynsmail/A 32160-2024 tillsynsbegäran mail.docx", "A 32160-2024")</f>
        <v/>
      </c>
      <c r="Z260">
        <f>HYPERLINK("https://klasma.github.io/Logging_2282/fåglar/A 32160-2024 prioriterade fågelarter.docx", "A 32160-2024")</f>
        <v/>
      </c>
    </row>
    <row r="261" ht="15" customHeight="1">
      <c r="A261" t="inlineStr">
        <is>
          <t>A 25941-2025</t>
        </is>
      </c>
      <c r="B261" s="1" t="n">
        <v>45804</v>
      </c>
      <c r="C261" s="1" t="n">
        <v>46185</v>
      </c>
      <c r="D261" t="inlineStr">
        <is>
          <t>VÄSTERNORRLANDS LÄN</t>
        </is>
      </c>
      <c r="E261" t="inlineStr">
        <is>
          <t>SOLLEFTEÅ</t>
        </is>
      </c>
      <c r="G261" t="n">
        <v>4.4</v>
      </c>
      <c r="H261" t="n">
        <v>1</v>
      </c>
      <c r="I261" t="n">
        <v>3</v>
      </c>
      <c r="J261" t="n">
        <v>3</v>
      </c>
      <c r="K261" t="n">
        <v>1</v>
      </c>
      <c r="L261" t="n">
        <v>1</v>
      </c>
      <c r="M261" t="n">
        <v>0</v>
      </c>
      <c r="N261" t="n">
        <v>0</v>
      </c>
      <c r="O261" t="n">
        <v>5</v>
      </c>
      <c r="P261" t="n">
        <v>2</v>
      </c>
      <c r="Q261" t="n">
        <v>8</v>
      </c>
      <c r="R261" s="2" t="inlineStr">
        <is>
          <t>Trolldruvemätare
Rynkskinn
Rosenticka
Talltita
Vedtrappmossa
Dvärghäxört
Strutbräken
Svart trolldruva</t>
        </is>
      </c>
      <c r="S261">
        <f>HYPERLINK("https://klasma.github.io/Logging_2283/artfynd/A 25941-2025 artfynd.xlsx", "A 25941-2025")</f>
        <v/>
      </c>
      <c r="T261">
        <f>HYPERLINK("https://klasma.github.io/Logging_2283/kartor/A 25941-2025 karta.png", "A 25941-2025")</f>
        <v/>
      </c>
      <c r="V261">
        <f>HYPERLINK("https://klasma.github.io/Logging_2283/klagomål/A 25941-2025 FSC-klagomål.docx", "A 25941-2025")</f>
        <v/>
      </c>
      <c r="W261">
        <f>HYPERLINK("https://klasma.github.io/Logging_2283/klagomålsmail/A 25941-2025 FSC-klagomål mail.docx", "A 25941-2025")</f>
        <v/>
      </c>
      <c r="X261">
        <f>HYPERLINK("https://klasma.github.io/Logging_2283/tillsyn/A 25941-2025 tillsynsbegäran.docx", "A 25941-2025")</f>
        <v/>
      </c>
      <c r="Y261">
        <f>HYPERLINK("https://klasma.github.io/Logging_2283/tillsynsmail/A 25941-2025 tillsynsbegäran mail.docx", "A 25941-2025")</f>
        <v/>
      </c>
      <c r="Z261">
        <f>HYPERLINK("https://klasma.github.io/Logging_2283/fåglar/A 25941-2025 prioriterade fågelarter.docx", "A 25941-2025")</f>
        <v/>
      </c>
    </row>
    <row r="262" ht="15" customHeight="1">
      <c r="A262" t="inlineStr">
        <is>
          <t>A 5310-2024</t>
        </is>
      </c>
      <c r="B262" s="1" t="n">
        <v>45331</v>
      </c>
      <c r="C262" s="1" t="n">
        <v>46185</v>
      </c>
      <c r="D262" t="inlineStr">
        <is>
          <t>VÄSTERNORRLANDS LÄN</t>
        </is>
      </c>
      <c r="E262" t="inlineStr">
        <is>
          <t>SOLLEFTEÅ</t>
        </is>
      </c>
      <c r="G262" t="n">
        <v>8.5</v>
      </c>
      <c r="H262" t="n">
        <v>2</v>
      </c>
      <c r="I262" t="n">
        <v>3</v>
      </c>
      <c r="J262" t="n">
        <v>4</v>
      </c>
      <c r="K262" t="n">
        <v>1</v>
      </c>
      <c r="L262" t="n">
        <v>0</v>
      </c>
      <c r="M262" t="n">
        <v>0</v>
      </c>
      <c r="N262" t="n">
        <v>0</v>
      </c>
      <c r="O262" t="n">
        <v>5</v>
      </c>
      <c r="P262" t="n">
        <v>1</v>
      </c>
      <c r="Q262" t="n">
        <v>8</v>
      </c>
      <c r="R262" s="2" t="inlineStr">
        <is>
          <t>Knärot
Garnlav
Kortskaftad ärgspik
Rosenticka
Talltita
Barkticka
Bronshjon
Luddlav</t>
        </is>
      </c>
      <c r="S262">
        <f>HYPERLINK("https://klasma.github.io/Logging_2283/artfynd/A 5310-2024 artfynd.xlsx", "A 5310-2024")</f>
        <v/>
      </c>
      <c r="T262">
        <f>HYPERLINK("https://klasma.github.io/Logging_2283/kartor/A 5310-2024 karta.png", "A 5310-2024")</f>
        <v/>
      </c>
      <c r="U262">
        <f>HYPERLINK("https://klasma.github.io/Logging_2283/knärot/A 5310-2024 karta knärot.png", "A 5310-2024")</f>
        <v/>
      </c>
      <c r="V262">
        <f>HYPERLINK("https://klasma.github.io/Logging_2283/klagomål/A 5310-2024 FSC-klagomål.docx", "A 5310-2024")</f>
        <v/>
      </c>
      <c r="W262">
        <f>HYPERLINK("https://klasma.github.io/Logging_2283/klagomålsmail/A 5310-2024 FSC-klagomål mail.docx", "A 5310-2024")</f>
        <v/>
      </c>
      <c r="X262">
        <f>HYPERLINK("https://klasma.github.io/Logging_2283/tillsyn/A 5310-2024 tillsynsbegäran.docx", "A 5310-2024")</f>
        <v/>
      </c>
      <c r="Y262">
        <f>HYPERLINK("https://klasma.github.io/Logging_2283/tillsynsmail/A 5310-2024 tillsynsbegäran mail.docx", "A 5310-2024")</f>
        <v/>
      </c>
      <c r="Z262">
        <f>HYPERLINK("https://klasma.github.io/Logging_2283/fåglar/A 5310-2024 prioriterade fågelarter.docx", "A 5310-2024")</f>
        <v/>
      </c>
    </row>
    <row r="263" ht="15" customHeight="1">
      <c r="A263" t="inlineStr">
        <is>
          <t>A 15540-2026</t>
        </is>
      </c>
      <c r="B263" s="1" t="n">
        <v>46106</v>
      </c>
      <c r="C263" s="1" t="n">
        <v>46185</v>
      </c>
      <c r="D263" t="inlineStr">
        <is>
          <t>VÄSTERNORRLANDS LÄN</t>
        </is>
      </c>
      <c r="E263" t="inlineStr">
        <is>
          <t>SUNDSVALL</t>
        </is>
      </c>
      <c r="G263" t="n">
        <v>6.6</v>
      </c>
      <c r="H263" t="n">
        <v>3</v>
      </c>
      <c r="I263" t="n">
        <v>2</v>
      </c>
      <c r="J263" t="n">
        <v>5</v>
      </c>
      <c r="K263" t="n">
        <v>1</v>
      </c>
      <c r="L263" t="n">
        <v>0</v>
      </c>
      <c r="M263" t="n">
        <v>0</v>
      </c>
      <c r="N263" t="n">
        <v>0</v>
      </c>
      <c r="O263" t="n">
        <v>6</v>
      </c>
      <c r="P263" t="n">
        <v>1</v>
      </c>
      <c r="Q263" t="n">
        <v>8</v>
      </c>
      <c r="R263" s="2" t="inlineStr">
        <is>
          <t>Knärot
Garnlav
Talltita
Tretåig hackspett
Ullticka
Violettgrå tagellav
Blodticka
Vedticka</t>
        </is>
      </c>
      <c r="S263">
        <f>HYPERLINK("https://klasma.github.io/Logging_2281/artfynd/A 15540-2026 artfynd.xlsx", "A 15540-2026")</f>
        <v/>
      </c>
      <c r="T263">
        <f>HYPERLINK("https://klasma.github.io/Logging_2281/kartor/A 15540-2026 karta.png", "A 15540-2026")</f>
        <v/>
      </c>
      <c r="U263">
        <f>HYPERLINK("https://klasma.github.io/Logging_2281/knärot/A 15540-2026 karta knärot.png", "A 15540-2026")</f>
        <v/>
      </c>
      <c r="V263">
        <f>HYPERLINK("https://klasma.github.io/Logging_2281/klagomål/A 15540-2026 FSC-klagomål.docx", "A 15540-2026")</f>
        <v/>
      </c>
      <c r="W263">
        <f>HYPERLINK("https://klasma.github.io/Logging_2281/klagomålsmail/A 15540-2026 FSC-klagomål mail.docx", "A 15540-2026")</f>
        <v/>
      </c>
      <c r="X263">
        <f>HYPERLINK("https://klasma.github.io/Logging_2281/tillsyn/A 15540-2026 tillsynsbegäran.docx", "A 15540-2026")</f>
        <v/>
      </c>
      <c r="Y263">
        <f>HYPERLINK("https://klasma.github.io/Logging_2281/tillsynsmail/A 15540-2026 tillsynsbegäran mail.docx", "A 15540-2026")</f>
        <v/>
      </c>
      <c r="Z263">
        <f>HYPERLINK("https://klasma.github.io/Logging_2281/fåglar/A 15540-2026 prioriterade fågelarter.docx", "A 15540-2026")</f>
        <v/>
      </c>
    </row>
    <row r="264" ht="15" customHeight="1">
      <c r="A264" t="inlineStr">
        <is>
          <t>A 57843-2024</t>
        </is>
      </c>
      <c r="B264" s="1" t="n">
        <v>45631</v>
      </c>
      <c r="C264" s="1" t="n">
        <v>46185</v>
      </c>
      <c r="D264" t="inlineStr">
        <is>
          <t>VÄSTERNORRLANDS LÄN</t>
        </is>
      </c>
      <c r="E264" t="inlineStr">
        <is>
          <t>ÅNGE</t>
        </is>
      </c>
      <c r="G264" t="n">
        <v>6</v>
      </c>
      <c r="H264" t="n">
        <v>2</v>
      </c>
      <c r="I264" t="n">
        <v>3</v>
      </c>
      <c r="J264" t="n">
        <v>3</v>
      </c>
      <c r="K264" t="n">
        <v>0</v>
      </c>
      <c r="L264" t="n">
        <v>0</v>
      </c>
      <c r="M264" t="n">
        <v>0</v>
      </c>
      <c r="N264" t="n">
        <v>0</v>
      </c>
      <c r="O264" t="n">
        <v>3</v>
      </c>
      <c r="P264" t="n">
        <v>0</v>
      </c>
      <c r="Q264" t="n">
        <v>8</v>
      </c>
      <c r="R264" s="2" t="inlineStr">
        <is>
          <t>Garnlav
Lunglav
Skrovellav
Bårdlav
Luddlav
Stuplav
Fläcknycklar
Revlummer</t>
        </is>
      </c>
      <c r="S264">
        <f>HYPERLINK("https://klasma.github.io/Logging_2260/artfynd/A 57843-2024 artfynd.xlsx", "A 57843-2024")</f>
        <v/>
      </c>
      <c r="T264">
        <f>HYPERLINK("https://klasma.github.io/Logging_2260/kartor/A 57843-2024 karta.png", "A 57843-2024")</f>
        <v/>
      </c>
      <c r="V264">
        <f>HYPERLINK("https://klasma.github.io/Logging_2260/klagomål/A 57843-2024 FSC-klagomål.docx", "A 57843-2024")</f>
        <v/>
      </c>
      <c r="W264">
        <f>HYPERLINK("https://klasma.github.io/Logging_2260/klagomålsmail/A 57843-2024 FSC-klagomål mail.docx", "A 57843-2024")</f>
        <v/>
      </c>
      <c r="X264">
        <f>HYPERLINK("https://klasma.github.io/Logging_2260/tillsyn/A 57843-2024 tillsynsbegäran.docx", "A 57843-2024")</f>
        <v/>
      </c>
      <c r="Y264">
        <f>HYPERLINK("https://klasma.github.io/Logging_2260/tillsynsmail/A 57843-2024 tillsynsbegäran mail.docx", "A 57843-2024")</f>
        <v/>
      </c>
    </row>
    <row r="265" ht="15" customHeight="1">
      <c r="A265" t="inlineStr">
        <is>
          <t>A 57317-2024</t>
        </is>
      </c>
      <c r="B265" s="1" t="n">
        <v>45629</v>
      </c>
      <c r="C265" s="1" t="n">
        <v>46185</v>
      </c>
      <c r="D265" t="inlineStr">
        <is>
          <t>VÄSTERNORRLANDS LÄN</t>
        </is>
      </c>
      <c r="E265" t="inlineStr">
        <is>
          <t>SOLLEFTEÅ</t>
        </is>
      </c>
      <c r="F265" t="inlineStr">
        <is>
          <t>SCA</t>
        </is>
      </c>
      <c r="G265" t="n">
        <v>4</v>
      </c>
      <c r="H265" t="n">
        <v>3</v>
      </c>
      <c r="I265" t="n">
        <v>0</v>
      </c>
      <c r="J265" t="n">
        <v>7</v>
      </c>
      <c r="K265" t="n">
        <v>1</v>
      </c>
      <c r="L265" t="n">
        <v>0</v>
      </c>
      <c r="M265" t="n">
        <v>0</v>
      </c>
      <c r="N265" t="n">
        <v>0</v>
      </c>
      <c r="O265" t="n">
        <v>8</v>
      </c>
      <c r="P265" t="n">
        <v>1</v>
      </c>
      <c r="Q265" t="n">
        <v>8</v>
      </c>
      <c r="R265" s="2" t="inlineStr">
        <is>
          <t>Knärot
Gammelgransskål
Garnlav
Granticka
Lunglav
Spillkråka
Tretåig hackspett
Ullticka</t>
        </is>
      </c>
      <c r="S265">
        <f>HYPERLINK("https://klasma.github.io/Logging_2283/artfynd/A 57317-2024 artfynd.xlsx", "A 57317-2024")</f>
        <v/>
      </c>
      <c r="T265">
        <f>HYPERLINK("https://klasma.github.io/Logging_2283/kartor/A 57317-2024 karta.png", "A 57317-2024")</f>
        <v/>
      </c>
      <c r="U265">
        <f>HYPERLINK("https://klasma.github.io/Logging_2283/knärot/A 57317-2024 karta knärot.png", "A 57317-2024")</f>
        <v/>
      </c>
      <c r="V265">
        <f>HYPERLINK("https://klasma.github.io/Logging_2283/klagomål/A 57317-2024 FSC-klagomål.docx", "A 57317-2024")</f>
        <v/>
      </c>
      <c r="W265">
        <f>HYPERLINK("https://klasma.github.io/Logging_2283/klagomålsmail/A 57317-2024 FSC-klagomål mail.docx", "A 57317-2024")</f>
        <v/>
      </c>
      <c r="X265">
        <f>HYPERLINK("https://klasma.github.io/Logging_2283/tillsyn/A 57317-2024 tillsynsbegäran.docx", "A 57317-2024")</f>
        <v/>
      </c>
      <c r="Y265">
        <f>HYPERLINK("https://klasma.github.io/Logging_2283/tillsynsmail/A 57317-2024 tillsynsbegäran mail.docx", "A 57317-2024")</f>
        <v/>
      </c>
      <c r="Z265">
        <f>HYPERLINK("https://klasma.github.io/Logging_2283/fåglar/A 57317-2024 prioriterade fågelarter.docx", "A 57317-2024")</f>
        <v/>
      </c>
    </row>
    <row r="266" ht="15" customHeight="1">
      <c r="A266" t="inlineStr">
        <is>
          <t>A 19314-2026</t>
        </is>
      </c>
      <c r="B266" s="1" t="n">
        <v>46133.38590277778</v>
      </c>
      <c r="C266" s="1" t="n">
        <v>46185</v>
      </c>
      <c r="D266" t="inlineStr">
        <is>
          <t>VÄSTERNORRLANDS LÄN</t>
        </is>
      </c>
      <c r="E266" t="inlineStr">
        <is>
          <t>SOLLEFTEÅ</t>
        </is>
      </c>
      <c r="F266" t="inlineStr">
        <is>
          <t>SCA</t>
        </is>
      </c>
      <c r="G266" t="n">
        <v>0.8</v>
      </c>
      <c r="H266" t="n">
        <v>1</v>
      </c>
      <c r="I266" t="n">
        <v>5</v>
      </c>
      <c r="J266" t="n">
        <v>3</v>
      </c>
      <c r="K266" t="n">
        <v>0</v>
      </c>
      <c r="L266" t="n">
        <v>0</v>
      </c>
      <c r="M266" t="n">
        <v>0</v>
      </c>
      <c r="N266" t="n">
        <v>0</v>
      </c>
      <c r="O266" t="n">
        <v>3</v>
      </c>
      <c r="P266" t="n">
        <v>0</v>
      </c>
      <c r="Q266" t="n">
        <v>8</v>
      </c>
      <c r="R266" s="2" t="inlineStr">
        <is>
          <t>Granticka
Lunglav
Ullticka
Bollvitmossa
Gulnål
Gytterlav
Lappranunkel
Skör kvastmossa</t>
        </is>
      </c>
      <c r="S266">
        <f>HYPERLINK("https://klasma.github.io/Logging_2283/artfynd/A 19314-2026 artfynd.xlsx", "A 19314-2026")</f>
        <v/>
      </c>
      <c r="T266">
        <f>HYPERLINK("https://klasma.github.io/Logging_2283/kartor/A 19314-2026 karta.png", "A 19314-2026")</f>
        <v/>
      </c>
      <c r="V266">
        <f>HYPERLINK("https://klasma.github.io/Logging_2283/klagomål/A 19314-2026 FSC-klagomål.docx", "A 19314-2026")</f>
        <v/>
      </c>
      <c r="W266">
        <f>HYPERLINK("https://klasma.github.io/Logging_2283/klagomålsmail/A 19314-2026 FSC-klagomål mail.docx", "A 19314-2026")</f>
        <v/>
      </c>
      <c r="X266">
        <f>HYPERLINK("https://klasma.github.io/Logging_2283/tillsyn/A 19314-2026 tillsynsbegäran.docx", "A 19314-2026")</f>
        <v/>
      </c>
      <c r="Y266">
        <f>HYPERLINK("https://klasma.github.io/Logging_2283/tillsynsmail/A 19314-2026 tillsynsbegäran mail.docx", "A 19314-2026")</f>
        <v/>
      </c>
    </row>
    <row r="267" ht="15" customHeight="1">
      <c r="A267" t="inlineStr">
        <is>
          <t>A 54345-2023</t>
        </is>
      </c>
      <c r="B267" s="1" t="n">
        <v>45232</v>
      </c>
      <c r="C267" s="1" t="n">
        <v>46185</v>
      </c>
      <c r="D267" t="inlineStr">
        <is>
          <t>VÄSTERNORRLANDS LÄN</t>
        </is>
      </c>
      <c r="E267" t="inlineStr">
        <is>
          <t>SUNDSVALL</t>
        </is>
      </c>
      <c r="F267" t="inlineStr">
        <is>
          <t>SCA</t>
        </is>
      </c>
      <c r="G267" t="n">
        <v>4.3</v>
      </c>
      <c r="H267" t="n">
        <v>4</v>
      </c>
      <c r="I267" t="n">
        <v>0</v>
      </c>
      <c r="J267" t="n">
        <v>5</v>
      </c>
      <c r="K267" t="n">
        <v>2</v>
      </c>
      <c r="L267" t="n">
        <v>0</v>
      </c>
      <c r="M267" t="n">
        <v>0</v>
      </c>
      <c r="N267" t="n">
        <v>0</v>
      </c>
      <c r="O267" t="n">
        <v>7</v>
      </c>
      <c r="P267" t="n">
        <v>2</v>
      </c>
      <c r="Q267" t="n">
        <v>8</v>
      </c>
      <c r="R267" s="2" t="inlineStr">
        <is>
          <t>Knärot
Rynkskinn
Duvhök
Garnlav
Granticka
Rosenticka
Tretåig hackspett
Revlummer</t>
        </is>
      </c>
      <c r="S267">
        <f>HYPERLINK("https://klasma.github.io/Logging_2281/artfynd/A 54345-2023 artfynd.xlsx", "A 54345-2023")</f>
        <v/>
      </c>
      <c r="T267">
        <f>HYPERLINK("https://klasma.github.io/Logging_2281/kartor/A 54345-2023 karta.png", "A 54345-2023")</f>
        <v/>
      </c>
      <c r="U267">
        <f>HYPERLINK("https://klasma.github.io/Logging_2281/knärot/A 54345-2023 karta knärot.png", "A 54345-2023")</f>
        <v/>
      </c>
      <c r="V267">
        <f>HYPERLINK("https://klasma.github.io/Logging_2281/klagomål/A 54345-2023 FSC-klagomål.docx", "A 54345-2023")</f>
        <v/>
      </c>
      <c r="W267">
        <f>HYPERLINK("https://klasma.github.io/Logging_2281/klagomålsmail/A 54345-2023 FSC-klagomål mail.docx", "A 54345-2023")</f>
        <v/>
      </c>
      <c r="X267">
        <f>HYPERLINK("https://klasma.github.io/Logging_2281/tillsyn/A 54345-2023 tillsynsbegäran.docx", "A 54345-2023")</f>
        <v/>
      </c>
      <c r="Y267">
        <f>HYPERLINK("https://klasma.github.io/Logging_2281/tillsynsmail/A 54345-2023 tillsynsbegäran mail.docx", "A 54345-2023")</f>
        <v/>
      </c>
      <c r="Z267">
        <f>HYPERLINK("https://klasma.github.io/Logging_2281/fåglar/A 54345-2023 prioriterade fågelarter.docx", "A 54345-2023")</f>
        <v/>
      </c>
    </row>
    <row r="268" ht="15" customHeight="1">
      <c r="A268" t="inlineStr">
        <is>
          <t>A 37450-2025</t>
        </is>
      </c>
      <c r="B268" s="1" t="n">
        <v>45877</v>
      </c>
      <c r="C268" s="1" t="n">
        <v>46185</v>
      </c>
      <c r="D268" t="inlineStr">
        <is>
          <t>VÄSTERNORRLANDS LÄN</t>
        </is>
      </c>
      <c r="E268" t="inlineStr">
        <is>
          <t>ÅNGE</t>
        </is>
      </c>
      <c r="F268" t="inlineStr">
        <is>
          <t>SCA</t>
        </is>
      </c>
      <c r="G268" t="n">
        <v>1</v>
      </c>
      <c r="H268" t="n">
        <v>2</v>
      </c>
      <c r="I268" t="n">
        <v>3</v>
      </c>
      <c r="J268" t="n">
        <v>3</v>
      </c>
      <c r="K268" t="n">
        <v>1</v>
      </c>
      <c r="L268" t="n">
        <v>0</v>
      </c>
      <c r="M268" t="n">
        <v>0</v>
      </c>
      <c r="N268" t="n">
        <v>0</v>
      </c>
      <c r="O268" t="n">
        <v>4</v>
      </c>
      <c r="P268" t="n">
        <v>1</v>
      </c>
      <c r="Q268" t="n">
        <v>8</v>
      </c>
      <c r="R268" s="2" t="inlineStr">
        <is>
          <t>Knärot
Garnlav
Lunglav
Skrovellav
Skinnlav
Skuggblåslav
Stuplav
Revlummer</t>
        </is>
      </c>
      <c r="S268">
        <f>HYPERLINK("https://klasma.github.io/Logging_2260/artfynd/A 37450-2025 artfynd.xlsx", "A 37450-2025")</f>
        <v/>
      </c>
      <c r="T268">
        <f>HYPERLINK("https://klasma.github.io/Logging_2260/kartor/A 37450-2025 karta.png", "A 37450-2025")</f>
        <v/>
      </c>
      <c r="U268">
        <f>HYPERLINK("https://klasma.github.io/Logging_2260/knärot/A 37450-2025 karta knärot.png", "A 37450-2025")</f>
        <v/>
      </c>
      <c r="V268">
        <f>HYPERLINK("https://klasma.github.io/Logging_2260/klagomål/A 37450-2025 FSC-klagomål.docx", "A 37450-2025")</f>
        <v/>
      </c>
      <c r="W268">
        <f>HYPERLINK("https://klasma.github.io/Logging_2260/klagomålsmail/A 37450-2025 FSC-klagomål mail.docx", "A 37450-2025")</f>
        <v/>
      </c>
      <c r="X268">
        <f>HYPERLINK("https://klasma.github.io/Logging_2260/tillsyn/A 37450-2025 tillsynsbegäran.docx", "A 37450-2025")</f>
        <v/>
      </c>
      <c r="Y268">
        <f>HYPERLINK("https://klasma.github.io/Logging_2260/tillsynsmail/A 37450-2025 tillsynsbegäran mail.docx", "A 37450-2025")</f>
        <v/>
      </c>
    </row>
    <row r="269" ht="15" customHeight="1">
      <c r="A269" t="inlineStr">
        <is>
          <t>A 16644-2026</t>
        </is>
      </c>
      <c r="B269" s="1" t="n">
        <v>46112.63613425926</v>
      </c>
      <c r="C269" s="1" t="n">
        <v>46185</v>
      </c>
      <c r="D269" t="inlineStr">
        <is>
          <t>VÄSTERNORRLANDS LÄN</t>
        </is>
      </c>
      <c r="E269" t="inlineStr">
        <is>
          <t>KRAMFORS</t>
        </is>
      </c>
      <c r="G269" t="n">
        <v>3.3</v>
      </c>
      <c r="H269" t="n">
        <v>3</v>
      </c>
      <c r="I269" t="n">
        <v>1</v>
      </c>
      <c r="J269" t="n">
        <v>4</v>
      </c>
      <c r="K269" t="n">
        <v>2</v>
      </c>
      <c r="L269" t="n">
        <v>0</v>
      </c>
      <c r="M269" t="n">
        <v>0</v>
      </c>
      <c r="N269" t="n">
        <v>0</v>
      </c>
      <c r="O269" t="n">
        <v>6</v>
      </c>
      <c r="P269" t="n">
        <v>2</v>
      </c>
      <c r="Q269" t="n">
        <v>8</v>
      </c>
      <c r="R269" s="2" t="inlineStr">
        <is>
          <t>Knärot
Rynkskinn
Garnlav
Rosenticka
Tretåig hackspett
Ullticka
Vedticka
Revlummer</t>
        </is>
      </c>
      <c r="S269">
        <f>HYPERLINK("https://klasma.github.io/Logging_2282/artfynd/A 16644-2026 artfynd.xlsx", "A 16644-2026")</f>
        <v/>
      </c>
      <c r="T269">
        <f>HYPERLINK("https://klasma.github.io/Logging_2282/kartor/A 16644-2026 karta.png", "A 16644-2026")</f>
        <v/>
      </c>
      <c r="U269">
        <f>HYPERLINK("https://klasma.github.io/Logging_2282/knärot/A 16644-2026 karta knärot.png", "A 16644-2026")</f>
        <v/>
      </c>
      <c r="V269">
        <f>HYPERLINK("https://klasma.github.io/Logging_2282/klagomål/A 16644-2026 FSC-klagomål.docx", "A 16644-2026")</f>
        <v/>
      </c>
      <c r="W269">
        <f>HYPERLINK("https://klasma.github.io/Logging_2282/klagomålsmail/A 16644-2026 FSC-klagomål mail.docx", "A 16644-2026")</f>
        <v/>
      </c>
      <c r="X269">
        <f>HYPERLINK("https://klasma.github.io/Logging_2282/tillsyn/A 16644-2026 tillsynsbegäran.docx", "A 16644-2026")</f>
        <v/>
      </c>
      <c r="Y269">
        <f>HYPERLINK("https://klasma.github.io/Logging_2282/tillsynsmail/A 16644-2026 tillsynsbegäran mail.docx", "A 16644-2026")</f>
        <v/>
      </c>
      <c r="Z269">
        <f>HYPERLINK("https://klasma.github.io/Logging_2282/fåglar/A 16644-2026 prioriterade fågelarter.docx", "A 16644-2026")</f>
        <v/>
      </c>
    </row>
    <row r="270" ht="15" customHeight="1">
      <c r="A270" t="inlineStr">
        <is>
          <t>A 39071-2023</t>
        </is>
      </c>
      <c r="B270" s="1" t="n">
        <v>45163</v>
      </c>
      <c r="C270" s="1" t="n">
        <v>46185</v>
      </c>
      <c r="D270" t="inlineStr">
        <is>
          <t>VÄSTERNORRLANDS LÄN</t>
        </is>
      </c>
      <c r="E270" t="inlineStr">
        <is>
          <t>SOLLEFTEÅ</t>
        </is>
      </c>
      <c r="F270" t="inlineStr">
        <is>
          <t>SCA</t>
        </is>
      </c>
      <c r="G270" t="n">
        <v>16.5</v>
      </c>
      <c r="H270" t="n">
        <v>1</v>
      </c>
      <c r="I270" t="n">
        <v>1</v>
      </c>
      <c r="J270" t="n">
        <v>6</v>
      </c>
      <c r="K270" t="n">
        <v>1</v>
      </c>
      <c r="L270" t="n">
        <v>0</v>
      </c>
      <c r="M270" t="n">
        <v>0</v>
      </c>
      <c r="N270" t="n">
        <v>0</v>
      </c>
      <c r="O270" t="n">
        <v>7</v>
      </c>
      <c r="P270" t="n">
        <v>1</v>
      </c>
      <c r="Q270" t="n">
        <v>8</v>
      </c>
      <c r="R270" s="2" t="inlineStr">
        <is>
          <t>Rynkskinn
Gammelgransskål
Granticka
Kötticka
Rosenticka
Spillkråka
Ullticka
Vedticka</t>
        </is>
      </c>
      <c r="S270">
        <f>HYPERLINK("https://klasma.github.io/Logging_2283/artfynd/A 39071-2023 artfynd.xlsx", "A 39071-2023")</f>
        <v/>
      </c>
      <c r="T270">
        <f>HYPERLINK("https://klasma.github.io/Logging_2283/kartor/A 39071-2023 karta.png", "A 39071-2023")</f>
        <v/>
      </c>
      <c r="V270">
        <f>HYPERLINK("https://klasma.github.io/Logging_2283/klagomål/A 39071-2023 FSC-klagomål.docx", "A 39071-2023")</f>
        <v/>
      </c>
      <c r="W270">
        <f>HYPERLINK("https://klasma.github.io/Logging_2283/klagomålsmail/A 39071-2023 FSC-klagomål mail.docx", "A 39071-2023")</f>
        <v/>
      </c>
      <c r="X270">
        <f>HYPERLINK("https://klasma.github.io/Logging_2283/tillsyn/A 39071-2023 tillsynsbegäran.docx", "A 39071-2023")</f>
        <v/>
      </c>
      <c r="Y270">
        <f>HYPERLINK("https://klasma.github.io/Logging_2283/tillsynsmail/A 39071-2023 tillsynsbegäran mail.docx", "A 39071-2023")</f>
        <v/>
      </c>
      <c r="Z270">
        <f>HYPERLINK("https://klasma.github.io/Logging_2283/fåglar/A 39071-2023 prioriterade fågelarter.docx", "A 39071-2023")</f>
        <v/>
      </c>
    </row>
    <row r="271" ht="15" customHeight="1">
      <c r="A271" t="inlineStr">
        <is>
          <t>A 38294-2024</t>
        </is>
      </c>
      <c r="B271" s="1" t="n">
        <v>45545</v>
      </c>
      <c r="C271" s="1" t="n">
        <v>46185</v>
      </c>
      <c r="D271" t="inlineStr">
        <is>
          <t>VÄSTERNORRLANDS LÄN</t>
        </is>
      </c>
      <c r="E271" t="inlineStr">
        <is>
          <t>SOLLEFTEÅ</t>
        </is>
      </c>
      <c r="F271" t="inlineStr">
        <is>
          <t>Kommuner</t>
        </is>
      </c>
      <c r="G271" t="n">
        <v>18.8</v>
      </c>
      <c r="H271" t="n">
        <v>5</v>
      </c>
      <c r="I271" t="n">
        <v>0</v>
      </c>
      <c r="J271" t="n">
        <v>6</v>
      </c>
      <c r="K271" t="n">
        <v>1</v>
      </c>
      <c r="L271" t="n">
        <v>0</v>
      </c>
      <c r="M271" t="n">
        <v>0</v>
      </c>
      <c r="N271" t="n">
        <v>0</v>
      </c>
      <c r="O271" t="n">
        <v>7</v>
      </c>
      <c r="P271" t="n">
        <v>1</v>
      </c>
      <c r="Q271" t="n">
        <v>8</v>
      </c>
      <c r="R271" s="2" t="inlineStr">
        <is>
          <t>Knärot
Garnlav
Granticka
Spillkråka
Talltita
Tretåig hackspett
Ullticka
Revlummer</t>
        </is>
      </c>
      <c r="S271">
        <f>HYPERLINK("https://klasma.github.io/Logging_2283/artfynd/A 38294-2024 artfynd.xlsx", "A 38294-2024")</f>
        <v/>
      </c>
      <c r="T271">
        <f>HYPERLINK("https://klasma.github.io/Logging_2283/kartor/A 38294-2024 karta.png", "A 38294-2024")</f>
        <v/>
      </c>
      <c r="U271">
        <f>HYPERLINK("https://klasma.github.io/Logging_2283/knärot/A 38294-2024 karta knärot.png", "A 38294-2024")</f>
        <v/>
      </c>
      <c r="V271">
        <f>HYPERLINK("https://klasma.github.io/Logging_2283/klagomål/A 38294-2024 FSC-klagomål.docx", "A 38294-2024")</f>
        <v/>
      </c>
      <c r="W271">
        <f>HYPERLINK("https://klasma.github.io/Logging_2283/klagomålsmail/A 38294-2024 FSC-klagomål mail.docx", "A 38294-2024")</f>
        <v/>
      </c>
      <c r="X271">
        <f>HYPERLINK("https://klasma.github.io/Logging_2283/tillsyn/A 38294-2024 tillsynsbegäran.docx", "A 38294-2024")</f>
        <v/>
      </c>
      <c r="Y271">
        <f>HYPERLINK("https://klasma.github.io/Logging_2283/tillsynsmail/A 38294-2024 tillsynsbegäran mail.docx", "A 38294-2024")</f>
        <v/>
      </c>
      <c r="Z271">
        <f>HYPERLINK("https://klasma.github.io/Logging_2283/fåglar/A 38294-2024 prioriterade fågelarter.docx", "A 38294-2024")</f>
        <v/>
      </c>
    </row>
    <row r="272" ht="15" customHeight="1">
      <c r="A272" t="inlineStr">
        <is>
          <t>A 3222-2026</t>
        </is>
      </c>
      <c r="B272" s="1" t="n">
        <v>46041</v>
      </c>
      <c r="C272" s="1" t="n">
        <v>46185</v>
      </c>
      <c r="D272" t="inlineStr">
        <is>
          <t>VÄSTERNORRLANDS LÄN</t>
        </is>
      </c>
      <c r="E272" t="inlineStr">
        <is>
          <t>SOLLEFTEÅ</t>
        </is>
      </c>
      <c r="F272" t="inlineStr">
        <is>
          <t>SCA</t>
        </is>
      </c>
      <c r="G272" t="n">
        <v>11.7</v>
      </c>
      <c r="H272" t="n">
        <v>4</v>
      </c>
      <c r="I272" t="n">
        <v>1</v>
      </c>
      <c r="J272" t="n">
        <v>7</v>
      </c>
      <c r="K272" t="n">
        <v>0</v>
      </c>
      <c r="L272" t="n">
        <v>0</v>
      </c>
      <c r="M272" t="n">
        <v>0</v>
      </c>
      <c r="N272" t="n">
        <v>0</v>
      </c>
      <c r="O272" t="n">
        <v>7</v>
      </c>
      <c r="P272" t="n">
        <v>0</v>
      </c>
      <c r="Q272" t="n">
        <v>8</v>
      </c>
      <c r="R272" s="2" t="inlineStr">
        <is>
          <t>Garnlav
Granticka
Harticka
Järpe
Skogshare
Talltita
Tretåig hackspett
Lappranunkel</t>
        </is>
      </c>
      <c r="S272">
        <f>HYPERLINK("https://klasma.github.io/Logging_2283/artfynd/A 3222-2026 artfynd.xlsx", "A 3222-2026")</f>
        <v/>
      </c>
      <c r="T272">
        <f>HYPERLINK("https://klasma.github.io/Logging_2283/kartor/A 3222-2026 karta.png", "A 3222-2026")</f>
        <v/>
      </c>
      <c r="V272">
        <f>HYPERLINK("https://klasma.github.io/Logging_2283/klagomål/A 3222-2026 FSC-klagomål.docx", "A 3222-2026")</f>
        <v/>
      </c>
      <c r="W272">
        <f>HYPERLINK("https://klasma.github.io/Logging_2283/klagomålsmail/A 3222-2026 FSC-klagomål mail.docx", "A 3222-2026")</f>
        <v/>
      </c>
      <c r="X272">
        <f>HYPERLINK("https://klasma.github.io/Logging_2283/tillsyn/A 3222-2026 tillsynsbegäran.docx", "A 3222-2026")</f>
        <v/>
      </c>
      <c r="Y272">
        <f>HYPERLINK("https://klasma.github.io/Logging_2283/tillsynsmail/A 3222-2026 tillsynsbegäran mail.docx", "A 3222-2026")</f>
        <v/>
      </c>
      <c r="Z272">
        <f>HYPERLINK("https://klasma.github.io/Logging_2283/fåglar/A 3222-2026 prioriterade fågelarter.docx", "A 3222-2026")</f>
        <v/>
      </c>
    </row>
    <row r="273" ht="15" customHeight="1">
      <c r="A273" t="inlineStr">
        <is>
          <t>A 12205-2025</t>
        </is>
      </c>
      <c r="B273" s="1" t="n">
        <v>45729.51091435185</v>
      </c>
      <c r="C273" s="1" t="n">
        <v>46185</v>
      </c>
      <c r="D273" t="inlineStr">
        <is>
          <t>VÄSTERNORRLANDS LÄN</t>
        </is>
      </c>
      <c r="E273" t="inlineStr">
        <is>
          <t>SUNDSVALL</t>
        </is>
      </c>
      <c r="F273" t="inlineStr">
        <is>
          <t>SCA</t>
        </is>
      </c>
      <c r="G273" t="n">
        <v>2.1</v>
      </c>
      <c r="H273" t="n">
        <v>5</v>
      </c>
      <c r="I273" t="n">
        <v>0</v>
      </c>
      <c r="J273" t="n">
        <v>7</v>
      </c>
      <c r="K273" t="n">
        <v>0</v>
      </c>
      <c r="L273" t="n">
        <v>0</v>
      </c>
      <c r="M273" t="n">
        <v>0</v>
      </c>
      <c r="N273" t="n">
        <v>0</v>
      </c>
      <c r="O273" t="n">
        <v>7</v>
      </c>
      <c r="P273" t="n">
        <v>0</v>
      </c>
      <c r="Q273" t="n">
        <v>8</v>
      </c>
      <c r="R273" s="2" t="inlineStr">
        <is>
          <t>Järpe
Lunglav
Skogshare
Spillkråka
Talltita
Tretåig hackspett
Ullticka
Revlummer</t>
        </is>
      </c>
      <c r="S273">
        <f>HYPERLINK("https://klasma.github.io/Logging_2281/artfynd/A 12205-2025 artfynd.xlsx", "A 12205-2025")</f>
        <v/>
      </c>
      <c r="T273">
        <f>HYPERLINK("https://klasma.github.io/Logging_2281/kartor/A 12205-2025 karta.png", "A 12205-2025")</f>
        <v/>
      </c>
      <c r="V273">
        <f>HYPERLINK("https://klasma.github.io/Logging_2281/klagomål/A 12205-2025 FSC-klagomål.docx", "A 12205-2025")</f>
        <v/>
      </c>
      <c r="W273">
        <f>HYPERLINK("https://klasma.github.io/Logging_2281/klagomålsmail/A 12205-2025 FSC-klagomål mail.docx", "A 12205-2025")</f>
        <v/>
      </c>
      <c r="X273">
        <f>HYPERLINK("https://klasma.github.io/Logging_2281/tillsyn/A 12205-2025 tillsynsbegäran.docx", "A 12205-2025")</f>
        <v/>
      </c>
      <c r="Y273">
        <f>HYPERLINK("https://klasma.github.io/Logging_2281/tillsynsmail/A 12205-2025 tillsynsbegäran mail.docx", "A 12205-2025")</f>
        <v/>
      </c>
      <c r="Z273">
        <f>HYPERLINK("https://klasma.github.io/Logging_2281/fåglar/A 12205-2025 prioriterade fågelarter.docx", "A 12205-2025")</f>
        <v/>
      </c>
    </row>
    <row r="274" ht="15" customHeight="1">
      <c r="A274" t="inlineStr">
        <is>
          <t>A 61754-2025</t>
        </is>
      </c>
      <c r="B274" s="1" t="n">
        <v>46002</v>
      </c>
      <c r="C274" s="1" t="n">
        <v>46185</v>
      </c>
      <c r="D274" t="inlineStr">
        <is>
          <t>VÄSTERNORRLANDS LÄN</t>
        </is>
      </c>
      <c r="E274" t="inlineStr">
        <is>
          <t>KRAMFORS</t>
        </is>
      </c>
      <c r="G274" t="n">
        <v>4.6</v>
      </c>
      <c r="H274" t="n">
        <v>3</v>
      </c>
      <c r="I274" t="n">
        <v>2</v>
      </c>
      <c r="J274" t="n">
        <v>6</v>
      </c>
      <c r="K274" t="n">
        <v>0</v>
      </c>
      <c r="L274" t="n">
        <v>0</v>
      </c>
      <c r="M274" t="n">
        <v>0</v>
      </c>
      <c r="N274" t="n">
        <v>0</v>
      </c>
      <c r="O274" t="n">
        <v>6</v>
      </c>
      <c r="P274" t="n">
        <v>0</v>
      </c>
      <c r="Q274" t="n">
        <v>8</v>
      </c>
      <c r="R274" s="2" t="inlineStr">
        <is>
          <t>Garnlav
Rosenticka
Spillkråka
Talltita
Tretåig hackspett
Ullticka
Korallblylav
Vedticka</t>
        </is>
      </c>
      <c r="S274">
        <f>HYPERLINK("https://klasma.github.io/Logging_2282/artfynd/A 61754-2025 artfynd.xlsx", "A 61754-2025")</f>
        <v/>
      </c>
      <c r="T274">
        <f>HYPERLINK("https://klasma.github.io/Logging_2282/kartor/A 61754-2025 karta.png", "A 61754-2025")</f>
        <v/>
      </c>
      <c r="V274">
        <f>HYPERLINK("https://klasma.github.io/Logging_2282/klagomål/A 61754-2025 FSC-klagomål.docx", "A 61754-2025")</f>
        <v/>
      </c>
      <c r="W274">
        <f>HYPERLINK("https://klasma.github.io/Logging_2282/klagomålsmail/A 61754-2025 FSC-klagomål mail.docx", "A 61754-2025")</f>
        <v/>
      </c>
      <c r="X274">
        <f>HYPERLINK("https://klasma.github.io/Logging_2282/tillsyn/A 61754-2025 tillsynsbegäran.docx", "A 61754-2025")</f>
        <v/>
      </c>
      <c r="Y274">
        <f>HYPERLINK("https://klasma.github.io/Logging_2282/tillsynsmail/A 61754-2025 tillsynsbegäran mail.docx", "A 61754-2025")</f>
        <v/>
      </c>
      <c r="Z274">
        <f>HYPERLINK("https://klasma.github.io/Logging_2282/fåglar/A 61754-2025 prioriterade fågelarter.docx", "A 61754-2025")</f>
        <v/>
      </c>
    </row>
    <row r="275" ht="15" customHeight="1">
      <c r="A275" t="inlineStr">
        <is>
          <t>A 26453-2026</t>
        </is>
      </c>
      <c r="B275" s="1" t="n">
        <v>46183.47980324074</v>
      </c>
      <c r="C275" s="1" t="n">
        <v>46185</v>
      </c>
      <c r="D275" t="inlineStr">
        <is>
          <t>VÄSTERNORRLANDS LÄN</t>
        </is>
      </c>
      <c r="E275" t="inlineStr">
        <is>
          <t>KRAMFORS</t>
        </is>
      </c>
      <c r="G275" t="n">
        <v>18.6</v>
      </c>
      <c r="H275" t="n">
        <v>7</v>
      </c>
      <c r="I275" t="n">
        <v>3</v>
      </c>
      <c r="J275" t="n">
        <v>3</v>
      </c>
      <c r="K275" t="n">
        <v>1</v>
      </c>
      <c r="L275" t="n">
        <v>0</v>
      </c>
      <c r="M275" t="n">
        <v>0</v>
      </c>
      <c r="N275" t="n">
        <v>0</v>
      </c>
      <c r="O275" t="n">
        <v>4</v>
      </c>
      <c r="P275" t="n">
        <v>1</v>
      </c>
      <c r="Q275" t="n">
        <v>8</v>
      </c>
      <c r="R275" s="2" t="inlineStr">
        <is>
          <t>Knärot
Rosenticka
Spillkråka
Tretåig hackspett
Grönkulla
Plattlummer
Spindelblomster
Blåsippa</t>
        </is>
      </c>
      <c r="S275">
        <f>HYPERLINK("https://klasma.github.io/Logging_2282/artfynd/A 26453-2026 artfynd.xlsx", "A 26453-2026")</f>
        <v/>
      </c>
      <c r="T275">
        <f>HYPERLINK("https://klasma.github.io/Logging_2282/kartor/A 26453-2026 karta.png", "A 26453-2026")</f>
        <v/>
      </c>
      <c r="U275">
        <f>HYPERLINK("https://klasma.github.io/Logging_2282/knärot/A 26453-2026 karta knärot.png", "A 26453-2026")</f>
        <v/>
      </c>
      <c r="V275">
        <f>HYPERLINK("https://klasma.github.io/Logging_2282/klagomål/A 26453-2026 FSC-klagomål.docx", "A 26453-2026")</f>
        <v/>
      </c>
      <c r="W275">
        <f>HYPERLINK("https://klasma.github.io/Logging_2282/klagomålsmail/A 26453-2026 FSC-klagomål mail.docx", "A 26453-2026")</f>
        <v/>
      </c>
      <c r="X275">
        <f>HYPERLINK("https://klasma.github.io/Logging_2282/tillsyn/A 26453-2026 tillsynsbegäran.docx", "A 26453-2026")</f>
        <v/>
      </c>
      <c r="Y275">
        <f>HYPERLINK("https://klasma.github.io/Logging_2282/tillsynsmail/A 26453-2026 tillsynsbegäran mail.docx", "A 26453-2026")</f>
        <v/>
      </c>
      <c r="Z275">
        <f>HYPERLINK("https://klasma.github.io/Logging_2282/fåglar/A 26453-2026 prioriterade fågelarter.docx", "A 26453-2026")</f>
        <v/>
      </c>
    </row>
    <row r="276" ht="15" customHeight="1">
      <c r="A276" t="inlineStr">
        <is>
          <t>A 64131-2023</t>
        </is>
      </c>
      <c r="B276" s="1" t="n">
        <v>45279</v>
      </c>
      <c r="C276" s="1" t="n">
        <v>46185</v>
      </c>
      <c r="D276" t="inlineStr">
        <is>
          <t>VÄSTERNORRLANDS LÄN</t>
        </is>
      </c>
      <c r="E276" t="inlineStr">
        <is>
          <t>SOLLEFTEÅ</t>
        </is>
      </c>
      <c r="G276" t="n">
        <v>12.9</v>
      </c>
      <c r="H276" t="n">
        <v>2</v>
      </c>
      <c r="I276" t="n">
        <v>2</v>
      </c>
      <c r="J276" t="n">
        <v>4</v>
      </c>
      <c r="K276" t="n">
        <v>2</v>
      </c>
      <c r="L276" t="n">
        <v>0</v>
      </c>
      <c r="M276" t="n">
        <v>0</v>
      </c>
      <c r="N276" t="n">
        <v>0</v>
      </c>
      <c r="O276" t="n">
        <v>6</v>
      </c>
      <c r="P276" t="n">
        <v>2</v>
      </c>
      <c r="Q276" t="n">
        <v>8</v>
      </c>
      <c r="R276" s="2" t="inlineStr">
        <is>
          <t>Knärot
Rynkskinn
Lunglav
Rosenticka
Talltita
Ullticka
Grönpyrola
Vedticka</t>
        </is>
      </c>
      <c r="S276">
        <f>HYPERLINK("https://klasma.github.io/Logging_2283/artfynd/A 64131-2023 artfynd.xlsx", "A 64131-2023")</f>
        <v/>
      </c>
      <c r="T276">
        <f>HYPERLINK("https://klasma.github.io/Logging_2283/kartor/A 64131-2023 karta.png", "A 64131-2023")</f>
        <v/>
      </c>
      <c r="U276">
        <f>HYPERLINK("https://klasma.github.io/Logging_2283/knärot/A 64131-2023 karta knärot.png", "A 64131-2023")</f>
        <v/>
      </c>
      <c r="V276">
        <f>HYPERLINK("https://klasma.github.io/Logging_2283/klagomål/A 64131-2023 FSC-klagomål.docx", "A 64131-2023")</f>
        <v/>
      </c>
      <c r="W276">
        <f>HYPERLINK("https://klasma.github.io/Logging_2283/klagomålsmail/A 64131-2023 FSC-klagomål mail.docx", "A 64131-2023")</f>
        <v/>
      </c>
      <c r="X276">
        <f>HYPERLINK("https://klasma.github.io/Logging_2283/tillsyn/A 64131-2023 tillsynsbegäran.docx", "A 64131-2023")</f>
        <v/>
      </c>
      <c r="Y276">
        <f>HYPERLINK("https://klasma.github.io/Logging_2283/tillsynsmail/A 64131-2023 tillsynsbegäran mail.docx", "A 64131-2023")</f>
        <v/>
      </c>
      <c r="Z276">
        <f>HYPERLINK("https://klasma.github.io/Logging_2283/fåglar/A 64131-2023 prioriterade fågelarter.docx", "A 64131-2023")</f>
        <v/>
      </c>
    </row>
    <row r="277" ht="15" customHeight="1">
      <c r="A277" t="inlineStr">
        <is>
          <t>A 4856-2025</t>
        </is>
      </c>
      <c r="B277" s="1" t="n">
        <v>45688</v>
      </c>
      <c r="C277" s="1" t="n">
        <v>46185</v>
      </c>
      <c r="D277" t="inlineStr">
        <is>
          <t>VÄSTERNORRLANDS LÄN</t>
        </is>
      </c>
      <c r="E277" t="inlineStr">
        <is>
          <t>SUNDSVALL</t>
        </is>
      </c>
      <c r="F277" t="inlineStr">
        <is>
          <t>SCA</t>
        </is>
      </c>
      <c r="G277" t="n">
        <v>3.5</v>
      </c>
      <c r="H277" t="n">
        <v>4</v>
      </c>
      <c r="I277" t="n">
        <v>4</v>
      </c>
      <c r="J277" t="n">
        <v>1</v>
      </c>
      <c r="K277" t="n">
        <v>1</v>
      </c>
      <c r="L277" t="n">
        <v>0</v>
      </c>
      <c r="M277" t="n">
        <v>0</v>
      </c>
      <c r="N277" t="n">
        <v>0</v>
      </c>
      <c r="O277" t="n">
        <v>2</v>
      </c>
      <c r="P277" t="n">
        <v>1</v>
      </c>
      <c r="Q277" t="n">
        <v>8</v>
      </c>
      <c r="R277" s="2" t="inlineStr">
        <is>
          <t>Knärot
Spillkråka
Grönpyrola
Skinnlav
Stor aspticka
Vågbandad barkbock
Nattviol
Blåsippa</t>
        </is>
      </c>
      <c r="S277">
        <f>HYPERLINK("https://klasma.github.io/Logging_2281/artfynd/A 4856-2025 artfynd.xlsx", "A 4856-2025")</f>
        <v/>
      </c>
      <c r="T277">
        <f>HYPERLINK("https://klasma.github.io/Logging_2281/kartor/A 4856-2025 karta.png", "A 4856-2025")</f>
        <v/>
      </c>
      <c r="U277">
        <f>HYPERLINK("https://klasma.github.io/Logging_2281/knärot/A 4856-2025 karta knärot.png", "A 4856-2025")</f>
        <v/>
      </c>
      <c r="V277">
        <f>HYPERLINK("https://klasma.github.io/Logging_2281/klagomål/A 4856-2025 FSC-klagomål.docx", "A 4856-2025")</f>
        <v/>
      </c>
      <c r="W277">
        <f>HYPERLINK("https://klasma.github.io/Logging_2281/klagomålsmail/A 4856-2025 FSC-klagomål mail.docx", "A 4856-2025")</f>
        <v/>
      </c>
      <c r="X277">
        <f>HYPERLINK("https://klasma.github.io/Logging_2281/tillsyn/A 4856-2025 tillsynsbegäran.docx", "A 4856-2025")</f>
        <v/>
      </c>
      <c r="Y277">
        <f>HYPERLINK("https://klasma.github.io/Logging_2281/tillsynsmail/A 4856-2025 tillsynsbegäran mail.docx", "A 4856-2025")</f>
        <v/>
      </c>
      <c r="Z277">
        <f>HYPERLINK("https://klasma.github.io/Logging_2281/fåglar/A 4856-2025 prioriterade fågelarter.docx", "A 4856-2025")</f>
        <v/>
      </c>
    </row>
    <row r="278" ht="15" customHeight="1">
      <c r="A278" t="inlineStr">
        <is>
          <t>A 21979-2026</t>
        </is>
      </c>
      <c r="B278" s="1" t="n">
        <v>46153</v>
      </c>
      <c r="C278" s="1" t="n">
        <v>46185</v>
      </c>
      <c r="D278" t="inlineStr">
        <is>
          <t>VÄSTERNORRLANDS LÄN</t>
        </is>
      </c>
      <c r="E278" t="inlineStr">
        <is>
          <t>ÖRNSKÖLDSVIK</t>
        </is>
      </c>
      <c r="F278" t="inlineStr">
        <is>
          <t>Holmen skog AB</t>
        </is>
      </c>
      <c r="G278" t="n">
        <v>2.5</v>
      </c>
      <c r="H278" t="n">
        <v>5</v>
      </c>
      <c r="I278" t="n">
        <v>1</v>
      </c>
      <c r="J278" t="n">
        <v>6</v>
      </c>
      <c r="K278" t="n">
        <v>0</v>
      </c>
      <c r="L278" t="n">
        <v>0</v>
      </c>
      <c r="M278" t="n">
        <v>0</v>
      </c>
      <c r="N278" t="n">
        <v>0</v>
      </c>
      <c r="O278" t="n">
        <v>6</v>
      </c>
      <c r="P278" t="n">
        <v>0</v>
      </c>
      <c r="Q278" t="n">
        <v>8</v>
      </c>
      <c r="R278" s="2" t="inlineStr">
        <is>
          <t>Garnlav
Spillkråka
Svartvit flugsnappare
Talltita
Tretåig hackspett
Ullticka
Vedticka
Revlummer</t>
        </is>
      </c>
      <c r="S278">
        <f>HYPERLINK("https://klasma.github.io/Logging_2284/artfynd/A 21979-2026 artfynd.xlsx", "A 21979-2026")</f>
        <v/>
      </c>
      <c r="T278">
        <f>HYPERLINK("https://klasma.github.io/Logging_2284/kartor/A 21979-2026 karta.png", "A 21979-2026")</f>
        <v/>
      </c>
      <c r="V278">
        <f>HYPERLINK("https://klasma.github.io/Logging_2284/klagomål/A 21979-2026 FSC-klagomål.docx", "A 21979-2026")</f>
        <v/>
      </c>
      <c r="W278">
        <f>HYPERLINK("https://klasma.github.io/Logging_2284/klagomålsmail/A 21979-2026 FSC-klagomål mail.docx", "A 21979-2026")</f>
        <v/>
      </c>
      <c r="X278">
        <f>HYPERLINK("https://klasma.github.io/Logging_2284/tillsyn/A 21979-2026 tillsynsbegäran.docx", "A 21979-2026")</f>
        <v/>
      </c>
      <c r="Y278">
        <f>HYPERLINK("https://klasma.github.io/Logging_2284/tillsynsmail/A 21979-2026 tillsynsbegäran mail.docx", "A 21979-2026")</f>
        <v/>
      </c>
      <c r="Z278">
        <f>HYPERLINK("https://klasma.github.io/Logging_2284/fåglar/A 21979-2026 prioriterade fågelarter.docx", "A 21979-2026")</f>
        <v/>
      </c>
    </row>
    <row r="279" ht="15" customHeight="1">
      <c r="A279" t="inlineStr">
        <is>
          <t>A 39065-2023</t>
        </is>
      </c>
      <c r="B279" s="1" t="n">
        <v>45163</v>
      </c>
      <c r="C279" s="1" t="n">
        <v>46185</v>
      </c>
      <c r="D279" t="inlineStr">
        <is>
          <t>VÄSTERNORRLANDS LÄN</t>
        </is>
      </c>
      <c r="E279" t="inlineStr">
        <is>
          <t>ÅNGE</t>
        </is>
      </c>
      <c r="F279" t="inlineStr">
        <is>
          <t>SCA</t>
        </is>
      </c>
      <c r="G279" t="n">
        <v>3.1</v>
      </c>
      <c r="H279" t="n">
        <v>2</v>
      </c>
      <c r="I279" t="n">
        <v>3</v>
      </c>
      <c r="J279" t="n">
        <v>3</v>
      </c>
      <c r="K279" t="n">
        <v>2</v>
      </c>
      <c r="L279" t="n">
        <v>0</v>
      </c>
      <c r="M279" t="n">
        <v>0</v>
      </c>
      <c r="N279" t="n">
        <v>0</v>
      </c>
      <c r="O279" t="n">
        <v>5</v>
      </c>
      <c r="P279" t="n">
        <v>2</v>
      </c>
      <c r="Q279" t="n">
        <v>8</v>
      </c>
      <c r="R279" s="2" t="inlineStr">
        <is>
          <t>Doftticka
Knärot
Koralltaggsvamp
Lunglav
Skrovellav
Bårdlav
Korallblylav
Stor aspticka</t>
        </is>
      </c>
      <c r="S279">
        <f>HYPERLINK("https://klasma.github.io/Logging_2260/artfynd/A 39065-2023 artfynd.xlsx", "A 39065-2023")</f>
        <v/>
      </c>
      <c r="T279">
        <f>HYPERLINK("https://klasma.github.io/Logging_2260/kartor/A 39065-2023 karta.png", "A 39065-2023")</f>
        <v/>
      </c>
      <c r="U279">
        <f>HYPERLINK("https://klasma.github.io/Logging_2260/knärot/A 39065-2023 karta knärot.png", "A 39065-2023")</f>
        <v/>
      </c>
      <c r="V279">
        <f>HYPERLINK("https://klasma.github.io/Logging_2260/klagomål/A 39065-2023 FSC-klagomål.docx", "A 39065-2023")</f>
        <v/>
      </c>
      <c r="W279">
        <f>HYPERLINK("https://klasma.github.io/Logging_2260/klagomålsmail/A 39065-2023 FSC-klagomål mail.docx", "A 39065-2023")</f>
        <v/>
      </c>
      <c r="X279">
        <f>HYPERLINK("https://klasma.github.io/Logging_2260/tillsyn/A 39065-2023 tillsynsbegäran.docx", "A 39065-2023")</f>
        <v/>
      </c>
      <c r="Y279">
        <f>HYPERLINK("https://klasma.github.io/Logging_2260/tillsynsmail/A 39065-2023 tillsynsbegäran mail.docx", "A 39065-2023")</f>
        <v/>
      </c>
    </row>
    <row r="280" ht="15" customHeight="1">
      <c r="A280" t="inlineStr">
        <is>
          <t>A 15142-2025</t>
        </is>
      </c>
      <c r="B280" s="1" t="n">
        <v>45744</v>
      </c>
      <c r="C280" s="1" t="n">
        <v>46185</v>
      </c>
      <c r="D280" t="inlineStr">
        <is>
          <t>VÄSTERNORRLANDS LÄN</t>
        </is>
      </c>
      <c r="E280" t="inlineStr">
        <is>
          <t>SUNDSVALL</t>
        </is>
      </c>
      <c r="F280" t="inlineStr">
        <is>
          <t>SCA</t>
        </is>
      </c>
      <c r="G280" t="n">
        <v>4.8</v>
      </c>
      <c r="H280" t="n">
        <v>1</v>
      </c>
      <c r="I280" t="n">
        <v>2</v>
      </c>
      <c r="J280" t="n">
        <v>4</v>
      </c>
      <c r="K280" t="n">
        <v>2</v>
      </c>
      <c r="L280" t="n">
        <v>0</v>
      </c>
      <c r="M280" t="n">
        <v>0</v>
      </c>
      <c r="N280" t="n">
        <v>0</v>
      </c>
      <c r="O280" t="n">
        <v>6</v>
      </c>
      <c r="P280" t="n">
        <v>2</v>
      </c>
      <c r="Q280" t="n">
        <v>8</v>
      </c>
      <c r="R280" s="2" t="inlineStr">
        <is>
          <t>Knärot
Rynkskinn
Lunglav
Rosenticka
Tallticka
Ullticka
Korallblylav
Stuplav</t>
        </is>
      </c>
      <c r="S280">
        <f>HYPERLINK("https://klasma.github.io/Logging_2281/artfynd/A 15142-2025 artfynd.xlsx", "A 15142-2025")</f>
        <v/>
      </c>
      <c r="T280">
        <f>HYPERLINK("https://klasma.github.io/Logging_2281/kartor/A 15142-2025 karta.png", "A 15142-2025")</f>
        <v/>
      </c>
      <c r="U280">
        <f>HYPERLINK("https://klasma.github.io/Logging_2281/knärot/A 15142-2025 karta knärot.png", "A 15142-2025")</f>
        <v/>
      </c>
      <c r="V280">
        <f>HYPERLINK("https://klasma.github.io/Logging_2281/klagomål/A 15142-2025 FSC-klagomål.docx", "A 15142-2025")</f>
        <v/>
      </c>
      <c r="W280">
        <f>HYPERLINK("https://klasma.github.io/Logging_2281/klagomålsmail/A 15142-2025 FSC-klagomål mail.docx", "A 15142-2025")</f>
        <v/>
      </c>
      <c r="X280">
        <f>HYPERLINK("https://klasma.github.io/Logging_2281/tillsyn/A 15142-2025 tillsynsbegäran.docx", "A 15142-2025")</f>
        <v/>
      </c>
      <c r="Y280">
        <f>HYPERLINK("https://klasma.github.io/Logging_2281/tillsynsmail/A 15142-2025 tillsynsbegäran mail.docx", "A 15142-2025")</f>
        <v/>
      </c>
    </row>
    <row r="281" ht="15" customHeight="1">
      <c r="A281" t="inlineStr">
        <is>
          <t>A 9566-2025</t>
        </is>
      </c>
      <c r="B281" s="1" t="n">
        <v>45715.61511574074</v>
      </c>
      <c r="C281" s="1" t="n">
        <v>46185</v>
      </c>
      <c r="D281" t="inlineStr">
        <is>
          <t>VÄSTERNORRLANDS LÄN</t>
        </is>
      </c>
      <c r="E281" t="inlineStr">
        <is>
          <t>SUNDSVALL</t>
        </is>
      </c>
      <c r="F281" t="inlineStr">
        <is>
          <t>SCA</t>
        </is>
      </c>
      <c r="G281" t="n">
        <v>10.9</v>
      </c>
      <c r="H281" t="n">
        <v>6</v>
      </c>
      <c r="I281" t="n">
        <v>0</v>
      </c>
      <c r="J281" t="n">
        <v>5</v>
      </c>
      <c r="K281" t="n">
        <v>1</v>
      </c>
      <c r="L281" t="n">
        <v>0</v>
      </c>
      <c r="M281" t="n">
        <v>0</v>
      </c>
      <c r="N281" t="n">
        <v>0</v>
      </c>
      <c r="O281" t="n">
        <v>6</v>
      </c>
      <c r="P281" t="n">
        <v>1</v>
      </c>
      <c r="Q281" t="n">
        <v>8</v>
      </c>
      <c r="R281" s="2" t="inlineStr">
        <is>
          <t>Knärot
Garnlav
Spillkråka
Talltita
Tretåig hackspett
Ullticka
Tjäder
Revlummer</t>
        </is>
      </c>
      <c r="S281">
        <f>HYPERLINK("https://klasma.github.io/Logging_2281/artfynd/A 9566-2025 artfynd.xlsx", "A 9566-2025")</f>
        <v/>
      </c>
      <c r="T281">
        <f>HYPERLINK("https://klasma.github.io/Logging_2281/kartor/A 9566-2025 karta.png", "A 9566-2025")</f>
        <v/>
      </c>
      <c r="U281">
        <f>HYPERLINK("https://klasma.github.io/Logging_2281/knärot/A 9566-2025 karta knärot.png", "A 9566-2025")</f>
        <v/>
      </c>
      <c r="V281">
        <f>HYPERLINK("https://klasma.github.io/Logging_2281/klagomål/A 9566-2025 FSC-klagomål.docx", "A 9566-2025")</f>
        <v/>
      </c>
      <c r="W281">
        <f>HYPERLINK("https://klasma.github.io/Logging_2281/klagomålsmail/A 9566-2025 FSC-klagomål mail.docx", "A 9566-2025")</f>
        <v/>
      </c>
      <c r="X281">
        <f>HYPERLINK("https://klasma.github.io/Logging_2281/tillsyn/A 9566-2025 tillsynsbegäran.docx", "A 9566-2025")</f>
        <v/>
      </c>
      <c r="Y281">
        <f>HYPERLINK("https://klasma.github.io/Logging_2281/tillsynsmail/A 9566-2025 tillsynsbegäran mail.docx", "A 9566-2025")</f>
        <v/>
      </c>
      <c r="Z281">
        <f>HYPERLINK("https://klasma.github.io/Logging_2281/fåglar/A 9566-2025 prioriterade fågelarter.docx", "A 9566-2025")</f>
        <v/>
      </c>
    </row>
    <row r="282" ht="15" customHeight="1">
      <c r="A282" t="inlineStr">
        <is>
          <t>A 3966-2025</t>
        </is>
      </c>
      <c r="B282" s="1" t="n">
        <v>45684.51072916666</v>
      </c>
      <c r="C282" s="1" t="n">
        <v>46185</v>
      </c>
      <c r="D282" t="inlineStr">
        <is>
          <t>VÄSTERNORRLANDS LÄN</t>
        </is>
      </c>
      <c r="E282" t="inlineStr">
        <is>
          <t>ÅNGE</t>
        </is>
      </c>
      <c r="F282" t="inlineStr">
        <is>
          <t>SCA</t>
        </is>
      </c>
      <c r="G282" t="n">
        <v>3.9</v>
      </c>
      <c r="H282" t="n">
        <v>4</v>
      </c>
      <c r="I282" t="n">
        <v>1</v>
      </c>
      <c r="J282" t="n">
        <v>4</v>
      </c>
      <c r="K282" t="n">
        <v>1</v>
      </c>
      <c r="L282" t="n">
        <v>0</v>
      </c>
      <c r="M282" t="n">
        <v>0</v>
      </c>
      <c r="N282" t="n">
        <v>0</v>
      </c>
      <c r="O282" t="n">
        <v>5</v>
      </c>
      <c r="P282" t="n">
        <v>1</v>
      </c>
      <c r="Q282" t="n">
        <v>8</v>
      </c>
      <c r="R282" s="2" t="inlineStr">
        <is>
          <t>Knärot
Rosenticka
Spillkråka
Stjärntagging
Ullticka
Vedticka
Tjäder
Revlummer</t>
        </is>
      </c>
      <c r="S282">
        <f>HYPERLINK("https://klasma.github.io/Logging_2260/artfynd/A 3966-2025 artfynd.xlsx", "A 3966-2025")</f>
        <v/>
      </c>
      <c r="T282">
        <f>HYPERLINK("https://klasma.github.io/Logging_2260/kartor/A 3966-2025 karta.png", "A 3966-2025")</f>
        <v/>
      </c>
      <c r="U282">
        <f>HYPERLINK("https://klasma.github.io/Logging_2260/knärot/A 3966-2025 karta knärot.png", "A 3966-2025")</f>
        <v/>
      </c>
      <c r="V282">
        <f>HYPERLINK("https://klasma.github.io/Logging_2260/klagomål/A 3966-2025 FSC-klagomål.docx", "A 3966-2025")</f>
        <v/>
      </c>
      <c r="W282">
        <f>HYPERLINK("https://klasma.github.io/Logging_2260/klagomålsmail/A 3966-2025 FSC-klagomål mail.docx", "A 3966-2025")</f>
        <v/>
      </c>
      <c r="X282">
        <f>HYPERLINK("https://klasma.github.io/Logging_2260/tillsyn/A 3966-2025 tillsynsbegäran.docx", "A 3966-2025")</f>
        <v/>
      </c>
      <c r="Y282">
        <f>HYPERLINK("https://klasma.github.io/Logging_2260/tillsynsmail/A 3966-2025 tillsynsbegäran mail.docx", "A 3966-2025")</f>
        <v/>
      </c>
      <c r="Z282">
        <f>HYPERLINK("https://klasma.github.io/Logging_2260/fåglar/A 3966-2025 prioriterade fågelarter.docx", "A 3966-2025")</f>
        <v/>
      </c>
    </row>
    <row r="283" ht="15" customHeight="1">
      <c r="A283" t="inlineStr">
        <is>
          <t>A 20628-2025</t>
        </is>
      </c>
      <c r="B283" s="1" t="n">
        <v>45776</v>
      </c>
      <c r="C283" s="1" t="n">
        <v>46185</v>
      </c>
      <c r="D283" t="inlineStr">
        <is>
          <t>VÄSTERNORRLANDS LÄN</t>
        </is>
      </c>
      <c r="E283" t="inlineStr">
        <is>
          <t>SUNDSVALL</t>
        </is>
      </c>
      <c r="F283" t="inlineStr">
        <is>
          <t>Naturvårdsverket</t>
        </is>
      </c>
      <c r="G283" t="n">
        <v>27.3</v>
      </c>
      <c r="H283" t="n">
        <v>2</v>
      </c>
      <c r="I283" t="n">
        <v>1</v>
      </c>
      <c r="J283" t="n">
        <v>7</v>
      </c>
      <c r="K283" t="n">
        <v>0</v>
      </c>
      <c r="L283" t="n">
        <v>0</v>
      </c>
      <c r="M283" t="n">
        <v>0</v>
      </c>
      <c r="N283" t="n">
        <v>0</v>
      </c>
      <c r="O283" t="n">
        <v>7</v>
      </c>
      <c r="P283" t="n">
        <v>0</v>
      </c>
      <c r="Q283" t="n">
        <v>8</v>
      </c>
      <c r="R283" s="2" t="inlineStr">
        <is>
          <t>Garnlav
Lunglav
Spillkråka
Tallticka
Tretåig hackspett
Vedflamlav
Vedskivlav
Stuplav</t>
        </is>
      </c>
      <c r="S283">
        <f>HYPERLINK("https://klasma.github.io/Logging_2281/artfynd/A 20628-2025 artfynd.xlsx", "A 20628-2025")</f>
        <v/>
      </c>
      <c r="T283">
        <f>HYPERLINK("https://klasma.github.io/Logging_2281/kartor/A 20628-2025 karta.png", "A 20628-2025")</f>
        <v/>
      </c>
      <c r="V283">
        <f>HYPERLINK("https://klasma.github.io/Logging_2281/klagomål/A 20628-2025 FSC-klagomål.docx", "A 20628-2025")</f>
        <v/>
      </c>
      <c r="W283">
        <f>HYPERLINK("https://klasma.github.io/Logging_2281/klagomålsmail/A 20628-2025 FSC-klagomål mail.docx", "A 20628-2025")</f>
        <v/>
      </c>
      <c r="X283">
        <f>HYPERLINK("https://klasma.github.io/Logging_2281/tillsyn/A 20628-2025 tillsynsbegäran.docx", "A 20628-2025")</f>
        <v/>
      </c>
      <c r="Y283">
        <f>HYPERLINK("https://klasma.github.io/Logging_2281/tillsynsmail/A 20628-2025 tillsynsbegäran mail.docx", "A 20628-2025")</f>
        <v/>
      </c>
      <c r="Z283">
        <f>HYPERLINK("https://klasma.github.io/Logging_2281/fåglar/A 20628-2025 prioriterade fågelarter.docx", "A 20628-2025")</f>
        <v/>
      </c>
    </row>
    <row r="284" ht="15" customHeight="1">
      <c r="A284" t="inlineStr">
        <is>
          <t>A 22215-2025</t>
        </is>
      </c>
      <c r="B284" s="1" t="n">
        <v>45785.65803240741</v>
      </c>
      <c r="C284" s="1" t="n">
        <v>46185</v>
      </c>
      <c r="D284" t="inlineStr">
        <is>
          <t>VÄSTERNORRLANDS LÄN</t>
        </is>
      </c>
      <c r="E284" t="inlineStr">
        <is>
          <t>SOLLEFTEÅ</t>
        </is>
      </c>
      <c r="F284" t="inlineStr">
        <is>
          <t>SCA</t>
        </is>
      </c>
      <c r="G284" t="n">
        <v>3.8</v>
      </c>
      <c r="H284" t="n">
        <v>1</v>
      </c>
      <c r="I284" t="n">
        <v>1</v>
      </c>
      <c r="J284" t="n">
        <v>4</v>
      </c>
      <c r="K284" t="n">
        <v>2</v>
      </c>
      <c r="L284" t="n">
        <v>0</v>
      </c>
      <c r="M284" t="n">
        <v>0</v>
      </c>
      <c r="N284" t="n">
        <v>0</v>
      </c>
      <c r="O284" t="n">
        <v>6</v>
      </c>
      <c r="P284" t="n">
        <v>2</v>
      </c>
      <c r="Q284" t="n">
        <v>8</v>
      </c>
      <c r="R284" s="2" t="inlineStr">
        <is>
          <t>Lappticka
Ulltickeporing
Garnlav
Lunglav
Rosenticka
Ullticka
Korallblylav
Blåsippa</t>
        </is>
      </c>
      <c r="S284">
        <f>HYPERLINK("https://klasma.github.io/Logging_2283/artfynd/A 22215-2025 artfynd.xlsx", "A 22215-2025")</f>
        <v/>
      </c>
      <c r="T284">
        <f>HYPERLINK("https://klasma.github.io/Logging_2283/kartor/A 22215-2025 karta.png", "A 22215-2025")</f>
        <v/>
      </c>
      <c r="V284">
        <f>HYPERLINK("https://klasma.github.io/Logging_2283/klagomål/A 22215-2025 FSC-klagomål.docx", "A 22215-2025")</f>
        <v/>
      </c>
      <c r="W284">
        <f>HYPERLINK("https://klasma.github.io/Logging_2283/klagomålsmail/A 22215-2025 FSC-klagomål mail.docx", "A 22215-2025")</f>
        <v/>
      </c>
      <c r="X284">
        <f>HYPERLINK("https://klasma.github.io/Logging_2283/tillsyn/A 22215-2025 tillsynsbegäran.docx", "A 22215-2025")</f>
        <v/>
      </c>
      <c r="Y284">
        <f>HYPERLINK("https://klasma.github.io/Logging_2283/tillsynsmail/A 22215-2025 tillsynsbegäran mail.docx", "A 22215-2025")</f>
        <v/>
      </c>
    </row>
    <row r="285" ht="15" customHeight="1">
      <c r="A285" t="inlineStr">
        <is>
          <t>A 22783-2025</t>
        </is>
      </c>
      <c r="B285" s="1" t="n">
        <v>45789</v>
      </c>
      <c r="C285" s="1" t="n">
        <v>46185</v>
      </c>
      <c r="D285" t="inlineStr">
        <is>
          <t>VÄSTERNORRLANDS LÄN</t>
        </is>
      </c>
      <c r="E285" t="inlineStr">
        <is>
          <t>SOLLEFTEÅ</t>
        </is>
      </c>
      <c r="G285" t="n">
        <v>27.7</v>
      </c>
      <c r="H285" t="n">
        <v>3</v>
      </c>
      <c r="I285" t="n">
        <v>2</v>
      </c>
      <c r="J285" t="n">
        <v>4</v>
      </c>
      <c r="K285" t="n">
        <v>0</v>
      </c>
      <c r="L285" t="n">
        <v>0</v>
      </c>
      <c r="M285" t="n">
        <v>0</v>
      </c>
      <c r="N285" t="n">
        <v>0</v>
      </c>
      <c r="O285" t="n">
        <v>4</v>
      </c>
      <c r="P285" t="n">
        <v>0</v>
      </c>
      <c r="Q285" t="n">
        <v>8</v>
      </c>
      <c r="R285" s="2" t="inlineStr">
        <is>
          <t>Garnlav
Lunglav
Nordfladdermus
Skrovellav
Bårdlav
Stuplav
Lavskrika
Vattenfladdermus</t>
        </is>
      </c>
      <c r="S285">
        <f>HYPERLINK("https://klasma.github.io/Logging_2283/artfynd/A 22783-2025 artfynd.xlsx", "A 22783-2025")</f>
        <v/>
      </c>
      <c r="T285">
        <f>HYPERLINK("https://klasma.github.io/Logging_2283/kartor/A 22783-2025 karta.png", "A 22783-2025")</f>
        <v/>
      </c>
      <c r="V285">
        <f>HYPERLINK("https://klasma.github.io/Logging_2283/klagomål/A 22783-2025 FSC-klagomål.docx", "A 22783-2025")</f>
        <v/>
      </c>
      <c r="W285">
        <f>HYPERLINK("https://klasma.github.io/Logging_2283/klagomålsmail/A 22783-2025 FSC-klagomål mail.docx", "A 22783-2025")</f>
        <v/>
      </c>
      <c r="X285">
        <f>HYPERLINK("https://klasma.github.io/Logging_2283/tillsyn/A 22783-2025 tillsynsbegäran.docx", "A 22783-2025")</f>
        <v/>
      </c>
      <c r="Y285">
        <f>HYPERLINK("https://klasma.github.io/Logging_2283/tillsynsmail/A 22783-2025 tillsynsbegäran mail.docx", "A 22783-2025")</f>
        <v/>
      </c>
      <c r="Z285">
        <f>HYPERLINK("https://klasma.github.io/Logging_2283/fåglar/A 22783-2025 prioriterade fågelarter.docx", "A 22783-2025")</f>
        <v/>
      </c>
    </row>
    <row r="286" ht="15" customHeight="1">
      <c r="A286" t="inlineStr">
        <is>
          <t>A 23282-2025</t>
        </is>
      </c>
      <c r="B286" s="1" t="n">
        <v>45791.57351851852</v>
      </c>
      <c r="C286" s="1" t="n">
        <v>46185</v>
      </c>
      <c r="D286" t="inlineStr">
        <is>
          <t>VÄSTERNORRLANDS LÄN</t>
        </is>
      </c>
      <c r="E286" t="inlineStr">
        <is>
          <t>TIMRÅ</t>
        </is>
      </c>
      <c r="F286" t="inlineStr">
        <is>
          <t>SCA</t>
        </is>
      </c>
      <c r="G286" t="n">
        <v>3.3</v>
      </c>
      <c r="H286" t="n">
        <v>2</v>
      </c>
      <c r="I286" t="n">
        <v>3</v>
      </c>
      <c r="J286" t="n">
        <v>4</v>
      </c>
      <c r="K286" t="n">
        <v>0</v>
      </c>
      <c r="L286" t="n">
        <v>0</v>
      </c>
      <c r="M286" t="n">
        <v>0</v>
      </c>
      <c r="N286" t="n">
        <v>0</v>
      </c>
      <c r="O286" t="n">
        <v>4</v>
      </c>
      <c r="P286" t="n">
        <v>0</v>
      </c>
      <c r="Q286" t="n">
        <v>8</v>
      </c>
      <c r="R286" s="2" t="inlineStr">
        <is>
          <t>Lunglav
Reliktbock
Spillkråka
Stiftgelélav
Skinnlav
Stuplav
Vedticka
Fläcknycklar</t>
        </is>
      </c>
      <c r="S286">
        <f>HYPERLINK("https://klasma.github.io/Logging_2262/artfynd/A 23282-2025 artfynd.xlsx", "A 23282-2025")</f>
        <v/>
      </c>
      <c r="T286">
        <f>HYPERLINK("https://klasma.github.io/Logging_2262/kartor/A 23282-2025 karta.png", "A 23282-2025")</f>
        <v/>
      </c>
      <c r="V286">
        <f>HYPERLINK("https://klasma.github.io/Logging_2262/klagomål/A 23282-2025 FSC-klagomål.docx", "A 23282-2025")</f>
        <v/>
      </c>
      <c r="W286">
        <f>HYPERLINK("https://klasma.github.io/Logging_2262/klagomålsmail/A 23282-2025 FSC-klagomål mail.docx", "A 23282-2025")</f>
        <v/>
      </c>
      <c r="X286">
        <f>HYPERLINK("https://klasma.github.io/Logging_2262/tillsyn/A 23282-2025 tillsynsbegäran.docx", "A 23282-2025")</f>
        <v/>
      </c>
      <c r="Y286">
        <f>HYPERLINK("https://klasma.github.io/Logging_2262/tillsynsmail/A 23282-2025 tillsynsbegäran mail.docx", "A 23282-2025")</f>
        <v/>
      </c>
      <c r="Z286">
        <f>HYPERLINK("https://klasma.github.io/Logging_2262/fåglar/A 23282-2025 prioriterade fågelarter.docx", "A 23282-2025")</f>
        <v/>
      </c>
    </row>
    <row r="287" ht="15" customHeight="1">
      <c r="A287" t="inlineStr">
        <is>
          <t>A 25898-2022</t>
        </is>
      </c>
      <c r="B287" s="1" t="n">
        <v>44733</v>
      </c>
      <c r="C287" s="1" t="n">
        <v>46185</v>
      </c>
      <c r="D287" t="inlineStr">
        <is>
          <t>VÄSTERNORRLANDS LÄN</t>
        </is>
      </c>
      <c r="E287" t="inlineStr">
        <is>
          <t>ÅNGE</t>
        </is>
      </c>
      <c r="G287" t="n">
        <v>1.3</v>
      </c>
      <c r="H287" t="n">
        <v>0</v>
      </c>
      <c r="I287" t="n">
        <v>2</v>
      </c>
      <c r="J287" t="n">
        <v>4</v>
      </c>
      <c r="K287" t="n">
        <v>1</v>
      </c>
      <c r="L287" t="n">
        <v>0</v>
      </c>
      <c r="M287" t="n">
        <v>0</v>
      </c>
      <c r="N287" t="n">
        <v>0</v>
      </c>
      <c r="O287" t="n">
        <v>5</v>
      </c>
      <c r="P287" t="n">
        <v>1</v>
      </c>
      <c r="Q287" t="n">
        <v>7</v>
      </c>
      <c r="R287" s="2" t="inlineStr">
        <is>
          <t>Smalskaftslav
Garnlav
Kortskaftad ärgspik
Lunglav
Vedtrappmossa
Gulnål
Vedticka</t>
        </is>
      </c>
      <c r="S287">
        <f>HYPERLINK("https://klasma.github.io/Logging_2260/artfynd/A 25898-2022 artfynd.xlsx", "A 25898-2022")</f>
        <v/>
      </c>
      <c r="T287">
        <f>HYPERLINK("https://klasma.github.io/Logging_2260/kartor/A 25898-2022 karta.png", "A 25898-2022")</f>
        <v/>
      </c>
      <c r="V287">
        <f>HYPERLINK("https://klasma.github.io/Logging_2260/klagomål/A 25898-2022 FSC-klagomål.docx", "A 25898-2022")</f>
        <v/>
      </c>
      <c r="W287">
        <f>HYPERLINK("https://klasma.github.io/Logging_2260/klagomålsmail/A 25898-2022 FSC-klagomål mail.docx", "A 25898-2022")</f>
        <v/>
      </c>
      <c r="X287">
        <f>HYPERLINK("https://klasma.github.io/Logging_2260/tillsyn/A 25898-2022 tillsynsbegäran.docx", "A 25898-2022")</f>
        <v/>
      </c>
      <c r="Y287">
        <f>HYPERLINK("https://klasma.github.io/Logging_2260/tillsynsmail/A 25898-2022 tillsynsbegäran mail.docx", "A 25898-2022")</f>
        <v/>
      </c>
    </row>
    <row r="288" ht="15" customHeight="1">
      <c r="A288" t="inlineStr">
        <is>
          <t>A 25270-2022</t>
        </is>
      </c>
      <c r="B288" s="1" t="n">
        <v>44729</v>
      </c>
      <c r="C288" s="1" t="n">
        <v>46185</v>
      </c>
      <c r="D288" t="inlineStr">
        <is>
          <t>VÄSTERNORRLANDS LÄN</t>
        </is>
      </c>
      <c r="E288" t="inlineStr">
        <is>
          <t>SUNDSVALL</t>
        </is>
      </c>
      <c r="F288" t="inlineStr">
        <is>
          <t>SCA</t>
        </is>
      </c>
      <c r="G288" t="n">
        <v>6.2</v>
      </c>
      <c r="H288" t="n">
        <v>0</v>
      </c>
      <c r="I288" t="n">
        <v>5</v>
      </c>
      <c r="J288" t="n">
        <v>2</v>
      </c>
      <c r="K288" t="n">
        <v>0</v>
      </c>
      <c r="L288" t="n">
        <v>0</v>
      </c>
      <c r="M288" t="n">
        <v>0</v>
      </c>
      <c r="N288" t="n">
        <v>0</v>
      </c>
      <c r="O288" t="n">
        <v>2</v>
      </c>
      <c r="P288" t="n">
        <v>0</v>
      </c>
      <c r="Q288" t="n">
        <v>7</v>
      </c>
      <c r="R288" s="2" t="inlineStr">
        <is>
          <t>Lunglav
Violmussling
Skogshakmossa
Stuplav
Trådticka
Vedticka
Ögonpyrola</t>
        </is>
      </c>
      <c r="S288">
        <f>HYPERLINK("https://klasma.github.io/Logging_2281/artfynd/A 25270-2022 artfynd.xlsx", "A 25270-2022")</f>
        <v/>
      </c>
      <c r="T288">
        <f>HYPERLINK("https://klasma.github.io/Logging_2281/kartor/A 25270-2022 karta.png", "A 25270-2022")</f>
        <v/>
      </c>
      <c r="V288">
        <f>HYPERLINK("https://klasma.github.io/Logging_2281/klagomål/A 25270-2022 FSC-klagomål.docx", "A 25270-2022")</f>
        <v/>
      </c>
      <c r="W288">
        <f>HYPERLINK("https://klasma.github.io/Logging_2281/klagomålsmail/A 25270-2022 FSC-klagomål mail.docx", "A 25270-2022")</f>
        <v/>
      </c>
      <c r="X288">
        <f>HYPERLINK("https://klasma.github.io/Logging_2281/tillsyn/A 25270-2022 tillsynsbegäran.docx", "A 25270-2022")</f>
        <v/>
      </c>
      <c r="Y288">
        <f>HYPERLINK("https://klasma.github.io/Logging_2281/tillsynsmail/A 25270-2022 tillsynsbegäran mail.docx", "A 25270-2022")</f>
        <v/>
      </c>
    </row>
    <row r="289" ht="15" customHeight="1">
      <c r="A289" t="inlineStr">
        <is>
          <t>A 20365-2022</t>
        </is>
      </c>
      <c r="B289" s="1" t="n">
        <v>44699</v>
      </c>
      <c r="C289" s="1" t="n">
        <v>46185</v>
      </c>
      <c r="D289" t="inlineStr">
        <is>
          <t>VÄSTERNORRLANDS LÄN</t>
        </is>
      </c>
      <c r="E289" t="inlineStr">
        <is>
          <t>ÅNGE</t>
        </is>
      </c>
      <c r="G289" t="n">
        <v>18.5</v>
      </c>
      <c r="H289" t="n">
        <v>2</v>
      </c>
      <c r="I289" t="n">
        <v>1</v>
      </c>
      <c r="J289" t="n">
        <v>5</v>
      </c>
      <c r="K289" t="n">
        <v>0</v>
      </c>
      <c r="L289" t="n">
        <v>0</v>
      </c>
      <c r="M289" t="n">
        <v>0</v>
      </c>
      <c r="N289" t="n">
        <v>0</v>
      </c>
      <c r="O289" t="n">
        <v>5</v>
      </c>
      <c r="P289" t="n">
        <v>0</v>
      </c>
      <c r="Q289" t="n">
        <v>7</v>
      </c>
      <c r="R289" s="2" t="inlineStr">
        <is>
          <t>Garnlav
Granticka
Lunglav
Spillkråka
Ullticka
Vedticka
Revlummer</t>
        </is>
      </c>
      <c r="S289">
        <f>HYPERLINK("https://klasma.github.io/Logging_2260/artfynd/A 20365-2022 artfynd.xlsx", "A 20365-2022")</f>
        <v/>
      </c>
      <c r="T289">
        <f>HYPERLINK("https://klasma.github.io/Logging_2260/kartor/A 20365-2022 karta.png", "A 20365-2022")</f>
        <v/>
      </c>
      <c r="V289">
        <f>HYPERLINK("https://klasma.github.io/Logging_2260/klagomål/A 20365-2022 FSC-klagomål.docx", "A 20365-2022")</f>
        <v/>
      </c>
      <c r="W289">
        <f>HYPERLINK("https://klasma.github.io/Logging_2260/klagomålsmail/A 20365-2022 FSC-klagomål mail.docx", "A 20365-2022")</f>
        <v/>
      </c>
      <c r="X289">
        <f>HYPERLINK("https://klasma.github.io/Logging_2260/tillsyn/A 20365-2022 tillsynsbegäran.docx", "A 20365-2022")</f>
        <v/>
      </c>
      <c r="Y289">
        <f>HYPERLINK("https://klasma.github.io/Logging_2260/tillsynsmail/A 20365-2022 tillsynsbegäran mail.docx", "A 20365-2022")</f>
        <v/>
      </c>
      <c r="Z289">
        <f>HYPERLINK("https://klasma.github.io/Logging_2260/fåglar/A 20365-2022 prioriterade fågelarter.docx", "A 20365-2022")</f>
        <v/>
      </c>
    </row>
    <row r="290" ht="15" customHeight="1">
      <c r="A290" t="inlineStr">
        <is>
          <t>A 12174-2025</t>
        </is>
      </c>
      <c r="B290" s="1" t="n">
        <v>45729</v>
      </c>
      <c r="C290" s="1" t="n">
        <v>46185</v>
      </c>
      <c r="D290" t="inlineStr">
        <is>
          <t>VÄSTERNORRLANDS LÄN</t>
        </is>
      </c>
      <c r="E290" t="inlineStr">
        <is>
          <t>SOLLEFTEÅ</t>
        </is>
      </c>
      <c r="F290" t="inlineStr">
        <is>
          <t>SCA</t>
        </is>
      </c>
      <c r="G290" t="n">
        <v>1.8</v>
      </c>
      <c r="H290" t="n">
        <v>4</v>
      </c>
      <c r="I290" t="n">
        <v>0</v>
      </c>
      <c r="J290" t="n">
        <v>5</v>
      </c>
      <c r="K290" t="n">
        <v>0</v>
      </c>
      <c r="L290" t="n">
        <v>0</v>
      </c>
      <c r="M290" t="n">
        <v>0</v>
      </c>
      <c r="N290" t="n">
        <v>0</v>
      </c>
      <c r="O290" t="n">
        <v>5</v>
      </c>
      <c r="P290" t="n">
        <v>0</v>
      </c>
      <c r="Q290" t="n">
        <v>7</v>
      </c>
      <c r="R290" s="2" t="inlineStr">
        <is>
          <t>Garnlav
Lunglav
Mörk kolflarnlav
Spillkråka
Tretåig hackspett
Tjäder
Revlummer</t>
        </is>
      </c>
      <c r="S290">
        <f>HYPERLINK("https://klasma.github.io/Logging_2283/artfynd/A 12174-2025 artfynd.xlsx", "A 12174-2025")</f>
        <v/>
      </c>
      <c r="T290">
        <f>HYPERLINK("https://klasma.github.io/Logging_2283/kartor/A 12174-2025 karta.png", "A 12174-2025")</f>
        <v/>
      </c>
      <c r="V290">
        <f>HYPERLINK("https://klasma.github.io/Logging_2283/klagomål/A 12174-2025 FSC-klagomål.docx", "A 12174-2025")</f>
        <v/>
      </c>
      <c r="W290">
        <f>HYPERLINK("https://klasma.github.io/Logging_2283/klagomålsmail/A 12174-2025 FSC-klagomål mail.docx", "A 12174-2025")</f>
        <v/>
      </c>
      <c r="X290">
        <f>HYPERLINK("https://klasma.github.io/Logging_2283/tillsyn/A 12174-2025 tillsynsbegäran.docx", "A 12174-2025")</f>
        <v/>
      </c>
      <c r="Y290">
        <f>HYPERLINK("https://klasma.github.io/Logging_2283/tillsynsmail/A 12174-2025 tillsynsbegäran mail.docx", "A 12174-2025")</f>
        <v/>
      </c>
      <c r="Z290">
        <f>HYPERLINK("https://klasma.github.io/Logging_2283/fåglar/A 12174-2025 prioriterade fågelarter.docx", "A 12174-2025")</f>
        <v/>
      </c>
    </row>
    <row r="291" ht="15" customHeight="1">
      <c r="A291" t="inlineStr">
        <is>
          <t>A 53121-2022</t>
        </is>
      </c>
      <c r="B291" s="1" t="n">
        <v>44873</v>
      </c>
      <c r="C291" s="1" t="n">
        <v>46185</v>
      </c>
      <c r="D291" t="inlineStr">
        <is>
          <t>VÄSTERNORRLANDS LÄN</t>
        </is>
      </c>
      <c r="E291" t="inlineStr">
        <is>
          <t>SOLLEFTEÅ</t>
        </is>
      </c>
      <c r="G291" t="n">
        <v>3.6</v>
      </c>
      <c r="H291" t="n">
        <v>1</v>
      </c>
      <c r="I291" t="n">
        <v>1</v>
      </c>
      <c r="J291" t="n">
        <v>5</v>
      </c>
      <c r="K291" t="n">
        <v>1</v>
      </c>
      <c r="L291" t="n">
        <v>0</v>
      </c>
      <c r="M291" t="n">
        <v>0</v>
      </c>
      <c r="N291" t="n">
        <v>0</v>
      </c>
      <c r="O291" t="n">
        <v>6</v>
      </c>
      <c r="P291" t="n">
        <v>1</v>
      </c>
      <c r="Q291" t="n">
        <v>7</v>
      </c>
      <c r="R291" s="2" t="inlineStr">
        <is>
          <t>Rynkskinn
Garnlav
Lunglav
Rosenticka
Tretåig hackspett
Ullticka
Stuplav</t>
        </is>
      </c>
      <c r="S291">
        <f>HYPERLINK("https://klasma.github.io/Logging_2283/artfynd/A 53121-2022 artfynd.xlsx", "A 53121-2022")</f>
        <v/>
      </c>
      <c r="T291">
        <f>HYPERLINK("https://klasma.github.io/Logging_2283/kartor/A 53121-2022 karta.png", "A 53121-2022")</f>
        <v/>
      </c>
      <c r="V291">
        <f>HYPERLINK("https://klasma.github.io/Logging_2283/klagomål/A 53121-2022 FSC-klagomål.docx", "A 53121-2022")</f>
        <v/>
      </c>
      <c r="W291">
        <f>HYPERLINK("https://klasma.github.io/Logging_2283/klagomålsmail/A 53121-2022 FSC-klagomål mail.docx", "A 53121-2022")</f>
        <v/>
      </c>
      <c r="X291">
        <f>HYPERLINK("https://klasma.github.io/Logging_2283/tillsyn/A 53121-2022 tillsynsbegäran.docx", "A 53121-2022")</f>
        <v/>
      </c>
      <c r="Y291">
        <f>HYPERLINK("https://klasma.github.io/Logging_2283/tillsynsmail/A 53121-2022 tillsynsbegäran mail.docx", "A 53121-2022")</f>
        <v/>
      </c>
      <c r="Z291">
        <f>HYPERLINK("https://klasma.github.io/Logging_2283/fåglar/A 53121-2022 prioriterade fågelarter.docx", "A 53121-2022")</f>
        <v/>
      </c>
    </row>
    <row r="292" ht="15" customHeight="1">
      <c r="A292" t="inlineStr">
        <is>
          <t>A 27533-2024</t>
        </is>
      </c>
      <c r="B292" s="1" t="n">
        <v>45474</v>
      </c>
      <c r="C292" s="1" t="n">
        <v>46185</v>
      </c>
      <c r="D292" t="inlineStr">
        <is>
          <t>VÄSTERNORRLANDS LÄN</t>
        </is>
      </c>
      <c r="E292" t="inlineStr">
        <is>
          <t>ÖRNSKÖLDSVIK</t>
        </is>
      </c>
      <c r="G292" t="n">
        <v>8.699999999999999</v>
      </c>
      <c r="H292" t="n">
        <v>3</v>
      </c>
      <c r="I292" t="n">
        <v>2</v>
      </c>
      <c r="J292" t="n">
        <v>2</v>
      </c>
      <c r="K292" t="n">
        <v>2</v>
      </c>
      <c r="L292" t="n">
        <v>0</v>
      </c>
      <c r="M292" t="n">
        <v>0</v>
      </c>
      <c r="N292" t="n">
        <v>0</v>
      </c>
      <c r="O292" t="n">
        <v>4</v>
      </c>
      <c r="P292" t="n">
        <v>2</v>
      </c>
      <c r="Q292" t="n">
        <v>7</v>
      </c>
      <c r="R292" s="2" t="inlineStr">
        <is>
          <t>Knärot
Rynkskinn
Lunglav
Ullticka
Spindelblomster
Spädstarr
Fläcknycklar</t>
        </is>
      </c>
      <c r="S292">
        <f>HYPERLINK("https://klasma.github.io/Logging_2284/artfynd/A 27533-2024 artfynd.xlsx", "A 27533-2024")</f>
        <v/>
      </c>
      <c r="T292">
        <f>HYPERLINK("https://klasma.github.io/Logging_2284/kartor/A 27533-2024 karta.png", "A 27533-2024")</f>
        <v/>
      </c>
      <c r="U292">
        <f>HYPERLINK("https://klasma.github.io/Logging_2284/knärot/A 27533-2024 karta knärot.png", "A 27533-2024")</f>
        <v/>
      </c>
      <c r="V292">
        <f>HYPERLINK("https://klasma.github.io/Logging_2284/klagomål/A 27533-2024 FSC-klagomål.docx", "A 27533-2024")</f>
        <v/>
      </c>
      <c r="W292">
        <f>HYPERLINK("https://klasma.github.io/Logging_2284/klagomålsmail/A 27533-2024 FSC-klagomål mail.docx", "A 27533-2024")</f>
        <v/>
      </c>
      <c r="X292">
        <f>HYPERLINK("https://klasma.github.io/Logging_2284/tillsyn/A 27533-2024 tillsynsbegäran.docx", "A 27533-2024")</f>
        <v/>
      </c>
      <c r="Y292">
        <f>HYPERLINK("https://klasma.github.io/Logging_2284/tillsynsmail/A 27533-2024 tillsynsbegäran mail.docx", "A 27533-2024")</f>
        <v/>
      </c>
    </row>
    <row r="293" ht="15" customHeight="1">
      <c r="A293" t="inlineStr">
        <is>
          <t>A 715-2023</t>
        </is>
      </c>
      <c r="B293" s="1" t="n">
        <v>44930</v>
      </c>
      <c r="C293" s="1" t="n">
        <v>46185</v>
      </c>
      <c r="D293" t="inlineStr">
        <is>
          <t>VÄSTERNORRLANDS LÄN</t>
        </is>
      </c>
      <c r="E293" t="inlineStr">
        <is>
          <t>SOLLEFTEÅ</t>
        </is>
      </c>
      <c r="G293" t="n">
        <v>7.7</v>
      </c>
      <c r="H293" t="n">
        <v>0</v>
      </c>
      <c r="I293" t="n">
        <v>1</v>
      </c>
      <c r="J293" t="n">
        <v>3</v>
      </c>
      <c r="K293" t="n">
        <v>3</v>
      </c>
      <c r="L293" t="n">
        <v>0</v>
      </c>
      <c r="M293" t="n">
        <v>0</v>
      </c>
      <c r="N293" t="n">
        <v>0</v>
      </c>
      <c r="O293" t="n">
        <v>6</v>
      </c>
      <c r="P293" t="n">
        <v>3</v>
      </c>
      <c r="Q293" t="n">
        <v>7</v>
      </c>
      <c r="R293" s="2" t="inlineStr">
        <is>
          <t>Gräddporing
Gräddticka
Rynkskinn
Granticka
Rosenticka
Ullticka
Skinnlav</t>
        </is>
      </c>
      <c r="S293">
        <f>HYPERLINK("https://klasma.github.io/Logging_2283/artfynd/A 715-2023 artfynd.xlsx", "A 715-2023")</f>
        <v/>
      </c>
      <c r="T293">
        <f>HYPERLINK("https://klasma.github.io/Logging_2283/kartor/A 715-2023 karta.png", "A 715-2023")</f>
        <v/>
      </c>
      <c r="V293">
        <f>HYPERLINK("https://klasma.github.io/Logging_2283/klagomål/A 715-2023 FSC-klagomål.docx", "A 715-2023")</f>
        <v/>
      </c>
      <c r="W293">
        <f>HYPERLINK("https://klasma.github.io/Logging_2283/klagomålsmail/A 715-2023 FSC-klagomål mail.docx", "A 715-2023")</f>
        <v/>
      </c>
      <c r="X293">
        <f>HYPERLINK("https://klasma.github.io/Logging_2283/tillsyn/A 715-2023 tillsynsbegäran.docx", "A 715-2023")</f>
        <v/>
      </c>
      <c r="Y293">
        <f>HYPERLINK("https://klasma.github.io/Logging_2283/tillsynsmail/A 715-2023 tillsynsbegäran mail.docx", "A 715-2023")</f>
        <v/>
      </c>
    </row>
    <row r="294" ht="15" customHeight="1">
      <c r="A294" t="inlineStr">
        <is>
          <t>A 47647-2022</t>
        </is>
      </c>
      <c r="B294" s="1" t="n">
        <v>44852</v>
      </c>
      <c r="C294" s="1" t="n">
        <v>46185</v>
      </c>
      <c r="D294" t="inlineStr">
        <is>
          <t>VÄSTERNORRLANDS LÄN</t>
        </is>
      </c>
      <c r="E294" t="inlineStr">
        <is>
          <t>SOLLEFTEÅ</t>
        </is>
      </c>
      <c r="G294" t="n">
        <v>5.3</v>
      </c>
      <c r="H294" t="n">
        <v>2</v>
      </c>
      <c r="I294" t="n">
        <v>0</v>
      </c>
      <c r="J294" t="n">
        <v>5</v>
      </c>
      <c r="K294" t="n">
        <v>1</v>
      </c>
      <c r="L294" t="n">
        <v>1</v>
      </c>
      <c r="M294" t="n">
        <v>0</v>
      </c>
      <c r="N294" t="n">
        <v>0</v>
      </c>
      <c r="O294" t="n">
        <v>7</v>
      </c>
      <c r="P294" t="n">
        <v>2</v>
      </c>
      <c r="Q294" t="n">
        <v>7</v>
      </c>
      <c r="R294" s="2" t="inlineStr">
        <is>
          <t>Större barkplattbagge
Rynkskinn
Garnlav
Rosenticka
Stjärntagging
Talltita
Ullticka</t>
        </is>
      </c>
      <c r="S294">
        <f>HYPERLINK("https://klasma.github.io/Logging_2283/artfynd/A 47647-2022 artfynd.xlsx", "A 47647-2022")</f>
        <v/>
      </c>
      <c r="T294">
        <f>HYPERLINK("https://klasma.github.io/Logging_2283/kartor/A 47647-2022 karta.png", "A 47647-2022")</f>
        <v/>
      </c>
      <c r="V294">
        <f>HYPERLINK("https://klasma.github.io/Logging_2283/klagomål/A 47647-2022 FSC-klagomål.docx", "A 47647-2022")</f>
        <v/>
      </c>
      <c r="W294">
        <f>HYPERLINK("https://klasma.github.io/Logging_2283/klagomålsmail/A 47647-2022 FSC-klagomål mail.docx", "A 47647-2022")</f>
        <v/>
      </c>
      <c r="X294">
        <f>HYPERLINK("https://klasma.github.io/Logging_2283/tillsyn/A 47647-2022 tillsynsbegäran.docx", "A 47647-2022")</f>
        <v/>
      </c>
      <c r="Y294">
        <f>HYPERLINK("https://klasma.github.io/Logging_2283/tillsynsmail/A 47647-2022 tillsynsbegäran mail.docx", "A 47647-2022")</f>
        <v/>
      </c>
      <c r="Z294">
        <f>HYPERLINK("https://klasma.github.io/Logging_2283/fåglar/A 47647-2022 prioriterade fågelarter.docx", "A 47647-2022")</f>
        <v/>
      </c>
    </row>
    <row r="295" ht="15" customHeight="1">
      <c r="A295" t="inlineStr">
        <is>
          <t>A 26313-2024</t>
        </is>
      </c>
      <c r="B295" s="1" t="n">
        <v>45468</v>
      </c>
      <c r="C295" s="1" t="n">
        <v>46185</v>
      </c>
      <c r="D295" t="inlineStr">
        <is>
          <t>VÄSTERNORRLANDS LÄN</t>
        </is>
      </c>
      <c r="E295" t="inlineStr">
        <is>
          <t>ÅNGE</t>
        </is>
      </c>
      <c r="F295" t="inlineStr">
        <is>
          <t>SCA</t>
        </is>
      </c>
      <c r="G295" t="n">
        <v>30.9</v>
      </c>
      <c r="H295" t="n">
        <v>3</v>
      </c>
      <c r="I295" t="n">
        <v>0</v>
      </c>
      <c r="J295" t="n">
        <v>4</v>
      </c>
      <c r="K295" t="n">
        <v>1</v>
      </c>
      <c r="L295" t="n">
        <v>0</v>
      </c>
      <c r="M295" t="n">
        <v>0</v>
      </c>
      <c r="N295" t="n">
        <v>0</v>
      </c>
      <c r="O295" t="n">
        <v>5</v>
      </c>
      <c r="P295" t="n">
        <v>1</v>
      </c>
      <c r="Q295" t="n">
        <v>7</v>
      </c>
      <c r="R295" s="2" t="inlineStr">
        <is>
          <t>Knärot
Kortskaftad ärgspik
Lunglav
Mörk kolflarnlav
Nordtagging
Tjäder
Revlummer</t>
        </is>
      </c>
      <c r="S295">
        <f>HYPERLINK("https://klasma.github.io/Logging_2260/artfynd/A 26313-2024 artfynd.xlsx", "A 26313-2024")</f>
        <v/>
      </c>
      <c r="T295">
        <f>HYPERLINK("https://klasma.github.io/Logging_2260/kartor/A 26313-2024 karta.png", "A 26313-2024")</f>
        <v/>
      </c>
      <c r="U295">
        <f>HYPERLINK("https://klasma.github.io/Logging_2260/knärot/A 26313-2024 karta knärot.png", "A 26313-2024")</f>
        <v/>
      </c>
      <c r="V295">
        <f>HYPERLINK("https://klasma.github.io/Logging_2260/klagomål/A 26313-2024 FSC-klagomål.docx", "A 26313-2024")</f>
        <v/>
      </c>
      <c r="W295">
        <f>HYPERLINK("https://klasma.github.io/Logging_2260/klagomålsmail/A 26313-2024 FSC-klagomål mail.docx", "A 26313-2024")</f>
        <v/>
      </c>
      <c r="X295">
        <f>HYPERLINK("https://klasma.github.io/Logging_2260/tillsyn/A 26313-2024 tillsynsbegäran.docx", "A 26313-2024")</f>
        <v/>
      </c>
      <c r="Y295">
        <f>HYPERLINK("https://klasma.github.io/Logging_2260/tillsynsmail/A 26313-2024 tillsynsbegäran mail.docx", "A 26313-2024")</f>
        <v/>
      </c>
      <c r="Z295">
        <f>HYPERLINK("https://klasma.github.io/Logging_2260/fåglar/A 26313-2024 prioriterade fågelarter.docx", "A 26313-2024")</f>
        <v/>
      </c>
    </row>
    <row r="296" ht="15" customHeight="1">
      <c r="A296" t="inlineStr">
        <is>
          <t>A 1285-2023</t>
        </is>
      </c>
      <c r="B296" s="1" t="n">
        <v>44936</v>
      </c>
      <c r="C296" s="1" t="n">
        <v>46185</v>
      </c>
      <c r="D296" t="inlineStr">
        <is>
          <t>VÄSTERNORRLANDS LÄN</t>
        </is>
      </c>
      <c r="E296" t="inlineStr">
        <is>
          <t>ÖRNSKÖLDSVIK</t>
        </is>
      </c>
      <c r="G296" t="n">
        <v>2.6</v>
      </c>
      <c r="H296" t="n">
        <v>0</v>
      </c>
      <c r="I296" t="n">
        <v>2</v>
      </c>
      <c r="J296" t="n">
        <v>4</v>
      </c>
      <c r="K296" t="n">
        <v>1</v>
      </c>
      <c r="L296" t="n">
        <v>0</v>
      </c>
      <c r="M296" t="n">
        <v>0</v>
      </c>
      <c r="N296" t="n">
        <v>0</v>
      </c>
      <c r="O296" t="n">
        <v>5</v>
      </c>
      <c r="P296" t="n">
        <v>1</v>
      </c>
      <c r="Q296" t="n">
        <v>7</v>
      </c>
      <c r="R296" s="2" t="inlineStr">
        <is>
          <t>Lappticka
Gammelgransskål
Garnlav
Lunglav
Ullticka
Luddlav
Vedticka</t>
        </is>
      </c>
      <c r="S296">
        <f>HYPERLINK("https://klasma.github.io/Logging_2284/artfynd/A 1285-2023 artfynd.xlsx", "A 1285-2023")</f>
        <v/>
      </c>
      <c r="T296">
        <f>HYPERLINK("https://klasma.github.io/Logging_2284/kartor/A 1285-2023 karta.png", "A 1285-2023")</f>
        <v/>
      </c>
      <c r="V296">
        <f>HYPERLINK("https://klasma.github.io/Logging_2284/klagomål/A 1285-2023 FSC-klagomål.docx", "A 1285-2023")</f>
        <v/>
      </c>
      <c r="W296">
        <f>HYPERLINK("https://klasma.github.io/Logging_2284/klagomålsmail/A 1285-2023 FSC-klagomål mail.docx", "A 1285-2023")</f>
        <v/>
      </c>
      <c r="X296">
        <f>HYPERLINK("https://klasma.github.io/Logging_2284/tillsyn/A 1285-2023 tillsynsbegäran.docx", "A 1285-2023")</f>
        <v/>
      </c>
      <c r="Y296">
        <f>HYPERLINK("https://klasma.github.io/Logging_2284/tillsynsmail/A 1285-2023 tillsynsbegäran mail.docx", "A 1285-2023")</f>
        <v/>
      </c>
    </row>
    <row r="297" ht="15" customHeight="1">
      <c r="A297" t="inlineStr">
        <is>
          <t>A 32491-2025</t>
        </is>
      </c>
      <c r="B297" s="1" t="n">
        <v>45838.44831018519</v>
      </c>
      <c r="C297" s="1" t="n">
        <v>46185</v>
      </c>
      <c r="D297" t="inlineStr">
        <is>
          <t>VÄSTERNORRLANDS LÄN</t>
        </is>
      </c>
      <c r="E297" t="inlineStr">
        <is>
          <t>SUNDSVALL</t>
        </is>
      </c>
      <c r="F297" t="inlineStr">
        <is>
          <t>SCA</t>
        </is>
      </c>
      <c r="G297" t="n">
        <v>2.5</v>
      </c>
      <c r="H297" t="n">
        <v>5</v>
      </c>
      <c r="I297" t="n">
        <v>1</v>
      </c>
      <c r="J297" t="n">
        <v>4</v>
      </c>
      <c r="K297" t="n">
        <v>0</v>
      </c>
      <c r="L297" t="n">
        <v>0</v>
      </c>
      <c r="M297" t="n">
        <v>0</v>
      </c>
      <c r="N297" t="n">
        <v>0</v>
      </c>
      <c r="O297" t="n">
        <v>4</v>
      </c>
      <c r="P297" t="n">
        <v>0</v>
      </c>
      <c r="Q297" t="n">
        <v>7</v>
      </c>
      <c r="R297" s="2" t="inlineStr">
        <is>
          <t>Rödvingetrast
Talltita
Tretåig hackspett
Ullticka
Svart trolldruva
Kungsfågel
Revlummer</t>
        </is>
      </c>
      <c r="S297">
        <f>HYPERLINK("https://klasma.github.io/Logging_2281/artfynd/A 32491-2025 artfynd.xlsx", "A 32491-2025")</f>
        <v/>
      </c>
      <c r="T297">
        <f>HYPERLINK("https://klasma.github.io/Logging_2281/kartor/A 32491-2025 karta.png", "A 32491-2025")</f>
        <v/>
      </c>
      <c r="V297">
        <f>HYPERLINK("https://klasma.github.io/Logging_2281/klagomål/A 32491-2025 FSC-klagomål.docx", "A 32491-2025")</f>
        <v/>
      </c>
      <c r="W297">
        <f>HYPERLINK("https://klasma.github.io/Logging_2281/klagomålsmail/A 32491-2025 FSC-klagomål mail.docx", "A 32491-2025")</f>
        <v/>
      </c>
      <c r="X297">
        <f>HYPERLINK("https://klasma.github.io/Logging_2281/tillsyn/A 32491-2025 tillsynsbegäran.docx", "A 32491-2025")</f>
        <v/>
      </c>
      <c r="Y297">
        <f>HYPERLINK("https://klasma.github.io/Logging_2281/tillsynsmail/A 32491-2025 tillsynsbegäran mail.docx", "A 32491-2025")</f>
        <v/>
      </c>
      <c r="Z297">
        <f>HYPERLINK("https://klasma.github.io/Logging_2281/fåglar/A 32491-2025 prioriterade fågelarter.docx", "A 32491-2025")</f>
        <v/>
      </c>
    </row>
    <row r="298" ht="15" customHeight="1">
      <c r="A298" t="inlineStr">
        <is>
          <t>A 28997-2025</t>
        </is>
      </c>
      <c r="B298" s="1" t="n">
        <v>45821.38616898148</v>
      </c>
      <c r="C298" s="1" t="n">
        <v>46185</v>
      </c>
      <c r="D298" t="inlineStr">
        <is>
          <t>VÄSTERNORRLANDS LÄN</t>
        </is>
      </c>
      <c r="E298" t="inlineStr">
        <is>
          <t>SOLLEFTEÅ</t>
        </is>
      </c>
      <c r="F298" t="inlineStr">
        <is>
          <t>SCA</t>
        </is>
      </c>
      <c r="G298" t="n">
        <v>4.2</v>
      </c>
      <c r="H298" t="n">
        <v>0</v>
      </c>
      <c r="I298" t="n">
        <v>3</v>
      </c>
      <c r="J298" t="n">
        <v>4</v>
      </c>
      <c r="K298" t="n">
        <v>0</v>
      </c>
      <c r="L298" t="n">
        <v>0</v>
      </c>
      <c r="M298" t="n">
        <v>0</v>
      </c>
      <c r="N298" t="n">
        <v>0</v>
      </c>
      <c r="O298" t="n">
        <v>4</v>
      </c>
      <c r="P298" t="n">
        <v>0</v>
      </c>
      <c r="Q298" t="n">
        <v>7</v>
      </c>
      <c r="R298" s="2" t="inlineStr">
        <is>
          <t>Dvärgbägarlav
Garnlav
Vaddporing
Vedtrappmossa
Bollvitmossa
Norrlandslav
Skuggblåslav</t>
        </is>
      </c>
      <c r="S298">
        <f>HYPERLINK("https://klasma.github.io/Logging_2283/artfynd/A 28997-2025 artfynd.xlsx", "A 28997-2025")</f>
        <v/>
      </c>
      <c r="T298">
        <f>HYPERLINK("https://klasma.github.io/Logging_2283/kartor/A 28997-2025 karta.png", "A 28997-2025")</f>
        <v/>
      </c>
      <c r="V298">
        <f>HYPERLINK("https://klasma.github.io/Logging_2283/klagomål/A 28997-2025 FSC-klagomål.docx", "A 28997-2025")</f>
        <v/>
      </c>
      <c r="W298">
        <f>HYPERLINK("https://klasma.github.io/Logging_2283/klagomålsmail/A 28997-2025 FSC-klagomål mail.docx", "A 28997-2025")</f>
        <v/>
      </c>
      <c r="X298">
        <f>HYPERLINK("https://klasma.github.io/Logging_2283/tillsyn/A 28997-2025 tillsynsbegäran.docx", "A 28997-2025")</f>
        <v/>
      </c>
      <c r="Y298">
        <f>HYPERLINK("https://klasma.github.io/Logging_2283/tillsynsmail/A 28997-2025 tillsynsbegäran mail.docx", "A 28997-2025")</f>
        <v/>
      </c>
    </row>
    <row r="299" ht="15" customHeight="1">
      <c r="A299" t="inlineStr">
        <is>
          <t>A 59045-2022</t>
        </is>
      </c>
      <c r="B299" s="1" t="n">
        <v>44903</v>
      </c>
      <c r="C299" s="1" t="n">
        <v>46185</v>
      </c>
      <c r="D299" t="inlineStr">
        <is>
          <t>VÄSTERNORRLANDS LÄN</t>
        </is>
      </c>
      <c r="E299" t="inlineStr">
        <is>
          <t>SOLLEFTEÅ</t>
        </is>
      </c>
      <c r="F299" t="inlineStr">
        <is>
          <t>SCA</t>
        </is>
      </c>
      <c r="G299" t="n">
        <v>23.4</v>
      </c>
      <c r="H299" t="n">
        <v>1</v>
      </c>
      <c r="I299" t="n">
        <v>1</v>
      </c>
      <c r="J299" t="n">
        <v>6</v>
      </c>
      <c r="K299" t="n">
        <v>0</v>
      </c>
      <c r="L299" t="n">
        <v>0</v>
      </c>
      <c r="M299" t="n">
        <v>0</v>
      </c>
      <c r="N299" t="n">
        <v>0</v>
      </c>
      <c r="O299" t="n">
        <v>6</v>
      </c>
      <c r="P299" t="n">
        <v>0</v>
      </c>
      <c r="Q299" t="n">
        <v>7</v>
      </c>
      <c r="R299" s="2" t="inlineStr">
        <is>
          <t>Gammelgransskål
Garnlav
Granticka
Lunglav
Tretåig hackspett
Ullticka
Strutbräken</t>
        </is>
      </c>
      <c r="S299">
        <f>HYPERLINK("https://klasma.github.io/Logging_2283/artfynd/A 59045-2022 artfynd.xlsx", "A 59045-2022")</f>
        <v/>
      </c>
      <c r="T299">
        <f>HYPERLINK("https://klasma.github.io/Logging_2283/kartor/A 59045-2022 karta.png", "A 59045-2022")</f>
        <v/>
      </c>
      <c r="V299">
        <f>HYPERLINK("https://klasma.github.io/Logging_2283/klagomål/A 59045-2022 FSC-klagomål.docx", "A 59045-2022")</f>
        <v/>
      </c>
      <c r="W299">
        <f>HYPERLINK("https://klasma.github.io/Logging_2283/klagomålsmail/A 59045-2022 FSC-klagomål mail.docx", "A 59045-2022")</f>
        <v/>
      </c>
      <c r="X299">
        <f>HYPERLINK("https://klasma.github.io/Logging_2283/tillsyn/A 59045-2022 tillsynsbegäran.docx", "A 59045-2022")</f>
        <v/>
      </c>
      <c r="Y299">
        <f>HYPERLINK("https://klasma.github.io/Logging_2283/tillsynsmail/A 59045-2022 tillsynsbegäran mail.docx", "A 59045-2022")</f>
        <v/>
      </c>
      <c r="Z299">
        <f>HYPERLINK("https://klasma.github.io/Logging_2283/fåglar/A 59045-2022 prioriterade fågelarter.docx", "A 59045-2022")</f>
        <v/>
      </c>
    </row>
    <row r="300" ht="15" customHeight="1">
      <c r="A300" t="inlineStr">
        <is>
          <t>A 16933-2025</t>
        </is>
      </c>
      <c r="B300" s="1" t="n">
        <v>45755.4065625</v>
      </c>
      <c r="C300" s="1" t="n">
        <v>46185</v>
      </c>
      <c r="D300" t="inlineStr">
        <is>
          <t>VÄSTERNORRLANDS LÄN</t>
        </is>
      </c>
      <c r="E300" t="inlineStr">
        <is>
          <t>SUNDSVALL</t>
        </is>
      </c>
      <c r="F300" t="inlineStr">
        <is>
          <t>SCA</t>
        </is>
      </c>
      <c r="G300" t="n">
        <v>1.7</v>
      </c>
      <c r="H300" t="n">
        <v>6</v>
      </c>
      <c r="I300" t="n">
        <v>2</v>
      </c>
      <c r="J300" t="n">
        <v>3</v>
      </c>
      <c r="K300" t="n">
        <v>0</v>
      </c>
      <c r="L300" t="n">
        <v>0</v>
      </c>
      <c r="M300" t="n">
        <v>0</v>
      </c>
      <c r="N300" t="n">
        <v>0</v>
      </c>
      <c r="O300" t="n">
        <v>3</v>
      </c>
      <c r="P300" t="n">
        <v>0</v>
      </c>
      <c r="Q300" t="n">
        <v>7</v>
      </c>
      <c r="R300" s="2" t="inlineStr">
        <is>
          <t>Garnlav
Spillkråka
Tretåig hackspett
Spindelblomster
Tvåblad
Tjäder
Fläcknycklar</t>
        </is>
      </c>
      <c r="S300">
        <f>HYPERLINK("https://klasma.github.io/Logging_2281/artfynd/A 16933-2025 artfynd.xlsx", "A 16933-2025")</f>
        <v/>
      </c>
      <c r="T300">
        <f>HYPERLINK("https://klasma.github.io/Logging_2281/kartor/A 16933-2025 karta.png", "A 16933-2025")</f>
        <v/>
      </c>
      <c r="V300">
        <f>HYPERLINK("https://klasma.github.io/Logging_2281/klagomål/A 16933-2025 FSC-klagomål.docx", "A 16933-2025")</f>
        <v/>
      </c>
      <c r="W300">
        <f>HYPERLINK("https://klasma.github.io/Logging_2281/klagomålsmail/A 16933-2025 FSC-klagomål mail.docx", "A 16933-2025")</f>
        <v/>
      </c>
      <c r="X300">
        <f>HYPERLINK("https://klasma.github.io/Logging_2281/tillsyn/A 16933-2025 tillsynsbegäran.docx", "A 16933-2025")</f>
        <v/>
      </c>
      <c r="Y300">
        <f>HYPERLINK("https://klasma.github.io/Logging_2281/tillsynsmail/A 16933-2025 tillsynsbegäran mail.docx", "A 16933-2025")</f>
        <v/>
      </c>
      <c r="Z300">
        <f>HYPERLINK("https://klasma.github.io/Logging_2281/fåglar/A 16933-2025 prioriterade fågelarter.docx", "A 16933-2025")</f>
        <v/>
      </c>
    </row>
    <row r="301" ht="15" customHeight="1">
      <c r="A301" t="inlineStr">
        <is>
          <t>A 21253-2025</t>
        </is>
      </c>
      <c r="B301" s="1" t="n">
        <v>45779</v>
      </c>
      <c r="C301" s="1" t="n">
        <v>46185</v>
      </c>
      <c r="D301" t="inlineStr">
        <is>
          <t>VÄSTERNORRLANDS LÄN</t>
        </is>
      </c>
      <c r="E301" t="inlineStr">
        <is>
          <t>SOLLEFTEÅ</t>
        </is>
      </c>
      <c r="G301" t="n">
        <v>10.2</v>
      </c>
      <c r="H301" t="n">
        <v>2</v>
      </c>
      <c r="I301" t="n">
        <v>1</v>
      </c>
      <c r="J301" t="n">
        <v>3</v>
      </c>
      <c r="K301" t="n">
        <v>1</v>
      </c>
      <c r="L301" t="n">
        <v>0</v>
      </c>
      <c r="M301" t="n">
        <v>0</v>
      </c>
      <c r="N301" t="n">
        <v>0</v>
      </c>
      <c r="O301" t="n">
        <v>4</v>
      </c>
      <c r="P301" t="n">
        <v>1</v>
      </c>
      <c r="Q301" t="n">
        <v>7</v>
      </c>
      <c r="R301" s="2" t="inlineStr">
        <is>
          <t>Rynkskinn
Doftskinn
Rosenticka
Ullticka
Stor aspticka
Fläcknycklar
Revlummer</t>
        </is>
      </c>
      <c r="S301">
        <f>HYPERLINK("https://klasma.github.io/Logging_2283/artfynd/A 21253-2025 artfynd.xlsx", "A 21253-2025")</f>
        <v/>
      </c>
      <c r="T301">
        <f>HYPERLINK("https://klasma.github.io/Logging_2283/kartor/A 21253-2025 karta.png", "A 21253-2025")</f>
        <v/>
      </c>
      <c r="V301">
        <f>HYPERLINK("https://klasma.github.io/Logging_2283/klagomål/A 21253-2025 FSC-klagomål.docx", "A 21253-2025")</f>
        <v/>
      </c>
      <c r="W301">
        <f>HYPERLINK("https://klasma.github.io/Logging_2283/klagomålsmail/A 21253-2025 FSC-klagomål mail.docx", "A 21253-2025")</f>
        <v/>
      </c>
      <c r="X301">
        <f>HYPERLINK("https://klasma.github.io/Logging_2283/tillsyn/A 21253-2025 tillsynsbegäran.docx", "A 21253-2025")</f>
        <v/>
      </c>
      <c r="Y301">
        <f>HYPERLINK("https://klasma.github.io/Logging_2283/tillsynsmail/A 21253-2025 tillsynsbegäran mail.docx", "A 21253-2025")</f>
        <v/>
      </c>
    </row>
    <row r="302" ht="15" customHeight="1">
      <c r="A302" t="inlineStr">
        <is>
          <t>A 46116-2025</t>
        </is>
      </c>
      <c r="B302" s="1" t="n">
        <v>45924.57364583333</v>
      </c>
      <c r="C302" s="1" t="n">
        <v>46185</v>
      </c>
      <c r="D302" t="inlineStr">
        <is>
          <t>VÄSTERNORRLANDS LÄN</t>
        </is>
      </c>
      <c r="E302" t="inlineStr">
        <is>
          <t>TIMRÅ</t>
        </is>
      </c>
      <c r="F302" t="inlineStr">
        <is>
          <t>SCA</t>
        </is>
      </c>
      <c r="G302" t="n">
        <v>4.5</v>
      </c>
      <c r="H302" t="n">
        <v>2</v>
      </c>
      <c r="I302" t="n">
        <v>1</v>
      </c>
      <c r="J302" t="n">
        <v>5</v>
      </c>
      <c r="K302" t="n">
        <v>1</v>
      </c>
      <c r="L302" t="n">
        <v>0</v>
      </c>
      <c r="M302" t="n">
        <v>0</v>
      </c>
      <c r="N302" t="n">
        <v>0</v>
      </c>
      <c r="O302" t="n">
        <v>6</v>
      </c>
      <c r="P302" t="n">
        <v>1</v>
      </c>
      <c r="Q302" t="n">
        <v>7</v>
      </c>
      <c r="R302" s="2" t="inlineStr">
        <is>
          <t>Knärot
Garnlav
Gränsticka
Lunglav
Tretåig hackspett
Ullticka
Vedticka</t>
        </is>
      </c>
      <c r="S302">
        <f>HYPERLINK("https://klasma.github.io/Logging_2262/artfynd/A 46116-2025 artfynd.xlsx", "A 46116-2025")</f>
        <v/>
      </c>
      <c r="T302">
        <f>HYPERLINK("https://klasma.github.io/Logging_2262/kartor/A 46116-2025 karta.png", "A 46116-2025")</f>
        <v/>
      </c>
      <c r="U302">
        <f>HYPERLINK("https://klasma.github.io/Logging_2262/knärot/A 46116-2025 karta knärot.png", "A 46116-2025")</f>
        <v/>
      </c>
      <c r="V302">
        <f>HYPERLINK("https://klasma.github.io/Logging_2262/klagomål/A 46116-2025 FSC-klagomål.docx", "A 46116-2025")</f>
        <v/>
      </c>
      <c r="W302">
        <f>HYPERLINK("https://klasma.github.io/Logging_2262/klagomålsmail/A 46116-2025 FSC-klagomål mail.docx", "A 46116-2025")</f>
        <v/>
      </c>
      <c r="X302">
        <f>HYPERLINK("https://klasma.github.io/Logging_2262/tillsyn/A 46116-2025 tillsynsbegäran.docx", "A 46116-2025")</f>
        <v/>
      </c>
      <c r="Y302">
        <f>HYPERLINK("https://klasma.github.io/Logging_2262/tillsynsmail/A 46116-2025 tillsynsbegäran mail.docx", "A 46116-2025")</f>
        <v/>
      </c>
      <c r="Z302">
        <f>HYPERLINK("https://klasma.github.io/Logging_2262/fåglar/A 46116-2025 prioriterade fågelarter.docx", "A 46116-2025")</f>
        <v/>
      </c>
    </row>
    <row r="303" ht="15" customHeight="1">
      <c r="A303" t="inlineStr">
        <is>
          <t>A 21682-2023</t>
        </is>
      </c>
      <c r="B303" s="1" t="n">
        <v>45063.94219907407</v>
      </c>
      <c r="C303" s="1" t="n">
        <v>46185</v>
      </c>
      <c r="D303" t="inlineStr">
        <is>
          <t>VÄSTERNORRLANDS LÄN</t>
        </is>
      </c>
      <c r="E303" t="inlineStr">
        <is>
          <t>ÅNGE</t>
        </is>
      </c>
      <c r="F303" t="inlineStr">
        <is>
          <t>SCA</t>
        </is>
      </c>
      <c r="G303" t="n">
        <v>4.9</v>
      </c>
      <c r="H303" t="n">
        <v>1</v>
      </c>
      <c r="I303" t="n">
        <v>1</v>
      </c>
      <c r="J303" t="n">
        <v>5</v>
      </c>
      <c r="K303" t="n">
        <v>0</v>
      </c>
      <c r="L303" t="n">
        <v>0</v>
      </c>
      <c r="M303" t="n">
        <v>0</v>
      </c>
      <c r="N303" t="n">
        <v>0</v>
      </c>
      <c r="O303" t="n">
        <v>5</v>
      </c>
      <c r="P303" t="n">
        <v>0</v>
      </c>
      <c r="Q303" t="n">
        <v>7</v>
      </c>
      <c r="R303" s="2" t="inlineStr">
        <is>
          <t>Garnlav
Kolflarnlav
Lunglav
Mörk kolflarnlav
Vedskivlav
Dropptaggsvamp
Tjäder</t>
        </is>
      </c>
      <c r="S303">
        <f>HYPERLINK("https://klasma.github.io/Logging_2260/artfynd/A 21682-2023 artfynd.xlsx", "A 21682-2023")</f>
        <v/>
      </c>
      <c r="T303">
        <f>HYPERLINK("https://klasma.github.io/Logging_2260/kartor/A 21682-2023 karta.png", "A 21682-2023")</f>
        <v/>
      </c>
      <c r="V303">
        <f>HYPERLINK("https://klasma.github.io/Logging_2260/klagomål/A 21682-2023 FSC-klagomål.docx", "A 21682-2023")</f>
        <v/>
      </c>
      <c r="W303">
        <f>HYPERLINK("https://klasma.github.io/Logging_2260/klagomålsmail/A 21682-2023 FSC-klagomål mail.docx", "A 21682-2023")</f>
        <v/>
      </c>
      <c r="X303">
        <f>HYPERLINK("https://klasma.github.io/Logging_2260/tillsyn/A 21682-2023 tillsynsbegäran.docx", "A 21682-2023")</f>
        <v/>
      </c>
      <c r="Y303">
        <f>HYPERLINK("https://klasma.github.io/Logging_2260/tillsynsmail/A 21682-2023 tillsynsbegäran mail.docx", "A 21682-2023")</f>
        <v/>
      </c>
      <c r="Z303">
        <f>HYPERLINK("https://klasma.github.io/Logging_2260/fåglar/A 21682-2023 prioriterade fågelarter.docx", "A 21682-2023")</f>
        <v/>
      </c>
    </row>
    <row r="304" ht="15" customHeight="1">
      <c r="A304" t="inlineStr">
        <is>
          <t>A 51286-2024</t>
        </is>
      </c>
      <c r="B304" s="1" t="n">
        <v>45600</v>
      </c>
      <c r="C304" s="1" t="n">
        <v>46185</v>
      </c>
      <c r="D304" t="inlineStr">
        <is>
          <t>VÄSTERNORRLANDS LÄN</t>
        </is>
      </c>
      <c r="E304" t="inlineStr">
        <is>
          <t>SUNDSVALL</t>
        </is>
      </c>
      <c r="F304" t="inlineStr">
        <is>
          <t>Kommuner</t>
        </is>
      </c>
      <c r="G304" t="n">
        <v>10</v>
      </c>
      <c r="H304" t="n">
        <v>4</v>
      </c>
      <c r="I304" t="n">
        <v>2</v>
      </c>
      <c r="J304" t="n">
        <v>4</v>
      </c>
      <c r="K304" t="n">
        <v>0</v>
      </c>
      <c r="L304" t="n">
        <v>0</v>
      </c>
      <c r="M304" t="n">
        <v>0</v>
      </c>
      <c r="N304" t="n">
        <v>0</v>
      </c>
      <c r="O304" t="n">
        <v>4</v>
      </c>
      <c r="P304" t="n">
        <v>0</v>
      </c>
      <c r="Q304" t="n">
        <v>7</v>
      </c>
      <c r="R304" s="2" t="inlineStr">
        <is>
          <t>Desmeknopp
Mindre hackspett
Rödprick
Talltita
Tvåblad
Ögonpyrola
Fläcknycklar</t>
        </is>
      </c>
      <c r="S304">
        <f>HYPERLINK("https://klasma.github.io/Logging_2281/artfynd/A 51286-2024 artfynd.xlsx", "A 51286-2024")</f>
        <v/>
      </c>
      <c r="T304">
        <f>HYPERLINK("https://klasma.github.io/Logging_2281/kartor/A 51286-2024 karta.png", "A 51286-2024")</f>
        <v/>
      </c>
      <c r="V304">
        <f>HYPERLINK("https://klasma.github.io/Logging_2281/klagomål/A 51286-2024 FSC-klagomål.docx", "A 51286-2024")</f>
        <v/>
      </c>
      <c r="W304">
        <f>HYPERLINK("https://klasma.github.io/Logging_2281/klagomålsmail/A 51286-2024 FSC-klagomål mail.docx", "A 51286-2024")</f>
        <v/>
      </c>
      <c r="X304">
        <f>HYPERLINK("https://klasma.github.io/Logging_2281/tillsyn/A 51286-2024 tillsynsbegäran.docx", "A 51286-2024")</f>
        <v/>
      </c>
      <c r="Y304">
        <f>HYPERLINK("https://klasma.github.io/Logging_2281/tillsynsmail/A 51286-2024 tillsynsbegäran mail.docx", "A 51286-2024")</f>
        <v/>
      </c>
      <c r="Z304">
        <f>HYPERLINK("https://klasma.github.io/Logging_2281/fåglar/A 51286-2024 prioriterade fågelarter.docx", "A 51286-2024")</f>
        <v/>
      </c>
    </row>
    <row r="305" ht="15" customHeight="1">
      <c r="A305" t="inlineStr">
        <is>
          <t>A 26654-2024</t>
        </is>
      </c>
      <c r="B305" s="1" t="n">
        <v>45469</v>
      </c>
      <c r="C305" s="1" t="n">
        <v>46185</v>
      </c>
      <c r="D305" t="inlineStr">
        <is>
          <t>VÄSTERNORRLANDS LÄN</t>
        </is>
      </c>
      <c r="E305" t="inlineStr">
        <is>
          <t>SOLLEFTEÅ</t>
        </is>
      </c>
      <c r="F305" t="inlineStr">
        <is>
          <t>SCA</t>
        </is>
      </c>
      <c r="G305" t="n">
        <v>7</v>
      </c>
      <c r="H305" t="n">
        <v>1</v>
      </c>
      <c r="I305" t="n">
        <v>2</v>
      </c>
      <c r="J305" t="n">
        <v>3</v>
      </c>
      <c r="K305" t="n">
        <v>2</v>
      </c>
      <c r="L305" t="n">
        <v>0</v>
      </c>
      <c r="M305" t="n">
        <v>0</v>
      </c>
      <c r="N305" t="n">
        <v>0</v>
      </c>
      <c r="O305" t="n">
        <v>5</v>
      </c>
      <c r="P305" t="n">
        <v>2</v>
      </c>
      <c r="Q305" t="n">
        <v>7</v>
      </c>
      <c r="R305" s="2" t="inlineStr">
        <is>
          <t>Knärot
Ulltickeporing
Garnlav
Harticka
Ullticka
Bårdlav
Skinnlav</t>
        </is>
      </c>
      <c r="S305">
        <f>HYPERLINK("https://klasma.github.io/Logging_2283/artfynd/A 26654-2024 artfynd.xlsx", "A 26654-2024")</f>
        <v/>
      </c>
      <c r="T305">
        <f>HYPERLINK("https://klasma.github.io/Logging_2283/kartor/A 26654-2024 karta.png", "A 26654-2024")</f>
        <v/>
      </c>
      <c r="U305">
        <f>HYPERLINK("https://klasma.github.io/Logging_2283/knärot/A 26654-2024 karta knärot.png", "A 26654-2024")</f>
        <v/>
      </c>
      <c r="V305">
        <f>HYPERLINK("https://klasma.github.io/Logging_2283/klagomål/A 26654-2024 FSC-klagomål.docx", "A 26654-2024")</f>
        <v/>
      </c>
      <c r="W305">
        <f>HYPERLINK("https://klasma.github.io/Logging_2283/klagomålsmail/A 26654-2024 FSC-klagomål mail.docx", "A 26654-2024")</f>
        <v/>
      </c>
      <c r="X305">
        <f>HYPERLINK("https://klasma.github.io/Logging_2283/tillsyn/A 26654-2024 tillsynsbegäran.docx", "A 26654-2024")</f>
        <v/>
      </c>
      <c r="Y305">
        <f>HYPERLINK("https://klasma.github.io/Logging_2283/tillsynsmail/A 26654-2024 tillsynsbegäran mail.docx", "A 26654-2024")</f>
        <v/>
      </c>
    </row>
    <row r="306" ht="15" customHeight="1">
      <c r="A306" t="inlineStr">
        <is>
          <t>A 13059-2022</t>
        </is>
      </c>
      <c r="B306" s="1" t="n">
        <v>44643</v>
      </c>
      <c r="C306" s="1" t="n">
        <v>46185</v>
      </c>
      <c r="D306" t="inlineStr">
        <is>
          <t>VÄSTERNORRLANDS LÄN</t>
        </is>
      </c>
      <c r="E306" t="inlineStr">
        <is>
          <t>SOLLEFTEÅ</t>
        </is>
      </c>
      <c r="G306" t="n">
        <v>9.9</v>
      </c>
      <c r="H306" t="n">
        <v>1</v>
      </c>
      <c r="I306" t="n">
        <v>1</v>
      </c>
      <c r="J306" t="n">
        <v>5</v>
      </c>
      <c r="K306" t="n">
        <v>1</v>
      </c>
      <c r="L306" t="n">
        <v>0</v>
      </c>
      <c r="M306" t="n">
        <v>0</v>
      </c>
      <c r="N306" t="n">
        <v>0</v>
      </c>
      <c r="O306" t="n">
        <v>6</v>
      </c>
      <c r="P306" t="n">
        <v>1</v>
      </c>
      <c r="Q306" t="n">
        <v>7</v>
      </c>
      <c r="R306" s="2" t="inlineStr">
        <is>
          <t>Knärot
Garnlav
Kötticka
Lunglav
Rosenticka
Ullticka
Stor aspticka</t>
        </is>
      </c>
      <c r="S306">
        <f>HYPERLINK("https://klasma.github.io/Logging_2283/artfynd/A 13059-2022 artfynd.xlsx", "A 13059-2022")</f>
        <v/>
      </c>
      <c r="T306">
        <f>HYPERLINK("https://klasma.github.io/Logging_2283/kartor/A 13059-2022 karta.png", "A 13059-2022")</f>
        <v/>
      </c>
      <c r="U306">
        <f>HYPERLINK("https://klasma.github.io/Logging_2283/knärot/A 13059-2022 karta knärot.png", "A 13059-2022")</f>
        <v/>
      </c>
      <c r="V306">
        <f>HYPERLINK("https://klasma.github.io/Logging_2283/klagomål/A 13059-2022 FSC-klagomål.docx", "A 13059-2022")</f>
        <v/>
      </c>
      <c r="W306">
        <f>HYPERLINK("https://klasma.github.io/Logging_2283/klagomålsmail/A 13059-2022 FSC-klagomål mail.docx", "A 13059-2022")</f>
        <v/>
      </c>
      <c r="X306">
        <f>HYPERLINK("https://klasma.github.io/Logging_2283/tillsyn/A 13059-2022 tillsynsbegäran.docx", "A 13059-2022")</f>
        <v/>
      </c>
      <c r="Y306">
        <f>HYPERLINK("https://klasma.github.io/Logging_2283/tillsynsmail/A 13059-2022 tillsynsbegäran mail.docx", "A 13059-2022")</f>
        <v/>
      </c>
    </row>
    <row r="307" ht="15" customHeight="1">
      <c r="A307" t="inlineStr">
        <is>
          <t>A 55334-2025</t>
        </is>
      </c>
      <c r="B307" s="1" t="n">
        <v>45971.34430555555</v>
      </c>
      <c r="C307" s="1" t="n">
        <v>46185</v>
      </c>
      <c r="D307" t="inlineStr">
        <is>
          <t>VÄSTERNORRLANDS LÄN</t>
        </is>
      </c>
      <c r="E307" t="inlineStr">
        <is>
          <t>SOLLEFTEÅ</t>
        </is>
      </c>
      <c r="F307" t="inlineStr">
        <is>
          <t>SCA</t>
        </is>
      </c>
      <c r="G307" t="n">
        <v>3.7</v>
      </c>
      <c r="H307" t="n">
        <v>4</v>
      </c>
      <c r="I307" t="n">
        <v>1</v>
      </c>
      <c r="J307" t="n">
        <v>4</v>
      </c>
      <c r="K307" t="n">
        <v>0</v>
      </c>
      <c r="L307" t="n">
        <v>0</v>
      </c>
      <c r="M307" t="n">
        <v>0</v>
      </c>
      <c r="N307" t="n">
        <v>0</v>
      </c>
      <c r="O307" t="n">
        <v>4</v>
      </c>
      <c r="P307" t="n">
        <v>0</v>
      </c>
      <c r="Q307" t="n">
        <v>7</v>
      </c>
      <c r="R307" s="2" t="inlineStr">
        <is>
          <t>Gammelgransskål
Granticka
Tretåig hackspett
Ullticka
Korallrot
Vanlig padda
Fläcknycklar</t>
        </is>
      </c>
      <c r="S307">
        <f>HYPERLINK("https://klasma.github.io/Logging_2283/artfynd/A 55334-2025 artfynd.xlsx", "A 55334-2025")</f>
        <v/>
      </c>
      <c r="T307">
        <f>HYPERLINK("https://klasma.github.io/Logging_2283/kartor/A 55334-2025 karta.png", "A 55334-2025")</f>
        <v/>
      </c>
      <c r="V307">
        <f>HYPERLINK("https://klasma.github.io/Logging_2283/klagomål/A 55334-2025 FSC-klagomål.docx", "A 55334-2025")</f>
        <v/>
      </c>
      <c r="W307">
        <f>HYPERLINK("https://klasma.github.io/Logging_2283/klagomålsmail/A 55334-2025 FSC-klagomål mail.docx", "A 55334-2025")</f>
        <v/>
      </c>
      <c r="X307">
        <f>HYPERLINK("https://klasma.github.io/Logging_2283/tillsyn/A 55334-2025 tillsynsbegäran.docx", "A 55334-2025")</f>
        <v/>
      </c>
      <c r="Y307">
        <f>HYPERLINK("https://klasma.github.io/Logging_2283/tillsynsmail/A 55334-2025 tillsynsbegäran mail.docx", "A 55334-2025")</f>
        <v/>
      </c>
      <c r="Z307">
        <f>HYPERLINK("https://klasma.github.io/Logging_2283/fåglar/A 55334-2025 prioriterade fågelarter.docx", "A 55334-2025")</f>
        <v/>
      </c>
    </row>
    <row r="308" ht="15" customHeight="1">
      <c r="A308" t="inlineStr">
        <is>
          <t>A 58293-2025</t>
        </is>
      </c>
      <c r="B308" s="1" t="n">
        <v>45985.44979166667</v>
      </c>
      <c r="C308" s="1" t="n">
        <v>46185</v>
      </c>
      <c r="D308" t="inlineStr">
        <is>
          <t>VÄSTERNORRLANDS LÄN</t>
        </is>
      </c>
      <c r="E308" t="inlineStr">
        <is>
          <t>ÖRNSKÖLDSVIK</t>
        </is>
      </c>
      <c r="F308" t="inlineStr">
        <is>
          <t>Holmen skog AB</t>
        </is>
      </c>
      <c r="G308" t="n">
        <v>1.3</v>
      </c>
      <c r="H308" t="n">
        <v>0</v>
      </c>
      <c r="I308" t="n">
        <v>2</v>
      </c>
      <c r="J308" t="n">
        <v>4</v>
      </c>
      <c r="K308" t="n">
        <v>1</v>
      </c>
      <c r="L308" t="n">
        <v>0</v>
      </c>
      <c r="M308" t="n">
        <v>0</v>
      </c>
      <c r="N308" t="n">
        <v>0</v>
      </c>
      <c r="O308" t="n">
        <v>5</v>
      </c>
      <c r="P308" t="n">
        <v>1</v>
      </c>
      <c r="Q308" t="n">
        <v>7</v>
      </c>
      <c r="R308" s="2" t="inlineStr">
        <is>
          <t>Goliatmusseron
Motaggsvamp
Orange taggsvamp
Tallriska
Vedskivlav
Dropptaggsvamp
Skarp dropptaggsvamp</t>
        </is>
      </c>
      <c r="S308">
        <f>HYPERLINK("https://klasma.github.io/Logging_2284/artfynd/A 58293-2025 artfynd.xlsx", "A 58293-2025")</f>
        <v/>
      </c>
      <c r="T308">
        <f>HYPERLINK("https://klasma.github.io/Logging_2284/kartor/A 58293-2025 karta.png", "A 58293-2025")</f>
        <v/>
      </c>
      <c r="V308">
        <f>HYPERLINK("https://klasma.github.io/Logging_2284/klagomål/A 58293-2025 FSC-klagomål.docx", "A 58293-2025")</f>
        <v/>
      </c>
      <c r="W308">
        <f>HYPERLINK("https://klasma.github.io/Logging_2284/klagomålsmail/A 58293-2025 FSC-klagomål mail.docx", "A 58293-2025")</f>
        <v/>
      </c>
      <c r="X308">
        <f>HYPERLINK("https://klasma.github.io/Logging_2284/tillsyn/A 58293-2025 tillsynsbegäran.docx", "A 58293-2025")</f>
        <v/>
      </c>
      <c r="Y308">
        <f>HYPERLINK("https://klasma.github.io/Logging_2284/tillsynsmail/A 58293-2025 tillsynsbegäran mail.docx", "A 58293-2025")</f>
        <v/>
      </c>
    </row>
    <row r="309" ht="15" customHeight="1">
      <c r="A309" t="inlineStr">
        <is>
          <t>A 59005-2025</t>
        </is>
      </c>
      <c r="B309" s="1" t="n">
        <v>45987</v>
      </c>
      <c r="C309" s="1" t="n">
        <v>46185</v>
      </c>
      <c r="D309" t="inlineStr">
        <is>
          <t>VÄSTERNORRLANDS LÄN</t>
        </is>
      </c>
      <c r="E309" t="inlineStr">
        <is>
          <t>ÖRNSKÖLDSVIK</t>
        </is>
      </c>
      <c r="F309" t="inlineStr">
        <is>
          <t>SCA</t>
        </is>
      </c>
      <c r="G309" t="n">
        <v>14.7</v>
      </c>
      <c r="H309" t="n">
        <v>1</v>
      </c>
      <c r="I309" t="n">
        <v>0</v>
      </c>
      <c r="J309" t="n">
        <v>6</v>
      </c>
      <c r="K309" t="n">
        <v>1</v>
      </c>
      <c r="L309" t="n">
        <v>0</v>
      </c>
      <c r="M309" t="n">
        <v>0</v>
      </c>
      <c r="N309" t="n">
        <v>0</v>
      </c>
      <c r="O309" t="n">
        <v>7</v>
      </c>
      <c r="P309" t="n">
        <v>1</v>
      </c>
      <c r="Q309" t="n">
        <v>7</v>
      </c>
      <c r="R309" s="2" t="inlineStr">
        <is>
          <t>Rynkskinn
Duvhök
Gammelgransskål
Garnlav
Lunglav
Rosenticka
Stjärntagging</t>
        </is>
      </c>
      <c r="S309">
        <f>HYPERLINK("https://klasma.github.io/Logging_2284/artfynd/A 59005-2025 artfynd.xlsx", "A 59005-2025")</f>
        <v/>
      </c>
      <c r="T309">
        <f>HYPERLINK("https://klasma.github.io/Logging_2284/kartor/A 59005-2025 karta.png", "A 59005-2025")</f>
        <v/>
      </c>
      <c r="V309">
        <f>HYPERLINK("https://klasma.github.io/Logging_2284/klagomål/A 59005-2025 FSC-klagomål.docx", "A 59005-2025")</f>
        <v/>
      </c>
      <c r="W309">
        <f>HYPERLINK("https://klasma.github.io/Logging_2284/klagomålsmail/A 59005-2025 FSC-klagomål mail.docx", "A 59005-2025")</f>
        <v/>
      </c>
      <c r="X309">
        <f>HYPERLINK("https://klasma.github.io/Logging_2284/tillsyn/A 59005-2025 tillsynsbegäran.docx", "A 59005-2025")</f>
        <v/>
      </c>
      <c r="Y309">
        <f>HYPERLINK("https://klasma.github.io/Logging_2284/tillsynsmail/A 59005-2025 tillsynsbegäran mail.docx", "A 59005-2025")</f>
        <v/>
      </c>
      <c r="Z309">
        <f>HYPERLINK("https://klasma.github.io/Logging_2284/fåglar/A 59005-2025 prioriterade fågelarter.docx", "A 59005-2025")</f>
        <v/>
      </c>
    </row>
    <row r="310" ht="15" customHeight="1">
      <c r="A310" t="inlineStr">
        <is>
          <t>A 13443-2025</t>
        </is>
      </c>
      <c r="B310" s="1" t="n">
        <v>45736</v>
      </c>
      <c r="C310" s="1" t="n">
        <v>46185</v>
      </c>
      <c r="D310" t="inlineStr">
        <is>
          <t>VÄSTERNORRLANDS LÄN</t>
        </is>
      </c>
      <c r="E310" t="inlineStr">
        <is>
          <t>SUNDSVALL</t>
        </is>
      </c>
      <c r="F310" t="inlineStr">
        <is>
          <t>SCA</t>
        </is>
      </c>
      <c r="G310" t="n">
        <v>12.5</v>
      </c>
      <c r="H310" t="n">
        <v>5</v>
      </c>
      <c r="I310" t="n">
        <v>3</v>
      </c>
      <c r="J310" t="n">
        <v>2</v>
      </c>
      <c r="K310" t="n">
        <v>0</v>
      </c>
      <c r="L310" t="n">
        <v>0</v>
      </c>
      <c r="M310" t="n">
        <v>0</v>
      </c>
      <c r="N310" t="n">
        <v>0</v>
      </c>
      <c r="O310" t="n">
        <v>2</v>
      </c>
      <c r="P310" t="n">
        <v>0</v>
      </c>
      <c r="Q310" t="n">
        <v>7</v>
      </c>
      <c r="R310" s="2" t="inlineStr">
        <is>
          <t>Orange taggsvamp
Skogsfru
Kattfotslav
Spindelblomster
Tvåblad
Fläcknycklar
Nattviol</t>
        </is>
      </c>
      <c r="S310">
        <f>HYPERLINK("https://klasma.github.io/Logging_2281/artfynd/A 13443-2025 artfynd.xlsx", "A 13443-2025")</f>
        <v/>
      </c>
      <c r="T310">
        <f>HYPERLINK("https://klasma.github.io/Logging_2281/kartor/A 13443-2025 karta.png", "A 13443-2025")</f>
        <v/>
      </c>
      <c r="U310">
        <f>HYPERLINK("https://klasma.github.io/Logging_2281/knärot/A 13443-2025 karta knärot.png", "A 13443-2025")</f>
        <v/>
      </c>
      <c r="V310">
        <f>HYPERLINK("https://klasma.github.io/Logging_2281/klagomål/A 13443-2025 FSC-klagomål.docx", "A 13443-2025")</f>
        <v/>
      </c>
      <c r="W310">
        <f>HYPERLINK("https://klasma.github.io/Logging_2281/klagomålsmail/A 13443-2025 FSC-klagomål mail.docx", "A 13443-2025")</f>
        <v/>
      </c>
      <c r="X310">
        <f>HYPERLINK("https://klasma.github.io/Logging_2281/tillsyn/A 13443-2025 tillsynsbegäran.docx", "A 13443-2025")</f>
        <v/>
      </c>
      <c r="Y310">
        <f>HYPERLINK("https://klasma.github.io/Logging_2281/tillsynsmail/A 13443-2025 tillsynsbegäran mail.docx", "A 13443-2025")</f>
        <v/>
      </c>
    </row>
    <row r="311" ht="15" customHeight="1">
      <c r="A311" t="inlineStr">
        <is>
          <t>A 4878-2025</t>
        </is>
      </c>
      <c r="B311" s="1" t="n">
        <v>45688</v>
      </c>
      <c r="C311" s="1" t="n">
        <v>46185</v>
      </c>
      <c r="D311" t="inlineStr">
        <is>
          <t>VÄSTERNORRLANDS LÄN</t>
        </is>
      </c>
      <c r="E311" t="inlineStr">
        <is>
          <t>SUNDSVALL</t>
        </is>
      </c>
      <c r="F311" t="inlineStr">
        <is>
          <t>SCA</t>
        </is>
      </c>
      <c r="G311" t="n">
        <v>4.2</v>
      </c>
      <c r="H311" t="n">
        <v>3</v>
      </c>
      <c r="I311" t="n">
        <v>2</v>
      </c>
      <c r="J311" t="n">
        <v>4</v>
      </c>
      <c r="K311" t="n">
        <v>1</v>
      </c>
      <c r="L311" t="n">
        <v>0</v>
      </c>
      <c r="M311" t="n">
        <v>0</v>
      </c>
      <c r="N311" t="n">
        <v>0</v>
      </c>
      <c r="O311" t="n">
        <v>5</v>
      </c>
      <c r="P311" t="n">
        <v>1</v>
      </c>
      <c r="Q311" t="n">
        <v>7</v>
      </c>
      <c r="R311" s="2" t="inlineStr">
        <is>
          <t>Knärot
Doftskinn
Talltita
Tretåig hackspett
Ullticka
Mörk husmossa
Vedticka</t>
        </is>
      </c>
      <c r="S311">
        <f>HYPERLINK("https://klasma.github.io/Logging_2281/artfynd/A 4878-2025 artfynd.xlsx", "A 4878-2025")</f>
        <v/>
      </c>
      <c r="T311">
        <f>HYPERLINK("https://klasma.github.io/Logging_2281/kartor/A 4878-2025 karta.png", "A 4878-2025")</f>
        <v/>
      </c>
      <c r="U311">
        <f>HYPERLINK("https://klasma.github.io/Logging_2281/knärot/A 4878-2025 karta knärot.png", "A 4878-2025")</f>
        <v/>
      </c>
      <c r="V311">
        <f>HYPERLINK("https://klasma.github.io/Logging_2281/klagomål/A 4878-2025 FSC-klagomål.docx", "A 4878-2025")</f>
        <v/>
      </c>
      <c r="W311">
        <f>HYPERLINK("https://klasma.github.io/Logging_2281/klagomålsmail/A 4878-2025 FSC-klagomål mail.docx", "A 4878-2025")</f>
        <v/>
      </c>
      <c r="X311">
        <f>HYPERLINK("https://klasma.github.io/Logging_2281/tillsyn/A 4878-2025 tillsynsbegäran.docx", "A 4878-2025")</f>
        <v/>
      </c>
      <c r="Y311">
        <f>HYPERLINK("https://klasma.github.io/Logging_2281/tillsynsmail/A 4878-2025 tillsynsbegäran mail.docx", "A 4878-2025")</f>
        <v/>
      </c>
      <c r="Z311">
        <f>HYPERLINK("https://klasma.github.io/Logging_2281/fåglar/A 4878-2025 prioriterade fågelarter.docx", "A 4878-2025")</f>
        <v/>
      </c>
    </row>
    <row r="312" ht="15" customHeight="1">
      <c r="A312" t="inlineStr">
        <is>
          <t>A 60240-2025</t>
        </is>
      </c>
      <c r="B312" s="1" t="n">
        <v>45994.57857638889</v>
      </c>
      <c r="C312" s="1" t="n">
        <v>46185</v>
      </c>
      <c r="D312" t="inlineStr">
        <is>
          <t>VÄSTERNORRLANDS LÄN</t>
        </is>
      </c>
      <c r="E312" t="inlineStr">
        <is>
          <t>ÅNGE</t>
        </is>
      </c>
      <c r="F312" t="inlineStr">
        <is>
          <t>Sveaskog</t>
        </is>
      </c>
      <c r="G312" t="n">
        <v>5.5</v>
      </c>
      <c r="H312" t="n">
        <v>3</v>
      </c>
      <c r="I312" t="n">
        <v>1</v>
      </c>
      <c r="J312" t="n">
        <v>4</v>
      </c>
      <c r="K312" t="n">
        <v>1</v>
      </c>
      <c r="L312" t="n">
        <v>0</v>
      </c>
      <c r="M312" t="n">
        <v>0</v>
      </c>
      <c r="N312" t="n">
        <v>0</v>
      </c>
      <c r="O312" t="n">
        <v>5</v>
      </c>
      <c r="P312" t="n">
        <v>1</v>
      </c>
      <c r="Q312" t="n">
        <v>7</v>
      </c>
      <c r="R312" s="2" t="inlineStr">
        <is>
          <t>Knärot
Garnlav
Lunglav
Skrovellav
Tallticka
Plattlummer
Fläcknycklar</t>
        </is>
      </c>
      <c r="S312">
        <f>HYPERLINK("https://klasma.github.io/Logging_2260/artfynd/A 60240-2025 artfynd.xlsx", "A 60240-2025")</f>
        <v/>
      </c>
      <c r="T312">
        <f>HYPERLINK("https://klasma.github.io/Logging_2260/kartor/A 60240-2025 karta.png", "A 60240-2025")</f>
        <v/>
      </c>
      <c r="U312">
        <f>HYPERLINK("https://klasma.github.io/Logging_2260/knärot/A 60240-2025 karta knärot.png", "A 60240-2025")</f>
        <v/>
      </c>
      <c r="V312">
        <f>HYPERLINK("https://klasma.github.io/Logging_2260/klagomål/A 60240-2025 FSC-klagomål.docx", "A 60240-2025")</f>
        <v/>
      </c>
      <c r="W312">
        <f>HYPERLINK("https://klasma.github.io/Logging_2260/klagomålsmail/A 60240-2025 FSC-klagomål mail.docx", "A 60240-2025")</f>
        <v/>
      </c>
      <c r="X312">
        <f>HYPERLINK("https://klasma.github.io/Logging_2260/tillsyn/A 60240-2025 tillsynsbegäran.docx", "A 60240-2025")</f>
        <v/>
      </c>
      <c r="Y312">
        <f>HYPERLINK("https://klasma.github.io/Logging_2260/tillsynsmail/A 60240-2025 tillsynsbegäran mail.docx", "A 60240-2025")</f>
        <v/>
      </c>
    </row>
    <row r="313" ht="15" customHeight="1">
      <c r="A313" t="inlineStr">
        <is>
          <t>A 48084-2023</t>
        </is>
      </c>
      <c r="B313" s="1" t="n">
        <v>45204</v>
      </c>
      <c r="C313" s="1" t="n">
        <v>46185</v>
      </c>
      <c r="D313" t="inlineStr">
        <is>
          <t>VÄSTERNORRLANDS LÄN</t>
        </is>
      </c>
      <c r="E313" t="inlineStr">
        <is>
          <t>TIMRÅ</t>
        </is>
      </c>
      <c r="F313" t="inlineStr">
        <is>
          <t>SCA</t>
        </is>
      </c>
      <c r="G313" t="n">
        <v>2.3</v>
      </c>
      <c r="H313" t="n">
        <v>2</v>
      </c>
      <c r="I313" t="n">
        <v>2</v>
      </c>
      <c r="J313" t="n">
        <v>2</v>
      </c>
      <c r="K313" t="n">
        <v>2</v>
      </c>
      <c r="L313" t="n">
        <v>0</v>
      </c>
      <c r="M313" t="n">
        <v>0</v>
      </c>
      <c r="N313" t="n">
        <v>0</v>
      </c>
      <c r="O313" t="n">
        <v>4</v>
      </c>
      <c r="P313" t="n">
        <v>2</v>
      </c>
      <c r="Q313" t="n">
        <v>7</v>
      </c>
      <c r="R313" s="2" t="inlineStr">
        <is>
          <t>Knärot
Rynkskinn
Orange taggsvamp
Ullticka
Strutbräken
Stuplav
Revlummer</t>
        </is>
      </c>
      <c r="S313">
        <f>HYPERLINK("https://klasma.github.io/Logging_2262/artfynd/A 48084-2023 artfynd.xlsx", "A 48084-2023")</f>
        <v/>
      </c>
      <c r="T313">
        <f>HYPERLINK("https://klasma.github.io/Logging_2262/kartor/A 48084-2023 karta.png", "A 48084-2023")</f>
        <v/>
      </c>
      <c r="U313">
        <f>HYPERLINK("https://klasma.github.io/Logging_2262/knärot/A 48084-2023 karta knärot.png", "A 48084-2023")</f>
        <v/>
      </c>
      <c r="V313">
        <f>HYPERLINK("https://klasma.github.io/Logging_2262/klagomål/A 48084-2023 FSC-klagomål.docx", "A 48084-2023")</f>
        <v/>
      </c>
      <c r="W313">
        <f>HYPERLINK("https://klasma.github.io/Logging_2262/klagomålsmail/A 48084-2023 FSC-klagomål mail.docx", "A 48084-2023")</f>
        <v/>
      </c>
      <c r="X313">
        <f>HYPERLINK("https://klasma.github.io/Logging_2262/tillsyn/A 48084-2023 tillsynsbegäran.docx", "A 48084-2023")</f>
        <v/>
      </c>
      <c r="Y313">
        <f>HYPERLINK("https://klasma.github.io/Logging_2262/tillsynsmail/A 48084-2023 tillsynsbegäran mail.docx", "A 48084-2023")</f>
        <v/>
      </c>
    </row>
    <row r="314" ht="15" customHeight="1">
      <c r="A314" t="inlineStr">
        <is>
          <t>A 62992-2023</t>
        </is>
      </c>
      <c r="B314" s="1" t="n">
        <v>45272</v>
      </c>
      <c r="C314" s="1" t="n">
        <v>46185</v>
      </c>
      <c r="D314" t="inlineStr">
        <is>
          <t>VÄSTERNORRLANDS LÄN</t>
        </is>
      </c>
      <c r="E314" t="inlineStr">
        <is>
          <t>SOLLEFTEÅ</t>
        </is>
      </c>
      <c r="F314" t="inlineStr">
        <is>
          <t>Övriga Aktiebolag</t>
        </is>
      </c>
      <c r="G314" t="n">
        <v>16.7</v>
      </c>
      <c r="H314" t="n">
        <v>2</v>
      </c>
      <c r="I314" t="n">
        <v>2</v>
      </c>
      <c r="J314" t="n">
        <v>5</v>
      </c>
      <c r="K314" t="n">
        <v>0</v>
      </c>
      <c r="L314" t="n">
        <v>0</v>
      </c>
      <c r="M314" t="n">
        <v>0</v>
      </c>
      <c r="N314" t="n">
        <v>0</v>
      </c>
      <c r="O314" t="n">
        <v>5</v>
      </c>
      <c r="P314" t="n">
        <v>0</v>
      </c>
      <c r="Q314" t="n">
        <v>7</v>
      </c>
      <c r="R314" s="2" t="inlineStr">
        <is>
          <t>Gammelgransskål
Garnlav
Harticka
Rosenticka
Tretåig hackspett
Mörk husmossa
Spindelblomster</t>
        </is>
      </c>
      <c r="S314">
        <f>HYPERLINK("https://klasma.github.io/Logging_2283/artfynd/A 62992-2023 artfynd.xlsx", "A 62992-2023")</f>
        <v/>
      </c>
      <c r="T314">
        <f>HYPERLINK("https://klasma.github.io/Logging_2283/kartor/A 62992-2023 karta.png", "A 62992-2023")</f>
        <v/>
      </c>
      <c r="V314">
        <f>HYPERLINK("https://klasma.github.io/Logging_2283/klagomål/A 62992-2023 FSC-klagomål.docx", "A 62992-2023")</f>
        <v/>
      </c>
      <c r="W314">
        <f>HYPERLINK("https://klasma.github.io/Logging_2283/klagomålsmail/A 62992-2023 FSC-klagomål mail.docx", "A 62992-2023")</f>
        <v/>
      </c>
      <c r="X314">
        <f>HYPERLINK("https://klasma.github.io/Logging_2283/tillsyn/A 62992-2023 tillsynsbegäran.docx", "A 62992-2023")</f>
        <v/>
      </c>
      <c r="Y314">
        <f>HYPERLINK("https://klasma.github.io/Logging_2283/tillsynsmail/A 62992-2023 tillsynsbegäran mail.docx", "A 62992-2023")</f>
        <v/>
      </c>
      <c r="Z314">
        <f>HYPERLINK("https://klasma.github.io/Logging_2283/fåglar/A 62992-2023 prioriterade fågelarter.docx", "A 62992-2023")</f>
        <v/>
      </c>
    </row>
    <row r="315" ht="15" customHeight="1">
      <c r="A315" t="inlineStr">
        <is>
          <t>A 38443-2025</t>
        </is>
      </c>
      <c r="B315" s="1" t="n">
        <v>45883</v>
      </c>
      <c r="C315" s="1" t="n">
        <v>46185</v>
      </c>
      <c r="D315" t="inlineStr">
        <is>
          <t>VÄSTERNORRLANDS LÄN</t>
        </is>
      </c>
      <c r="E315" t="inlineStr">
        <is>
          <t>SUNDSVALL</t>
        </is>
      </c>
      <c r="G315" t="n">
        <v>9.300000000000001</v>
      </c>
      <c r="H315" t="n">
        <v>4</v>
      </c>
      <c r="I315" t="n">
        <v>2</v>
      </c>
      <c r="J315" t="n">
        <v>3</v>
      </c>
      <c r="K315" t="n">
        <v>1</v>
      </c>
      <c r="L315" t="n">
        <v>0</v>
      </c>
      <c r="M315" t="n">
        <v>0</v>
      </c>
      <c r="N315" t="n">
        <v>0</v>
      </c>
      <c r="O315" t="n">
        <v>4</v>
      </c>
      <c r="P315" t="n">
        <v>1</v>
      </c>
      <c r="Q315" t="n">
        <v>7</v>
      </c>
      <c r="R315" s="2" t="inlineStr">
        <is>
          <t>Knärot
Garnlav
Spillkråka
Tretåig hackspett
Bårdlav
Vedticka
Revlummer</t>
        </is>
      </c>
      <c r="S315">
        <f>HYPERLINK("https://klasma.github.io/Logging_2281/artfynd/A 38443-2025 artfynd.xlsx", "A 38443-2025")</f>
        <v/>
      </c>
      <c r="T315">
        <f>HYPERLINK("https://klasma.github.io/Logging_2281/kartor/A 38443-2025 karta.png", "A 38443-2025")</f>
        <v/>
      </c>
      <c r="U315">
        <f>HYPERLINK("https://klasma.github.io/Logging_2281/knärot/A 38443-2025 karta knärot.png", "A 38443-2025")</f>
        <v/>
      </c>
      <c r="V315">
        <f>HYPERLINK("https://klasma.github.io/Logging_2281/klagomål/A 38443-2025 FSC-klagomål.docx", "A 38443-2025")</f>
        <v/>
      </c>
      <c r="W315">
        <f>HYPERLINK("https://klasma.github.io/Logging_2281/klagomålsmail/A 38443-2025 FSC-klagomål mail.docx", "A 38443-2025")</f>
        <v/>
      </c>
      <c r="X315">
        <f>HYPERLINK("https://klasma.github.io/Logging_2281/tillsyn/A 38443-2025 tillsynsbegäran.docx", "A 38443-2025")</f>
        <v/>
      </c>
      <c r="Y315">
        <f>HYPERLINK("https://klasma.github.io/Logging_2281/tillsynsmail/A 38443-2025 tillsynsbegäran mail.docx", "A 38443-2025")</f>
        <v/>
      </c>
      <c r="Z315">
        <f>HYPERLINK("https://klasma.github.io/Logging_2281/fåglar/A 38443-2025 prioriterade fågelarter.docx", "A 38443-2025")</f>
        <v/>
      </c>
    </row>
    <row r="316" ht="15" customHeight="1">
      <c r="A316" t="inlineStr">
        <is>
          <t>A 15384-2026</t>
        </is>
      </c>
      <c r="B316" s="1" t="n">
        <v>46106</v>
      </c>
      <c r="C316" s="1" t="n">
        <v>46185</v>
      </c>
      <c r="D316" t="inlineStr">
        <is>
          <t>VÄSTERNORRLANDS LÄN</t>
        </is>
      </c>
      <c r="E316" t="inlineStr">
        <is>
          <t>SOLLEFTEÅ</t>
        </is>
      </c>
      <c r="F316" t="inlineStr">
        <is>
          <t>SCA</t>
        </is>
      </c>
      <c r="G316" t="n">
        <v>2.2</v>
      </c>
      <c r="H316" t="n">
        <v>3</v>
      </c>
      <c r="I316" t="n">
        <v>1</v>
      </c>
      <c r="J316" t="n">
        <v>5</v>
      </c>
      <c r="K316" t="n">
        <v>1</v>
      </c>
      <c r="L316" t="n">
        <v>0</v>
      </c>
      <c r="M316" t="n">
        <v>0</v>
      </c>
      <c r="N316" t="n">
        <v>0</v>
      </c>
      <c r="O316" t="n">
        <v>6</v>
      </c>
      <c r="P316" t="n">
        <v>1</v>
      </c>
      <c r="Q316" t="n">
        <v>7</v>
      </c>
      <c r="R316" s="2" t="inlineStr">
        <is>
          <t>Knärot
Garnlav
Lunglav
Spillkråka
Tretåig hackspett
Ullticka
Trådticka</t>
        </is>
      </c>
      <c r="S316">
        <f>HYPERLINK("https://klasma.github.io/Logging_2283/artfynd/A 15384-2026 artfynd.xlsx", "A 15384-2026")</f>
        <v/>
      </c>
      <c r="T316">
        <f>HYPERLINK("https://klasma.github.io/Logging_2283/kartor/A 15384-2026 karta.png", "A 15384-2026")</f>
        <v/>
      </c>
      <c r="U316">
        <f>HYPERLINK("https://klasma.github.io/Logging_2283/knärot/A 15384-2026 karta knärot.png", "A 15384-2026")</f>
        <v/>
      </c>
      <c r="V316">
        <f>HYPERLINK("https://klasma.github.io/Logging_2283/klagomål/A 15384-2026 FSC-klagomål.docx", "A 15384-2026")</f>
        <v/>
      </c>
      <c r="W316">
        <f>HYPERLINK("https://klasma.github.io/Logging_2283/klagomålsmail/A 15384-2026 FSC-klagomål mail.docx", "A 15384-2026")</f>
        <v/>
      </c>
      <c r="X316">
        <f>HYPERLINK("https://klasma.github.io/Logging_2283/tillsyn/A 15384-2026 tillsynsbegäran.docx", "A 15384-2026")</f>
        <v/>
      </c>
      <c r="Y316">
        <f>HYPERLINK("https://klasma.github.io/Logging_2283/tillsynsmail/A 15384-2026 tillsynsbegäran mail.docx", "A 15384-2026")</f>
        <v/>
      </c>
      <c r="Z316">
        <f>HYPERLINK("https://klasma.github.io/Logging_2283/fåglar/A 15384-2026 prioriterade fågelarter.docx", "A 15384-2026")</f>
        <v/>
      </c>
    </row>
    <row r="317" ht="15" customHeight="1">
      <c r="A317" t="inlineStr">
        <is>
          <t>A 37814-2023</t>
        </is>
      </c>
      <c r="B317" s="1" t="n">
        <v>45159</v>
      </c>
      <c r="C317" s="1" t="n">
        <v>46185</v>
      </c>
      <c r="D317" t="inlineStr">
        <is>
          <t>VÄSTERNORRLANDS LÄN</t>
        </is>
      </c>
      <c r="E317" t="inlineStr">
        <is>
          <t>SUNDSVALL</t>
        </is>
      </c>
      <c r="F317" t="inlineStr">
        <is>
          <t>SCA</t>
        </is>
      </c>
      <c r="G317" t="n">
        <v>1.8</v>
      </c>
      <c r="H317" t="n">
        <v>6</v>
      </c>
      <c r="I317" t="n">
        <v>0</v>
      </c>
      <c r="J317" t="n">
        <v>4</v>
      </c>
      <c r="K317" t="n">
        <v>0</v>
      </c>
      <c r="L317" t="n">
        <v>0</v>
      </c>
      <c r="M317" t="n">
        <v>0</v>
      </c>
      <c r="N317" t="n">
        <v>0</v>
      </c>
      <c r="O317" t="n">
        <v>4</v>
      </c>
      <c r="P317" t="n">
        <v>0</v>
      </c>
      <c r="Q317" t="n">
        <v>7</v>
      </c>
      <c r="R317" s="2" t="inlineStr">
        <is>
          <t>Garnlav
Spillkråka
Talltita
Tretåig hackspett
Kungsfågel
Tjäder
Revlummer</t>
        </is>
      </c>
      <c r="S317">
        <f>HYPERLINK("https://klasma.github.io/Logging_2281/artfynd/A 37814-2023 artfynd.xlsx", "A 37814-2023")</f>
        <v/>
      </c>
      <c r="T317">
        <f>HYPERLINK("https://klasma.github.io/Logging_2281/kartor/A 37814-2023 karta.png", "A 37814-2023")</f>
        <v/>
      </c>
      <c r="V317">
        <f>HYPERLINK("https://klasma.github.io/Logging_2281/klagomål/A 37814-2023 FSC-klagomål.docx", "A 37814-2023")</f>
        <v/>
      </c>
      <c r="W317">
        <f>HYPERLINK("https://klasma.github.io/Logging_2281/klagomålsmail/A 37814-2023 FSC-klagomål mail.docx", "A 37814-2023")</f>
        <v/>
      </c>
      <c r="X317">
        <f>HYPERLINK("https://klasma.github.io/Logging_2281/tillsyn/A 37814-2023 tillsynsbegäran.docx", "A 37814-2023")</f>
        <v/>
      </c>
      <c r="Y317">
        <f>HYPERLINK("https://klasma.github.io/Logging_2281/tillsynsmail/A 37814-2023 tillsynsbegäran mail.docx", "A 37814-2023")</f>
        <v/>
      </c>
      <c r="Z317">
        <f>HYPERLINK("https://klasma.github.io/Logging_2281/fåglar/A 37814-2023 prioriterade fågelarter.docx", "A 37814-2023")</f>
        <v/>
      </c>
    </row>
    <row r="318" ht="15" customHeight="1">
      <c r="A318" t="inlineStr">
        <is>
          <t>A 57858-2022</t>
        </is>
      </c>
      <c r="B318" s="1" t="n">
        <v>44898</v>
      </c>
      <c r="C318" s="1" t="n">
        <v>46185</v>
      </c>
      <c r="D318" t="inlineStr">
        <is>
          <t>VÄSTERNORRLANDS LÄN</t>
        </is>
      </c>
      <c r="E318" t="inlineStr">
        <is>
          <t>ÖRNSKÖLDSVIK</t>
        </is>
      </c>
      <c r="F318" t="inlineStr">
        <is>
          <t>SCA</t>
        </is>
      </c>
      <c r="G318" t="n">
        <v>4.8</v>
      </c>
      <c r="H318" t="n">
        <v>4</v>
      </c>
      <c r="I318" t="n">
        <v>1</v>
      </c>
      <c r="J318" t="n">
        <v>4</v>
      </c>
      <c r="K318" t="n">
        <v>1</v>
      </c>
      <c r="L318" t="n">
        <v>0</v>
      </c>
      <c r="M318" t="n">
        <v>0</v>
      </c>
      <c r="N318" t="n">
        <v>0</v>
      </c>
      <c r="O318" t="n">
        <v>5</v>
      </c>
      <c r="P318" t="n">
        <v>1</v>
      </c>
      <c r="Q318" t="n">
        <v>7</v>
      </c>
      <c r="R318" s="2" t="inlineStr">
        <is>
          <t>Knärot
Garnlav
Kolflarnlav
Lunglav
Tretåig hackspett
Plattlummer
Lavskrika</t>
        </is>
      </c>
      <c r="S318">
        <f>HYPERLINK("https://klasma.github.io/Logging_2284/artfynd/A 57858-2022 artfynd.xlsx", "A 57858-2022")</f>
        <v/>
      </c>
      <c r="T318">
        <f>HYPERLINK("https://klasma.github.io/Logging_2284/kartor/A 57858-2022 karta.png", "A 57858-2022")</f>
        <v/>
      </c>
      <c r="U318">
        <f>HYPERLINK("https://klasma.github.io/Logging_2284/knärot/A 57858-2022 karta knärot.png", "A 57858-2022")</f>
        <v/>
      </c>
      <c r="V318">
        <f>HYPERLINK("https://klasma.github.io/Logging_2284/klagomål/A 57858-2022 FSC-klagomål.docx", "A 57858-2022")</f>
        <v/>
      </c>
      <c r="W318">
        <f>HYPERLINK("https://klasma.github.io/Logging_2284/klagomålsmail/A 57858-2022 FSC-klagomål mail.docx", "A 57858-2022")</f>
        <v/>
      </c>
      <c r="X318">
        <f>HYPERLINK("https://klasma.github.io/Logging_2284/tillsyn/A 57858-2022 tillsynsbegäran.docx", "A 57858-2022")</f>
        <v/>
      </c>
      <c r="Y318">
        <f>HYPERLINK("https://klasma.github.io/Logging_2284/tillsynsmail/A 57858-2022 tillsynsbegäran mail.docx", "A 57858-2022")</f>
        <v/>
      </c>
      <c r="Z318">
        <f>HYPERLINK("https://klasma.github.io/Logging_2284/fåglar/A 57858-2022 prioriterade fågelarter.docx", "A 57858-2022")</f>
        <v/>
      </c>
    </row>
    <row r="319" ht="15" customHeight="1">
      <c r="A319" t="inlineStr">
        <is>
          <t>A 50264-2024</t>
        </is>
      </c>
      <c r="B319" s="1" t="n">
        <v>45600.58810185185</v>
      </c>
      <c r="C319" s="1" t="n">
        <v>46185</v>
      </c>
      <c r="D319" t="inlineStr">
        <is>
          <t>VÄSTERNORRLANDS LÄN</t>
        </is>
      </c>
      <c r="E319" t="inlineStr">
        <is>
          <t>ÖRNSKÖLDSVIK</t>
        </is>
      </c>
      <c r="F319" t="inlineStr">
        <is>
          <t>Holmen skog AB</t>
        </is>
      </c>
      <c r="G319" t="n">
        <v>3.6</v>
      </c>
      <c r="H319" t="n">
        <v>1</v>
      </c>
      <c r="I319" t="n">
        <v>3</v>
      </c>
      <c r="J319" t="n">
        <v>3</v>
      </c>
      <c r="K319" t="n">
        <v>1</v>
      </c>
      <c r="L319" t="n">
        <v>0</v>
      </c>
      <c r="M319" t="n">
        <v>0</v>
      </c>
      <c r="N319" t="n">
        <v>0</v>
      </c>
      <c r="O319" t="n">
        <v>4</v>
      </c>
      <c r="P319" t="n">
        <v>1</v>
      </c>
      <c r="Q319" t="n">
        <v>7</v>
      </c>
      <c r="R319" s="2" t="inlineStr">
        <is>
          <t>Knärot
Granticka
Lunglav
Ullticka
Bårdlav
Skinnlav
Stuplav</t>
        </is>
      </c>
      <c r="S319">
        <f>HYPERLINK("https://klasma.github.io/Logging_2284/artfynd/A 50264-2024 artfynd.xlsx", "A 50264-2024")</f>
        <v/>
      </c>
      <c r="T319">
        <f>HYPERLINK("https://klasma.github.io/Logging_2284/kartor/A 50264-2024 karta.png", "A 50264-2024")</f>
        <v/>
      </c>
      <c r="U319">
        <f>HYPERLINK("https://klasma.github.io/Logging_2284/knärot/A 50264-2024 karta knärot.png", "A 50264-2024")</f>
        <v/>
      </c>
      <c r="V319">
        <f>HYPERLINK("https://klasma.github.io/Logging_2284/klagomål/A 50264-2024 FSC-klagomål.docx", "A 50264-2024")</f>
        <v/>
      </c>
      <c r="W319">
        <f>HYPERLINK("https://klasma.github.io/Logging_2284/klagomålsmail/A 50264-2024 FSC-klagomål mail.docx", "A 50264-2024")</f>
        <v/>
      </c>
      <c r="X319">
        <f>HYPERLINK("https://klasma.github.io/Logging_2284/tillsyn/A 50264-2024 tillsynsbegäran.docx", "A 50264-2024")</f>
        <v/>
      </c>
      <c r="Y319">
        <f>HYPERLINK("https://klasma.github.io/Logging_2284/tillsynsmail/A 50264-2024 tillsynsbegäran mail.docx", "A 50264-2024")</f>
        <v/>
      </c>
    </row>
    <row r="320" ht="15" customHeight="1">
      <c r="A320" t="inlineStr">
        <is>
          <t>A 55422-2024</t>
        </is>
      </c>
      <c r="B320" s="1" t="n">
        <v>45622.38619212963</v>
      </c>
      <c r="C320" s="1" t="n">
        <v>46185</v>
      </c>
      <c r="D320" t="inlineStr">
        <is>
          <t>VÄSTERNORRLANDS LÄN</t>
        </is>
      </c>
      <c r="E320" t="inlineStr">
        <is>
          <t>SOLLEFTEÅ</t>
        </is>
      </c>
      <c r="F320" t="inlineStr">
        <is>
          <t>SCA</t>
        </is>
      </c>
      <c r="G320" t="n">
        <v>1.8</v>
      </c>
      <c r="H320" t="n">
        <v>2</v>
      </c>
      <c r="I320" t="n">
        <v>0</v>
      </c>
      <c r="J320" t="n">
        <v>7</v>
      </c>
      <c r="K320" t="n">
        <v>0</v>
      </c>
      <c r="L320" t="n">
        <v>0</v>
      </c>
      <c r="M320" t="n">
        <v>0</v>
      </c>
      <c r="N320" t="n">
        <v>0</v>
      </c>
      <c r="O320" t="n">
        <v>7</v>
      </c>
      <c r="P320" t="n">
        <v>0</v>
      </c>
      <c r="Q320" t="n">
        <v>7</v>
      </c>
      <c r="R320" s="2" t="inlineStr">
        <is>
          <t>Garnlav
Järpe
Lunglav
Rosenticka
Spillkråka
Tallticka
Ullticka</t>
        </is>
      </c>
      <c r="S320">
        <f>HYPERLINK("https://klasma.github.io/Logging_2283/artfynd/A 55422-2024 artfynd.xlsx", "A 55422-2024")</f>
        <v/>
      </c>
      <c r="T320">
        <f>HYPERLINK("https://klasma.github.io/Logging_2283/kartor/A 55422-2024 karta.png", "A 55422-2024")</f>
        <v/>
      </c>
      <c r="V320">
        <f>HYPERLINK("https://klasma.github.io/Logging_2283/klagomål/A 55422-2024 FSC-klagomål.docx", "A 55422-2024")</f>
        <v/>
      </c>
      <c r="W320">
        <f>HYPERLINK("https://klasma.github.io/Logging_2283/klagomålsmail/A 55422-2024 FSC-klagomål mail.docx", "A 55422-2024")</f>
        <v/>
      </c>
      <c r="X320">
        <f>HYPERLINK("https://klasma.github.io/Logging_2283/tillsyn/A 55422-2024 tillsynsbegäran.docx", "A 55422-2024")</f>
        <v/>
      </c>
      <c r="Y320">
        <f>HYPERLINK("https://klasma.github.io/Logging_2283/tillsynsmail/A 55422-2024 tillsynsbegäran mail.docx", "A 55422-2024")</f>
        <v/>
      </c>
      <c r="Z320">
        <f>HYPERLINK("https://klasma.github.io/Logging_2283/fåglar/A 55422-2024 prioriterade fågelarter.docx", "A 55422-2024")</f>
        <v/>
      </c>
    </row>
    <row r="321" ht="15" customHeight="1">
      <c r="A321" t="inlineStr">
        <is>
          <t>A 18695-2025</t>
        </is>
      </c>
      <c r="B321" s="1" t="n">
        <v>45763.615625</v>
      </c>
      <c r="C321" s="1" t="n">
        <v>46185</v>
      </c>
      <c r="D321" t="inlineStr">
        <is>
          <t>VÄSTERNORRLANDS LÄN</t>
        </is>
      </c>
      <c r="E321" t="inlineStr">
        <is>
          <t>HÄRNÖSAND</t>
        </is>
      </c>
      <c r="F321" t="inlineStr">
        <is>
          <t>SCA</t>
        </is>
      </c>
      <c r="G321" t="n">
        <v>2.2</v>
      </c>
      <c r="H321" t="n">
        <v>0</v>
      </c>
      <c r="I321" t="n">
        <v>4</v>
      </c>
      <c r="J321" t="n">
        <v>3</v>
      </c>
      <c r="K321" t="n">
        <v>0</v>
      </c>
      <c r="L321" t="n">
        <v>0</v>
      </c>
      <c r="M321" t="n">
        <v>0</v>
      </c>
      <c r="N321" t="n">
        <v>0</v>
      </c>
      <c r="O321" t="n">
        <v>3</v>
      </c>
      <c r="P321" t="n">
        <v>0</v>
      </c>
      <c r="Q321" t="n">
        <v>7</v>
      </c>
      <c r="R321" s="2" t="inlineStr">
        <is>
          <t>Garnlav
Ullticka
Violettgrå tagellav
Barkticka
Bårdlav
Dvärgtufs
Späd brosklav</t>
        </is>
      </c>
      <c r="S321">
        <f>HYPERLINK("https://klasma.github.io/Logging_2280/artfynd/A 18695-2025 artfynd.xlsx", "A 18695-2025")</f>
        <v/>
      </c>
      <c r="T321">
        <f>HYPERLINK("https://klasma.github.io/Logging_2280/kartor/A 18695-2025 karta.png", "A 18695-2025")</f>
        <v/>
      </c>
      <c r="V321">
        <f>HYPERLINK("https://klasma.github.io/Logging_2280/klagomål/A 18695-2025 FSC-klagomål.docx", "A 18695-2025")</f>
        <v/>
      </c>
      <c r="W321">
        <f>HYPERLINK("https://klasma.github.io/Logging_2280/klagomålsmail/A 18695-2025 FSC-klagomål mail.docx", "A 18695-2025")</f>
        <v/>
      </c>
      <c r="X321">
        <f>HYPERLINK("https://klasma.github.io/Logging_2280/tillsyn/A 18695-2025 tillsynsbegäran.docx", "A 18695-2025")</f>
        <v/>
      </c>
      <c r="Y321">
        <f>HYPERLINK("https://klasma.github.io/Logging_2280/tillsynsmail/A 18695-2025 tillsynsbegäran mail.docx", "A 18695-2025")</f>
        <v/>
      </c>
    </row>
    <row r="322" ht="15" customHeight="1">
      <c r="A322" t="inlineStr">
        <is>
          <t>A 16656-2025</t>
        </is>
      </c>
      <c r="B322" s="1" t="n">
        <v>45754.4068287037</v>
      </c>
      <c r="C322" s="1" t="n">
        <v>46185</v>
      </c>
      <c r="D322" t="inlineStr">
        <is>
          <t>VÄSTERNORRLANDS LÄN</t>
        </is>
      </c>
      <c r="E322" t="inlineStr">
        <is>
          <t>SUNDSVALL</t>
        </is>
      </c>
      <c r="F322" t="inlineStr">
        <is>
          <t>SCA</t>
        </is>
      </c>
      <c r="G322" t="n">
        <v>3.5</v>
      </c>
      <c r="H322" t="n">
        <v>4</v>
      </c>
      <c r="I322" t="n">
        <v>0</v>
      </c>
      <c r="J322" t="n">
        <v>5</v>
      </c>
      <c r="K322" t="n">
        <v>0</v>
      </c>
      <c r="L322" t="n">
        <v>0</v>
      </c>
      <c r="M322" t="n">
        <v>0</v>
      </c>
      <c r="N322" t="n">
        <v>0</v>
      </c>
      <c r="O322" t="n">
        <v>5</v>
      </c>
      <c r="P322" t="n">
        <v>0</v>
      </c>
      <c r="Q322" t="n">
        <v>7</v>
      </c>
      <c r="R322" s="2" t="inlineStr">
        <is>
          <t>Gammelgransskål
Garnlav
Lunglav
Spillkråka
Tretåig hackspett
Fläcknycklar
Revlummer</t>
        </is>
      </c>
      <c r="S322">
        <f>HYPERLINK("https://klasma.github.io/Logging_2281/artfynd/A 16656-2025 artfynd.xlsx", "A 16656-2025")</f>
        <v/>
      </c>
      <c r="T322">
        <f>HYPERLINK("https://klasma.github.io/Logging_2281/kartor/A 16656-2025 karta.png", "A 16656-2025")</f>
        <v/>
      </c>
      <c r="V322">
        <f>HYPERLINK("https://klasma.github.io/Logging_2281/klagomål/A 16656-2025 FSC-klagomål.docx", "A 16656-2025")</f>
        <v/>
      </c>
      <c r="W322">
        <f>HYPERLINK("https://klasma.github.io/Logging_2281/klagomålsmail/A 16656-2025 FSC-klagomål mail.docx", "A 16656-2025")</f>
        <v/>
      </c>
      <c r="X322">
        <f>HYPERLINK("https://klasma.github.io/Logging_2281/tillsyn/A 16656-2025 tillsynsbegäran.docx", "A 16656-2025")</f>
        <v/>
      </c>
      <c r="Y322">
        <f>HYPERLINK("https://klasma.github.io/Logging_2281/tillsynsmail/A 16656-2025 tillsynsbegäran mail.docx", "A 16656-2025")</f>
        <v/>
      </c>
      <c r="Z322">
        <f>HYPERLINK("https://klasma.github.io/Logging_2281/fåglar/A 16656-2025 prioriterade fågelarter.docx", "A 16656-2025")</f>
        <v/>
      </c>
    </row>
    <row r="323" ht="15" customHeight="1">
      <c r="A323" t="inlineStr">
        <is>
          <t>A 18014-2022</t>
        </is>
      </c>
      <c r="B323" s="1" t="n">
        <v>44683</v>
      </c>
      <c r="C323" s="1" t="n">
        <v>46185</v>
      </c>
      <c r="D323" t="inlineStr">
        <is>
          <t>VÄSTERNORRLANDS LÄN</t>
        </is>
      </c>
      <c r="E323" t="inlineStr">
        <is>
          <t>SOLLEFTEÅ</t>
        </is>
      </c>
      <c r="F323" t="inlineStr">
        <is>
          <t>SCA</t>
        </is>
      </c>
      <c r="G323" t="n">
        <v>2.5</v>
      </c>
      <c r="H323" t="n">
        <v>2</v>
      </c>
      <c r="I323" t="n">
        <v>0</v>
      </c>
      <c r="J323" t="n">
        <v>5</v>
      </c>
      <c r="K323" t="n">
        <v>2</v>
      </c>
      <c r="L323" t="n">
        <v>0</v>
      </c>
      <c r="M323" t="n">
        <v>0</v>
      </c>
      <c r="N323" t="n">
        <v>0</v>
      </c>
      <c r="O323" t="n">
        <v>7</v>
      </c>
      <c r="P323" t="n">
        <v>2</v>
      </c>
      <c r="Q323" t="n">
        <v>7</v>
      </c>
      <c r="R323" s="2" t="inlineStr">
        <is>
          <t>Goliatmusseron
Läderdoftande fingersvamp
Granticka
Gultoppig fingersvamp
Svart taggsvamp agg.
Talltita
Tretåig hackspett</t>
        </is>
      </c>
      <c r="S323">
        <f>HYPERLINK("https://klasma.github.io/Logging_2283/artfynd/A 18014-2022 artfynd.xlsx", "A 18014-2022")</f>
        <v/>
      </c>
      <c r="T323">
        <f>HYPERLINK("https://klasma.github.io/Logging_2283/kartor/A 18014-2022 karta.png", "A 18014-2022")</f>
        <v/>
      </c>
      <c r="U323">
        <f>HYPERLINK("https://klasma.github.io/Logging_2283/knärot/A 18014-2022 karta knärot.png", "A 18014-2022")</f>
        <v/>
      </c>
      <c r="V323">
        <f>HYPERLINK("https://klasma.github.io/Logging_2283/klagomål/A 18014-2022 FSC-klagomål.docx", "A 18014-2022")</f>
        <v/>
      </c>
      <c r="W323">
        <f>HYPERLINK("https://klasma.github.io/Logging_2283/klagomålsmail/A 18014-2022 FSC-klagomål mail.docx", "A 18014-2022")</f>
        <v/>
      </c>
      <c r="X323">
        <f>HYPERLINK("https://klasma.github.io/Logging_2283/tillsyn/A 18014-2022 tillsynsbegäran.docx", "A 18014-2022")</f>
        <v/>
      </c>
      <c r="Y323">
        <f>HYPERLINK("https://klasma.github.io/Logging_2283/tillsynsmail/A 18014-2022 tillsynsbegäran mail.docx", "A 18014-2022")</f>
        <v/>
      </c>
      <c r="Z323">
        <f>HYPERLINK("https://klasma.github.io/Logging_2283/fåglar/A 18014-2022 prioriterade fågelarter.docx", "A 18014-2022")</f>
        <v/>
      </c>
    </row>
    <row r="324" ht="15" customHeight="1">
      <c r="A324" t="inlineStr">
        <is>
          <t>A 20695-2025</t>
        </is>
      </c>
      <c r="B324" s="1" t="n">
        <v>45776.46954861111</v>
      </c>
      <c r="C324" s="1" t="n">
        <v>46185</v>
      </c>
      <c r="D324" t="inlineStr">
        <is>
          <t>VÄSTERNORRLANDS LÄN</t>
        </is>
      </c>
      <c r="E324" t="inlineStr">
        <is>
          <t>SUNDSVALL</t>
        </is>
      </c>
      <c r="F324" t="inlineStr">
        <is>
          <t>Naturvårdsverket</t>
        </is>
      </c>
      <c r="G324" t="n">
        <v>9.199999999999999</v>
      </c>
      <c r="H324" t="n">
        <v>2</v>
      </c>
      <c r="I324" t="n">
        <v>2</v>
      </c>
      <c r="J324" t="n">
        <v>4</v>
      </c>
      <c r="K324" t="n">
        <v>0</v>
      </c>
      <c r="L324" t="n">
        <v>0</v>
      </c>
      <c r="M324" t="n">
        <v>0</v>
      </c>
      <c r="N324" t="n">
        <v>0</v>
      </c>
      <c r="O324" t="n">
        <v>4</v>
      </c>
      <c r="P324" t="n">
        <v>0</v>
      </c>
      <c r="Q324" t="n">
        <v>7</v>
      </c>
      <c r="R324" s="2" t="inlineStr">
        <is>
          <t>Kolflarnlav
Mörk kolflarnlav
Vedflamlav
Vedskivlav
Bårdlav
Spindelblomster
Fläcknycklar</t>
        </is>
      </c>
      <c r="S324">
        <f>HYPERLINK("https://klasma.github.io/Logging_2281/artfynd/A 20695-2025 artfynd.xlsx", "A 20695-2025")</f>
        <v/>
      </c>
      <c r="T324">
        <f>HYPERLINK("https://klasma.github.io/Logging_2281/kartor/A 20695-2025 karta.png", "A 20695-2025")</f>
        <v/>
      </c>
      <c r="V324">
        <f>HYPERLINK("https://klasma.github.io/Logging_2281/klagomål/A 20695-2025 FSC-klagomål.docx", "A 20695-2025")</f>
        <v/>
      </c>
      <c r="W324">
        <f>HYPERLINK("https://klasma.github.io/Logging_2281/klagomålsmail/A 20695-2025 FSC-klagomål mail.docx", "A 20695-2025")</f>
        <v/>
      </c>
      <c r="X324">
        <f>HYPERLINK("https://klasma.github.io/Logging_2281/tillsyn/A 20695-2025 tillsynsbegäran.docx", "A 20695-2025")</f>
        <v/>
      </c>
      <c r="Y324">
        <f>HYPERLINK("https://klasma.github.io/Logging_2281/tillsynsmail/A 20695-2025 tillsynsbegäran mail.docx", "A 20695-2025")</f>
        <v/>
      </c>
    </row>
    <row r="325" ht="15" customHeight="1">
      <c r="A325" t="inlineStr">
        <is>
          <t>A 22377-2025</t>
        </is>
      </c>
      <c r="B325" s="1" t="n">
        <v>45786</v>
      </c>
      <c r="C325" s="1" t="n">
        <v>46185</v>
      </c>
      <c r="D325" t="inlineStr">
        <is>
          <t>VÄSTERNORRLANDS LÄN</t>
        </is>
      </c>
      <c r="E325" t="inlineStr">
        <is>
          <t>TIMRÅ</t>
        </is>
      </c>
      <c r="F325" t="inlineStr">
        <is>
          <t>SCA</t>
        </is>
      </c>
      <c r="G325" t="n">
        <v>10.1</v>
      </c>
      <c r="H325" t="n">
        <v>0</v>
      </c>
      <c r="I325" t="n">
        <v>2</v>
      </c>
      <c r="J325" t="n">
        <v>5</v>
      </c>
      <c r="K325" t="n">
        <v>0</v>
      </c>
      <c r="L325" t="n">
        <v>0</v>
      </c>
      <c r="M325" t="n">
        <v>0</v>
      </c>
      <c r="N325" t="n">
        <v>0</v>
      </c>
      <c r="O325" t="n">
        <v>5</v>
      </c>
      <c r="P325" t="n">
        <v>0</v>
      </c>
      <c r="Q325" t="n">
        <v>7</v>
      </c>
      <c r="R325" s="2" t="inlineStr">
        <is>
          <t>Gammelgransskål
Garnlav
Granticka
Lunglav
Rosenticka
Stor aspticka
Vedticka</t>
        </is>
      </c>
      <c r="S325">
        <f>HYPERLINK("https://klasma.github.io/Logging_2262/artfynd/A 22377-2025 artfynd.xlsx", "A 22377-2025")</f>
        <v/>
      </c>
      <c r="T325">
        <f>HYPERLINK("https://klasma.github.io/Logging_2262/kartor/A 22377-2025 karta.png", "A 22377-2025")</f>
        <v/>
      </c>
      <c r="V325">
        <f>HYPERLINK("https://klasma.github.io/Logging_2262/klagomål/A 22377-2025 FSC-klagomål.docx", "A 22377-2025")</f>
        <v/>
      </c>
      <c r="W325">
        <f>HYPERLINK("https://klasma.github.io/Logging_2262/klagomålsmail/A 22377-2025 FSC-klagomål mail.docx", "A 22377-2025")</f>
        <v/>
      </c>
      <c r="X325">
        <f>HYPERLINK("https://klasma.github.io/Logging_2262/tillsyn/A 22377-2025 tillsynsbegäran.docx", "A 22377-2025")</f>
        <v/>
      </c>
      <c r="Y325">
        <f>HYPERLINK("https://klasma.github.io/Logging_2262/tillsynsmail/A 22377-2025 tillsynsbegäran mail.docx", "A 22377-2025")</f>
        <v/>
      </c>
    </row>
    <row r="326" ht="15" customHeight="1">
      <c r="A326" t="inlineStr">
        <is>
          <t>A 41666-2024</t>
        </is>
      </c>
      <c r="B326" s="1" t="n">
        <v>45560.65010416666</v>
      </c>
      <c r="C326" s="1" t="n">
        <v>46185</v>
      </c>
      <c r="D326" t="inlineStr">
        <is>
          <t>VÄSTERNORRLANDS LÄN</t>
        </is>
      </c>
      <c r="E326" t="inlineStr">
        <is>
          <t>SOLLEFTEÅ</t>
        </is>
      </c>
      <c r="G326" t="n">
        <v>1</v>
      </c>
      <c r="H326" t="n">
        <v>1</v>
      </c>
      <c r="I326" t="n">
        <v>1</v>
      </c>
      <c r="J326" t="n">
        <v>4</v>
      </c>
      <c r="K326" t="n">
        <v>1</v>
      </c>
      <c r="L326" t="n">
        <v>0</v>
      </c>
      <c r="M326" t="n">
        <v>0</v>
      </c>
      <c r="N326" t="n">
        <v>0</v>
      </c>
      <c r="O326" t="n">
        <v>5</v>
      </c>
      <c r="P326" t="n">
        <v>1</v>
      </c>
      <c r="Q326" t="n">
        <v>7</v>
      </c>
      <c r="R326" s="2" t="inlineStr">
        <is>
          <t>Rynkskinn
Granticka
Lunglav
Rosenticka
Vedtrappmossa
Stor aspticka
Revlummer</t>
        </is>
      </c>
      <c r="S326">
        <f>HYPERLINK("https://klasma.github.io/Logging_2283/artfynd/A 41666-2024 artfynd.xlsx", "A 41666-2024")</f>
        <v/>
      </c>
      <c r="T326">
        <f>HYPERLINK("https://klasma.github.io/Logging_2283/kartor/A 41666-2024 karta.png", "A 41666-2024")</f>
        <v/>
      </c>
      <c r="V326">
        <f>HYPERLINK("https://klasma.github.io/Logging_2283/klagomål/A 41666-2024 FSC-klagomål.docx", "A 41666-2024")</f>
        <v/>
      </c>
      <c r="W326">
        <f>HYPERLINK("https://klasma.github.io/Logging_2283/klagomålsmail/A 41666-2024 FSC-klagomål mail.docx", "A 41666-2024")</f>
        <v/>
      </c>
      <c r="X326">
        <f>HYPERLINK("https://klasma.github.io/Logging_2283/tillsyn/A 41666-2024 tillsynsbegäran.docx", "A 41666-2024")</f>
        <v/>
      </c>
      <c r="Y326">
        <f>HYPERLINK("https://klasma.github.io/Logging_2283/tillsynsmail/A 41666-2024 tillsynsbegäran mail.docx", "A 41666-2024")</f>
        <v/>
      </c>
    </row>
    <row r="327" ht="15" customHeight="1">
      <c r="A327" t="inlineStr">
        <is>
          <t>A 36923-2022</t>
        </is>
      </c>
      <c r="B327" s="1" t="n">
        <v>44805.94631944445</v>
      </c>
      <c r="C327" s="1" t="n">
        <v>46185</v>
      </c>
      <c r="D327" t="inlineStr">
        <is>
          <t>VÄSTERNORRLANDS LÄN</t>
        </is>
      </c>
      <c r="E327" t="inlineStr">
        <is>
          <t>ÖRNSKÖLDSVIK</t>
        </is>
      </c>
      <c r="F327" t="inlineStr">
        <is>
          <t>SCA</t>
        </is>
      </c>
      <c r="G327" t="n">
        <v>2.4</v>
      </c>
      <c r="H327" t="n">
        <v>0</v>
      </c>
      <c r="I327" t="n">
        <v>3</v>
      </c>
      <c r="J327" t="n">
        <v>3</v>
      </c>
      <c r="K327" t="n">
        <v>0</v>
      </c>
      <c r="L327" t="n">
        <v>0</v>
      </c>
      <c r="M327" t="n">
        <v>0</v>
      </c>
      <c r="N327" t="n">
        <v>0</v>
      </c>
      <c r="O327" t="n">
        <v>3</v>
      </c>
      <c r="P327" t="n">
        <v>0</v>
      </c>
      <c r="Q327" t="n">
        <v>6</v>
      </c>
      <c r="R327" s="2" t="inlineStr">
        <is>
          <t>Blå taggsvamp
Garnlav
Kolflarnlav
Dropptaggsvamp
Skarp dropptaggsvamp
Skinnlav</t>
        </is>
      </c>
      <c r="S327">
        <f>HYPERLINK("https://klasma.github.io/Logging_2284/artfynd/A 36923-2022 artfynd.xlsx", "A 36923-2022")</f>
        <v/>
      </c>
      <c r="T327">
        <f>HYPERLINK("https://klasma.github.io/Logging_2284/kartor/A 36923-2022 karta.png", "A 36923-2022")</f>
        <v/>
      </c>
      <c r="V327">
        <f>HYPERLINK("https://klasma.github.io/Logging_2284/klagomål/A 36923-2022 FSC-klagomål.docx", "A 36923-2022")</f>
        <v/>
      </c>
      <c r="W327">
        <f>HYPERLINK("https://klasma.github.io/Logging_2284/klagomålsmail/A 36923-2022 FSC-klagomål mail.docx", "A 36923-2022")</f>
        <v/>
      </c>
      <c r="X327">
        <f>HYPERLINK("https://klasma.github.io/Logging_2284/tillsyn/A 36923-2022 tillsynsbegäran.docx", "A 36923-2022")</f>
        <v/>
      </c>
      <c r="Y327">
        <f>HYPERLINK("https://klasma.github.io/Logging_2284/tillsynsmail/A 36923-2022 tillsynsbegäran mail.docx", "A 36923-2022")</f>
        <v/>
      </c>
    </row>
    <row r="328" ht="15" customHeight="1">
      <c r="A328" t="inlineStr">
        <is>
          <t>A 16087-2022</t>
        </is>
      </c>
      <c r="B328" s="1" t="n">
        <v>44665</v>
      </c>
      <c r="C328" s="1" t="n">
        <v>46185</v>
      </c>
      <c r="D328" t="inlineStr">
        <is>
          <t>VÄSTERNORRLANDS LÄN</t>
        </is>
      </c>
      <c r="E328" t="inlineStr">
        <is>
          <t>SOLLEFTEÅ</t>
        </is>
      </c>
      <c r="F328" t="inlineStr">
        <is>
          <t>Holmen skog AB</t>
        </is>
      </c>
      <c r="G328" t="n">
        <v>7.5</v>
      </c>
      <c r="H328" t="n">
        <v>0</v>
      </c>
      <c r="I328" t="n">
        <v>1</v>
      </c>
      <c r="J328" t="n">
        <v>3</v>
      </c>
      <c r="K328" t="n">
        <v>2</v>
      </c>
      <c r="L328" t="n">
        <v>0</v>
      </c>
      <c r="M328" t="n">
        <v>0</v>
      </c>
      <c r="N328" t="n">
        <v>0</v>
      </c>
      <c r="O328" t="n">
        <v>5</v>
      </c>
      <c r="P328" t="n">
        <v>2</v>
      </c>
      <c r="Q328" t="n">
        <v>6</v>
      </c>
      <c r="R328" s="2" t="inlineStr">
        <is>
          <t>Bitter taggsvamp
Goliatmusseron
Blå taggsvamp
Orange taggsvamp
Skrovlig taggsvamp
Skarp dropptaggsvamp</t>
        </is>
      </c>
      <c r="S328">
        <f>HYPERLINK("https://klasma.github.io/Logging_2283/artfynd/A 16087-2022 artfynd.xlsx", "A 16087-2022")</f>
        <v/>
      </c>
      <c r="T328">
        <f>HYPERLINK("https://klasma.github.io/Logging_2283/kartor/A 16087-2022 karta.png", "A 16087-2022")</f>
        <v/>
      </c>
      <c r="V328">
        <f>HYPERLINK("https://klasma.github.io/Logging_2283/klagomål/A 16087-2022 FSC-klagomål.docx", "A 16087-2022")</f>
        <v/>
      </c>
      <c r="W328">
        <f>HYPERLINK("https://klasma.github.io/Logging_2283/klagomålsmail/A 16087-2022 FSC-klagomål mail.docx", "A 16087-2022")</f>
        <v/>
      </c>
      <c r="X328">
        <f>HYPERLINK("https://klasma.github.io/Logging_2283/tillsyn/A 16087-2022 tillsynsbegäran.docx", "A 16087-2022")</f>
        <v/>
      </c>
      <c r="Y328">
        <f>HYPERLINK("https://klasma.github.io/Logging_2283/tillsynsmail/A 16087-2022 tillsynsbegäran mail.docx", "A 16087-2022")</f>
        <v/>
      </c>
    </row>
    <row r="329" ht="15" customHeight="1">
      <c r="A329" t="inlineStr">
        <is>
          <t>A 4528-2022</t>
        </is>
      </c>
      <c r="B329" s="1" t="n">
        <v>44589.93622685185</v>
      </c>
      <c r="C329" s="1" t="n">
        <v>46185</v>
      </c>
      <c r="D329" t="inlineStr">
        <is>
          <t>VÄSTERNORRLANDS LÄN</t>
        </is>
      </c>
      <c r="E329" t="inlineStr">
        <is>
          <t>SOLLEFTEÅ</t>
        </is>
      </c>
      <c r="G329" t="n">
        <v>2.6</v>
      </c>
      <c r="H329" t="n">
        <v>2</v>
      </c>
      <c r="I329" t="n">
        <v>1</v>
      </c>
      <c r="J329" t="n">
        <v>4</v>
      </c>
      <c r="K329" t="n">
        <v>0</v>
      </c>
      <c r="L329" t="n">
        <v>0</v>
      </c>
      <c r="M329" t="n">
        <v>0</v>
      </c>
      <c r="N329" t="n">
        <v>0</v>
      </c>
      <c r="O329" t="n">
        <v>4</v>
      </c>
      <c r="P329" t="n">
        <v>0</v>
      </c>
      <c r="Q329" t="n">
        <v>6</v>
      </c>
      <c r="R329" s="2" t="inlineStr">
        <is>
          <t>Garnlav
Tallticka
Tretåig hackspett
Ullticka
Vedticka
Revlummer</t>
        </is>
      </c>
      <c r="S329">
        <f>HYPERLINK("https://klasma.github.io/Logging_2283/artfynd/A 4528-2022 artfynd.xlsx", "A 4528-2022")</f>
        <v/>
      </c>
      <c r="T329">
        <f>HYPERLINK("https://klasma.github.io/Logging_2283/kartor/A 4528-2022 karta.png", "A 4528-2022")</f>
        <v/>
      </c>
      <c r="V329">
        <f>HYPERLINK("https://klasma.github.io/Logging_2283/klagomål/A 4528-2022 FSC-klagomål.docx", "A 4528-2022")</f>
        <v/>
      </c>
      <c r="W329">
        <f>HYPERLINK("https://klasma.github.io/Logging_2283/klagomålsmail/A 4528-2022 FSC-klagomål mail.docx", "A 4528-2022")</f>
        <v/>
      </c>
      <c r="X329">
        <f>HYPERLINK("https://klasma.github.io/Logging_2283/tillsyn/A 4528-2022 tillsynsbegäran.docx", "A 4528-2022")</f>
        <v/>
      </c>
      <c r="Y329">
        <f>HYPERLINK("https://klasma.github.io/Logging_2283/tillsynsmail/A 4528-2022 tillsynsbegäran mail.docx", "A 4528-2022")</f>
        <v/>
      </c>
      <c r="Z329">
        <f>HYPERLINK("https://klasma.github.io/Logging_2283/fåglar/A 4528-2022 prioriterade fågelarter.docx", "A 4528-2022")</f>
        <v/>
      </c>
    </row>
    <row r="330" ht="15" customHeight="1">
      <c r="A330" t="inlineStr">
        <is>
          <t>A 69250-2021</t>
        </is>
      </c>
      <c r="B330" s="1" t="n">
        <v>44531</v>
      </c>
      <c r="C330" s="1" t="n">
        <v>46185</v>
      </c>
      <c r="D330" t="inlineStr">
        <is>
          <t>VÄSTERNORRLANDS LÄN</t>
        </is>
      </c>
      <c r="E330" t="inlineStr">
        <is>
          <t>ÖRNSKÖLDSVIK</t>
        </is>
      </c>
      <c r="F330" t="inlineStr">
        <is>
          <t>Holmen skog AB</t>
        </is>
      </c>
      <c r="G330" t="n">
        <v>4.7</v>
      </c>
      <c r="H330" t="n">
        <v>1</v>
      </c>
      <c r="I330" t="n">
        <v>2</v>
      </c>
      <c r="J330" t="n">
        <v>4</v>
      </c>
      <c r="K330" t="n">
        <v>0</v>
      </c>
      <c r="L330" t="n">
        <v>0</v>
      </c>
      <c r="M330" t="n">
        <v>0</v>
      </c>
      <c r="N330" t="n">
        <v>0</v>
      </c>
      <c r="O330" t="n">
        <v>4</v>
      </c>
      <c r="P330" t="n">
        <v>0</v>
      </c>
      <c r="Q330" t="n">
        <v>6</v>
      </c>
      <c r="R330" s="2" t="inlineStr">
        <is>
          <t>Gammelgransskål
Garnlav
Kolflarnlav
Tretåig hackspett
Skinnlav
Vedticka</t>
        </is>
      </c>
      <c r="S330">
        <f>HYPERLINK("https://klasma.github.io/Logging_2284/artfynd/A 69250-2021 artfynd.xlsx", "A 69250-2021")</f>
        <v/>
      </c>
      <c r="T330">
        <f>HYPERLINK("https://klasma.github.io/Logging_2284/kartor/A 69250-2021 karta.png", "A 69250-2021")</f>
        <v/>
      </c>
      <c r="V330">
        <f>HYPERLINK("https://klasma.github.io/Logging_2284/klagomål/A 69250-2021 FSC-klagomål.docx", "A 69250-2021")</f>
        <v/>
      </c>
      <c r="W330">
        <f>HYPERLINK("https://klasma.github.io/Logging_2284/klagomålsmail/A 69250-2021 FSC-klagomål mail.docx", "A 69250-2021")</f>
        <v/>
      </c>
      <c r="X330">
        <f>HYPERLINK("https://klasma.github.io/Logging_2284/tillsyn/A 69250-2021 tillsynsbegäran.docx", "A 69250-2021")</f>
        <v/>
      </c>
      <c r="Y330">
        <f>HYPERLINK("https://klasma.github.io/Logging_2284/tillsynsmail/A 69250-2021 tillsynsbegäran mail.docx", "A 69250-2021")</f>
        <v/>
      </c>
      <c r="Z330">
        <f>HYPERLINK("https://klasma.github.io/Logging_2284/fåglar/A 69250-2021 prioriterade fågelarter.docx", "A 69250-2021")</f>
        <v/>
      </c>
    </row>
    <row r="331" ht="15" customHeight="1">
      <c r="A331" t="inlineStr">
        <is>
          <t>A 53456-2023</t>
        </is>
      </c>
      <c r="B331" s="1" t="n">
        <v>45229</v>
      </c>
      <c r="C331" s="1" t="n">
        <v>46185</v>
      </c>
      <c r="D331" t="inlineStr">
        <is>
          <t>VÄSTERNORRLANDS LÄN</t>
        </is>
      </c>
      <c r="E331" t="inlineStr">
        <is>
          <t>ÅNGE</t>
        </is>
      </c>
      <c r="F331" t="inlineStr">
        <is>
          <t>SCA</t>
        </is>
      </c>
      <c r="G331" t="n">
        <v>23.4</v>
      </c>
      <c r="H331" t="n">
        <v>4</v>
      </c>
      <c r="I331" t="n">
        <v>0</v>
      </c>
      <c r="J331" t="n">
        <v>4</v>
      </c>
      <c r="K331" t="n">
        <v>1</v>
      </c>
      <c r="L331" t="n">
        <v>0</v>
      </c>
      <c r="M331" t="n">
        <v>0</v>
      </c>
      <c r="N331" t="n">
        <v>0</v>
      </c>
      <c r="O331" t="n">
        <v>5</v>
      </c>
      <c r="P331" t="n">
        <v>1</v>
      </c>
      <c r="Q331" t="n">
        <v>6</v>
      </c>
      <c r="R331" s="2" t="inlineStr">
        <is>
          <t>Knärot
Garnlav
Mörk kolflarnlav
Talltita
Tretåig hackspett
Orre</t>
        </is>
      </c>
      <c r="S331">
        <f>HYPERLINK("https://klasma.github.io/Logging_2260/artfynd/A 53456-2023 artfynd.xlsx", "A 53456-2023")</f>
        <v/>
      </c>
      <c r="T331">
        <f>HYPERLINK("https://klasma.github.io/Logging_2260/kartor/A 53456-2023 karta.png", "A 53456-2023")</f>
        <v/>
      </c>
      <c r="U331">
        <f>HYPERLINK("https://klasma.github.io/Logging_2260/knärot/A 53456-2023 karta knärot.png", "A 53456-2023")</f>
        <v/>
      </c>
      <c r="V331">
        <f>HYPERLINK("https://klasma.github.io/Logging_2260/klagomål/A 53456-2023 FSC-klagomål.docx", "A 53456-2023")</f>
        <v/>
      </c>
      <c r="W331">
        <f>HYPERLINK("https://klasma.github.io/Logging_2260/klagomålsmail/A 53456-2023 FSC-klagomål mail.docx", "A 53456-2023")</f>
        <v/>
      </c>
      <c r="X331">
        <f>HYPERLINK("https://klasma.github.io/Logging_2260/tillsyn/A 53456-2023 tillsynsbegäran.docx", "A 53456-2023")</f>
        <v/>
      </c>
      <c r="Y331">
        <f>HYPERLINK("https://klasma.github.io/Logging_2260/tillsynsmail/A 53456-2023 tillsynsbegäran mail.docx", "A 53456-2023")</f>
        <v/>
      </c>
      <c r="Z331">
        <f>HYPERLINK("https://klasma.github.io/Logging_2260/fåglar/A 53456-2023 prioriterade fågelarter.docx", "A 53456-2023")</f>
        <v/>
      </c>
    </row>
    <row r="332" ht="15" customHeight="1">
      <c r="A332" t="inlineStr">
        <is>
          <t>A 31885-2024</t>
        </is>
      </c>
      <c r="B332" s="1" t="n">
        <v>45509.95769675926</v>
      </c>
      <c r="C332" s="1" t="n">
        <v>46185</v>
      </c>
      <c r="D332" t="inlineStr">
        <is>
          <t>VÄSTERNORRLANDS LÄN</t>
        </is>
      </c>
      <c r="E332" t="inlineStr">
        <is>
          <t>SOLLEFTEÅ</t>
        </is>
      </c>
      <c r="F332" t="inlineStr">
        <is>
          <t>SCA</t>
        </is>
      </c>
      <c r="G332" t="n">
        <v>4.1</v>
      </c>
      <c r="H332" t="n">
        <v>3</v>
      </c>
      <c r="I332" t="n">
        <v>1</v>
      </c>
      <c r="J332" t="n">
        <v>4</v>
      </c>
      <c r="K332" t="n">
        <v>1</v>
      </c>
      <c r="L332" t="n">
        <v>0</v>
      </c>
      <c r="M332" t="n">
        <v>0</v>
      </c>
      <c r="N332" t="n">
        <v>0</v>
      </c>
      <c r="O332" t="n">
        <v>5</v>
      </c>
      <c r="P332" t="n">
        <v>1</v>
      </c>
      <c r="Q332" t="n">
        <v>6</v>
      </c>
      <c r="R332" s="2" t="inlineStr">
        <is>
          <t>Knärot
Garnlav
Lunglav
Spillkråka
Talltita
Luddlav</t>
        </is>
      </c>
      <c r="S332">
        <f>HYPERLINK("https://klasma.github.io/Logging_2283/artfynd/A 31885-2024 artfynd.xlsx", "A 31885-2024")</f>
        <v/>
      </c>
      <c r="T332">
        <f>HYPERLINK("https://klasma.github.io/Logging_2283/kartor/A 31885-2024 karta.png", "A 31885-2024")</f>
        <v/>
      </c>
      <c r="U332">
        <f>HYPERLINK("https://klasma.github.io/Logging_2283/knärot/A 31885-2024 karta knärot.png", "A 31885-2024")</f>
        <v/>
      </c>
      <c r="V332">
        <f>HYPERLINK("https://klasma.github.io/Logging_2283/klagomål/A 31885-2024 FSC-klagomål.docx", "A 31885-2024")</f>
        <v/>
      </c>
      <c r="W332">
        <f>HYPERLINK("https://klasma.github.io/Logging_2283/klagomålsmail/A 31885-2024 FSC-klagomål mail.docx", "A 31885-2024")</f>
        <v/>
      </c>
      <c r="X332">
        <f>HYPERLINK("https://klasma.github.io/Logging_2283/tillsyn/A 31885-2024 tillsynsbegäran.docx", "A 31885-2024")</f>
        <v/>
      </c>
      <c r="Y332">
        <f>HYPERLINK("https://klasma.github.io/Logging_2283/tillsynsmail/A 31885-2024 tillsynsbegäran mail.docx", "A 31885-2024")</f>
        <v/>
      </c>
      <c r="Z332">
        <f>HYPERLINK("https://klasma.github.io/Logging_2283/fåglar/A 31885-2024 prioriterade fågelarter.docx", "A 31885-2024")</f>
        <v/>
      </c>
    </row>
    <row r="333" ht="15" customHeight="1">
      <c r="A333" t="inlineStr">
        <is>
          <t>A 44376-2024</t>
        </is>
      </c>
      <c r="B333" s="1" t="n">
        <v>45573.6583912037</v>
      </c>
      <c r="C333" s="1" t="n">
        <v>46185</v>
      </c>
      <c r="D333" t="inlineStr">
        <is>
          <t>VÄSTERNORRLANDS LÄN</t>
        </is>
      </c>
      <c r="E333" t="inlineStr">
        <is>
          <t>ÖRNSKÖLDSVIK</t>
        </is>
      </c>
      <c r="F333" t="inlineStr">
        <is>
          <t>SCA</t>
        </is>
      </c>
      <c r="G333" t="n">
        <v>3.7</v>
      </c>
      <c r="H333" t="n">
        <v>1</v>
      </c>
      <c r="I333" t="n">
        <v>1</v>
      </c>
      <c r="J333" t="n">
        <v>3</v>
      </c>
      <c r="K333" t="n">
        <v>1</v>
      </c>
      <c r="L333" t="n">
        <v>0</v>
      </c>
      <c r="M333" t="n">
        <v>0</v>
      </c>
      <c r="N333" t="n">
        <v>0</v>
      </c>
      <c r="O333" t="n">
        <v>4</v>
      </c>
      <c r="P333" t="n">
        <v>1</v>
      </c>
      <c r="Q333" t="n">
        <v>6</v>
      </c>
      <c r="R333" s="2" t="inlineStr">
        <is>
          <t>Rynkskinn
Gammelgransskål
Lunglav
Ullticka
Stuplav
Lavskrika</t>
        </is>
      </c>
      <c r="S333">
        <f>HYPERLINK("https://klasma.github.io/Logging_2284/artfynd/A 44376-2024 artfynd.xlsx", "A 44376-2024")</f>
        <v/>
      </c>
      <c r="T333">
        <f>HYPERLINK("https://klasma.github.io/Logging_2284/kartor/A 44376-2024 karta.png", "A 44376-2024")</f>
        <v/>
      </c>
      <c r="V333">
        <f>HYPERLINK("https://klasma.github.io/Logging_2284/klagomål/A 44376-2024 FSC-klagomål.docx", "A 44376-2024")</f>
        <v/>
      </c>
      <c r="W333">
        <f>HYPERLINK("https://klasma.github.io/Logging_2284/klagomålsmail/A 44376-2024 FSC-klagomål mail.docx", "A 44376-2024")</f>
        <v/>
      </c>
      <c r="X333">
        <f>HYPERLINK("https://klasma.github.io/Logging_2284/tillsyn/A 44376-2024 tillsynsbegäran.docx", "A 44376-2024")</f>
        <v/>
      </c>
      <c r="Y333">
        <f>HYPERLINK("https://klasma.github.io/Logging_2284/tillsynsmail/A 44376-2024 tillsynsbegäran mail.docx", "A 44376-2024")</f>
        <v/>
      </c>
      <c r="Z333">
        <f>HYPERLINK("https://klasma.github.io/Logging_2284/fåglar/A 44376-2024 prioriterade fågelarter.docx", "A 44376-2024")</f>
        <v/>
      </c>
    </row>
    <row r="334" ht="15" customHeight="1">
      <c r="A334" t="inlineStr">
        <is>
          <t>A 34694-2023</t>
        </is>
      </c>
      <c r="B334" s="1" t="n">
        <v>45140.96324074074</v>
      </c>
      <c r="C334" s="1" t="n">
        <v>46185</v>
      </c>
      <c r="D334" t="inlineStr">
        <is>
          <t>VÄSTERNORRLANDS LÄN</t>
        </is>
      </c>
      <c r="E334" t="inlineStr">
        <is>
          <t>ÅNGE</t>
        </is>
      </c>
      <c r="F334" t="inlineStr">
        <is>
          <t>SCA</t>
        </is>
      </c>
      <c r="G334" t="n">
        <v>3</v>
      </c>
      <c r="H334" t="n">
        <v>1</v>
      </c>
      <c r="I334" t="n">
        <v>3</v>
      </c>
      <c r="J334" t="n">
        <v>2</v>
      </c>
      <c r="K334" t="n">
        <v>1</v>
      </c>
      <c r="L334" t="n">
        <v>0</v>
      </c>
      <c r="M334" t="n">
        <v>0</v>
      </c>
      <c r="N334" t="n">
        <v>0</v>
      </c>
      <c r="O334" t="n">
        <v>3</v>
      </c>
      <c r="P334" t="n">
        <v>1</v>
      </c>
      <c r="Q334" t="n">
        <v>6</v>
      </c>
      <c r="R334" s="2" t="inlineStr">
        <is>
          <t>Laxgröppa
Garnlav
Vedskivlav
Dropptaggsvamp
Spindelblomster
Vedticka</t>
        </is>
      </c>
      <c r="S334">
        <f>HYPERLINK("https://klasma.github.io/Logging_2260/artfynd/A 34694-2023 artfynd.xlsx", "A 34694-2023")</f>
        <v/>
      </c>
      <c r="T334">
        <f>HYPERLINK("https://klasma.github.io/Logging_2260/kartor/A 34694-2023 karta.png", "A 34694-2023")</f>
        <v/>
      </c>
      <c r="V334">
        <f>HYPERLINK("https://klasma.github.io/Logging_2260/klagomål/A 34694-2023 FSC-klagomål.docx", "A 34694-2023")</f>
        <v/>
      </c>
      <c r="W334">
        <f>HYPERLINK("https://klasma.github.io/Logging_2260/klagomålsmail/A 34694-2023 FSC-klagomål mail.docx", "A 34694-2023")</f>
        <v/>
      </c>
      <c r="X334">
        <f>HYPERLINK("https://klasma.github.io/Logging_2260/tillsyn/A 34694-2023 tillsynsbegäran.docx", "A 34694-2023")</f>
        <v/>
      </c>
      <c r="Y334">
        <f>HYPERLINK("https://klasma.github.io/Logging_2260/tillsynsmail/A 34694-2023 tillsynsbegäran mail.docx", "A 34694-2023")</f>
        <v/>
      </c>
    </row>
    <row r="335" ht="15" customHeight="1">
      <c r="A335" t="inlineStr">
        <is>
          <t>A 25837-2025</t>
        </is>
      </c>
      <c r="B335" s="1" t="n">
        <v>45804.44876157407</v>
      </c>
      <c r="C335" s="1" t="n">
        <v>46185</v>
      </c>
      <c r="D335" t="inlineStr">
        <is>
          <t>VÄSTERNORRLANDS LÄN</t>
        </is>
      </c>
      <c r="E335" t="inlineStr">
        <is>
          <t>SUNDSVALL</t>
        </is>
      </c>
      <c r="F335" t="inlineStr">
        <is>
          <t>Naturvårdsverket</t>
        </is>
      </c>
      <c r="G335" t="n">
        <v>10.9</v>
      </c>
      <c r="H335" t="n">
        <v>5</v>
      </c>
      <c r="I335" t="n">
        <v>2</v>
      </c>
      <c r="J335" t="n">
        <v>2</v>
      </c>
      <c r="K335" t="n">
        <v>1</v>
      </c>
      <c r="L335" t="n">
        <v>0</v>
      </c>
      <c r="M335" t="n">
        <v>0</v>
      </c>
      <c r="N335" t="n">
        <v>0</v>
      </c>
      <c r="O335" t="n">
        <v>3</v>
      </c>
      <c r="P335" t="n">
        <v>1</v>
      </c>
      <c r="Q335" t="n">
        <v>6</v>
      </c>
      <c r="R335" s="2" t="inlineStr">
        <is>
          <t>Knärot
Lunglav
Rödvingetrast
Korallrot
Spindelblomster
Fläcknycklar</t>
        </is>
      </c>
      <c r="S335">
        <f>HYPERLINK("https://klasma.github.io/Logging_2281/artfynd/A 25837-2025 artfynd.xlsx", "A 25837-2025")</f>
        <v/>
      </c>
      <c r="T335">
        <f>HYPERLINK("https://klasma.github.io/Logging_2281/kartor/A 25837-2025 karta.png", "A 25837-2025")</f>
        <v/>
      </c>
      <c r="U335">
        <f>HYPERLINK("https://klasma.github.io/Logging_2281/knärot/A 25837-2025 karta knärot.png", "A 25837-2025")</f>
        <v/>
      </c>
      <c r="V335">
        <f>HYPERLINK("https://klasma.github.io/Logging_2281/klagomål/A 25837-2025 FSC-klagomål.docx", "A 25837-2025")</f>
        <v/>
      </c>
      <c r="W335">
        <f>HYPERLINK("https://klasma.github.io/Logging_2281/klagomålsmail/A 25837-2025 FSC-klagomål mail.docx", "A 25837-2025")</f>
        <v/>
      </c>
      <c r="X335">
        <f>HYPERLINK("https://klasma.github.io/Logging_2281/tillsyn/A 25837-2025 tillsynsbegäran.docx", "A 25837-2025")</f>
        <v/>
      </c>
      <c r="Y335">
        <f>HYPERLINK("https://klasma.github.io/Logging_2281/tillsynsmail/A 25837-2025 tillsynsbegäran mail.docx", "A 25837-2025")</f>
        <v/>
      </c>
      <c r="Z335">
        <f>HYPERLINK("https://klasma.github.io/Logging_2281/fåglar/A 25837-2025 prioriterade fågelarter.docx", "A 25837-2025")</f>
        <v/>
      </c>
    </row>
    <row r="336" ht="15" customHeight="1">
      <c r="A336" t="inlineStr">
        <is>
          <t>A 26810-2025</t>
        </is>
      </c>
      <c r="B336" s="1" t="n">
        <v>45810.61936342593</v>
      </c>
      <c r="C336" s="1" t="n">
        <v>46185</v>
      </c>
      <c r="D336" t="inlineStr">
        <is>
          <t>VÄSTERNORRLANDS LÄN</t>
        </is>
      </c>
      <c r="E336" t="inlineStr">
        <is>
          <t>ÖRNSKÖLDSVIK</t>
        </is>
      </c>
      <c r="F336" t="inlineStr">
        <is>
          <t>Holmen skog AB</t>
        </is>
      </c>
      <c r="G336" t="n">
        <v>4.7</v>
      </c>
      <c r="H336" t="n">
        <v>1</v>
      </c>
      <c r="I336" t="n">
        <v>2</v>
      </c>
      <c r="J336" t="n">
        <v>4</v>
      </c>
      <c r="K336" t="n">
        <v>0</v>
      </c>
      <c r="L336" t="n">
        <v>0</v>
      </c>
      <c r="M336" t="n">
        <v>0</v>
      </c>
      <c r="N336" t="n">
        <v>0</v>
      </c>
      <c r="O336" t="n">
        <v>4</v>
      </c>
      <c r="P336" t="n">
        <v>0</v>
      </c>
      <c r="Q336" t="n">
        <v>6</v>
      </c>
      <c r="R336" s="2" t="inlineStr">
        <is>
          <t>Garnlav
Granticka
Lunglav
Spillkråka
Bårdlav
Stuplav</t>
        </is>
      </c>
      <c r="S336">
        <f>HYPERLINK("https://klasma.github.io/Logging_2284/artfynd/A 26810-2025 artfynd.xlsx", "A 26810-2025")</f>
        <v/>
      </c>
      <c r="T336">
        <f>HYPERLINK("https://klasma.github.io/Logging_2284/kartor/A 26810-2025 karta.png", "A 26810-2025")</f>
        <v/>
      </c>
      <c r="V336">
        <f>HYPERLINK("https://klasma.github.io/Logging_2284/klagomål/A 26810-2025 FSC-klagomål.docx", "A 26810-2025")</f>
        <v/>
      </c>
      <c r="W336">
        <f>HYPERLINK("https://klasma.github.io/Logging_2284/klagomålsmail/A 26810-2025 FSC-klagomål mail.docx", "A 26810-2025")</f>
        <v/>
      </c>
      <c r="X336">
        <f>HYPERLINK("https://klasma.github.io/Logging_2284/tillsyn/A 26810-2025 tillsynsbegäran.docx", "A 26810-2025")</f>
        <v/>
      </c>
      <c r="Y336">
        <f>HYPERLINK("https://klasma.github.io/Logging_2284/tillsynsmail/A 26810-2025 tillsynsbegäran mail.docx", "A 26810-2025")</f>
        <v/>
      </c>
      <c r="Z336">
        <f>HYPERLINK("https://klasma.github.io/Logging_2284/fåglar/A 26810-2025 prioriterade fågelarter.docx", "A 26810-2025")</f>
        <v/>
      </c>
    </row>
    <row r="337" ht="15" customHeight="1">
      <c r="A337" t="inlineStr">
        <is>
          <t>A 27209-2025</t>
        </is>
      </c>
      <c r="B337" s="1" t="n">
        <v>45812.40658564815</v>
      </c>
      <c r="C337" s="1" t="n">
        <v>46185</v>
      </c>
      <c r="D337" t="inlineStr">
        <is>
          <t>VÄSTERNORRLANDS LÄN</t>
        </is>
      </c>
      <c r="E337" t="inlineStr">
        <is>
          <t>SUNDSVALL</t>
        </is>
      </c>
      <c r="F337" t="inlineStr">
        <is>
          <t>SCA</t>
        </is>
      </c>
      <c r="G337" t="n">
        <v>4.7</v>
      </c>
      <c r="H337" t="n">
        <v>0</v>
      </c>
      <c r="I337" t="n">
        <v>1</v>
      </c>
      <c r="J337" t="n">
        <v>5</v>
      </c>
      <c r="K337" t="n">
        <v>0</v>
      </c>
      <c r="L337" t="n">
        <v>0</v>
      </c>
      <c r="M337" t="n">
        <v>0</v>
      </c>
      <c r="N337" t="n">
        <v>0</v>
      </c>
      <c r="O337" t="n">
        <v>5</v>
      </c>
      <c r="P337" t="n">
        <v>0</v>
      </c>
      <c r="Q337" t="n">
        <v>6</v>
      </c>
      <c r="R337" s="2" t="inlineStr">
        <is>
          <t>Garnlav
Mörk kolflarnlav
Orange taggsvamp
Ullticka
Vedflamlav
Dropptaggsvamp</t>
        </is>
      </c>
      <c r="S337">
        <f>HYPERLINK("https://klasma.github.io/Logging_2281/artfynd/A 27209-2025 artfynd.xlsx", "A 27209-2025")</f>
        <v/>
      </c>
      <c r="T337">
        <f>HYPERLINK("https://klasma.github.io/Logging_2281/kartor/A 27209-2025 karta.png", "A 27209-2025")</f>
        <v/>
      </c>
      <c r="V337">
        <f>HYPERLINK("https://klasma.github.io/Logging_2281/klagomål/A 27209-2025 FSC-klagomål.docx", "A 27209-2025")</f>
        <v/>
      </c>
      <c r="W337">
        <f>HYPERLINK("https://klasma.github.io/Logging_2281/klagomålsmail/A 27209-2025 FSC-klagomål mail.docx", "A 27209-2025")</f>
        <v/>
      </c>
      <c r="X337">
        <f>HYPERLINK("https://klasma.github.io/Logging_2281/tillsyn/A 27209-2025 tillsynsbegäran.docx", "A 27209-2025")</f>
        <v/>
      </c>
      <c r="Y337">
        <f>HYPERLINK("https://klasma.github.io/Logging_2281/tillsynsmail/A 27209-2025 tillsynsbegäran mail.docx", "A 27209-2025")</f>
        <v/>
      </c>
    </row>
    <row r="338" ht="15" customHeight="1">
      <c r="A338" t="inlineStr">
        <is>
          <t>A 10085-2023</t>
        </is>
      </c>
      <c r="B338" s="1" t="n">
        <v>44985.9447337963</v>
      </c>
      <c r="C338" s="1" t="n">
        <v>46185</v>
      </c>
      <c r="D338" t="inlineStr">
        <is>
          <t>VÄSTERNORRLANDS LÄN</t>
        </is>
      </c>
      <c r="E338" t="inlineStr">
        <is>
          <t>ÅNGE</t>
        </is>
      </c>
      <c r="F338" t="inlineStr">
        <is>
          <t>SCA</t>
        </is>
      </c>
      <c r="G338" t="n">
        <v>4.9</v>
      </c>
      <c r="H338" t="n">
        <v>0</v>
      </c>
      <c r="I338" t="n">
        <v>1</v>
      </c>
      <c r="J338" t="n">
        <v>5</v>
      </c>
      <c r="K338" t="n">
        <v>0</v>
      </c>
      <c r="L338" t="n">
        <v>0</v>
      </c>
      <c r="M338" t="n">
        <v>0</v>
      </c>
      <c r="N338" t="n">
        <v>0</v>
      </c>
      <c r="O338" t="n">
        <v>5</v>
      </c>
      <c r="P338" t="n">
        <v>0</v>
      </c>
      <c r="Q338" t="n">
        <v>6</v>
      </c>
      <c r="R338" s="2" t="inlineStr">
        <is>
          <t>Gammelgransskål
Garnlav
Lunglav
Ullticka
Vitgrynig nållav
Vedticka</t>
        </is>
      </c>
      <c r="S338">
        <f>HYPERLINK("https://klasma.github.io/Logging_2260/artfynd/A 10085-2023 artfynd.xlsx", "A 10085-2023")</f>
        <v/>
      </c>
      <c r="T338">
        <f>HYPERLINK("https://klasma.github.io/Logging_2260/kartor/A 10085-2023 karta.png", "A 10085-2023")</f>
        <v/>
      </c>
      <c r="V338">
        <f>HYPERLINK("https://klasma.github.io/Logging_2260/klagomål/A 10085-2023 FSC-klagomål.docx", "A 10085-2023")</f>
        <v/>
      </c>
      <c r="W338">
        <f>HYPERLINK("https://klasma.github.io/Logging_2260/klagomålsmail/A 10085-2023 FSC-klagomål mail.docx", "A 10085-2023")</f>
        <v/>
      </c>
      <c r="X338">
        <f>HYPERLINK("https://klasma.github.io/Logging_2260/tillsyn/A 10085-2023 tillsynsbegäran.docx", "A 10085-2023")</f>
        <v/>
      </c>
      <c r="Y338">
        <f>HYPERLINK("https://klasma.github.io/Logging_2260/tillsynsmail/A 10085-2023 tillsynsbegäran mail.docx", "A 10085-2023")</f>
        <v/>
      </c>
    </row>
    <row r="339" ht="15" customHeight="1">
      <c r="A339" t="inlineStr">
        <is>
          <t>A 35406-2024</t>
        </is>
      </c>
      <c r="B339" s="1" t="n">
        <v>45531.40607638889</v>
      </c>
      <c r="C339" s="1" t="n">
        <v>46185</v>
      </c>
      <c r="D339" t="inlineStr">
        <is>
          <t>VÄSTERNORRLANDS LÄN</t>
        </is>
      </c>
      <c r="E339" t="inlineStr">
        <is>
          <t>SOLLEFTEÅ</t>
        </is>
      </c>
      <c r="F339" t="inlineStr">
        <is>
          <t>SCA</t>
        </is>
      </c>
      <c r="G339" t="n">
        <v>3.5</v>
      </c>
      <c r="H339" t="n">
        <v>0</v>
      </c>
      <c r="I339" t="n">
        <v>2</v>
      </c>
      <c r="J339" t="n">
        <v>4</v>
      </c>
      <c r="K339" t="n">
        <v>0</v>
      </c>
      <c r="L339" t="n">
        <v>0</v>
      </c>
      <c r="M339" t="n">
        <v>0</v>
      </c>
      <c r="N339" t="n">
        <v>0</v>
      </c>
      <c r="O339" t="n">
        <v>4</v>
      </c>
      <c r="P339" t="n">
        <v>0</v>
      </c>
      <c r="Q339" t="n">
        <v>6</v>
      </c>
      <c r="R339" s="2" t="inlineStr">
        <is>
          <t>Blå taggsvamp
Kolflarnlav
Orange taggsvamp
Skrovlig taggsvamp
Dropptaggsvamp
Skarp dropptaggsvamp</t>
        </is>
      </c>
      <c r="S339">
        <f>HYPERLINK("https://klasma.github.io/Logging_2283/artfynd/A 35406-2024 artfynd.xlsx", "A 35406-2024")</f>
        <v/>
      </c>
      <c r="T339">
        <f>HYPERLINK("https://klasma.github.io/Logging_2283/kartor/A 35406-2024 karta.png", "A 35406-2024")</f>
        <v/>
      </c>
      <c r="V339">
        <f>HYPERLINK("https://klasma.github.io/Logging_2283/klagomål/A 35406-2024 FSC-klagomål.docx", "A 35406-2024")</f>
        <v/>
      </c>
      <c r="W339">
        <f>HYPERLINK("https://klasma.github.io/Logging_2283/klagomålsmail/A 35406-2024 FSC-klagomål mail.docx", "A 35406-2024")</f>
        <v/>
      </c>
      <c r="X339">
        <f>HYPERLINK("https://klasma.github.io/Logging_2283/tillsyn/A 35406-2024 tillsynsbegäran.docx", "A 35406-2024")</f>
        <v/>
      </c>
      <c r="Y339">
        <f>HYPERLINK("https://klasma.github.io/Logging_2283/tillsynsmail/A 35406-2024 tillsynsbegäran mail.docx", "A 35406-2024")</f>
        <v/>
      </c>
    </row>
    <row r="340" ht="15" customHeight="1">
      <c r="A340" t="inlineStr">
        <is>
          <t>A 28145-2025</t>
        </is>
      </c>
      <c r="B340" s="1" t="n">
        <v>45818.34563657407</v>
      </c>
      <c r="C340" s="1" t="n">
        <v>46185</v>
      </c>
      <c r="D340" t="inlineStr">
        <is>
          <t>VÄSTERNORRLANDS LÄN</t>
        </is>
      </c>
      <c r="E340" t="inlineStr">
        <is>
          <t>SUNDSVALL</t>
        </is>
      </c>
      <c r="F340" t="inlineStr">
        <is>
          <t>Naturvårdsverket</t>
        </is>
      </c>
      <c r="G340" t="n">
        <v>3.2</v>
      </c>
      <c r="H340" t="n">
        <v>3</v>
      </c>
      <c r="I340" t="n">
        <v>0</v>
      </c>
      <c r="J340" t="n">
        <v>5</v>
      </c>
      <c r="K340" t="n">
        <v>0</v>
      </c>
      <c r="L340" t="n">
        <v>0</v>
      </c>
      <c r="M340" t="n">
        <v>0</v>
      </c>
      <c r="N340" t="n">
        <v>0</v>
      </c>
      <c r="O340" t="n">
        <v>5</v>
      </c>
      <c r="P340" t="n">
        <v>0</v>
      </c>
      <c r="Q340" t="n">
        <v>6</v>
      </c>
      <c r="R340" s="2" t="inlineStr">
        <is>
          <t>Garnlav
Kolflarnlav
Talltita
Tretåig hackspett
Ullticka
Fläcknycklar</t>
        </is>
      </c>
      <c r="S340">
        <f>HYPERLINK("https://klasma.github.io/Logging_2281/artfynd/A 28145-2025 artfynd.xlsx", "A 28145-2025")</f>
        <v/>
      </c>
      <c r="T340">
        <f>HYPERLINK("https://klasma.github.io/Logging_2281/kartor/A 28145-2025 karta.png", "A 28145-2025")</f>
        <v/>
      </c>
      <c r="V340">
        <f>HYPERLINK("https://klasma.github.io/Logging_2281/klagomål/A 28145-2025 FSC-klagomål.docx", "A 28145-2025")</f>
        <v/>
      </c>
      <c r="W340">
        <f>HYPERLINK("https://klasma.github.io/Logging_2281/klagomålsmail/A 28145-2025 FSC-klagomål mail.docx", "A 28145-2025")</f>
        <v/>
      </c>
      <c r="X340">
        <f>HYPERLINK("https://klasma.github.io/Logging_2281/tillsyn/A 28145-2025 tillsynsbegäran.docx", "A 28145-2025")</f>
        <v/>
      </c>
      <c r="Y340">
        <f>HYPERLINK("https://klasma.github.io/Logging_2281/tillsynsmail/A 28145-2025 tillsynsbegäran mail.docx", "A 28145-2025")</f>
        <v/>
      </c>
      <c r="Z340">
        <f>HYPERLINK("https://klasma.github.io/Logging_2281/fåglar/A 28145-2025 prioriterade fågelarter.docx", "A 28145-2025")</f>
        <v/>
      </c>
    </row>
    <row r="341" ht="15" customHeight="1">
      <c r="A341" t="inlineStr">
        <is>
          <t>A 4130-2023</t>
        </is>
      </c>
      <c r="B341" s="1" t="n">
        <v>44952</v>
      </c>
      <c r="C341" s="1" t="n">
        <v>46185</v>
      </c>
      <c r="D341" t="inlineStr">
        <is>
          <t>VÄSTERNORRLANDS LÄN</t>
        </is>
      </c>
      <c r="E341" t="inlineStr">
        <is>
          <t>ÅNGE</t>
        </is>
      </c>
      <c r="F341" t="inlineStr">
        <is>
          <t>SCA</t>
        </is>
      </c>
      <c r="G341" t="n">
        <v>2.2</v>
      </c>
      <c r="H341" t="n">
        <v>3</v>
      </c>
      <c r="I341" t="n">
        <v>3</v>
      </c>
      <c r="J341" t="n">
        <v>3</v>
      </c>
      <c r="K341" t="n">
        <v>0</v>
      </c>
      <c r="L341" t="n">
        <v>0</v>
      </c>
      <c r="M341" t="n">
        <v>0</v>
      </c>
      <c r="N341" t="n">
        <v>0</v>
      </c>
      <c r="O341" t="n">
        <v>3</v>
      </c>
      <c r="P341" t="n">
        <v>0</v>
      </c>
      <c r="Q341" t="n">
        <v>6</v>
      </c>
      <c r="R341" s="2" t="inlineStr">
        <is>
          <t>Höstlåsbräken
Järpe
Månlåsbräken
Grönkulla
Spetsvaxing
Ängsfingersvamp</t>
        </is>
      </c>
      <c r="S341">
        <f>HYPERLINK("https://klasma.github.io/Logging_2260/artfynd/A 4130-2023 artfynd.xlsx", "A 4130-2023")</f>
        <v/>
      </c>
      <c r="T341">
        <f>HYPERLINK("https://klasma.github.io/Logging_2260/kartor/A 4130-2023 karta.png", "A 4130-2023")</f>
        <v/>
      </c>
      <c r="U341">
        <f>HYPERLINK("https://klasma.github.io/Logging_2260/knärot/A 4130-2023 karta knärot.png", "A 4130-2023")</f>
        <v/>
      </c>
      <c r="V341">
        <f>HYPERLINK("https://klasma.github.io/Logging_2260/klagomål/A 4130-2023 FSC-klagomål.docx", "A 4130-2023")</f>
        <v/>
      </c>
      <c r="W341">
        <f>HYPERLINK("https://klasma.github.io/Logging_2260/klagomålsmail/A 4130-2023 FSC-klagomål mail.docx", "A 4130-2023")</f>
        <v/>
      </c>
      <c r="X341">
        <f>HYPERLINK("https://klasma.github.io/Logging_2260/tillsyn/A 4130-2023 tillsynsbegäran.docx", "A 4130-2023")</f>
        <v/>
      </c>
      <c r="Y341">
        <f>HYPERLINK("https://klasma.github.io/Logging_2260/tillsynsmail/A 4130-2023 tillsynsbegäran mail.docx", "A 4130-2023")</f>
        <v/>
      </c>
      <c r="Z341">
        <f>HYPERLINK("https://klasma.github.io/Logging_2260/fåglar/A 4130-2023 prioriterade fågelarter.docx", "A 4130-2023")</f>
        <v/>
      </c>
    </row>
    <row r="342" ht="15" customHeight="1">
      <c r="A342" t="inlineStr">
        <is>
          <t>A 43818-2024</t>
        </is>
      </c>
      <c r="B342" s="1" t="n">
        <v>45571</v>
      </c>
      <c r="C342" s="1" t="n">
        <v>46185</v>
      </c>
      <c r="D342" t="inlineStr">
        <is>
          <t>VÄSTERNORRLANDS LÄN</t>
        </is>
      </c>
      <c r="E342" t="inlineStr">
        <is>
          <t>SUNDSVALL</t>
        </is>
      </c>
      <c r="G342" t="n">
        <v>3.1</v>
      </c>
      <c r="H342" t="n">
        <v>2</v>
      </c>
      <c r="I342" t="n">
        <v>1</v>
      </c>
      <c r="J342" t="n">
        <v>4</v>
      </c>
      <c r="K342" t="n">
        <v>1</v>
      </c>
      <c r="L342" t="n">
        <v>0</v>
      </c>
      <c r="M342" t="n">
        <v>0</v>
      </c>
      <c r="N342" t="n">
        <v>0</v>
      </c>
      <c r="O342" t="n">
        <v>5</v>
      </c>
      <c r="P342" t="n">
        <v>1</v>
      </c>
      <c r="Q342" t="n">
        <v>6</v>
      </c>
      <c r="R342" s="2" t="inlineStr">
        <is>
          <t>Knärot
Tallticka
Tretåig hackspett
Ullticka
Vitgrynig nållav
Vedticka</t>
        </is>
      </c>
      <c r="S342">
        <f>HYPERLINK("https://klasma.github.io/Logging_2281/artfynd/A 43818-2024 artfynd.xlsx", "A 43818-2024")</f>
        <v/>
      </c>
      <c r="T342">
        <f>HYPERLINK("https://klasma.github.io/Logging_2281/kartor/A 43818-2024 karta.png", "A 43818-2024")</f>
        <v/>
      </c>
      <c r="U342">
        <f>HYPERLINK("https://klasma.github.io/Logging_2281/knärot/A 43818-2024 karta knärot.png", "A 43818-2024")</f>
        <v/>
      </c>
      <c r="V342">
        <f>HYPERLINK("https://klasma.github.io/Logging_2281/klagomål/A 43818-2024 FSC-klagomål.docx", "A 43818-2024")</f>
        <v/>
      </c>
      <c r="W342">
        <f>HYPERLINK("https://klasma.github.io/Logging_2281/klagomålsmail/A 43818-2024 FSC-klagomål mail.docx", "A 43818-2024")</f>
        <v/>
      </c>
      <c r="X342">
        <f>HYPERLINK("https://klasma.github.io/Logging_2281/tillsyn/A 43818-2024 tillsynsbegäran.docx", "A 43818-2024")</f>
        <v/>
      </c>
      <c r="Y342">
        <f>HYPERLINK("https://klasma.github.io/Logging_2281/tillsynsmail/A 43818-2024 tillsynsbegäran mail.docx", "A 43818-2024")</f>
        <v/>
      </c>
      <c r="Z342">
        <f>HYPERLINK("https://klasma.github.io/Logging_2281/fåglar/A 43818-2024 prioriterade fågelarter.docx", "A 43818-2024")</f>
        <v/>
      </c>
    </row>
    <row r="343" ht="15" customHeight="1">
      <c r="A343" t="inlineStr">
        <is>
          <t>A 32938-2025</t>
        </is>
      </c>
      <c r="B343" s="1" t="n">
        <v>45839.67746527777</v>
      </c>
      <c r="C343" s="1" t="n">
        <v>46185</v>
      </c>
      <c r="D343" t="inlineStr">
        <is>
          <t>VÄSTERNORRLANDS LÄN</t>
        </is>
      </c>
      <c r="E343" t="inlineStr">
        <is>
          <t>SUNDSVALL</t>
        </is>
      </c>
      <c r="F343" t="inlineStr">
        <is>
          <t>SCA</t>
        </is>
      </c>
      <c r="G343" t="n">
        <v>2.4</v>
      </c>
      <c r="H343" t="n">
        <v>4</v>
      </c>
      <c r="I343" t="n">
        <v>0</v>
      </c>
      <c r="J343" t="n">
        <v>4</v>
      </c>
      <c r="K343" t="n">
        <v>1</v>
      </c>
      <c r="L343" t="n">
        <v>0</v>
      </c>
      <c r="M343" t="n">
        <v>0</v>
      </c>
      <c r="N343" t="n">
        <v>0</v>
      </c>
      <c r="O343" t="n">
        <v>5</v>
      </c>
      <c r="P343" t="n">
        <v>1</v>
      </c>
      <c r="Q343" t="n">
        <v>6</v>
      </c>
      <c r="R343" s="2" t="inlineStr">
        <is>
          <t>Knärot
Garnlav
Spillkråka
Tallticka
Tretåig hackspett
Revlummer</t>
        </is>
      </c>
      <c r="S343">
        <f>HYPERLINK("https://klasma.github.io/Logging_2281/artfynd/A 32938-2025 artfynd.xlsx", "A 32938-2025")</f>
        <v/>
      </c>
      <c r="T343">
        <f>HYPERLINK("https://klasma.github.io/Logging_2281/kartor/A 32938-2025 karta.png", "A 32938-2025")</f>
        <v/>
      </c>
      <c r="U343">
        <f>HYPERLINK("https://klasma.github.io/Logging_2281/knärot/A 32938-2025 karta knärot.png", "A 32938-2025")</f>
        <v/>
      </c>
      <c r="V343">
        <f>HYPERLINK("https://klasma.github.io/Logging_2281/klagomål/A 32938-2025 FSC-klagomål.docx", "A 32938-2025")</f>
        <v/>
      </c>
      <c r="W343">
        <f>HYPERLINK("https://klasma.github.io/Logging_2281/klagomålsmail/A 32938-2025 FSC-klagomål mail.docx", "A 32938-2025")</f>
        <v/>
      </c>
      <c r="X343">
        <f>HYPERLINK("https://klasma.github.io/Logging_2281/tillsyn/A 32938-2025 tillsynsbegäran.docx", "A 32938-2025")</f>
        <v/>
      </c>
      <c r="Y343">
        <f>HYPERLINK("https://klasma.github.io/Logging_2281/tillsynsmail/A 32938-2025 tillsynsbegäran mail.docx", "A 32938-2025")</f>
        <v/>
      </c>
      <c r="Z343">
        <f>HYPERLINK("https://klasma.github.io/Logging_2281/fåglar/A 32938-2025 prioriterade fågelarter.docx", "A 32938-2025")</f>
        <v/>
      </c>
    </row>
    <row r="344" ht="15" customHeight="1">
      <c r="A344" t="inlineStr">
        <is>
          <t>A 33321-2025</t>
        </is>
      </c>
      <c r="B344" s="1" t="n">
        <v>45841.34490740741</v>
      </c>
      <c r="C344" s="1" t="n">
        <v>46185</v>
      </c>
      <c r="D344" t="inlineStr">
        <is>
          <t>VÄSTERNORRLANDS LÄN</t>
        </is>
      </c>
      <c r="E344" t="inlineStr">
        <is>
          <t>SOLLEFTEÅ</t>
        </is>
      </c>
      <c r="F344" t="inlineStr">
        <is>
          <t>SCA</t>
        </is>
      </c>
      <c r="G344" t="n">
        <v>3</v>
      </c>
      <c r="H344" t="n">
        <v>3</v>
      </c>
      <c r="I344" t="n">
        <v>2</v>
      </c>
      <c r="J344" t="n">
        <v>0</v>
      </c>
      <c r="K344" t="n">
        <v>3</v>
      </c>
      <c r="L344" t="n">
        <v>0</v>
      </c>
      <c r="M344" t="n">
        <v>0</v>
      </c>
      <c r="N344" t="n">
        <v>0</v>
      </c>
      <c r="O344" t="n">
        <v>3</v>
      </c>
      <c r="P344" t="n">
        <v>3</v>
      </c>
      <c r="Q344" t="n">
        <v>6</v>
      </c>
      <c r="R344" s="2" t="inlineStr">
        <is>
          <t>Gräddporing
Knärot
Laxporing
Grönpyrola
Plattlummer
Revlummer</t>
        </is>
      </c>
      <c r="S344">
        <f>HYPERLINK("https://klasma.github.io/Logging_2283/artfynd/A 33321-2025 artfynd.xlsx", "A 33321-2025")</f>
        <v/>
      </c>
      <c r="T344">
        <f>HYPERLINK("https://klasma.github.io/Logging_2283/kartor/A 33321-2025 karta.png", "A 33321-2025")</f>
        <v/>
      </c>
      <c r="U344">
        <f>HYPERLINK("https://klasma.github.io/Logging_2283/knärot/A 33321-2025 karta knärot.png", "A 33321-2025")</f>
        <v/>
      </c>
      <c r="V344">
        <f>HYPERLINK("https://klasma.github.io/Logging_2283/klagomål/A 33321-2025 FSC-klagomål.docx", "A 33321-2025")</f>
        <v/>
      </c>
      <c r="W344">
        <f>HYPERLINK("https://klasma.github.io/Logging_2283/klagomålsmail/A 33321-2025 FSC-klagomål mail.docx", "A 33321-2025")</f>
        <v/>
      </c>
      <c r="X344">
        <f>HYPERLINK("https://klasma.github.io/Logging_2283/tillsyn/A 33321-2025 tillsynsbegäran.docx", "A 33321-2025")</f>
        <v/>
      </c>
      <c r="Y344">
        <f>HYPERLINK("https://klasma.github.io/Logging_2283/tillsynsmail/A 33321-2025 tillsynsbegäran mail.docx", "A 33321-2025")</f>
        <v/>
      </c>
    </row>
    <row r="345" ht="15" customHeight="1">
      <c r="A345" t="inlineStr">
        <is>
          <t>A 58518-2022</t>
        </is>
      </c>
      <c r="B345" s="1" t="n">
        <v>44902</v>
      </c>
      <c r="C345" s="1" t="n">
        <v>46185</v>
      </c>
      <c r="D345" t="inlineStr">
        <is>
          <t>VÄSTERNORRLANDS LÄN</t>
        </is>
      </c>
      <c r="E345" t="inlineStr">
        <is>
          <t>SUNDSVALL</t>
        </is>
      </c>
      <c r="G345" t="n">
        <v>11.5</v>
      </c>
      <c r="H345" t="n">
        <v>6</v>
      </c>
      <c r="I345" t="n">
        <v>0</v>
      </c>
      <c r="J345" t="n">
        <v>6</v>
      </c>
      <c r="K345" t="n">
        <v>0</v>
      </c>
      <c r="L345" t="n">
        <v>0</v>
      </c>
      <c r="M345" t="n">
        <v>0</v>
      </c>
      <c r="N345" t="n">
        <v>0</v>
      </c>
      <c r="O345" t="n">
        <v>6</v>
      </c>
      <c r="P345" t="n">
        <v>0</v>
      </c>
      <c r="Q345" t="n">
        <v>6</v>
      </c>
      <c r="R345" s="2" t="inlineStr">
        <is>
          <t>Björktrast
Drillsnäppa
Havsörn
Spillkråka
Sötgräs
Tretåig hackspett</t>
        </is>
      </c>
      <c r="S345">
        <f>HYPERLINK("https://klasma.github.io/Logging_2281/artfynd/A 58518-2022 artfynd.xlsx", "A 58518-2022")</f>
        <v/>
      </c>
      <c r="T345">
        <f>HYPERLINK("https://klasma.github.io/Logging_2281/kartor/A 58518-2022 karta.png", "A 58518-2022")</f>
        <v/>
      </c>
      <c r="V345">
        <f>HYPERLINK("https://klasma.github.io/Logging_2281/klagomål/A 58518-2022 FSC-klagomål.docx", "A 58518-2022")</f>
        <v/>
      </c>
      <c r="W345">
        <f>HYPERLINK("https://klasma.github.io/Logging_2281/klagomålsmail/A 58518-2022 FSC-klagomål mail.docx", "A 58518-2022")</f>
        <v/>
      </c>
      <c r="X345">
        <f>HYPERLINK("https://klasma.github.io/Logging_2281/tillsyn/A 58518-2022 tillsynsbegäran.docx", "A 58518-2022")</f>
        <v/>
      </c>
      <c r="Y345">
        <f>HYPERLINK("https://klasma.github.io/Logging_2281/tillsynsmail/A 58518-2022 tillsynsbegäran mail.docx", "A 58518-2022")</f>
        <v/>
      </c>
      <c r="Z345">
        <f>HYPERLINK("https://klasma.github.io/Logging_2281/fåglar/A 58518-2022 prioriterade fågelarter.docx", "A 58518-2022")</f>
        <v/>
      </c>
    </row>
    <row r="346" ht="15" customHeight="1">
      <c r="A346" t="inlineStr">
        <is>
          <t>A 53829-2024</t>
        </is>
      </c>
      <c r="B346" s="1" t="n">
        <v>45615.6153125</v>
      </c>
      <c r="C346" s="1" t="n">
        <v>46185</v>
      </c>
      <c r="D346" t="inlineStr">
        <is>
          <t>VÄSTERNORRLANDS LÄN</t>
        </is>
      </c>
      <c r="E346" t="inlineStr">
        <is>
          <t>SOLLEFTEÅ</t>
        </is>
      </c>
      <c r="F346" t="inlineStr">
        <is>
          <t>SCA</t>
        </is>
      </c>
      <c r="G346" t="n">
        <v>12</v>
      </c>
      <c r="H346" t="n">
        <v>0</v>
      </c>
      <c r="I346" t="n">
        <v>1</v>
      </c>
      <c r="J346" t="n">
        <v>5</v>
      </c>
      <c r="K346" t="n">
        <v>0</v>
      </c>
      <c r="L346" t="n">
        <v>0</v>
      </c>
      <c r="M346" t="n">
        <v>0</v>
      </c>
      <c r="N346" t="n">
        <v>0</v>
      </c>
      <c r="O346" t="n">
        <v>5</v>
      </c>
      <c r="P346" t="n">
        <v>0</v>
      </c>
      <c r="Q346" t="n">
        <v>6</v>
      </c>
      <c r="R346" s="2" t="inlineStr">
        <is>
          <t>Blå taggsvamp
Granticka
Lunglav
Orange taggsvamp
Tallticka
Dropptaggsvamp</t>
        </is>
      </c>
      <c r="S346">
        <f>HYPERLINK("https://klasma.github.io/Logging_2283/artfynd/A 53829-2024 artfynd.xlsx", "A 53829-2024")</f>
        <v/>
      </c>
      <c r="T346">
        <f>HYPERLINK("https://klasma.github.io/Logging_2283/kartor/A 53829-2024 karta.png", "A 53829-2024")</f>
        <v/>
      </c>
      <c r="V346">
        <f>HYPERLINK("https://klasma.github.io/Logging_2283/klagomål/A 53829-2024 FSC-klagomål.docx", "A 53829-2024")</f>
        <v/>
      </c>
      <c r="W346">
        <f>HYPERLINK("https://klasma.github.io/Logging_2283/klagomålsmail/A 53829-2024 FSC-klagomål mail.docx", "A 53829-2024")</f>
        <v/>
      </c>
      <c r="X346">
        <f>HYPERLINK("https://klasma.github.io/Logging_2283/tillsyn/A 53829-2024 tillsynsbegäran.docx", "A 53829-2024")</f>
        <v/>
      </c>
      <c r="Y346">
        <f>HYPERLINK("https://klasma.github.io/Logging_2283/tillsynsmail/A 53829-2024 tillsynsbegäran mail.docx", "A 53829-2024")</f>
        <v/>
      </c>
    </row>
    <row r="347" ht="15" customHeight="1">
      <c r="A347" t="inlineStr">
        <is>
          <t>A 45402-2025</t>
        </is>
      </c>
      <c r="B347" s="1" t="n">
        <v>45922.4278587963</v>
      </c>
      <c r="C347" s="1" t="n">
        <v>46185</v>
      </c>
      <c r="D347" t="inlineStr">
        <is>
          <t>VÄSTERNORRLANDS LÄN</t>
        </is>
      </c>
      <c r="E347" t="inlineStr">
        <is>
          <t>ÅNGE</t>
        </is>
      </c>
      <c r="F347" t="inlineStr">
        <is>
          <t>SCA</t>
        </is>
      </c>
      <c r="G347" t="n">
        <v>2.9</v>
      </c>
      <c r="H347" t="n">
        <v>0</v>
      </c>
      <c r="I347" t="n">
        <v>2</v>
      </c>
      <c r="J347" t="n">
        <v>4</v>
      </c>
      <c r="K347" t="n">
        <v>0</v>
      </c>
      <c r="L347" t="n">
        <v>0</v>
      </c>
      <c r="M347" t="n">
        <v>0</v>
      </c>
      <c r="N347" t="n">
        <v>0</v>
      </c>
      <c r="O347" t="n">
        <v>4</v>
      </c>
      <c r="P347" t="n">
        <v>0</v>
      </c>
      <c r="Q347" t="n">
        <v>6</v>
      </c>
      <c r="R347" s="2" t="inlineStr">
        <is>
          <t>Garnlav
Kolflarnlav
Lunglav
Ullticka
Dropptaggsvamp
Vedticka</t>
        </is>
      </c>
      <c r="S347">
        <f>HYPERLINK("https://klasma.github.io/Logging_2260/artfynd/A 45402-2025 artfynd.xlsx", "A 45402-2025")</f>
        <v/>
      </c>
      <c r="T347">
        <f>HYPERLINK("https://klasma.github.io/Logging_2260/kartor/A 45402-2025 karta.png", "A 45402-2025")</f>
        <v/>
      </c>
      <c r="V347">
        <f>HYPERLINK("https://klasma.github.io/Logging_2260/klagomål/A 45402-2025 FSC-klagomål.docx", "A 45402-2025")</f>
        <v/>
      </c>
      <c r="W347">
        <f>HYPERLINK("https://klasma.github.io/Logging_2260/klagomålsmail/A 45402-2025 FSC-klagomål mail.docx", "A 45402-2025")</f>
        <v/>
      </c>
      <c r="X347">
        <f>HYPERLINK("https://klasma.github.io/Logging_2260/tillsyn/A 45402-2025 tillsynsbegäran.docx", "A 45402-2025")</f>
        <v/>
      </c>
      <c r="Y347">
        <f>HYPERLINK("https://klasma.github.io/Logging_2260/tillsynsmail/A 45402-2025 tillsynsbegäran mail.docx", "A 45402-2025")</f>
        <v/>
      </c>
    </row>
    <row r="348" ht="15" customHeight="1">
      <c r="A348" t="inlineStr">
        <is>
          <t>A 46423-2024</t>
        </is>
      </c>
      <c r="B348" s="1" t="n">
        <v>45582.4652199074</v>
      </c>
      <c r="C348" s="1" t="n">
        <v>46185</v>
      </c>
      <c r="D348" t="inlineStr">
        <is>
          <t>VÄSTERNORRLANDS LÄN</t>
        </is>
      </c>
      <c r="E348" t="inlineStr">
        <is>
          <t>ÖRNSKÖLDSVIK</t>
        </is>
      </c>
      <c r="G348" t="n">
        <v>2.4</v>
      </c>
      <c r="H348" t="n">
        <v>1</v>
      </c>
      <c r="I348" t="n">
        <v>0</v>
      </c>
      <c r="J348" t="n">
        <v>5</v>
      </c>
      <c r="K348" t="n">
        <v>1</v>
      </c>
      <c r="L348" t="n">
        <v>0</v>
      </c>
      <c r="M348" t="n">
        <v>0</v>
      </c>
      <c r="N348" t="n">
        <v>0</v>
      </c>
      <c r="O348" t="n">
        <v>6</v>
      </c>
      <c r="P348" t="n">
        <v>1</v>
      </c>
      <c r="Q348" t="n">
        <v>6</v>
      </c>
      <c r="R348" s="2" t="inlineStr">
        <is>
          <t>Rynkskinn
Garnlav
Lunglav
Rosenticka
Talltita
Ullticka</t>
        </is>
      </c>
      <c r="S348">
        <f>HYPERLINK("https://klasma.github.io/Logging_2284/artfynd/A 46423-2024 artfynd.xlsx", "A 46423-2024")</f>
        <v/>
      </c>
      <c r="T348">
        <f>HYPERLINK("https://klasma.github.io/Logging_2284/kartor/A 46423-2024 karta.png", "A 46423-2024")</f>
        <v/>
      </c>
      <c r="V348">
        <f>HYPERLINK("https://klasma.github.io/Logging_2284/klagomål/A 46423-2024 FSC-klagomål.docx", "A 46423-2024")</f>
        <v/>
      </c>
      <c r="W348">
        <f>HYPERLINK("https://klasma.github.io/Logging_2284/klagomålsmail/A 46423-2024 FSC-klagomål mail.docx", "A 46423-2024")</f>
        <v/>
      </c>
      <c r="X348">
        <f>HYPERLINK("https://klasma.github.io/Logging_2284/tillsyn/A 46423-2024 tillsynsbegäran.docx", "A 46423-2024")</f>
        <v/>
      </c>
      <c r="Y348">
        <f>HYPERLINK("https://klasma.github.io/Logging_2284/tillsynsmail/A 46423-2024 tillsynsbegäran mail.docx", "A 46423-2024")</f>
        <v/>
      </c>
      <c r="Z348">
        <f>HYPERLINK("https://klasma.github.io/Logging_2284/fåglar/A 46423-2024 prioriterade fågelarter.docx", "A 46423-2024")</f>
        <v/>
      </c>
    </row>
    <row r="349" ht="15" customHeight="1">
      <c r="A349" t="inlineStr">
        <is>
          <t>A 26594-2022</t>
        </is>
      </c>
      <c r="B349" s="1" t="n">
        <v>44739</v>
      </c>
      <c r="C349" s="1" t="n">
        <v>46185</v>
      </c>
      <c r="D349" t="inlineStr">
        <is>
          <t>VÄSTERNORRLANDS LÄN</t>
        </is>
      </c>
      <c r="E349" t="inlineStr">
        <is>
          <t>SOLLEFTEÅ</t>
        </is>
      </c>
      <c r="F349" t="inlineStr">
        <is>
          <t>Holmen skog AB</t>
        </is>
      </c>
      <c r="G349" t="n">
        <v>1.6</v>
      </c>
      <c r="H349" t="n">
        <v>4</v>
      </c>
      <c r="I349" t="n">
        <v>0</v>
      </c>
      <c r="J349" t="n">
        <v>4</v>
      </c>
      <c r="K349" t="n">
        <v>1</v>
      </c>
      <c r="L349" t="n">
        <v>0</v>
      </c>
      <c r="M349" t="n">
        <v>0</v>
      </c>
      <c r="N349" t="n">
        <v>0</v>
      </c>
      <c r="O349" t="n">
        <v>5</v>
      </c>
      <c r="P349" t="n">
        <v>1</v>
      </c>
      <c r="Q349" t="n">
        <v>6</v>
      </c>
      <c r="R349" s="2" t="inlineStr">
        <is>
          <t>Knärot
Garnlav
Granticka
Spillkråka
Talltita
Tjäder</t>
        </is>
      </c>
      <c r="S349">
        <f>HYPERLINK("https://klasma.github.io/Logging_2283/artfynd/A 26594-2022 artfynd.xlsx", "A 26594-2022")</f>
        <v/>
      </c>
      <c r="T349">
        <f>HYPERLINK("https://klasma.github.io/Logging_2283/kartor/A 26594-2022 karta.png", "A 26594-2022")</f>
        <v/>
      </c>
      <c r="U349">
        <f>HYPERLINK("https://klasma.github.io/Logging_2283/knärot/A 26594-2022 karta knärot.png", "A 26594-2022")</f>
        <v/>
      </c>
      <c r="V349">
        <f>HYPERLINK("https://klasma.github.io/Logging_2283/klagomål/A 26594-2022 FSC-klagomål.docx", "A 26594-2022")</f>
        <v/>
      </c>
      <c r="W349">
        <f>HYPERLINK("https://klasma.github.io/Logging_2283/klagomålsmail/A 26594-2022 FSC-klagomål mail.docx", "A 26594-2022")</f>
        <v/>
      </c>
      <c r="X349">
        <f>HYPERLINK("https://klasma.github.io/Logging_2283/tillsyn/A 26594-2022 tillsynsbegäran.docx", "A 26594-2022")</f>
        <v/>
      </c>
      <c r="Y349">
        <f>HYPERLINK("https://klasma.github.io/Logging_2283/tillsynsmail/A 26594-2022 tillsynsbegäran mail.docx", "A 26594-2022")</f>
        <v/>
      </c>
      <c r="Z349">
        <f>HYPERLINK("https://klasma.github.io/Logging_2283/fåglar/A 26594-2022 prioriterade fågelarter.docx", "A 26594-2022")</f>
        <v/>
      </c>
    </row>
    <row r="350" ht="15" customHeight="1">
      <c r="A350" t="inlineStr">
        <is>
          <t>A 35632-2025</t>
        </is>
      </c>
      <c r="B350" s="1" t="n">
        <v>45859.44893518519</v>
      </c>
      <c r="C350" s="1" t="n">
        <v>46185</v>
      </c>
      <c r="D350" t="inlineStr">
        <is>
          <t>VÄSTERNORRLANDS LÄN</t>
        </is>
      </c>
      <c r="E350" t="inlineStr">
        <is>
          <t>SOLLEFTEÅ</t>
        </is>
      </c>
      <c r="F350" t="inlineStr">
        <is>
          <t>SCA</t>
        </is>
      </c>
      <c r="G350" t="n">
        <v>6.1</v>
      </c>
      <c r="H350" t="n">
        <v>2</v>
      </c>
      <c r="I350" t="n">
        <v>3</v>
      </c>
      <c r="J350" t="n">
        <v>3</v>
      </c>
      <c r="K350" t="n">
        <v>0</v>
      </c>
      <c r="L350" t="n">
        <v>0</v>
      </c>
      <c r="M350" t="n">
        <v>0</v>
      </c>
      <c r="N350" t="n">
        <v>0</v>
      </c>
      <c r="O350" t="n">
        <v>3</v>
      </c>
      <c r="P350" t="n">
        <v>0</v>
      </c>
      <c r="Q350" t="n">
        <v>6</v>
      </c>
      <c r="R350" s="2" t="inlineStr">
        <is>
          <t>Björktrast
Kolflarnlav
Vaddporing
Bollvitmossa
Plattlummer
Zontaggsvamp</t>
        </is>
      </c>
      <c r="S350">
        <f>HYPERLINK("https://klasma.github.io/Logging_2283/artfynd/A 35632-2025 artfynd.xlsx", "A 35632-2025")</f>
        <v/>
      </c>
      <c r="T350">
        <f>HYPERLINK("https://klasma.github.io/Logging_2283/kartor/A 35632-2025 karta.png", "A 35632-2025")</f>
        <v/>
      </c>
      <c r="V350">
        <f>HYPERLINK("https://klasma.github.io/Logging_2283/klagomål/A 35632-2025 FSC-klagomål.docx", "A 35632-2025")</f>
        <v/>
      </c>
      <c r="W350">
        <f>HYPERLINK("https://klasma.github.io/Logging_2283/klagomålsmail/A 35632-2025 FSC-klagomål mail.docx", "A 35632-2025")</f>
        <v/>
      </c>
      <c r="X350">
        <f>HYPERLINK("https://klasma.github.io/Logging_2283/tillsyn/A 35632-2025 tillsynsbegäran.docx", "A 35632-2025")</f>
        <v/>
      </c>
      <c r="Y350">
        <f>HYPERLINK("https://klasma.github.io/Logging_2283/tillsynsmail/A 35632-2025 tillsynsbegäran mail.docx", "A 35632-2025")</f>
        <v/>
      </c>
      <c r="Z350">
        <f>HYPERLINK("https://klasma.github.io/Logging_2283/fåglar/A 35632-2025 prioriterade fågelarter.docx", "A 35632-2025")</f>
        <v/>
      </c>
    </row>
    <row r="351" ht="15" customHeight="1">
      <c r="A351" t="inlineStr">
        <is>
          <t>A 35994-2025</t>
        </is>
      </c>
      <c r="B351" s="1" t="n">
        <v>45863.49002314815</v>
      </c>
      <c r="C351" s="1" t="n">
        <v>46185</v>
      </c>
      <c r="D351" t="inlineStr">
        <is>
          <t>VÄSTERNORRLANDS LÄN</t>
        </is>
      </c>
      <c r="E351" t="inlineStr">
        <is>
          <t>ÖRNSKÖLDSVIK</t>
        </is>
      </c>
      <c r="F351" t="inlineStr">
        <is>
          <t>SCA</t>
        </is>
      </c>
      <c r="G351" t="n">
        <v>3.3</v>
      </c>
      <c r="H351" t="n">
        <v>0</v>
      </c>
      <c r="I351" t="n">
        <v>3</v>
      </c>
      <c r="J351" t="n">
        <v>3</v>
      </c>
      <c r="K351" t="n">
        <v>0</v>
      </c>
      <c r="L351" t="n">
        <v>0</v>
      </c>
      <c r="M351" t="n">
        <v>0</v>
      </c>
      <c r="N351" t="n">
        <v>0</v>
      </c>
      <c r="O351" t="n">
        <v>3</v>
      </c>
      <c r="P351" t="n">
        <v>0</v>
      </c>
      <c r="Q351" t="n">
        <v>6</v>
      </c>
      <c r="R351" s="2" t="inlineStr">
        <is>
          <t>Gammelgransskål
Garnlav
Ullticka
Barkkornlav
Mörk husmossa
Stuplav</t>
        </is>
      </c>
      <c r="S351">
        <f>HYPERLINK("https://klasma.github.io/Logging_2284/artfynd/A 35994-2025 artfynd.xlsx", "A 35994-2025")</f>
        <v/>
      </c>
      <c r="T351">
        <f>HYPERLINK("https://klasma.github.io/Logging_2284/kartor/A 35994-2025 karta.png", "A 35994-2025")</f>
        <v/>
      </c>
      <c r="V351">
        <f>HYPERLINK("https://klasma.github.io/Logging_2284/klagomål/A 35994-2025 FSC-klagomål.docx", "A 35994-2025")</f>
        <v/>
      </c>
      <c r="W351">
        <f>HYPERLINK("https://klasma.github.io/Logging_2284/klagomålsmail/A 35994-2025 FSC-klagomål mail.docx", "A 35994-2025")</f>
        <v/>
      </c>
      <c r="X351">
        <f>HYPERLINK("https://klasma.github.io/Logging_2284/tillsyn/A 35994-2025 tillsynsbegäran.docx", "A 35994-2025")</f>
        <v/>
      </c>
      <c r="Y351">
        <f>HYPERLINK("https://klasma.github.io/Logging_2284/tillsynsmail/A 35994-2025 tillsynsbegäran mail.docx", "A 35994-2025")</f>
        <v/>
      </c>
    </row>
    <row r="352" ht="15" customHeight="1">
      <c r="A352" t="inlineStr">
        <is>
          <t>A 45692-2025</t>
        </is>
      </c>
      <c r="B352" s="1" t="n">
        <v>45923</v>
      </c>
      <c r="C352" s="1" t="n">
        <v>46185</v>
      </c>
      <c r="D352" t="inlineStr">
        <is>
          <t>VÄSTERNORRLANDS LÄN</t>
        </is>
      </c>
      <c r="E352" t="inlineStr">
        <is>
          <t>SOLLEFTEÅ</t>
        </is>
      </c>
      <c r="F352" t="inlineStr">
        <is>
          <t>SCA</t>
        </is>
      </c>
      <c r="G352" t="n">
        <v>4.9</v>
      </c>
      <c r="H352" t="n">
        <v>2</v>
      </c>
      <c r="I352" t="n">
        <v>1</v>
      </c>
      <c r="J352" t="n">
        <v>4</v>
      </c>
      <c r="K352" t="n">
        <v>1</v>
      </c>
      <c r="L352" t="n">
        <v>0</v>
      </c>
      <c r="M352" t="n">
        <v>0</v>
      </c>
      <c r="N352" t="n">
        <v>0</v>
      </c>
      <c r="O352" t="n">
        <v>5</v>
      </c>
      <c r="P352" t="n">
        <v>1</v>
      </c>
      <c r="Q352" t="n">
        <v>6</v>
      </c>
      <c r="R352" s="2" t="inlineStr">
        <is>
          <t>Knärot
Granticka
Rosenticka
Tretåig hackspett
Ullticka
Vedticka</t>
        </is>
      </c>
      <c r="S352">
        <f>HYPERLINK("https://klasma.github.io/Logging_2283/artfynd/A 45692-2025 artfynd.xlsx", "A 45692-2025")</f>
        <v/>
      </c>
      <c r="T352">
        <f>HYPERLINK("https://klasma.github.io/Logging_2283/kartor/A 45692-2025 karta.png", "A 45692-2025")</f>
        <v/>
      </c>
      <c r="U352">
        <f>HYPERLINK("https://klasma.github.io/Logging_2283/knärot/A 45692-2025 karta knärot.png", "A 45692-2025")</f>
        <v/>
      </c>
      <c r="V352">
        <f>HYPERLINK("https://klasma.github.io/Logging_2283/klagomål/A 45692-2025 FSC-klagomål.docx", "A 45692-2025")</f>
        <v/>
      </c>
      <c r="W352">
        <f>HYPERLINK("https://klasma.github.io/Logging_2283/klagomålsmail/A 45692-2025 FSC-klagomål mail.docx", "A 45692-2025")</f>
        <v/>
      </c>
      <c r="X352">
        <f>HYPERLINK("https://klasma.github.io/Logging_2283/tillsyn/A 45692-2025 tillsynsbegäran.docx", "A 45692-2025")</f>
        <v/>
      </c>
      <c r="Y352">
        <f>HYPERLINK("https://klasma.github.io/Logging_2283/tillsynsmail/A 45692-2025 tillsynsbegäran mail.docx", "A 45692-2025")</f>
        <v/>
      </c>
      <c r="Z352">
        <f>HYPERLINK("https://klasma.github.io/Logging_2283/fåglar/A 45692-2025 prioriterade fågelarter.docx", "A 45692-2025")</f>
        <v/>
      </c>
    </row>
    <row r="353" ht="15" customHeight="1">
      <c r="A353" t="inlineStr">
        <is>
          <t>A 49528-2025</t>
        </is>
      </c>
      <c r="B353" s="1" t="n">
        <v>45939.40664351852</v>
      </c>
      <c r="C353" s="1" t="n">
        <v>46185</v>
      </c>
      <c r="D353" t="inlineStr">
        <is>
          <t>VÄSTERNORRLANDS LÄN</t>
        </is>
      </c>
      <c r="E353" t="inlineStr">
        <is>
          <t>ÅNGE</t>
        </is>
      </c>
      <c r="F353" t="inlineStr">
        <is>
          <t>SCA</t>
        </is>
      </c>
      <c r="G353" t="n">
        <v>5.6</v>
      </c>
      <c r="H353" t="n">
        <v>1</v>
      </c>
      <c r="I353" t="n">
        <v>0</v>
      </c>
      <c r="J353" t="n">
        <v>4</v>
      </c>
      <c r="K353" t="n">
        <v>1</v>
      </c>
      <c r="L353" t="n">
        <v>0</v>
      </c>
      <c r="M353" t="n">
        <v>0</v>
      </c>
      <c r="N353" t="n">
        <v>0</v>
      </c>
      <c r="O353" t="n">
        <v>5</v>
      </c>
      <c r="P353" t="n">
        <v>1</v>
      </c>
      <c r="Q353" t="n">
        <v>6</v>
      </c>
      <c r="R353" s="2" t="inlineStr">
        <is>
          <t>Rynkskinn
Garnlav
Lunglav
Ullticka
Vitgrynig nållav
Fläcknycklar</t>
        </is>
      </c>
      <c r="S353">
        <f>HYPERLINK("https://klasma.github.io/Logging_2260/artfynd/A 49528-2025 artfynd.xlsx", "A 49528-2025")</f>
        <v/>
      </c>
      <c r="T353">
        <f>HYPERLINK("https://klasma.github.io/Logging_2260/kartor/A 49528-2025 karta.png", "A 49528-2025")</f>
        <v/>
      </c>
      <c r="V353">
        <f>HYPERLINK("https://klasma.github.io/Logging_2260/klagomål/A 49528-2025 FSC-klagomål.docx", "A 49528-2025")</f>
        <v/>
      </c>
      <c r="W353">
        <f>HYPERLINK("https://klasma.github.io/Logging_2260/klagomålsmail/A 49528-2025 FSC-klagomål mail.docx", "A 49528-2025")</f>
        <v/>
      </c>
      <c r="X353">
        <f>HYPERLINK("https://klasma.github.io/Logging_2260/tillsyn/A 49528-2025 tillsynsbegäran.docx", "A 49528-2025")</f>
        <v/>
      </c>
      <c r="Y353">
        <f>HYPERLINK("https://klasma.github.io/Logging_2260/tillsynsmail/A 49528-2025 tillsynsbegäran mail.docx", "A 49528-2025")</f>
        <v/>
      </c>
    </row>
    <row r="354" ht="15" customHeight="1">
      <c r="A354" t="inlineStr">
        <is>
          <t>A 48191-2025</t>
        </is>
      </c>
      <c r="B354" s="1" t="n">
        <v>45933.46956018519</v>
      </c>
      <c r="C354" s="1" t="n">
        <v>46185</v>
      </c>
      <c r="D354" t="inlineStr">
        <is>
          <t>VÄSTERNORRLANDS LÄN</t>
        </is>
      </c>
      <c r="E354" t="inlineStr">
        <is>
          <t>ÅNGE</t>
        </is>
      </c>
      <c r="F354" t="inlineStr">
        <is>
          <t>SCA</t>
        </is>
      </c>
      <c r="G354" t="n">
        <v>9.6</v>
      </c>
      <c r="H354" t="n">
        <v>1</v>
      </c>
      <c r="I354" t="n">
        <v>1</v>
      </c>
      <c r="J354" t="n">
        <v>5</v>
      </c>
      <c r="K354" t="n">
        <v>0</v>
      </c>
      <c r="L354" t="n">
        <v>0</v>
      </c>
      <c r="M354" t="n">
        <v>0</v>
      </c>
      <c r="N354" t="n">
        <v>0</v>
      </c>
      <c r="O354" t="n">
        <v>5</v>
      </c>
      <c r="P354" t="n">
        <v>0</v>
      </c>
      <c r="Q354" t="n">
        <v>6</v>
      </c>
      <c r="R354" s="2" t="inlineStr">
        <is>
          <t>Dvärgbägarlav
Kolflarnlav
Mörk kolflarnlav
Talltita
Vedskivlav
Dropptaggsvamp</t>
        </is>
      </c>
      <c r="S354">
        <f>HYPERLINK("https://klasma.github.io/Logging_2260/artfynd/A 48191-2025 artfynd.xlsx", "A 48191-2025")</f>
        <v/>
      </c>
      <c r="T354">
        <f>HYPERLINK("https://klasma.github.io/Logging_2260/kartor/A 48191-2025 karta.png", "A 48191-2025")</f>
        <v/>
      </c>
      <c r="V354">
        <f>HYPERLINK("https://klasma.github.io/Logging_2260/klagomål/A 48191-2025 FSC-klagomål.docx", "A 48191-2025")</f>
        <v/>
      </c>
      <c r="W354">
        <f>HYPERLINK("https://klasma.github.io/Logging_2260/klagomålsmail/A 48191-2025 FSC-klagomål mail.docx", "A 48191-2025")</f>
        <v/>
      </c>
      <c r="X354">
        <f>HYPERLINK("https://klasma.github.io/Logging_2260/tillsyn/A 48191-2025 tillsynsbegäran.docx", "A 48191-2025")</f>
        <v/>
      </c>
      <c r="Y354">
        <f>HYPERLINK("https://klasma.github.io/Logging_2260/tillsynsmail/A 48191-2025 tillsynsbegäran mail.docx", "A 48191-2025")</f>
        <v/>
      </c>
      <c r="Z354">
        <f>HYPERLINK("https://klasma.github.io/Logging_2260/fåglar/A 48191-2025 prioriterade fågelarter.docx", "A 48191-2025")</f>
        <v/>
      </c>
    </row>
    <row r="355" ht="15" customHeight="1">
      <c r="A355" t="inlineStr">
        <is>
          <t>A 15666-2025</t>
        </is>
      </c>
      <c r="B355" s="1" t="n">
        <v>45748.4315625</v>
      </c>
      <c r="C355" s="1" t="n">
        <v>46185</v>
      </c>
      <c r="D355" t="inlineStr">
        <is>
          <t>VÄSTERNORRLANDS LÄN</t>
        </is>
      </c>
      <c r="E355" t="inlineStr">
        <is>
          <t>SOLLEFTEÅ</t>
        </is>
      </c>
      <c r="G355" t="n">
        <v>3.9</v>
      </c>
      <c r="H355" t="n">
        <v>1</v>
      </c>
      <c r="I355" t="n">
        <v>2</v>
      </c>
      <c r="J355" t="n">
        <v>3</v>
      </c>
      <c r="K355" t="n">
        <v>1</v>
      </c>
      <c r="L355" t="n">
        <v>0</v>
      </c>
      <c r="M355" t="n">
        <v>0</v>
      </c>
      <c r="N355" t="n">
        <v>0</v>
      </c>
      <c r="O355" t="n">
        <v>4</v>
      </c>
      <c r="P355" t="n">
        <v>1</v>
      </c>
      <c r="Q355" t="n">
        <v>6</v>
      </c>
      <c r="R355" s="2" t="inlineStr">
        <is>
          <t>Knärot
Garnlav
Rosenticka
Vedskivlav
Bårdlav
Norrlandslav</t>
        </is>
      </c>
      <c r="S355">
        <f>HYPERLINK("https://klasma.github.io/Logging_2283/artfynd/A 15666-2025 artfynd.xlsx", "A 15666-2025")</f>
        <v/>
      </c>
      <c r="T355">
        <f>HYPERLINK("https://klasma.github.io/Logging_2283/kartor/A 15666-2025 karta.png", "A 15666-2025")</f>
        <v/>
      </c>
      <c r="U355">
        <f>HYPERLINK("https://klasma.github.io/Logging_2283/knärot/A 15666-2025 karta knärot.png", "A 15666-2025")</f>
        <v/>
      </c>
      <c r="V355">
        <f>HYPERLINK("https://klasma.github.io/Logging_2283/klagomål/A 15666-2025 FSC-klagomål.docx", "A 15666-2025")</f>
        <v/>
      </c>
      <c r="W355">
        <f>HYPERLINK("https://klasma.github.io/Logging_2283/klagomålsmail/A 15666-2025 FSC-klagomål mail.docx", "A 15666-2025")</f>
        <v/>
      </c>
      <c r="X355">
        <f>HYPERLINK("https://klasma.github.io/Logging_2283/tillsyn/A 15666-2025 tillsynsbegäran.docx", "A 15666-2025")</f>
        <v/>
      </c>
      <c r="Y355">
        <f>HYPERLINK("https://klasma.github.io/Logging_2283/tillsynsmail/A 15666-2025 tillsynsbegäran mail.docx", "A 15666-2025")</f>
        <v/>
      </c>
    </row>
    <row r="356" ht="15" customHeight="1">
      <c r="A356" t="inlineStr">
        <is>
          <t>A 49747-2025</t>
        </is>
      </c>
      <c r="B356" s="1" t="n">
        <v>45940.34461805555</v>
      </c>
      <c r="C356" s="1" t="n">
        <v>46185</v>
      </c>
      <c r="D356" t="inlineStr">
        <is>
          <t>VÄSTERNORRLANDS LÄN</t>
        </is>
      </c>
      <c r="E356" t="inlineStr">
        <is>
          <t>SOLLEFTEÅ</t>
        </is>
      </c>
      <c r="F356" t="inlineStr">
        <is>
          <t>SCA</t>
        </is>
      </c>
      <c r="G356" t="n">
        <v>3.9</v>
      </c>
      <c r="H356" t="n">
        <v>2</v>
      </c>
      <c r="I356" t="n">
        <v>4</v>
      </c>
      <c r="J356" t="n">
        <v>2</v>
      </c>
      <c r="K356" t="n">
        <v>0</v>
      </c>
      <c r="L356" t="n">
        <v>0</v>
      </c>
      <c r="M356" t="n">
        <v>0</v>
      </c>
      <c r="N356" t="n">
        <v>0</v>
      </c>
      <c r="O356" t="n">
        <v>2</v>
      </c>
      <c r="P356" t="n">
        <v>0</v>
      </c>
      <c r="Q356" t="n">
        <v>6</v>
      </c>
      <c r="R356" s="2" t="inlineStr">
        <is>
          <t>Garnlav
Spillkråka
Bollvitmossa
Lappranunkel
Norrlandslav
Vedticka</t>
        </is>
      </c>
      <c r="S356">
        <f>HYPERLINK("https://klasma.github.io/Logging_2283/artfynd/A 49747-2025 artfynd.xlsx", "A 49747-2025")</f>
        <v/>
      </c>
      <c r="T356">
        <f>HYPERLINK("https://klasma.github.io/Logging_2283/kartor/A 49747-2025 karta.png", "A 49747-2025")</f>
        <v/>
      </c>
      <c r="V356">
        <f>HYPERLINK("https://klasma.github.io/Logging_2283/klagomål/A 49747-2025 FSC-klagomål.docx", "A 49747-2025")</f>
        <v/>
      </c>
      <c r="W356">
        <f>HYPERLINK("https://klasma.github.io/Logging_2283/klagomålsmail/A 49747-2025 FSC-klagomål mail.docx", "A 49747-2025")</f>
        <v/>
      </c>
      <c r="X356">
        <f>HYPERLINK("https://klasma.github.io/Logging_2283/tillsyn/A 49747-2025 tillsynsbegäran.docx", "A 49747-2025")</f>
        <v/>
      </c>
      <c r="Y356">
        <f>HYPERLINK("https://klasma.github.io/Logging_2283/tillsynsmail/A 49747-2025 tillsynsbegäran mail.docx", "A 49747-2025")</f>
        <v/>
      </c>
      <c r="Z356">
        <f>HYPERLINK("https://klasma.github.io/Logging_2283/fåglar/A 49747-2025 prioriterade fågelarter.docx", "A 49747-2025")</f>
        <v/>
      </c>
    </row>
    <row r="357" ht="15" customHeight="1">
      <c r="A357" t="inlineStr">
        <is>
          <t>A 40420-2023</t>
        </is>
      </c>
      <c r="B357" s="1" t="n">
        <v>45169</v>
      </c>
      <c r="C357" s="1" t="n">
        <v>46185</v>
      </c>
      <c r="D357" t="inlineStr">
        <is>
          <t>VÄSTERNORRLANDS LÄN</t>
        </is>
      </c>
      <c r="E357" t="inlineStr">
        <is>
          <t>SOLLEFTEÅ</t>
        </is>
      </c>
      <c r="F357" t="inlineStr">
        <is>
          <t>SCA</t>
        </is>
      </c>
      <c r="G357" t="n">
        <v>10</v>
      </c>
      <c r="H357" t="n">
        <v>2</v>
      </c>
      <c r="I357" t="n">
        <v>0</v>
      </c>
      <c r="J357" t="n">
        <v>3</v>
      </c>
      <c r="K357" t="n">
        <v>2</v>
      </c>
      <c r="L357" t="n">
        <v>0</v>
      </c>
      <c r="M357" t="n">
        <v>0</v>
      </c>
      <c r="N357" t="n">
        <v>0</v>
      </c>
      <c r="O357" t="n">
        <v>5</v>
      </c>
      <c r="P357" t="n">
        <v>2</v>
      </c>
      <c r="Q357" t="n">
        <v>6</v>
      </c>
      <c r="R357" s="2" t="inlineStr">
        <is>
          <t>Knärot
Rynkskinn
Lunglav
Rosenticka
Ullticka
Tjäder</t>
        </is>
      </c>
      <c r="S357">
        <f>HYPERLINK("https://klasma.github.io/Logging_2283/artfynd/A 40420-2023 artfynd.xlsx", "A 40420-2023")</f>
        <v/>
      </c>
      <c r="T357">
        <f>HYPERLINK("https://klasma.github.io/Logging_2283/kartor/A 40420-2023 karta.png", "A 40420-2023")</f>
        <v/>
      </c>
      <c r="U357">
        <f>HYPERLINK("https://klasma.github.io/Logging_2283/knärot/A 40420-2023 karta knärot.png", "A 40420-2023")</f>
        <v/>
      </c>
      <c r="V357">
        <f>HYPERLINK("https://klasma.github.io/Logging_2283/klagomål/A 40420-2023 FSC-klagomål.docx", "A 40420-2023")</f>
        <v/>
      </c>
      <c r="W357">
        <f>HYPERLINK("https://klasma.github.io/Logging_2283/klagomålsmail/A 40420-2023 FSC-klagomål mail.docx", "A 40420-2023")</f>
        <v/>
      </c>
      <c r="X357">
        <f>HYPERLINK("https://klasma.github.io/Logging_2283/tillsyn/A 40420-2023 tillsynsbegäran.docx", "A 40420-2023")</f>
        <v/>
      </c>
      <c r="Y357">
        <f>HYPERLINK("https://klasma.github.io/Logging_2283/tillsynsmail/A 40420-2023 tillsynsbegäran mail.docx", "A 40420-2023")</f>
        <v/>
      </c>
      <c r="Z357">
        <f>HYPERLINK("https://klasma.github.io/Logging_2283/fåglar/A 40420-2023 prioriterade fågelarter.docx", "A 40420-2023")</f>
        <v/>
      </c>
    </row>
    <row r="358" ht="15" customHeight="1">
      <c r="A358" t="inlineStr">
        <is>
          <t>A 24887-2022</t>
        </is>
      </c>
      <c r="B358" s="1" t="n">
        <v>44728</v>
      </c>
      <c r="C358" s="1" t="n">
        <v>46185</v>
      </c>
      <c r="D358" t="inlineStr">
        <is>
          <t>VÄSTERNORRLANDS LÄN</t>
        </is>
      </c>
      <c r="E358" t="inlineStr">
        <is>
          <t>SOLLEFTEÅ</t>
        </is>
      </c>
      <c r="G358" t="n">
        <v>11.4</v>
      </c>
      <c r="H358" t="n">
        <v>2</v>
      </c>
      <c r="I358" t="n">
        <v>0</v>
      </c>
      <c r="J358" t="n">
        <v>5</v>
      </c>
      <c r="K358" t="n">
        <v>1</v>
      </c>
      <c r="L358" t="n">
        <v>0</v>
      </c>
      <c r="M358" t="n">
        <v>0</v>
      </c>
      <c r="N358" t="n">
        <v>0</v>
      </c>
      <c r="O358" t="n">
        <v>6</v>
      </c>
      <c r="P358" t="n">
        <v>1</v>
      </c>
      <c r="Q358" t="n">
        <v>6</v>
      </c>
      <c r="R358" s="2" t="inlineStr">
        <is>
          <t>Knärot
Garnlav
Gränsticka
Järpe
Rosenticka
Ullticka</t>
        </is>
      </c>
      <c r="S358">
        <f>HYPERLINK("https://klasma.github.io/Logging_2283/artfynd/A 24887-2022 artfynd.xlsx", "A 24887-2022")</f>
        <v/>
      </c>
      <c r="T358">
        <f>HYPERLINK("https://klasma.github.io/Logging_2283/kartor/A 24887-2022 karta.png", "A 24887-2022")</f>
        <v/>
      </c>
      <c r="U358">
        <f>HYPERLINK("https://klasma.github.io/Logging_2283/knärot/A 24887-2022 karta knärot.png", "A 24887-2022")</f>
        <v/>
      </c>
      <c r="V358">
        <f>HYPERLINK("https://klasma.github.io/Logging_2283/klagomål/A 24887-2022 FSC-klagomål.docx", "A 24887-2022")</f>
        <v/>
      </c>
      <c r="W358">
        <f>HYPERLINK("https://klasma.github.io/Logging_2283/klagomålsmail/A 24887-2022 FSC-klagomål mail.docx", "A 24887-2022")</f>
        <v/>
      </c>
      <c r="X358">
        <f>HYPERLINK("https://klasma.github.io/Logging_2283/tillsyn/A 24887-2022 tillsynsbegäran.docx", "A 24887-2022")</f>
        <v/>
      </c>
      <c r="Y358">
        <f>HYPERLINK("https://klasma.github.io/Logging_2283/tillsynsmail/A 24887-2022 tillsynsbegäran mail.docx", "A 24887-2022")</f>
        <v/>
      </c>
      <c r="Z358">
        <f>HYPERLINK("https://klasma.github.io/Logging_2283/fåglar/A 24887-2022 prioriterade fågelarter.docx", "A 24887-2022")</f>
        <v/>
      </c>
    </row>
    <row r="359" ht="15" customHeight="1">
      <c r="A359" t="inlineStr">
        <is>
          <t>A 61323-2024</t>
        </is>
      </c>
      <c r="B359" s="1" t="n">
        <v>45646</v>
      </c>
      <c r="C359" s="1" t="n">
        <v>46185</v>
      </c>
      <c r="D359" t="inlineStr">
        <is>
          <t>VÄSTERNORRLANDS LÄN</t>
        </is>
      </c>
      <c r="E359" t="inlineStr">
        <is>
          <t>SOLLEFTEÅ</t>
        </is>
      </c>
      <c r="F359" t="inlineStr">
        <is>
          <t>SCA</t>
        </is>
      </c>
      <c r="G359" t="n">
        <v>5.2</v>
      </c>
      <c r="H359" t="n">
        <v>0</v>
      </c>
      <c r="I359" t="n">
        <v>0</v>
      </c>
      <c r="J359" t="n">
        <v>5</v>
      </c>
      <c r="K359" t="n">
        <v>1</v>
      </c>
      <c r="L359" t="n">
        <v>0</v>
      </c>
      <c r="M359" t="n">
        <v>0</v>
      </c>
      <c r="N359" t="n">
        <v>0</v>
      </c>
      <c r="O359" t="n">
        <v>6</v>
      </c>
      <c r="P359" t="n">
        <v>1</v>
      </c>
      <c r="Q359" t="n">
        <v>6</v>
      </c>
      <c r="R359" s="2" t="inlineStr">
        <is>
          <t>Ulltickeporing
Garnlav
Harticka
Rosenticka
Ullticka
Vitgrynig nållav</t>
        </is>
      </c>
      <c r="S359">
        <f>HYPERLINK("https://klasma.github.io/Logging_2283/artfynd/A 61323-2024 artfynd.xlsx", "A 61323-2024")</f>
        <v/>
      </c>
      <c r="T359">
        <f>HYPERLINK("https://klasma.github.io/Logging_2283/kartor/A 61323-2024 karta.png", "A 61323-2024")</f>
        <v/>
      </c>
      <c r="V359">
        <f>HYPERLINK("https://klasma.github.io/Logging_2283/klagomål/A 61323-2024 FSC-klagomål.docx", "A 61323-2024")</f>
        <v/>
      </c>
      <c r="W359">
        <f>HYPERLINK("https://klasma.github.io/Logging_2283/klagomålsmail/A 61323-2024 FSC-klagomål mail.docx", "A 61323-2024")</f>
        <v/>
      </c>
      <c r="X359">
        <f>HYPERLINK("https://klasma.github.io/Logging_2283/tillsyn/A 61323-2024 tillsynsbegäran.docx", "A 61323-2024")</f>
        <v/>
      </c>
      <c r="Y359">
        <f>HYPERLINK("https://klasma.github.io/Logging_2283/tillsynsmail/A 61323-2024 tillsynsbegäran mail.docx", "A 61323-2024")</f>
        <v/>
      </c>
    </row>
    <row r="360" ht="15" customHeight="1">
      <c r="A360" t="inlineStr">
        <is>
          <t>A 52601-2025</t>
        </is>
      </c>
      <c r="B360" s="1" t="n">
        <v>45954</v>
      </c>
      <c r="C360" s="1" t="n">
        <v>46185</v>
      </c>
      <c r="D360" t="inlineStr">
        <is>
          <t>VÄSTERNORRLANDS LÄN</t>
        </is>
      </c>
      <c r="E360" t="inlineStr">
        <is>
          <t>ÅNGE</t>
        </is>
      </c>
      <c r="F360" t="inlineStr">
        <is>
          <t>SCA</t>
        </is>
      </c>
      <c r="G360" t="n">
        <v>3.1</v>
      </c>
      <c r="H360" t="n">
        <v>4</v>
      </c>
      <c r="I360" t="n">
        <v>4</v>
      </c>
      <c r="J360" t="n">
        <v>1</v>
      </c>
      <c r="K360" t="n">
        <v>1</v>
      </c>
      <c r="L360" t="n">
        <v>0</v>
      </c>
      <c r="M360" t="n">
        <v>0</v>
      </c>
      <c r="N360" t="n">
        <v>0</v>
      </c>
      <c r="O360" t="n">
        <v>2</v>
      </c>
      <c r="P360" t="n">
        <v>1</v>
      </c>
      <c r="Q360" t="n">
        <v>6</v>
      </c>
      <c r="R360" s="2" t="inlineStr">
        <is>
          <t>Knärot
Garnlav
Bågpraktmossa
Korallrot
Spindelblomster
Tvåblad</t>
        </is>
      </c>
      <c r="S360">
        <f>HYPERLINK("https://klasma.github.io/Logging_2260/artfynd/A 52601-2025 artfynd.xlsx", "A 52601-2025")</f>
        <v/>
      </c>
      <c r="T360">
        <f>HYPERLINK("https://klasma.github.io/Logging_2260/kartor/A 52601-2025 karta.png", "A 52601-2025")</f>
        <v/>
      </c>
      <c r="U360">
        <f>HYPERLINK("https://klasma.github.io/Logging_2260/knärot/A 52601-2025 karta knärot.png", "A 52601-2025")</f>
        <v/>
      </c>
      <c r="V360">
        <f>HYPERLINK("https://klasma.github.io/Logging_2260/klagomål/A 52601-2025 FSC-klagomål.docx", "A 52601-2025")</f>
        <v/>
      </c>
      <c r="W360">
        <f>HYPERLINK("https://klasma.github.io/Logging_2260/klagomålsmail/A 52601-2025 FSC-klagomål mail.docx", "A 52601-2025")</f>
        <v/>
      </c>
      <c r="X360">
        <f>HYPERLINK("https://klasma.github.io/Logging_2260/tillsyn/A 52601-2025 tillsynsbegäran.docx", "A 52601-2025")</f>
        <v/>
      </c>
      <c r="Y360">
        <f>HYPERLINK("https://klasma.github.io/Logging_2260/tillsynsmail/A 52601-2025 tillsynsbegäran mail.docx", "A 52601-2025")</f>
        <v/>
      </c>
    </row>
    <row r="361" ht="15" customHeight="1">
      <c r="A361" t="inlineStr">
        <is>
          <t>A 26363-2023</t>
        </is>
      </c>
      <c r="B361" s="1" t="n">
        <v>45091</v>
      </c>
      <c r="C361" s="1" t="n">
        <v>46185</v>
      </c>
      <c r="D361" t="inlineStr">
        <is>
          <t>VÄSTERNORRLANDS LÄN</t>
        </is>
      </c>
      <c r="E361" t="inlineStr">
        <is>
          <t>ÅNGE</t>
        </is>
      </c>
      <c r="F361" t="inlineStr">
        <is>
          <t>SCA</t>
        </is>
      </c>
      <c r="G361" t="n">
        <v>3.3</v>
      </c>
      <c r="H361" t="n">
        <v>1</v>
      </c>
      <c r="I361" t="n">
        <v>0</v>
      </c>
      <c r="J361" t="n">
        <v>5</v>
      </c>
      <c r="K361" t="n">
        <v>1</v>
      </c>
      <c r="L361" t="n">
        <v>0</v>
      </c>
      <c r="M361" t="n">
        <v>0</v>
      </c>
      <c r="N361" t="n">
        <v>0</v>
      </c>
      <c r="O361" t="n">
        <v>6</v>
      </c>
      <c r="P361" t="n">
        <v>1</v>
      </c>
      <c r="Q361" t="n">
        <v>6</v>
      </c>
      <c r="R361" s="2" t="inlineStr">
        <is>
          <t>Knärot
Garnlav
Kolflarnlav
Lunglav
Mörk kolflarnlav
Violettgrå tagellav</t>
        </is>
      </c>
      <c r="S361">
        <f>HYPERLINK("https://klasma.github.io/Logging_2260/artfynd/A 26363-2023 artfynd.xlsx", "A 26363-2023")</f>
        <v/>
      </c>
      <c r="T361">
        <f>HYPERLINK("https://klasma.github.io/Logging_2260/kartor/A 26363-2023 karta.png", "A 26363-2023")</f>
        <v/>
      </c>
      <c r="U361">
        <f>HYPERLINK("https://klasma.github.io/Logging_2260/knärot/A 26363-2023 karta knärot.png", "A 26363-2023")</f>
        <v/>
      </c>
      <c r="V361">
        <f>HYPERLINK("https://klasma.github.io/Logging_2260/klagomål/A 26363-2023 FSC-klagomål.docx", "A 26363-2023")</f>
        <v/>
      </c>
      <c r="W361">
        <f>HYPERLINK("https://klasma.github.io/Logging_2260/klagomålsmail/A 26363-2023 FSC-klagomål mail.docx", "A 26363-2023")</f>
        <v/>
      </c>
      <c r="X361">
        <f>HYPERLINK("https://klasma.github.io/Logging_2260/tillsyn/A 26363-2023 tillsynsbegäran.docx", "A 26363-2023")</f>
        <v/>
      </c>
      <c r="Y361">
        <f>HYPERLINK("https://klasma.github.io/Logging_2260/tillsynsmail/A 26363-2023 tillsynsbegäran mail.docx", "A 26363-2023")</f>
        <v/>
      </c>
    </row>
    <row r="362" ht="15" customHeight="1">
      <c r="A362" t="inlineStr">
        <is>
          <t>A 33777-2024</t>
        </is>
      </c>
      <c r="B362" s="1" t="n">
        <v>45520</v>
      </c>
      <c r="C362" s="1" t="n">
        <v>46185</v>
      </c>
      <c r="D362" t="inlineStr">
        <is>
          <t>VÄSTERNORRLANDS LÄN</t>
        </is>
      </c>
      <c r="E362" t="inlineStr">
        <is>
          <t>SUNDSVALL</t>
        </is>
      </c>
      <c r="F362" t="inlineStr">
        <is>
          <t>SCA</t>
        </is>
      </c>
      <c r="G362" t="n">
        <v>7.5</v>
      </c>
      <c r="H362" t="n">
        <v>4</v>
      </c>
      <c r="I362" t="n">
        <v>0</v>
      </c>
      <c r="J362" t="n">
        <v>4</v>
      </c>
      <c r="K362" t="n">
        <v>1</v>
      </c>
      <c r="L362" t="n">
        <v>0</v>
      </c>
      <c r="M362" t="n">
        <v>0</v>
      </c>
      <c r="N362" t="n">
        <v>0</v>
      </c>
      <c r="O362" t="n">
        <v>5</v>
      </c>
      <c r="P362" t="n">
        <v>1</v>
      </c>
      <c r="Q362" t="n">
        <v>6</v>
      </c>
      <c r="R362" s="2" t="inlineStr">
        <is>
          <t>Knärot
Granticka
Spillkråka
Tretåig hackspett
Ullticka
Dubbelnycklar</t>
        </is>
      </c>
      <c r="S362">
        <f>HYPERLINK("https://klasma.github.io/Logging_2281/artfynd/A 33777-2024 artfynd.xlsx", "A 33777-2024")</f>
        <v/>
      </c>
      <c r="T362">
        <f>HYPERLINK("https://klasma.github.io/Logging_2281/kartor/A 33777-2024 karta.png", "A 33777-2024")</f>
        <v/>
      </c>
      <c r="U362">
        <f>HYPERLINK("https://klasma.github.io/Logging_2281/knärot/A 33777-2024 karta knärot.png", "A 33777-2024")</f>
        <v/>
      </c>
      <c r="V362">
        <f>HYPERLINK("https://klasma.github.io/Logging_2281/klagomål/A 33777-2024 FSC-klagomål.docx", "A 33777-2024")</f>
        <v/>
      </c>
      <c r="W362">
        <f>HYPERLINK("https://klasma.github.io/Logging_2281/klagomålsmail/A 33777-2024 FSC-klagomål mail.docx", "A 33777-2024")</f>
        <v/>
      </c>
      <c r="X362">
        <f>HYPERLINK("https://klasma.github.io/Logging_2281/tillsyn/A 33777-2024 tillsynsbegäran.docx", "A 33777-2024")</f>
        <v/>
      </c>
      <c r="Y362">
        <f>HYPERLINK("https://klasma.github.io/Logging_2281/tillsynsmail/A 33777-2024 tillsynsbegäran mail.docx", "A 33777-2024")</f>
        <v/>
      </c>
      <c r="Z362">
        <f>HYPERLINK("https://klasma.github.io/Logging_2281/fåglar/A 33777-2024 prioriterade fågelarter.docx", "A 33777-2024")</f>
        <v/>
      </c>
    </row>
    <row r="363" ht="15" customHeight="1">
      <c r="A363" t="inlineStr">
        <is>
          <t>A 59004-2025</t>
        </is>
      </c>
      <c r="B363" s="1" t="n">
        <v>45987</v>
      </c>
      <c r="C363" s="1" t="n">
        <v>46185</v>
      </c>
      <c r="D363" t="inlineStr">
        <is>
          <t>VÄSTERNORRLANDS LÄN</t>
        </is>
      </c>
      <c r="E363" t="inlineStr">
        <is>
          <t>SUNDSVALL</t>
        </is>
      </c>
      <c r="F363" t="inlineStr">
        <is>
          <t>Naturvårdsverket</t>
        </is>
      </c>
      <c r="G363" t="n">
        <v>2.2</v>
      </c>
      <c r="H363" t="n">
        <v>1</v>
      </c>
      <c r="I363" t="n">
        <v>4</v>
      </c>
      <c r="J363" t="n">
        <v>1</v>
      </c>
      <c r="K363" t="n">
        <v>1</v>
      </c>
      <c r="L363" t="n">
        <v>0</v>
      </c>
      <c r="M363" t="n">
        <v>0</v>
      </c>
      <c r="N363" t="n">
        <v>0</v>
      </c>
      <c r="O363" t="n">
        <v>2</v>
      </c>
      <c r="P363" t="n">
        <v>1</v>
      </c>
      <c r="Q363" t="n">
        <v>6</v>
      </c>
      <c r="R363" s="2" t="inlineStr">
        <is>
          <t>Knärot
Granticka
Bårdlav
Gytterlav
Skinnlav
Stuplav</t>
        </is>
      </c>
      <c r="S363">
        <f>HYPERLINK("https://klasma.github.io/Logging_2281/artfynd/A 59004-2025 artfynd.xlsx", "A 59004-2025")</f>
        <v/>
      </c>
      <c r="T363">
        <f>HYPERLINK("https://klasma.github.io/Logging_2281/kartor/A 59004-2025 karta.png", "A 59004-2025")</f>
        <v/>
      </c>
      <c r="U363">
        <f>HYPERLINK("https://klasma.github.io/Logging_2281/knärot/A 59004-2025 karta knärot.png", "A 59004-2025")</f>
        <v/>
      </c>
      <c r="V363">
        <f>HYPERLINK("https://klasma.github.io/Logging_2281/klagomål/A 59004-2025 FSC-klagomål.docx", "A 59004-2025")</f>
        <v/>
      </c>
      <c r="W363">
        <f>HYPERLINK("https://klasma.github.io/Logging_2281/klagomålsmail/A 59004-2025 FSC-klagomål mail.docx", "A 59004-2025")</f>
        <v/>
      </c>
      <c r="X363">
        <f>HYPERLINK("https://klasma.github.io/Logging_2281/tillsyn/A 59004-2025 tillsynsbegäran.docx", "A 59004-2025")</f>
        <v/>
      </c>
      <c r="Y363">
        <f>HYPERLINK("https://klasma.github.io/Logging_2281/tillsynsmail/A 59004-2025 tillsynsbegäran mail.docx", "A 59004-2025")</f>
        <v/>
      </c>
    </row>
    <row r="364" ht="15" customHeight="1">
      <c r="A364" t="inlineStr">
        <is>
          <t>A 24538-2023</t>
        </is>
      </c>
      <c r="B364" s="1" t="n">
        <v>45082.926875</v>
      </c>
      <c r="C364" s="1" t="n">
        <v>46185</v>
      </c>
      <c r="D364" t="inlineStr">
        <is>
          <t>VÄSTERNORRLANDS LÄN</t>
        </is>
      </c>
      <c r="E364" t="inlineStr">
        <is>
          <t>TIMRÅ</t>
        </is>
      </c>
      <c r="G364" t="n">
        <v>1.5</v>
      </c>
      <c r="H364" t="n">
        <v>1</v>
      </c>
      <c r="I364" t="n">
        <v>3</v>
      </c>
      <c r="J364" t="n">
        <v>2</v>
      </c>
      <c r="K364" t="n">
        <v>1</v>
      </c>
      <c r="L364" t="n">
        <v>0</v>
      </c>
      <c r="M364" t="n">
        <v>0</v>
      </c>
      <c r="N364" t="n">
        <v>0</v>
      </c>
      <c r="O364" t="n">
        <v>3</v>
      </c>
      <c r="P364" t="n">
        <v>1</v>
      </c>
      <c r="Q364" t="n">
        <v>6</v>
      </c>
      <c r="R364" s="2" t="inlineStr">
        <is>
          <t>Knärot
Grantaggsvamp
Orange taggsvamp
Dropptaggsvamp
Grönpyrola
Guldlockmossa</t>
        </is>
      </c>
      <c r="S364">
        <f>HYPERLINK("https://klasma.github.io/Logging_2262/artfynd/A 24538-2023 artfynd.xlsx", "A 24538-2023")</f>
        <v/>
      </c>
      <c r="T364">
        <f>HYPERLINK("https://klasma.github.io/Logging_2262/kartor/A 24538-2023 karta.png", "A 24538-2023")</f>
        <v/>
      </c>
      <c r="U364">
        <f>HYPERLINK("https://klasma.github.io/Logging_2262/knärot/A 24538-2023 karta knärot.png", "A 24538-2023")</f>
        <v/>
      </c>
      <c r="V364">
        <f>HYPERLINK("https://klasma.github.io/Logging_2262/klagomål/A 24538-2023 FSC-klagomål.docx", "A 24538-2023")</f>
        <v/>
      </c>
      <c r="W364">
        <f>HYPERLINK("https://klasma.github.io/Logging_2262/klagomålsmail/A 24538-2023 FSC-klagomål mail.docx", "A 24538-2023")</f>
        <v/>
      </c>
      <c r="X364">
        <f>HYPERLINK("https://klasma.github.io/Logging_2262/tillsyn/A 24538-2023 tillsynsbegäran.docx", "A 24538-2023")</f>
        <v/>
      </c>
      <c r="Y364">
        <f>HYPERLINK("https://klasma.github.io/Logging_2262/tillsynsmail/A 24538-2023 tillsynsbegäran mail.docx", "A 24538-2023")</f>
        <v/>
      </c>
    </row>
    <row r="365" ht="15" customHeight="1">
      <c r="A365" t="inlineStr">
        <is>
          <t>A 63038-2025</t>
        </is>
      </c>
      <c r="B365" s="1" t="n">
        <v>46009.61511574074</v>
      </c>
      <c r="C365" s="1" t="n">
        <v>46185</v>
      </c>
      <c r="D365" t="inlineStr">
        <is>
          <t>VÄSTERNORRLANDS LÄN</t>
        </is>
      </c>
      <c r="E365" t="inlineStr">
        <is>
          <t>SOLLEFTEÅ</t>
        </is>
      </c>
      <c r="F365" t="inlineStr">
        <is>
          <t>SCA</t>
        </is>
      </c>
      <c r="G365" t="n">
        <v>2.4</v>
      </c>
      <c r="H365" t="n">
        <v>1</v>
      </c>
      <c r="I365" t="n">
        <v>1</v>
      </c>
      <c r="J365" t="n">
        <v>4</v>
      </c>
      <c r="K365" t="n">
        <v>0</v>
      </c>
      <c r="L365" t="n">
        <v>0</v>
      </c>
      <c r="M365" t="n">
        <v>0</v>
      </c>
      <c r="N365" t="n">
        <v>0</v>
      </c>
      <c r="O365" t="n">
        <v>4</v>
      </c>
      <c r="P365" t="n">
        <v>0</v>
      </c>
      <c r="Q365" t="n">
        <v>6</v>
      </c>
      <c r="R365" s="2" t="inlineStr">
        <is>
          <t>Gammelgransskål
Garnlav
Lunglav
Violettgrå tagellav
Stuplav
Fläcknycklar</t>
        </is>
      </c>
      <c r="S365">
        <f>HYPERLINK("https://klasma.github.io/Logging_2283/artfynd/A 63038-2025 artfynd.xlsx", "A 63038-2025")</f>
        <v/>
      </c>
      <c r="T365">
        <f>HYPERLINK("https://klasma.github.io/Logging_2283/kartor/A 63038-2025 karta.png", "A 63038-2025")</f>
        <v/>
      </c>
      <c r="V365">
        <f>HYPERLINK("https://klasma.github.io/Logging_2283/klagomål/A 63038-2025 FSC-klagomål.docx", "A 63038-2025")</f>
        <v/>
      </c>
      <c r="W365">
        <f>HYPERLINK("https://klasma.github.io/Logging_2283/klagomålsmail/A 63038-2025 FSC-klagomål mail.docx", "A 63038-2025")</f>
        <v/>
      </c>
      <c r="X365">
        <f>HYPERLINK("https://klasma.github.io/Logging_2283/tillsyn/A 63038-2025 tillsynsbegäran.docx", "A 63038-2025")</f>
        <v/>
      </c>
      <c r="Y365">
        <f>HYPERLINK("https://klasma.github.io/Logging_2283/tillsynsmail/A 63038-2025 tillsynsbegäran mail.docx", "A 63038-2025")</f>
        <v/>
      </c>
    </row>
    <row r="366" ht="15" customHeight="1">
      <c r="A366" t="inlineStr">
        <is>
          <t>A 11552-2024</t>
        </is>
      </c>
      <c r="B366" s="1" t="n">
        <v>45372</v>
      </c>
      <c r="C366" s="1" t="n">
        <v>46185</v>
      </c>
      <c r="D366" t="inlineStr">
        <is>
          <t>VÄSTERNORRLANDS LÄN</t>
        </is>
      </c>
      <c r="E366" t="inlineStr">
        <is>
          <t>SOLLEFTEÅ</t>
        </is>
      </c>
      <c r="F366" t="inlineStr">
        <is>
          <t>SCA</t>
        </is>
      </c>
      <c r="G366" t="n">
        <v>2.5</v>
      </c>
      <c r="H366" t="n">
        <v>1</v>
      </c>
      <c r="I366" t="n">
        <v>0</v>
      </c>
      <c r="J366" t="n">
        <v>6</v>
      </c>
      <c r="K366" t="n">
        <v>0</v>
      </c>
      <c r="L366" t="n">
        <v>0</v>
      </c>
      <c r="M366" t="n">
        <v>0</v>
      </c>
      <c r="N366" t="n">
        <v>0</v>
      </c>
      <c r="O366" t="n">
        <v>6</v>
      </c>
      <c r="P366" t="n">
        <v>0</v>
      </c>
      <c r="Q366" t="n">
        <v>6</v>
      </c>
      <c r="R366" s="2" t="inlineStr">
        <is>
          <t>Garnlav
Lunglav
Rosenticka
Tallticka
Tretåig hackspett
Ullticka</t>
        </is>
      </c>
      <c r="S366">
        <f>HYPERLINK("https://klasma.github.io/Logging_2283/artfynd/A 11552-2024 artfynd.xlsx", "A 11552-2024")</f>
        <v/>
      </c>
      <c r="T366">
        <f>HYPERLINK("https://klasma.github.io/Logging_2283/kartor/A 11552-2024 karta.png", "A 11552-2024")</f>
        <v/>
      </c>
      <c r="V366">
        <f>HYPERLINK("https://klasma.github.io/Logging_2283/klagomål/A 11552-2024 FSC-klagomål.docx", "A 11552-2024")</f>
        <v/>
      </c>
      <c r="W366">
        <f>HYPERLINK("https://klasma.github.io/Logging_2283/klagomålsmail/A 11552-2024 FSC-klagomål mail.docx", "A 11552-2024")</f>
        <v/>
      </c>
      <c r="X366">
        <f>HYPERLINK("https://klasma.github.io/Logging_2283/tillsyn/A 11552-2024 tillsynsbegäran.docx", "A 11552-2024")</f>
        <v/>
      </c>
      <c r="Y366">
        <f>HYPERLINK("https://klasma.github.io/Logging_2283/tillsynsmail/A 11552-2024 tillsynsbegäran mail.docx", "A 11552-2024")</f>
        <v/>
      </c>
      <c r="Z366">
        <f>HYPERLINK("https://klasma.github.io/Logging_2283/fåglar/A 11552-2024 prioriterade fågelarter.docx", "A 11552-2024")</f>
        <v/>
      </c>
    </row>
    <row r="367" ht="15" customHeight="1">
      <c r="A367" t="inlineStr">
        <is>
          <t>A 23553-2024</t>
        </is>
      </c>
      <c r="B367" s="1" t="n">
        <v>45453</v>
      </c>
      <c r="C367" s="1" t="n">
        <v>46185</v>
      </c>
      <c r="D367" t="inlineStr">
        <is>
          <t>VÄSTERNORRLANDS LÄN</t>
        </is>
      </c>
      <c r="E367" t="inlineStr">
        <is>
          <t>SUNDSVALL</t>
        </is>
      </c>
      <c r="F367" t="inlineStr">
        <is>
          <t>SCA</t>
        </is>
      </c>
      <c r="G367" t="n">
        <v>2.8</v>
      </c>
      <c r="H367" t="n">
        <v>1</v>
      </c>
      <c r="I367" t="n">
        <v>3</v>
      </c>
      <c r="J367" t="n">
        <v>2</v>
      </c>
      <c r="K367" t="n">
        <v>1</v>
      </c>
      <c r="L367" t="n">
        <v>0</v>
      </c>
      <c r="M367" t="n">
        <v>0</v>
      </c>
      <c r="N367" t="n">
        <v>0</v>
      </c>
      <c r="O367" t="n">
        <v>3</v>
      </c>
      <c r="P367" t="n">
        <v>1</v>
      </c>
      <c r="Q367" t="n">
        <v>6</v>
      </c>
      <c r="R367" s="2" t="inlineStr">
        <is>
          <t>Knärot
Ullticka
Vedtrappmossa
Kattfotslav
Rödgul trumpetsvamp
Vedticka</t>
        </is>
      </c>
      <c r="S367">
        <f>HYPERLINK("https://klasma.github.io/Logging_2281/artfynd/A 23553-2024 artfynd.xlsx", "A 23553-2024")</f>
        <v/>
      </c>
      <c r="T367">
        <f>HYPERLINK("https://klasma.github.io/Logging_2281/kartor/A 23553-2024 karta.png", "A 23553-2024")</f>
        <v/>
      </c>
      <c r="U367">
        <f>HYPERLINK("https://klasma.github.io/Logging_2281/knärot/A 23553-2024 karta knärot.png", "A 23553-2024")</f>
        <v/>
      </c>
      <c r="V367">
        <f>HYPERLINK("https://klasma.github.io/Logging_2281/klagomål/A 23553-2024 FSC-klagomål.docx", "A 23553-2024")</f>
        <v/>
      </c>
      <c r="W367">
        <f>HYPERLINK("https://klasma.github.io/Logging_2281/klagomålsmail/A 23553-2024 FSC-klagomål mail.docx", "A 23553-2024")</f>
        <v/>
      </c>
      <c r="X367">
        <f>HYPERLINK("https://klasma.github.io/Logging_2281/tillsyn/A 23553-2024 tillsynsbegäran.docx", "A 23553-2024")</f>
        <v/>
      </c>
      <c r="Y367">
        <f>HYPERLINK("https://klasma.github.io/Logging_2281/tillsynsmail/A 23553-2024 tillsynsbegäran mail.docx", "A 23553-2024")</f>
        <v/>
      </c>
    </row>
    <row r="368" ht="15" customHeight="1">
      <c r="A368" t="inlineStr">
        <is>
          <t>A 55548-2024</t>
        </is>
      </c>
      <c r="B368" s="1" t="n">
        <v>45622</v>
      </c>
      <c r="C368" s="1" t="n">
        <v>46185</v>
      </c>
      <c r="D368" t="inlineStr">
        <is>
          <t>VÄSTERNORRLANDS LÄN</t>
        </is>
      </c>
      <c r="E368" t="inlineStr">
        <is>
          <t>SUNDSVALL</t>
        </is>
      </c>
      <c r="F368" t="inlineStr">
        <is>
          <t>SCA</t>
        </is>
      </c>
      <c r="G368" t="n">
        <v>7.8</v>
      </c>
      <c r="H368" t="n">
        <v>2</v>
      </c>
      <c r="I368" t="n">
        <v>3</v>
      </c>
      <c r="J368" t="n">
        <v>2</v>
      </c>
      <c r="K368" t="n">
        <v>1</v>
      </c>
      <c r="L368" t="n">
        <v>0</v>
      </c>
      <c r="M368" t="n">
        <v>0</v>
      </c>
      <c r="N368" t="n">
        <v>0</v>
      </c>
      <c r="O368" t="n">
        <v>3</v>
      </c>
      <c r="P368" t="n">
        <v>1</v>
      </c>
      <c r="Q368" t="n">
        <v>6</v>
      </c>
      <c r="R368" s="2" t="inlineStr">
        <is>
          <t>Knärot
Granticka
Tretåig hackspett
Barkticka
Bronshjon
Vedticka</t>
        </is>
      </c>
      <c r="S368">
        <f>HYPERLINK("https://klasma.github.io/Logging_2281/artfynd/A 55548-2024 artfynd.xlsx", "A 55548-2024")</f>
        <v/>
      </c>
      <c r="T368">
        <f>HYPERLINK("https://klasma.github.io/Logging_2281/kartor/A 55548-2024 karta.png", "A 55548-2024")</f>
        <v/>
      </c>
      <c r="U368">
        <f>HYPERLINK("https://klasma.github.io/Logging_2281/knärot/A 55548-2024 karta knärot.png", "A 55548-2024")</f>
        <v/>
      </c>
      <c r="V368">
        <f>HYPERLINK("https://klasma.github.io/Logging_2281/klagomål/A 55548-2024 FSC-klagomål.docx", "A 55548-2024")</f>
        <v/>
      </c>
      <c r="W368">
        <f>HYPERLINK("https://klasma.github.io/Logging_2281/klagomålsmail/A 55548-2024 FSC-klagomål mail.docx", "A 55548-2024")</f>
        <v/>
      </c>
      <c r="X368">
        <f>HYPERLINK("https://klasma.github.io/Logging_2281/tillsyn/A 55548-2024 tillsynsbegäran.docx", "A 55548-2024")</f>
        <v/>
      </c>
      <c r="Y368">
        <f>HYPERLINK("https://klasma.github.io/Logging_2281/tillsynsmail/A 55548-2024 tillsynsbegäran mail.docx", "A 55548-2024")</f>
        <v/>
      </c>
      <c r="Z368">
        <f>HYPERLINK("https://klasma.github.io/Logging_2281/fåglar/A 55548-2024 prioriterade fågelarter.docx", "A 55548-2024")</f>
        <v/>
      </c>
    </row>
    <row r="369" ht="15" customHeight="1">
      <c r="A369" t="inlineStr">
        <is>
          <t>A 22117-2026</t>
        </is>
      </c>
      <c r="B369" s="1" t="n">
        <v>46153.57217592592</v>
      </c>
      <c r="C369" s="1" t="n">
        <v>46185</v>
      </c>
      <c r="D369" t="inlineStr">
        <is>
          <t>VÄSTERNORRLANDS LÄN</t>
        </is>
      </c>
      <c r="E369" t="inlineStr">
        <is>
          <t>KRAMFORS</t>
        </is>
      </c>
      <c r="G369" t="n">
        <v>8.5</v>
      </c>
      <c r="H369" t="n">
        <v>2</v>
      </c>
      <c r="I369" t="n">
        <v>0</v>
      </c>
      <c r="J369" t="n">
        <v>5</v>
      </c>
      <c r="K369" t="n">
        <v>0</v>
      </c>
      <c r="L369" t="n">
        <v>0</v>
      </c>
      <c r="M369" t="n">
        <v>0</v>
      </c>
      <c r="N369" t="n">
        <v>0</v>
      </c>
      <c r="O369" t="n">
        <v>5</v>
      </c>
      <c r="P369" t="n">
        <v>0</v>
      </c>
      <c r="Q369" t="n">
        <v>6</v>
      </c>
      <c r="R369" s="2" t="inlineStr">
        <is>
          <t>Garnlav
Kötticka
Lunglav
Spillkråka
Ullticka
Revlummer</t>
        </is>
      </c>
      <c r="S369">
        <f>HYPERLINK("https://klasma.github.io/Logging_2282/artfynd/A 22117-2026 artfynd.xlsx", "A 22117-2026")</f>
        <v/>
      </c>
      <c r="T369">
        <f>HYPERLINK("https://klasma.github.io/Logging_2282/kartor/A 22117-2026 karta.png", "A 22117-2026")</f>
        <v/>
      </c>
      <c r="V369">
        <f>HYPERLINK("https://klasma.github.io/Logging_2282/klagomål/A 22117-2026 FSC-klagomål.docx", "A 22117-2026")</f>
        <v/>
      </c>
      <c r="W369">
        <f>HYPERLINK("https://klasma.github.io/Logging_2282/klagomålsmail/A 22117-2026 FSC-klagomål mail.docx", "A 22117-2026")</f>
        <v/>
      </c>
      <c r="X369">
        <f>HYPERLINK("https://klasma.github.io/Logging_2282/tillsyn/A 22117-2026 tillsynsbegäran.docx", "A 22117-2026")</f>
        <v/>
      </c>
      <c r="Y369">
        <f>HYPERLINK("https://klasma.github.io/Logging_2282/tillsynsmail/A 22117-2026 tillsynsbegäran mail.docx", "A 22117-2026")</f>
        <v/>
      </c>
      <c r="Z369">
        <f>HYPERLINK("https://klasma.github.io/Logging_2282/fåglar/A 22117-2026 prioriterade fågelarter.docx", "A 22117-2026")</f>
        <v/>
      </c>
    </row>
    <row r="370" ht="15" customHeight="1">
      <c r="A370" t="inlineStr">
        <is>
          <t>A 7587-2024</t>
        </is>
      </c>
      <c r="B370" s="1" t="n">
        <v>45348</v>
      </c>
      <c r="C370" s="1" t="n">
        <v>46185</v>
      </c>
      <c r="D370" t="inlineStr">
        <is>
          <t>VÄSTERNORRLANDS LÄN</t>
        </is>
      </c>
      <c r="E370" t="inlineStr">
        <is>
          <t>ÖRNSKÖLDSVIK</t>
        </is>
      </c>
      <c r="F370" t="inlineStr">
        <is>
          <t>Holmen skog AB</t>
        </is>
      </c>
      <c r="G370" t="n">
        <v>10.6</v>
      </c>
      <c r="H370" t="n">
        <v>0</v>
      </c>
      <c r="I370" t="n">
        <v>0</v>
      </c>
      <c r="J370" t="n">
        <v>6</v>
      </c>
      <c r="K370" t="n">
        <v>0</v>
      </c>
      <c r="L370" t="n">
        <v>0</v>
      </c>
      <c r="M370" t="n">
        <v>0</v>
      </c>
      <c r="N370" t="n">
        <v>0</v>
      </c>
      <c r="O370" t="n">
        <v>6</v>
      </c>
      <c r="P370" t="n">
        <v>0</v>
      </c>
      <c r="Q370" t="n">
        <v>6</v>
      </c>
      <c r="R370" s="2" t="inlineStr">
        <is>
          <t>Dvärgbägarlav
Kolflarnlav
Orange taggsvamp
Skrovlig taggsvamp
Svart taggsvamp agg.
Vaddporing</t>
        </is>
      </c>
      <c r="S370">
        <f>HYPERLINK("https://klasma.github.io/Logging_2284/artfynd/A 7587-2024 artfynd.xlsx", "A 7587-2024")</f>
        <v/>
      </c>
      <c r="T370">
        <f>HYPERLINK("https://klasma.github.io/Logging_2284/kartor/A 7587-2024 karta.png", "A 7587-2024")</f>
        <v/>
      </c>
      <c r="V370">
        <f>HYPERLINK("https://klasma.github.io/Logging_2284/klagomål/A 7587-2024 FSC-klagomål.docx", "A 7587-2024")</f>
        <v/>
      </c>
      <c r="W370">
        <f>HYPERLINK("https://klasma.github.io/Logging_2284/klagomålsmail/A 7587-2024 FSC-klagomål mail.docx", "A 7587-2024")</f>
        <v/>
      </c>
      <c r="X370">
        <f>HYPERLINK("https://klasma.github.io/Logging_2284/tillsyn/A 7587-2024 tillsynsbegäran.docx", "A 7587-2024")</f>
        <v/>
      </c>
      <c r="Y370">
        <f>HYPERLINK("https://klasma.github.io/Logging_2284/tillsynsmail/A 7587-2024 tillsynsbegäran mail.docx", "A 7587-2024")</f>
        <v/>
      </c>
    </row>
    <row r="371" ht="15" customHeight="1">
      <c r="A371" t="inlineStr">
        <is>
          <t>A 14860-2023</t>
        </is>
      </c>
      <c r="B371" s="1" t="n">
        <v>45015.07157407407</v>
      </c>
      <c r="C371" s="1" t="n">
        <v>46185</v>
      </c>
      <c r="D371" t="inlineStr">
        <is>
          <t>VÄSTERNORRLANDS LÄN</t>
        </is>
      </c>
      <c r="E371" t="inlineStr">
        <is>
          <t>SOLLEFTEÅ</t>
        </is>
      </c>
      <c r="F371" t="inlineStr">
        <is>
          <t>SCA</t>
        </is>
      </c>
      <c r="G371" t="n">
        <v>5.8</v>
      </c>
      <c r="H371" t="n">
        <v>1</v>
      </c>
      <c r="I371" t="n">
        <v>2</v>
      </c>
      <c r="J371" t="n">
        <v>3</v>
      </c>
      <c r="K371" t="n">
        <v>1</v>
      </c>
      <c r="L371" t="n">
        <v>0</v>
      </c>
      <c r="M371" t="n">
        <v>0</v>
      </c>
      <c r="N371" t="n">
        <v>0</v>
      </c>
      <c r="O371" t="n">
        <v>4</v>
      </c>
      <c r="P371" t="n">
        <v>1</v>
      </c>
      <c r="Q371" t="n">
        <v>6</v>
      </c>
      <c r="R371" s="2" t="inlineStr">
        <is>
          <t>Knärot
Granticka
Lunglav
Ullticka
Skinnlav
Stuplav</t>
        </is>
      </c>
      <c r="S371">
        <f>HYPERLINK("https://klasma.github.io/Logging_2283/artfynd/A 14860-2023 artfynd.xlsx", "A 14860-2023")</f>
        <v/>
      </c>
      <c r="T371">
        <f>HYPERLINK("https://klasma.github.io/Logging_2283/kartor/A 14860-2023 karta.png", "A 14860-2023")</f>
        <v/>
      </c>
      <c r="U371">
        <f>HYPERLINK("https://klasma.github.io/Logging_2283/knärot/A 14860-2023 karta knärot.png", "A 14860-2023")</f>
        <v/>
      </c>
      <c r="V371">
        <f>HYPERLINK("https://klasma.github.io/Logging_2283/klagomål/A 14860-2023 FSC-klagomål.docx", "A 14860-2023")</f>
        <v/>
      </c>
      <c r="W371">
        <f>HYPERLINK("https://klasma.github.io/Logging_2283/klagomålsmail/A 14860-2023 FSC-klagomål mail.docx", "A 14860-2023")</f>
        <v/>
      </c>
      <c r="X371">
        <f>HYPERLINK("https://klasma.github.io/Logging_2283/tillsyn/A 14860-2023 tillsynsbegäran.docx", "A 14860-2023")</f>
        <v/>
      </c>
      <c r="Y371">
        <f>HYPERLINK("https://klasma.github.io/Logging_2283/tillsynsmail/A 14860-2023 tillsynsbegäran mail.docx", "A 14860-2023")</f>
        <v/>
      </c>
    </row>
    <row r="372" ht="15" customHeight="1">
      <c r="A372" t="inlineStr">
        <is>
          <t>A 16226-2026</t>
        </is>
      </c>
      <c r="B372" s="1" t="n">
        <v>46111.44841435185</v>
      </c>
      <c r="C372" s="1" t="n">
        <v>46185</v>
      </c>
      <c r="D372" t="inlineStr">
        <is>
          <t>VÄSTERNORRLANDS LÄN</t>
        </is>
      </c>
      <c r="E372" t="inlineStr">
        <is>
          <t>ÖRNSKÖLDSVIK</t>
        </is>
      </c>
      <c r="G372" t="n">
        <v>8.300000000000001</v>
      </c>
      <c r="H372" t="n">
        <v>3</v>
      </c>
      <c r="I372" t="n">
        <v>0</v>
      </c>
      <c r="J372" t="n">
        <v>4</v>
      </c>
      <c r="K372" t="n">
        <v>0</v>
      </c>
      <c r="L372" t="n">
        <v>0</v>
      </c>
      <c r="M372" t="n">
        <v>0</v>
      </c>
      <c r="N372" t="n">
        <v>0</v>
      </c>
      <c r="O372" t="n">
        <v>4</v>
      </c>
      <c r="P372" t="n">
        <v>0</v>
      </c>
      <c r="Q372" t="n">
        <v>6</v>
      </c>
      <c r="R372" s="2" t="inlineStr">
        <is>
          <t>Garnlav
Lunglav
Talltita
Ullticka
Tjäder
Revlummer</t>
        </is>
      </c>
      <c r="S372">
        <f>HYPERLINK("https://klasma.github.io/Logging_2284/artfynd/A 16226-2026 artfynd.xlsx", "A 16226-2026")</f>
        <v/>
      </c>
      <c r="T372">
        <f>HYPERLINK("https://klasma.github.io/Logging_2284/kartor/A 16226-2026 karta.png", "A 16226-2026")</f>
        <v/>
      </c>
      <c r="V372">
        <f>HYPERLINK("https://klasma.github.io/Logging_2284/klagomål/A 16226-2026 FSC-klagomål.docx", "A 16226-2026")</f>
        <v/>
      </c>
      <c r="W372">
        <f>HYPERLINK("https://klasma.github.io/Logging_2284/klagomålsmail/A 16226-2026 FSC-klagomål mail.docx", "A 16226-2026")</f>
        <v/>
      </c>
      <c r="X372">
        <f>HYPERLINK("https://klasma.github.io/Logging_2284/tillsyn/A 16226-2026 tillsynsbegäran.docx", "A 16226-2026")</f>
        <v/>
      </c>
      <c r="Y372">
        <f>HYPERLINK("https://klasma.github.io/Logging_2284/tillsynsmail/A 16226-2026 tillsynsbegäran mail.docx", "A 16226-2026")</f>
        <v/>
      </c>
      <c r="Z372">
        <f>HYPERLINK("https://klasma.github.io/Logging_2284/fåglar/A 16226-2026 prioriterade fågelarter.docx", "A 16226-2026")</f>
        <v/>
      </c>
    </row>
    <row r="373" ht="15" customHeight="1">
      <c r="A373" t="inlineStr">
        <is>
          <t>A 18100-2025</t>
        </is>
      </c>
      <c r="B373" s="1" t="n">
        <v>45761.55240740741</v>
      </c>
      <c r="C373" s="1" t="n">
        <v>46185</v>
      </c>
      <c r="D373" t="inlineStr">
        <is>
          <t>VÄSTERNORRLANDS LÄN</t>
        </is>
      </c>
      <c r="E373" t="inlineStr">
        <is>
          <t>SOLLEFTEÅ</t>
        </is>
      </c>
      <c r="F373" t="inlineStr">
        <is>
          <t>SCA</t>
        </is>
      </c>
      <c r="G373" t="n">
        <v>3.6</v>
      </c>
      <c r="H373" t="n">
        <v>1</v>
      </c>
      <c r="I373" t="n">
        <v>0</v>
      </c>
      <c r="J373" t="n">
        <v>3</v>
      </c>
      <c r="K373" t="n">
        <v>3</v>
      </c>
      <c r="L373" t="n">
        <v>0</v>
      </c>
      <c r="M373" t="n">
        <v>0</v>
      </c>
      <c r="N373" t="n">
        <v>0</v>
      </c>
      <c r="O373" t="n">
        <v>6</v>
      </c>
      <c r="P373" t="n">
        <v>3</v>
      </c>
      <c r="Q373" t="n">
        <v>6</v>
      </c>
      <c r="R373" s="2" t="inlineStr">
        <is>
          <t>Knärot
Lappticka
Rynkskinn
Granticka
Lunglav
Ullticka</t>
        </is>
      </c>
      <c r="S373">
        <f>HYPERLINK("https://klasma.github.io/Logging_2283/artfynd/A 18100-2025 artfynd.xlsx", "A 18100-2025")</f>
        <v/>
      </c>
      <c r="T373">
        <f>HYPERLINK("https://klasma.github.io/Logging_2283/kartor/A 18100-2025 karta.png", "A 18100-2025")</f>
        <v/>
      </c>
      <c r="U373">
        <f>HYPERLINK("https://klasma.github.io/Logging_2283/knärot/A 18100-2025 karta knärot.png", "A 18100-2025")</f>
        <v/>
      </c>
      <c r="V373">
        <f>HYPERLINK("https://klasma.github.io/Logging_2283/klagomål/A 18100-2025 FSC-klagomål.docx", "A 18100-2025")</f>
        <v/>
      </c>
      <c r="W373">
        <f>HYPERLINK("https://klasma.github.io/Logging_2283/klagomålsmail/A 18100-2025 FSC-klagomål mail.docx", "A 18100-2025")</f>
        <v/>
      </c>
      <c r="X373">
        <f>HYPERLINK("https://klasma.github.io/Logging_2283/tillsyn/A 18100-2025 tillsynsbegäran.docx", "A 18100-2025")</f>
        <v/>
      </c>
      <c r="Y373">
        <f>HYPERLINK("https://klasma.github.io/Logging_2283/tillsynsmail/A 18100-2025 tillsynsbegäran mail.docx", "A 18100-2025")</f>
        <v/>
      </c>
    </row>
    <row r="374" ht="15" customHeight="1">
      <c r="A374" t="inlineStr">
        <is>
          <t>A 17445-2026</t>
        </is>
      </c>
      <c r="B374" s="1" t="n">
        <v>46120.4488425926</v>
      </c>
      <c r="C374" s="1" t="n">
        <v>46185</v>
      </c>
      <c r="D374" t="inlineStr">
        <is>
          <t>VÄSTERNORRLANDS LÄN</t>
        </is>
      </c>
      <c r="E374" t="inlineStr">
        <is>
          <t>SOLLEFTEÅ</t>
        </is>
      </c>
      <c r="F374" t="inlineStr">
        <is>
          <t>SCA</t>
        </is>
      </c>
      <c r="G374" t="n">
        <v>20.8</v>
      </c>
      <c r="H374" t="n">
        <v>2</v>
      </c>
      <c r="I374" t="n">
        <v>0</v>
      </c>
      <c r="J374" t="n">
        <v>5</v>
      </c>
      <c r="K374" t="n">
        <v>1</v>
      </c>
      <c r="L374" t="n">
        <v>0</v>
      </c>
      <c r="M374" t="n">
        <v>0</v>
      </c>
      <c r="N374" t="n">
        <v>0</v>
      </c>
      <c r="O374" t="n">
        <v>6</v>
      </c>
      <c r="P374" t="n">
        <v>1</v>
      </c>
      <c r="Q374" t="n">
        <v>6</v>
      </c>
      <c r="R374" s="2" t="inlineStr">
        <is>
          <t>Rynkskinn
Garnlav
Rosenticka
Spillkråka
Talltita
Ullticka</t>
        </is>
      </c>
      <c r="S374">
        <f>HYPERLINK("https://klasma.github.io/Logging_2283/artfynd/A 17445-2026 artfynd.xlsx", "A 17445-2026")</f>
        <v/>
      </c>
      <c r="T374">
        <f>HYPERLINK("https://klasma.github.io/Logging_2283/kartor/A 17445-2026 karta.png", "A 17445-2026")</f>
        <v/>
      </c>
      <c r="V374">
        <f>HYPERLINK("https://klasma.github.io/Logging_2283/klagomål/A 17445-2026 FSC-klagomål.docx", "A 17445-2026")</f>
        <v/>
      </c>
      <c r="W374">
        <f>HYPERLINK("https://klasma.github.io/Logging_2283/klagomålsmail/A 17445-2026 FSC-klagomål mail.docx", "A 17445-2026")</f>
        <v/>
      </c>
      <c r="X374">
        <f>HYPERLINK("https://klasma.github.io/Logging_2283/tillsyn/A 17445-2026 tillsynsbegäran.docx", "A 17445-2026")</f>
        <v/>
      </c>
      <c r="Y374">
        <f>HYPERLINK("https://klasma.github.io/Logging_2283/tillsynsmail/A 17445-2026 tillsynsbegäran mail.docx", "A 17445-2026")</f>
        <v/>
      </c>
      <c r="Z374">
        <f>HYPERLINK("https://klasma.github.io/Logging_2283/fåglar/A 17445-2026 prioriterade fågelarter.docx", "A 17445-2026")</f>
        <v/>
      </c>
    </row>
    <row r="375" ht="15" customHeight="1">
      <c r="A375" t="inlineStr">
        <is>
          <t>A 23987-2026</t>
        </is>
      </c>
      <c r="B375" s="1" t="n">
        <v>46167.60351851852</v>
      </c>
      <c r="C375" s="1" t="n">
        <v>46185</v>
      </c>
      <c r="D375" t="inlineStr">
        <is>
          <t>VÄSTERNORRLANDS LÄN</t>
        </is>
      </c>
      <c r="E375" t="inlineStr">
        <is>
          <t>ÖRNSKÖLDSVIK</t>
        </is>
      </c>
      <c r="G375" t="n">
        <v>6.5</v>
      </c>
      <c r="H375" t="n">
        <v>4</v>
      </c>
      <c r="I375" t="n">
        <v>4</v>
      </c>
      <c r="J375" t="n">
        <v>0</v>
      </c>
      <c r="K375" t="n">
        <v>0</v>
      </c>
      <c r="L375" t="n">
        <v>0</v>
      </c>
      <c r="M375" t="n">
        <v>0</v>
      </c>
      <c r="N375" t="n">
        <v>0</v>
      </c>
      <c r="O375" t="n">
        <v>0</v>
      </c>
      <c r="P375" t="n">
        <v>0</v>
      </c>
      <c r="Q375" t="n">
        <v>6</v>
      </c>
      <c r="R375" s="2" t="inlineStr">
        <is>
          <t>Guckusko
Korallrot
Spädstarr
Tibast
Fläcknycklar
Blåsippa</t>
        </is>
      </c>
      <c r="S375">
        <f>HYPERLINK("https://klasma.github.io/Logging_2284/artfynd/A 23987-2026 artfynd.xlsx", "A 23987-2026")</f>
        <v/>
      </c>
      <c r="T375">
        <f>HYPERLINK("https://klasma.github.io/Logging_2284/kartor/A 23987-2026 karta.png", "A 23987-2026")</f>
        <v/>
      </c>
      <c r="V375">
        <f>HYPERLINK("https://klasma.github.io/Logging_2284/klagomål/A 23987-2026 FSC-klagomål.docx", "A 23987-2026")</f>
        <v/>
      </c>
      <c r="W375">
        <f>HYPERLINK("https://klasma.github.io/Logging_2284/klagomålsmail/A 23987-2026 FSC-klagomål mail.docx", "A 23987-2026")</f>
        <v/>
      </c>
      <c r="X375">
        <f>HYPERLINK("https://klasma.github.io/Logging_2284/tillsyn/A 23987-2026 tillsynsbegäran.docx", "A 23987-2026")</f>
        <v/>
      </c>
      <c r="Y375">
        <f>HYPERLINK("https://klasma.github.io/Logging_2284/tillsynsmail/A 23987-2026 tillsynsbegäran mail.docx", "A 23987-2026")</f>
        <v/>
      </c>
    </row>
    <row r="376" ht="15" customHeight="1">
      <c r="A376" t="inlineStr">
        <is>
          <t>A 11352-2022</t>
        </is>
      </c>
      <c r="B376" s="1" t="n">
        <v>44630</v>
      </c>
      <c r="C376" s="1" t="n">
        <v>46185</v>
      </c>
      <c r="D376" t="inlineStr">
        <is>
          <t>VÄSTERNORRLANDS LÄN</t>
        </is>
      </c>
      <c r="E376" t="inlineStr">
        <is>
          <t>SUNDSVALL</t>
        </is>
      </c>
      <c r="G376" t="n">
        <v>10.2</v>
      </c>
      <c r="H376" t="n">
        <v>4</v>
      </c>
      <c r="I376" t="n">
        <v>0</v>
      </c>
      <c r="J376" t="n">
        <v>3</v>
      </c>
      <c r="K376" t="n">
        <v>1</v>
      </c>
      <c r="L376" t="n">
        <v>0</v>
      </c>
      <c r="M376" t="n">
        <v>0</v>
      </c>
      <c r="N376" t="n">
        <v>0</v>
      </c>
      <c r="O376" t="n">
        <v>4</v>
      </c>
      <c r="P376" t="n">
        <v>1</v>
      </c>
      <c r="Q376" t="n">
        <v>6</v>
      </c>
      <c r="R376" s="2" t="inlineStr">
        <is>
          <t>Knärot
Garnlav
Talltita
Ullticka
Grönsiska
Kungsfågel</t>
        </is>
      </c>
      <c r="S376">
        <f>HYPERLINK("https://klasma.github.io/Logging_2281/artfynd/A 11352-2022 artfynd.xlsx", "A 11352-2022")</f>
        <v/>
      </c>
      <c r="T376">
        <f>HYPERLINK("https://klasma.github.io/Logging_2281/kartor/A 11352-2022 karta.png", "A 11352-2022")</f>
        <v/>
      </c>
      <c r="U376">
        <f>HYPERLINK("https://klasma.github.io/Logging_2281/knärot/A 11352-2022 karta knärot.png", "A 11352-2022")</f>
        <v/>
      </c>
      <c r="V376">
        <f>HYPERLINK("https://klasma.github.io/Logging_2281/klagomål/A 11352-2022 FSC-klagomål.docx", "A 11352-2022")</f>
        <v/>
      </c>
      <c r="W376">
        <f>HYPERLINK("https://klasma.github.io/Logging_2281/klagomålsmail/A 11352-2022 FSC-klagomål mail.docx", "A 11352-2022")</f>
        <v/>
      </c>
      <c r="X376">
        <f>HYPERLINK("https://klasma.github.io/Logging_2281/tillsyn/A 11352-2022 tillsynsbegäran.docx", "A 11352-2022")</f>
        <v/>
      </c>
      <c r="Y376">
        <f>HYPERLINK("https://klasma.github.io/Logging_2281/tillsynsmail/A 11352-2022 tillsynsbegäran mail.docx", "A 11352-2022")</f>
        <v/>
      </c>
      <c r="Z376">
        <f>HYPERLINK("https://klasma.github.io/Logging_2281/fåglar/A 11352-2022 prioriterade fågelarter.docx", "A 11352-2022")</f>
        <v/>
      </c>
    </row>
    <row r="377" ht="15" customHeight="1">
      <c r="A377" t="inlineStr">
        <is>
          <t>A 4827-2025</t>
        </is>
      </c>
      <c r="B377" s="1" t="n">
        <v>45688</v>
      </c>
      <c r="C377" s="1" t="n">
        <v>46185</v>
      </c>
      <c r="D377" t="inlineStr">
        <is>
          <t>VÄSTERNORRLANDS LÄN</t>
        </is>
      </c>
      <c r="E377" t="inlineStr">
        <is>
          <t>SOLLEFTEÅ</t>
        </is>
      </c>
      <c r="G377" t="n">
        <v>33</v>
      </c>
      <c r="H377" t="n">
        <v>2</v>
      </c>
      <c r="I377" t="n">
        <v>0</v>
      </c>
      <c r="J377" t="n">
        <v>6</v>
      </c>
      <c r="K377" t="n">
        <v>0</v>
      </c>
      <c r="L377" t="n">
        <v>0</v>
      </c>
      <c r="M377" t="n">
        <v>0</v>
      </c>
      <c r="N377" t="n">
        <v>0</v>
      </c>
      <c r="O377" t="n">
        <v>6</v>
      </c>
      <c r="P377" t="n">
        <v>0</v>
      </c>
      <c r="Q377" t="n">
        <v>6</v>
      </c>
      <c r="R377" s="2" t="inlineStr">
        <is>
          <t>Garnlav
Granticka
Lunglav
Talltita
Tretåig hackspett
Ullticka</t>
        </is>
      </c>
      <c r="S377">
        <f>HYPERLINK("https://klasma.github.io/Logging_2283/artfynd/A 4827-2025 artfynd.xlsx", "A 4827-2025")</f>
        <v/>
      </c>
      <c r="T377">
        <f>HYPERLINK("https://klasma.github.io/Logging_2283/kartor/A 4827-2025 karta.png", "A 4827-2025")</f>
        <v/>
      </c>
      <c r="V377">
        <f>HYPERLINK("https://klasma.github.io/Logging_2283/klagomål/A 4827-2025 FSC-klagomål.docx", "A 4827-2025")</f>
        <v/>
      </c>
      <c r="W377">
        <f>HYPERLINK("https://klasma.github.io/Logging_2283/klagomålsmail/A 4827-2025 FSC-klagomål mail.docx", "A 4827-2025")</f>
        <v/>
      </c>
      <c r="X377">
        <f>HYPERLINK("https://klasma.github.io/Logging_2283/tillsyn/A 4827-2025 tillsynsbegäran.docx", "A 4827-2025")</f>
        <v/>
      </c>
      <c r="Y377">
        <f>HYPERLINK("https://klasma.github.io/Logging_2283/tillsynsmail/A 4827-2025 tillsynsbegäran mail.docx", "A 4827-2025")</f>
        <v/>
      </c>
      <c r="Z377">
        <f>HYPERLINK("https://klasma.github.io/Logging_2283/fåglar/A 4827-2025 prioriterade fågelarter.docx", "A 4827-2025")</f>
        <v/>
      </c>
    </row>
    <row r="378" ht="15" customHeight="1">
      <c r="A378" t="inlineStr">
        <is>
          <t>A 13250-2025</t>
        </is>
      </c>
      <c r="B378" s="1" t="n">
        <v>45735.49013888889</v>
      </c>
      <c r="C378" s="1" t="n">
        <v>46185</v>
      </c>
      <c r="D378" t="inlineStr">
        <is>
          <t>VÄSTERNORRLANDS LÄN</t>
        </is>
      </c>
      <c r="E378" t="inlineStr">
        <is>
          <t>SOLLEFTEÅ</t>
        </is>
      </c>
      <c r="F378" t="inlineStr">
        <is>
          <t>SCA</t>
        </is>
      </c>
      <c r="G378" t="n">
        <v>1.4</v>
      </c>
      <c r="H378" t="n">
        <v>3</v>
      </c>
      <c r="I378" t="n">
        <v>1</v>
      </c>
      <c r="J378" t="n">
        <v>4</v>
      </c>
      <c r="K378" t="n">
        <v>0</v>
      </c>
      <c r="L378" t="n">
        <v>0</v>
      </c>
      <c r="M378" t="n">
        <v>0</v>
      </c>
      <c r="N378" t="n">
        <v>0</v>
      </c>
      <c r="O378" t="n">
        <v>4</v>
      </c>
      <c r="P378" t="n">
        <v>0</v>
      </c>
      <c r="Q378" t="n">
        <v>6</v>
      </c>
      <c r="R378" s="2" t="inlineStr">
        <is>
          <t>Lunglav
Spillkråka
Tretåig hackspett
Ullticka
Vedticka
Tjäder</t>
        </is>
      </c>
      <c r="S378">
        <f>HYPERLINK("https://klasma.github.io/Logging_2283/artfynd/A 13250-2025 artfynd.xlsx", "A 13250-2025")</f>
        <v/>
      </c>
      <c r="T378">
        <f>HYPERLINK("https://klasma.github.io/Logging_2283/kartor/A 13250-2025 karta.png", "A 13250-2025")</f>
        <v/>
      </c>
      <c r="V378">
        <f>HYPERLINK("https://klasma.github.io/Logging_2283/klagomål/A 13250-2025 FSC-klagomål.docx", "A 13250-2025")</f>
        <v/>
      </c>
      <c r="W378">
        <f>HYPERLINK("https://klasma.github.io/Logging_2283/klagomålsmail/A 13250-2025 FSC-klagomål mail.docx", "A 13250-2025")</f>
        <v/>
      </c>
      <c r="X378">
        <f>HYPERLINK("https://klasma.github.io/Logging_2283/tillsyn/A 13250-2025 tillsynsbegäran.docx", "A 13250-2025")</f>
        <v/>
      </c>
      <c r="Y378">
        <f>HYPERLINK("https://klasma.github.io/Logging_2283/tillsynsmail/A 13250-2025 tillsynsbegäran mail.docx", "A 13250-2025")</f>
        <v/>
      </c>
      <c r="Z378">
        <f>HYPERLINK("https://klasma.github.io/Logging_2283/fåglar/A 13250-2025 prioriterade fågelarter.docx", "A 13250-2025")</f>
        <v/>
      </c>
    </row>
    <row r="379" ht="15" customHeight="1">
      <c r="A379" t="inlineStr">
        <is>
          <t>A 48777-2023</t>
        </is>
      </c>
      <c r="B379" s="1" t="n">
        <v>45208</v>
      </c>
      <c r="C379" s="1" t="n">
        <v>46185</v>
      </c>
      <c r="D379" t="inlineStr">
        <is>
          <t>VÄSTERNORRLANDS LÄN</t>
        </is>
      </c>
      <c r="E379" t="inlineStr">
        <is>
          <t>SUNDSVALL</t>
        </is>
      </c>
      <c r="F379" t="inlineStr">
        <is>
          <t>SCA</t>
        </is>
      </c>
      <c r="G379" t="n">
        <v>2.3</v>
      </c>
      <c r="H379" t="n">
        <v>2</v>
      </c>
      <c r="I379" t="n">
        <v>2</v>
      </c>
      <c r="J379" t="n">
        <v>4</v>
      </c>
      <c r="K379" t="n">
        <v>0</v>
      </c>
      <c r="L379" t="n">
        <v>0</v>
      </c>
      <c r="M379" t="n">
        <v>0</v>
      </c>
      <c r="N379" t="n">
        <v>0</v>
      </c>
      <c r="O379" t="n">
        <v>4</v>
      </c>
      <c r="P379" t="n">
        <v>0</v>
      </c>
      <c r="Q379" t="n">
        <v>6</v>
      </c>
      <c r="R379" s="2" t="inlineStr">
        <is>
          <t>Granticka
Harticka
Spillkråka
Tretåig hackspett
Trådticka
Vedticka</t>
        </is>
      </c>
      <c r="S379">
        <f>HYPERLINK("https://klasma.github.io/Logging_2281/artfynd/A 48777-2023 artfynd.xlsx", "A 48777-2023")</f>
        <v/>
      </c>
      <c r="T379">
        <f>HYPERLINK("https://klasma.github.io/Logging_2281/kartor/A 48777-2023 karta.png", "A 48777-2023")</f>
        <v/>
      </c>
      <c r="V379">
        <f>HYPERLINK("https://klasma.github.io/Logging_2281/klagomål/A 48777-2023 FSC-klagomål.docx", "A 48777-2023")</f>
        <v/>
      </c>
      <c r="W379">
        <f>HYPERLINK("https://klasma.github.io/Logging_2281/klagomålsmail/A 48777-2023 FSC-klagomål mail.docx", "A 48777-2023")</f>
        <v/>
      </c>
      <c r="X379">
        <f>HYPERLINK("https://klasma.github.io/Logging_2281/tillsyn/A 48777-2023 tillsynsbegäran.docx", "A 48777-2023")</f>
        <v/>
      </c>
      <c r="Y379">
        <f>HYPERLINK("https://klasma.github.io/Logging_2281/tillsynsmail/A 48777-2023 tillsynsbegäran mail.docx", "A 48777-2023")</f>
        <v/>
      </c>
      <c r="Z379">
        <f>HYPERLINK("https://klasma.github.io/Logging_2281/fåglar/A 48777-2023 prioriterade fågelarter.docx", "A 48777-2023")</f>
        <v/>
      </c>
    </row>
    <row r="380" ht="15" customHeight="1">
      <c r="A380" t="inlineStr">
        <is>
          <t>A 11037-2025</t>
        </is>
      </c>
      <c r="B380" s="1" t="n">
        <v>45723</v>
      </c>
      <c r="C380" s="1" t="n">
        <v>46185</v>
      </c>
      <c r="D380" t="inlineStr">
        <is>
          <t>VÄSTERNORRLANDS LÄN</t>
        </is>
      </c>
      <c r="E380" t="inlineStr">
        <is>
          <t>KRAMFORS</t>
        </is>
      </c>
      <c r="G380" t="n">
        <v>1.7</v>
      </c>
      <c r="H380" t="n">
        <v>0</v>
      </c>
      <c r="I380" t="n">
        <v>2</v>
      </c>
      <c r="J380" t="n">
        <v>3</v>
      </c>
      <c r="K380" t="n">
        <v>1</v>
      </c>
      <c r="L380" t="n">
        <v>0</v>
      </c>
      <c r="M380" t="n">
        <v>0</v>
      </c>
      <c r="N380" t="n">
        <v>0</v>
      </c>
      <c r="O380" t="n">
        <v>4</v>
      </c>
      <c r="P380" t="n">
        <v>1</v>
      </c>
      <c r="Q380" t="n">
        <v>6</v>
      </c>
      <c r="R380" s="2" t="inlineStr">
        <is>
          <t>Aspfjädermossa
Gränsticka
Lunglav
Ullticka
Korallblylav
Vedticka</t>
        </is>
      </c>
      <c r="S380">
        <f>HYPERLINK("https://klasma.github.io/Logging_2282/artfynd/A 11037-2025 artfynd.xlsx", "A 11037-2025")</f>
        <v/>
      </c>
      <c r="T380">
        <f>HYPERLINK("https://klasma.github.io/Logging_2282/kartor/A 11037-2025 karta.png", "A 11037-2025")</f>
        <v/>
      </c>
      <c r="V380">
        <f>HYPERLINK("https://klasma.github.io/Logging_2282/klagomål/A 11037-2025 FSC-klagomål.docx", "A 11037-2025")</f>
        <v/>
      </c>
      <c r="W380">
        <f>HYPERLINK("https://klasma.github.io/Logging_2282/klagomålsmail/A 11037-2025 FSC-klagomål mail.docx", "A 11037-2025")</f>
        <v/>
      </c>
      <c r="X380">
        <f>HYPERLINK("https://klasma.github.io/Logging_2282/tillsyn/A 11037-2025 tillsynsbegäran.docx", "A 11037-2025")</f>
        <v/>
      </c>
      <c r="Y380">
        <f>HYPERLINK("https://klasma.github.io/Logging_2282/tillsynsmail/A 11037-2025 tillsynsbegäran mail.docx", "A 11037-2025")</f>
        <v/>
      </c>
    </row>
    <row r="381" ht="15" customHeight="1">
      <c r="A381" t="inlineStr">
        <is>
          <t>A 20205-2025</t>
        </is>
      </c>
      <c r="B381" s="1" t="n">
        <v>45772.61548611111</v>
      </c>
      <c r="C381" s="1" t="n">
        <v>46185</v>
      </c>
      <c r="D381" t="inlineStr">
        <is>
          <t>VÄSTERNORRLANDS LÄN</t>
        </is>
      </c>
      <c r="E381" t="inlineStr">
        <is>
          <t>SOLLEFTEÅ</t>
        </is>
      </c>
      <c r="F381" t="inlineStr">
        <is>
          <t>SCA</t>
        </is>
      </c>
      <c r="G381" t="n">
        <v>3.2</v>
      </c>
      <c r="H381" t="n">
        <v>0</v>
      </c>
      <c r="I381" t="n">
        <v>2</v>
      </c>
      <c r="J381" t="n">
        <v>4</v>
      </c>
      <c r="K381" t="n">
        <v>0</v>
      </c>
      <c r="L381" t="n">
        <v>0</v>
      </c>
      <c r="M381" t="n">
        <v>0</v>
      </c>
      <c r="N381" t="n">
        <v>0</v>
      </c>
      <c r="O381" t="n">
        <v>4</v>
      </c>
      <c r="P381" t="n">
        <v>0</v>
      </c>
      <c r="Q381" t="n">
        <v>6</v>
      </c>
      <c r="R381" s="2" t="inlineStr">
        <is>
          <t>Gränsticka
Lunglav
Rosenticka
Ullticka
Korallblylav
Skinnlav</t>
        </is>
      </c>
      <c r="S381">
        <f>HYPERLINK("https://klasma.github.io/Logging_2283/artfynd/A 20205-2025 artfynd.xlsx", "A 20205-2025")</f>
        <v/>
      </c>
      <c r="T381">
        <f>HYPERLINK("https://klasma.github.io/Logging_2283/kartor/A 20205-2025 karta.png", "A 20205-2025")</f>
        <v/>
      </c>
      <c r="V381">
        <f>HYPERLINK("https://klasma.github.io/Logging_2283/klagomål/A 20205-2025 FSC-klagomål.docx", "A 20205-2025")</f>
        <v/>
      </c>
      <c r="W381">
        <f>HYPERLINK("https://klasma.github.io/Logging_2283/klagomålsmail/A 20205-2025 FSC-klagomål mail.docx", "A 20205-2025")</f>
        <v/>
      </c>
      <c r="X381">
        <f>HYPERLINK("https://klasma.github.io/Logging_2283/tillsyn/A 20205-2025 tillsynsbegäran.docx", "A 20205-2025")</f>
        <v/>
      </c>
      <c r="Y381">
        <f>HYPERLINK("https://klasma.github.io/Logging_2283/tillsynsmail/A 20205-2025 tillsynsbegäran mail.docx", "A 20205-2025")</f>
        <v/>
      </c>
    </row>
    <row r="382" ht="15" customHeight="1">
      <c r="A382" t="inlineStr">
        <is>
          <t>A 26341-2025</t>
        </is>
      </c>
      <c r="B382" s="1" t="n">
        <v>45805</v>
      </c>
      <c r="C382" s="1" t="n">
        <v>46185</v>
      </c>
      <c r="D382" t="inlineStr">
        <is>
          <t>VÄSTERNORRLANDS LÄN</t>
        </is>
      </c>
      <c r="E382" t="inlineStr">
        <is>
          <t>SOLLEFTEÅ</t>
        </is>
      </c>
      <c r="F382" t="inlineStr">
        <is>
          <t>SCA</t>
        </is>
      </c>
      <c r="G382" t="n">
        <v>3.2</v>
      </c>
      <c r="H382" t="n">
        <v>5</v>
      </c>
      <c r="I382" t="n">
        <v>0</v>
      </c>
      <c r="J382" t="n">
        <v>3</v>
      </c>
      <c r="K382" t="n">
        <v>1</v>
      </c>
      <c r="L382" t="n">
        <v>0</v>
      </c>
      <c r="M382" t="n">
        <v>0</v>
      </c>
      <c r="N382" t="n">
        <v>0</v>
      </c>
      <c r="O382" t="n">
        <v>4</v>
      </c>
      <c r="P382" t="n">
        <v>1</v>
      </c>
      <c r="Q382" t="n">
        <v>6</v>
      </c>
      <c r="R382" s="2" t="inlineStr">
        <is>
          <t>Knärot
Lunglav
Talltita
Tretåig hackspett
Lavskrika
Tjäder</t>
        </is>
      </c>
      <c r="S382">
        <f>HYPERLINK("https://klasma.github.io/Logging_2283/artfynd/A 26341-2025 artfynd.xlsx", "A 26341-2025")</f>
        <v/>
      </c>
      <c r="T382">
        <f>HYPERLINK("https://klasma.github.io/Logging_2283/kartor/A 26341-2025 karta.png", "A 26341-2025")</f>
        <v/>
      </c>
      <c r="U382">
        <f>HYPERLINK("https://klasma.github.io/Logging_2283/knärot/A 26341-2025 karta knärot.png", "A 26341-2025")</f>
        <v/>
      </c>
      <c r="V382">
        <f>HYPERLINK("https://klasma.github.io/Logging_2283/klagomål/A 26341-2025 FSC-klagomål.docx", "A 26341-2025")</f>
        <v/>
      </c>
      <c r="W382">
        <f>HYPERLINK("https://klasma.github.io/Logging_2283/klagomålsmail/A 26341-2025 FSC-klagomål mail.docx", "A 26341-2025")</f>
        <v/>
      </c>
      <c r="X382">
        <f>HYPERLINK("https://klasma.github.io/Logging_2283/tillsyn/A 26341-2025 tillsynsbegäran.docx", "A 26341-2025")</f>
        <v/>
      </c>
      <c r="Y382">
        <f>HYPERLINK("https://klasma.github.io/Logging_2283/tillsynsmail/A 26341-2025 tillsynsbegäran mail.docx", "A 26341-2025")</f>
        <v/>
      </c>
      <c r="Z382">
        <f>HYPERLINK("https://klasma.github.io/Logging_2283/fåglar/A 26341-2025 prioriterade fågelarter.docx", "A 26341-2025")</f>
        <v/>
      </c>
    </row>
    <row r="383" ht="15" customHeight="1">
      <c r="A383" t="inlineStr">
        <is>
          <t>A 5637-2026</t>
        </is>
      </c>
      <c r="B383" s="1" t="n">
        <v>46051</v>
      </c>
      <c r="C383" s="1" t="n">
        <v>46185</v>
      </c>
      <c r="D383" t="inlineStr">
        <is>
          <t>VÄSTERNORRLANDS LÄN</t>
        </is>
      </c>
      <c r="E383" t="inlineStr">
        <is>
          <t>ÅNGE</t>
        </is>
      </c>
      <c r="G383" t="n">
        <v>6.4</v>
      </c>
      <c r="H383" t="n">
        <v>2</v>
      </c>
      <c r="I383" t="n">
        <v>1</v>
      </c>
      <c r="J383" t="n">
        <v>5</v>
      </c>
      <c r="K383" t="n">
        <v>0</v>
      </c>
      <c r="L383" t="n">
        <v>0</v>
      </c>
      <c r="M383" t="n">
        <v>0</v>
      </c>
      <c r="N383" t="n">
        <v>0</v>
      </c>
      <c r="O383" t="n">
        <v>5</v>
      </c>
      <c r="P383" t="n">
        <v>0</v>
      </c>
      <c r="Q383" t="n">
        <v>6</v>
      </c>
      <c r="R383" s="2" t="inlineStr">
        <is>
          <t>Lunglav
Rosenticka
Talltita
Tretåig hackspett
Ullticka
Skinnlav</t>
        </is>
      </c>
      <c r="S383">
        <f>HYPERLINK("https://klasma.github.io/Logging_2260/artfynd/A 5637-2026 artfynd.xlsx", "A 5637-2026")</f>
        <v/>
      </c>
      <c r="T383">
        <f>HYPERLINK("https://klasma.github.io/Logging_2260/kartor/A 5637-2026 karta.png", "A 5637-2026")</f>
        <v/>
      </c>
      <c r="V383">
        <f>HYPERLINK("https://klasma.github.io/Logging_2260/klagomål/A 5637-2026 FSC-klagomål.docx", "A 5637-2026")</f>
        <v/>
      </c>
      <c r="W383">
        <f>HYPERLINK("https://klasma.github.io/Logging_2260/klagomålsmail/A 5637-2026 FSC-klagomål mail.docx", "A 5637-2026")</f>
        <v/>
      </c>
      <c r="X383">
        <f>HYPERLINK("https://klasma.github.io/Logging_2260/tillsyn/A 5637-2026 tillsynsbegäran.docx", "A 5637-2026")</f>
        <v/>
      </c>
      <c r="Y383">
        <f>HYPERLINK("https://klasma.github.io/Logging_2260/tillsynsmail/A 5637-2026 tillsynsbegäran mail.docx", "A 5637-2026")</f>
        <v/>
      </c>
      <c r="Z383">
        <f>HYPERLINK("https://klasma.github.io/Logging_2260/fåglar/A 5637-2026 prioriterade fågelarter.docx", "A 5637-2026")</f>
        <v/>
      </c>
    </row>
    <row r="384" ht="15" customHeight="1">
      <c r="A384" t="inlineStr">
        <is>
          <t>A 55176-2024</t>
        </is>
      </c>
      <c r="B384" s="1" t="n">
        <v>45621</v>
      </c>
      <c r="C384" s="1" t="n">
        <v>46185</v>
      </c>
      <c r="D384" t="inlineStr">
        <is>
          <t>VÄSTERNORRLANDS LÄN</t>
        </is>
      </c>
      <c r="E384" t="inlineStr">
        <is>
          <t>ÅNGE</t>
        </is>
      </c>
      <c r="F384" t="inlineStr">
        <is>
          <t>SCA</t>
        </is>
      </c>
      <c r="G384" t="n">
        <v>7.3</v>
      </c>
      <c r="H384" t="n">
        <v>0</v>
      </c>
      <c r="I384" t="n">
        <v>2</v>
      </c>
      <c r="J384" t="n">
        <v>3</v>
      </c>
      <c r="K384" t="n">
        <v>1</v>
      </c>
      <c r="L384" t="n">
        <v>0</v>
      </c>
      <c r="M384" t="n">
        <v>0</v>
      </c>
      <c r="N384" t="n">
        <v>0</v>
      </c>
      <c r="O384" t="n">
        <v>4</v>
      </c>
      <c r="P384" t="n">
        <v>1</v>
      </c>
      <c r="Q384" t="n">
        <v>6</v>
      </c>
      <c r="R384" s="2" t="inlineStr">
        <is>
          <t>Läderlappslav
Lunglav
Mörk kolflarnlav
Stiftgelélav
Bårdlav
Skinnlav</t>
        </is>
      </c>
      <c r="S384">
        <f>HYPERLINK("https://klasma.github.io/Logging_2260/artfynd/A 55176-2024 artfynd.xlsx", "A 55176-2024")</f>
        <v/>
      </c>
      <c r="T384">
        <f>HYPERLINK("https://klasma.github.io/Logging_2260/kartor/A 55176-2024 karta.png", "A 55176-2024")</f>
        <v/>
      </c>
      <c r="V384">
        <f>HYPERLINK("https://klasma.github.io/Logging_2260/klagomål/A 55176-2024 FSC-klagomål.docx", "A 55176-2024")</f>
        <v/>
      </c>
      <c r="W384">
        <f>HYPERLINK("https://klasma.github.io/Logging_2260/klagomålsmail/A 55176-2024 FSC-klagomål mail.docx", "A 55176-2024")</f>
        <v/>
      </c>
      <c r="X384">
        <f>HYPERLINK("https://klasma.github.io/Logging_2260/tillsyn/A 55176-2024 tillsynsbegäran.docx", "A 55176-2024")</f>
        <v/>
      </c>
      <c r="Y384">
        <f>HYPERLINK("https://klasma.github.io/Logging_2260/tillsynsmail/A 55176-2024 tillsynsbegäran mail.docx", "A 55176-2024")</f>
        <v/>
      </c>
    </row>
    <row r="385" ht="15" customHeight="1">
      <c r="A385" t="inlineStr">
        <is>
          <t>A 20580-2026</t>
        </is>
      </c>
      <c r="B385" s="1" t="n">
        <v>46140.63605324074</v>
      </c>
      <c r="C385" s="1" t="n">
        <v>46185</v>
      </c>
      <c r="D385" t="inlineStr">
        <is>
          <t>VÄSTERNORRLANDS LÄN</t>
        </is>
      </c>
      <c r="E385" t="inlineStr">
        <is>
          <t>ÅNGE</t>
        </is>
      </c>
      <c r="F385" t="inlineStr">
        <is>
          <t>SCA</t>
        </is>
      </c>
      <c r="G385" t="n">
        <v>5.6</v>
      </c>
      <c r="H385" t="n">
        <v>1</v>
      </c>
      <c r="I385" t="n">
        <v>3</v>
      </c>
      <c r="J385" t="n">
        <v>2</v>
      </c>
      <c r="K385" t="n">
        <v>0</v>
      </c>
      <c r="L385" t="n">
        <v>0</v>
      </c>
      <c r="M385" t="n">
        <v>0</v>
      </c>
      <c r="N385" t="n">
        <v>0</v>
      </c>
      <c r="O385" t="n">
        <v>2</v>
      </c>
      <c r="P385" t="n">
        <v>0</v>
      </c>
      <c r="Q385" t="n">
        <v>6</v>
      </c>
      <c r="R385" s="2" t="inlineStr">
        <is>
          <t>Garnlav
Vedskivlav
Dropptaggsvamp
Stor aspticka
Vedticka
Tjäder</t>
        </is>
      </c>
      <c r="S385">
        <f>HYPERLINK("https://klasma.github.io/Logging_2260/artfynd/A 20580-2026 artfynd.xlsx", "A 20580-2026")</f>
        <v/>
      </c>
      <c r="T385">
        <f>HYPERLINK("https://klasma.github.io/Logging_2260/kartor/A 20580-2026 karta.png", "A 20580-2026")</f>
        <v/>
      </c>
      <c r="V385">
        <f>HYPERLINK("https://klasma.github.io/Logging_2260/klagomål/A 20580-2026 FSC-klagomål.docx", "A 20580-2026")</f>
        <v/>
      </c>
      <c r="W385">
        <f>HYPERLINK("https://klasma.github.io/Logging_2260/klagomålsmail/A 20580-2026 FSC-klagomål mail.docx", "A 20580-2026")</f>
        <v/>
      </c>
      <c r="X385">
        <f>HYPERLINK("https://klasma.github.io/Logging_2260/tillsyn/A 20580-2026 tillsynsbegäran.docx", "A 20580-2026")</f>
        <v/>
      </c>
      <c r="Y385">
        <f>HYPERLINK("https://klasma.github.io/Logging_2260/tillsynsmail/A 20580-2026 tillsynsbegäran mail.docx", "A 20580-2026")</f>
        <v/>
      </c>
      <c r="Z385">
        <f>HYPERLINK("https://klasma.github.io/Logging_2260/fåglar/A 20580-2026 prioriterade fågelarter.docx", "A 20580-2026")</f>
        <v/>
      </c>
    </row>
    <row r="386" ht="15" customHeight="1">
      <c r="A386" t="inlineStr">
        <is>
          <t>A 46087-2024</t>
        </is>
      </c>
      <c r="B386" s="1" t="n">
        <v>45581</v>
      </c>
      <c r="C386" s="1" t="n">
        <v>46185</v>
      </c>
      <c r="D386" t="inlineStr">
        <is>
          <t>VÄSTERNORRLANDS LÄN</t>
        </is>
      </c>
      <c r="E386" t="inlineStr">
        <is>
          <t>SUNDSVALL</t>
        </is>
      </c>
      <c r="F386" t="inlineStr">
        <is>
          <t>SCA</t>
        </is>
      </c>
      <c r="G386" t="n">
        <v>2.6</v>
      </c>
      <c r="H386" t="n">
        <v>4</v>
      </c>
      <c r="I386" t="n">
        <v>0</v>
      </c>
      <c r="J386" t="n">
        <v>5</v>
      </c>
      <c r="K386" t="n">
        <v>0</v>
      </c>
      <c r="L386" t="n">
        <v>0</v>
      </c>
      <c r="M386" t="n">
        <v>0</v>
      </c>
      <c r="N386" t="n">
        <v>0</v>
      </c>
      <c r="O386" t="n">
        <v>5</v>
      </c>
      <c r="P386" t="n">
        <v>0</v>
      </c>
      <c r="Q386" t="n">
        <v>6</v>
      </c>
      <c r="R386" s="2" t="inlineStr">
        <is>
          <t>Garnlav
Spillkråka
Talltita
Tretåig hackspett
Violettgrå tagellav
Revlummer</t>
        </is>
      </c>
      <c r="S386">
        <f>HYPERLINK("https://klasma.github.io/Logging_2281/artfynd/A 46087-2024 artfynd.xlsx", "A 46087-2024")</f>
        <v/>
      </c>
      <c r="T386">
        <f>HYPERLINK("https://klasma.github.io/Logging_2281/kartor/A 46087-2024 karta.png", "A 46087-2024")</f>
        <v/>
      </c>
      <c r="V386">
        <f>HYPERLINK("https://klasma.github.io/Logging_2281/klagomål/A 46087-2024 FSC-klagomål.docx", "A 46087-2024")</f>
        <v/>
      </c>
      <c r="W386">
        <f>HYPERLINK("https://klasma.github.io/Logging_2281/klagomålsmail/A 46087-2024 FSC-klagomål mail.docx", "A 46087-2024")</f>
        <v/>
      </c>
      <c r="X386">
        <f>HYPERLINK("https://klasma.github.io/Logging_2281/tillsyn/A 46087-2024 tillsynsbegäran.docx", "A 46087-2024")</f>
        <v/>
      </c>
      <c r="Y386">
        <f>HYPERLINK("https://klasma.github.io/Logging_2281/tillsynsmail/A 46087-2024 tillsynsbegäran mail.docx", "A 46087-2024")</f>
        <v/>
      </c>
      <c r="Z386">
        <f>HYPERLINK("https://klasma.github.io/Logging_2281/fåglar/A 46087-2024 prioriterade fågelarter.docx", "A 46087-2024")</f>
        <v/>
      </c>
    </row>
    <row r="387" ht="15" customHeight="1">
      <c r="A387" t="inlineStr">
        <is>
          <t>A 3579-2026</t>
        </is>
      </c>
      <c r="B387" s="1" t="n">
        <v>46042</v>
      </c>
      <c r="C387" s="1" t="n">
        <v>46185</v>
      </c>
      <c r="D387" t="inlineStr">
        <is>
          <t>VÄSTERNORRLANDS LÄN</t>
        </is>
      </c>
      <c r="E387" t="inlineStr">
        <is>
          <t>SUNDSVALL</t>
        </is>
      </c>
      <c r="G387" t="n">
        <v>18.9</v>
      </c>
      <c r="H387" t="n">
        <v>1</v>
      </c>
      <c r="I387" t="n">
        <v>1</v>
      </c>
      <c r="J387" t="n">
        <v>5</v>
      </c>
      <c r="K387" t="n">
        <v>0</v>
      </c>
      <c r="L387" t="n">
        <v>0</v>
      </c>
      <c r="M387" t="n">
        <v>0</v>
      </c>
      <c r="N387" t="n">
        <v>0</v>
      </c>
      <c r="O387" t="n">
        <v>5</v>
      </c>
      <c r="P387" t="n">
        <v>0</v>
      </c>
      <c r="Q387" t="n">
        <v>6</v>
      </c>
      <c r="R387" s="2" t="inlineStr">
        <is>
          <t>Garnlav
Granticka
Lunglav
Tretåig hackspett
Ullticka
Skinnlav</t>
        </is>
      </c>
      <c r="S387">
        <f>HYPERLINK("https://klasma.github.io/Logging_2281/artfynd/A 3579-2026 artfynd.xlsx", "A 3579-2026")</f>
        <v/>
      </c>
      <c r="T387">
        <f>HYPERLINK("https://klasma.github.io/Logging_2281/kartor/A 3579-2026 karta.png", "A 3579-2026")</f>
        <v/>
      </c>
      <c r="V387">
        <f>HYPERLINK("https://klasma.github.io/Logging_2281/klagomål/A 3579-2026 FSC-klagomål.docx", "A 3579-2026")</f>
        <v/>
      </c>
      <c r="W387">
        <f>HYPERLINK("https://klasma.github.io/Logging_2281/klagomålsmail/A 3579-2026 FSC-klagomål mail.docx", "A 3579-2026")</f>
        <v/>
      </c>
      <c r="X387">
        <f>HYPERLINK("https://klasma.github.io/Logging_2281/tillsyn/A 3579-2026 tillsynsbegäran.docx", "A 3579-2026")</f>
        <v/>
      </c>
      <c r="Y387">
        <f>HYPERLINK("https://klasma.github.io/Logging_2281/tillsynsmail/A 3579-2026 tillsynsbegäran mail.docx", "A 3579-2026")</f>
        <v/>
      </c>
      <c r="Z387">
        <f>HYPERLINK("https://klasma.github.io/Logging_2281/fåglar/A 3579-2026 prioriterade fågelarter.docx", "A 3579-2026")</f>
        <v/>
      </c>
    </row>
    <row r="388" ht="15" customHeight="1">
      <c r="A388" t="inlineStr">
        <is>
          <t>A 56141-2025</t>
        </is>
      </c>
      <c r="B388" s="1" t="n">
        <v>45974</v>
      </c>
      <c r="C388" s="1" t="n">
        <v>46185</v>
      </c>
      <c r="D388" t="inlineStr">
        <is>
          <t>VÄSTERNORRLANDS LÄN</t>
        </is>
      </c>
      <c r="E388" t="inlineStr">
        <is>
          <t>SOLLEFTEÅ</t>
        </is>
      </c>
      <c r="G388" t="n">
        <v>2.5</v>
      </c>
      <c r="H388" t="n">
        <v>1</v>
      </c>
      <c r="I388" t="n">
        <v>2</v>
      </c>
      <c r="J388" t="n">
        <v>2</v>
      </c>
      <c r="K388" t="n">
        <v>1</v>
      </c>
      <c r="L388" t="n">
        <v>0</v>
      </c>
      <c r="M388" t="n">
        <v>0</v>
      </c>
      <c r="N388" t="n">
        <v>0</v>
      </c>
      <c r="O388" t="n">
        <v>3</v>
      </c>
      <c r="P388" t="n">
        <v>1</v>
      </c>
      <c r="Q388" t="n">
        <v>6</v>
      </c>
      <c r="R388" s="2" t="inlineStr">
        <is>
          <t>Rynkskinn
Garnlav
Ullticka
Norrlandslav
Stuplav
Lavskrika</t>
        </is>
      </c>
      <c r="S388">
        <f>HYPERLINK("https://klasma.github.io/Logging_2283/artfynd/A 56141-2025 artfynd.xlsx", "A 56141-2025")</f>
        <v/>
      </c>
      <c r="T388">
        <f>HYPERLINK("https://klasma.github.io/Logging_2283/kartor/A 56141-2025 karta.png", "A 56141-2025")</f>
        <v/>
      </c>
      <c r="V388">
        <f>HYPERLINK("https://klasma.github.io/Logging_2283/klagomål/A 56141-2025 FSC-klagomål.docx", "A 56141-2025")</f>
        <v/>
      </c>
      <c r="W388">
        <f>HYPERLINK("https://klasma.github.io/Logging_2283/klagomålsmail/A 56141-2025 FSC-klagomål mail.docx", "A 56141-2025")</f>
        <v/>
      </c>
      <c r="X388">
        <f>HYPERLINK("https://klasma.github.io/Logging_2283/tillsyn/A 56141-2025 tillsynsbegäran.docx", "A 56141-2025")</f>
        <v/>
      </c>
      <c r="Y388">
        <f>HYPERLINK("https://klasma.github.io/Logging_2283/tillsynsmail/A 56141-2025 tillsynsbegäran mail.docx", "A 56141-2025")</f>
        <v/>
      </c>
      <c r="Z388">
        <f>HYPERLINK("https://klasma.github.io/Logging_2283/fåglar/A 56141-2025 prioriterade fågelarter.docx", "A 56141-2025")</f>
        <v/>
      </c>
    </row>
    <row r="389" ht="15" customHeight="1">
      <c r="A389" t="inlineStr">
        <is>
          <t>A 19010-2025</t>
        </is>
      </c>
      <c r="B389" s="1" t="n">
        <v>45764</v>
      </c>
      <c r="C389" s="1" t="n">
        <v>46185</v>
      </c>
      <c r="D389" t="inlineStr">
        <is>
          <t>VÄSTERNORRLANDS LÄN</t>
        </is>
      </c>
      <c r="E389" t="inlineStr">
        <is>
          <t>ÅNGE</t>
        </is>
      </c>
      <c r="F389" t="inlineStr">
        <is>
          <t>SCA</t>
        </is>
      </c>
      <c r="G389" t="n">
        <v>72</v>
      </c>
      <c r="H389" t="n">
        <v>3</v>
      </c>
      <c r="I389" t="n">
        <v>0</v>
      </c>
      <c r="J389" t="n">
        <v>5</v>
      </c>
      <c r="K389" t="n">
        <v>1</v>
      </c>
      <c r="L389" t="n">
        <v>0</v>
      </c>
      <c r="M389" t="n">
        <v>0</v>
      </c>
      <c r="N389" t="n">
        <v>0</v>
      </c>
      <c r="O389" t="n">
        <v>6</v>
      </c>
      <c r="P389" t="n">
        <v>1</v>
      </c>
      <c r="Q389" t="n">
        <v>6</v>
      </c>
      <c r="R389" s="2" t="inlineStr">
        <is>
          <t>Knärot
Lunglav
Mörk kolflarnlav
Stiftgelélav
Talltita
Tretåig hackspett</t>
        </is>
      </c>
      <c r="S389">
        <f>HYPERLINK("https://klasma.github.io/Logging_2260/artfynd/A 19010-2025 artfynd.xlsx", "A 19010-2025")</f>
        <v/>
      </c>
      <c r="T389">
        <f>HYPERLINK("https://klasma.github.io/Logging_2260/kartor/A 19010-2025 karta.png", "A 19010-2025")</f>
        <v/>
      </c>
      <c r="U389">
        <f>HYPERLINK("https://klasma.github.io/Logging_2260/knärot/A 19010-2025 karta knärot.png", "A 19010-2025")</f>
        <v/>
      </c>
      <c r="V389">
        <f>HYPERLINK("https://klasma.github.io/Logging_2260/klagomål/A 19010-2025 FSC-klagomål.docx", "A 19010-2025")</f>
        <v/>
      </c>
      <c r="W389">
        <f>HYPERLINK("https://klasma.github.io/Logging_2260/klagomålsmail/A 19010-2025 FSC-klagomål mail.docx", "A 19010-2025")</f>
        <v/>
      </c>
      <c r="X389">
        <f>HYPERLINK("https://klasma.github.io/Logging_2260/tillsyn/A 19010-2025 tillsynsbegäran.docx", "A 19010-2025")</f>
        <v/>
      </c>
      <c r="Y389">
        <f>HYPERLINK("https://klasma.github.io/Logging_2260/tillsynsmail/A 19010-2025 tillsynsbegäran mail.docx", "A 19010-2025")</f>
        <v/>
      </c>
      <c r="Z389">
        <f>HYPERLINK("https://klasma.github.io/Logging_2260/fåglar/A 19010-2025 prioriterade fågelarter.docx", "A 19010-2025")</f>
        <v/>
      </c>
    </row>
    <row r="390" ht="15" customHeight="1">
      <c r="A390" t="inlineStr">
        <is>
          <t>A 2011-2023</t>
        </is>
      </c>
      <c r="B390" s="1" t="n">
        <v>44939</v>
      </c>
      <c r="C390" s="1" t="n">
        <v>46185</v>
      </c>
      <c r="D390" t="inlineStr">
        <is>
          <t>VÄSTERNORRLANDS LÄN</t>
        </is>
      </c>
      <c r="E390" t="inlineStr">
        <is>
          <t>ÖRNSKÖLDSVIK</t>
        </is>
      </c>
      <c r="F390" t="inlineStr">
        <is>
          <t>Holmen skog AB</t>
        </is>
      </c>
      <c r="G390" t="n">
        <v>7.4</v>
      </c>
      <c r="H390" t="n">
        <v>0</v>
      </c>
      <c r="I390" t="n">
        <v>1</v>
      </c>
      <c r="J390" t="n">
        <v>5</v>
      </c>
      <c r="K390" t="n">
        <v>0</v>
      </c>
      <c r="L390" t="n">
        <v>0</v>
      </c>
      <c r="M390" t="n">
        <v>0</v>
      </c>
      <c r="N390" t="n">
        <v>0</v>
      </c>
      <c r="O390" t="n">
        <v>5</v>
      </c>
      <c r="P390" t="n">
        <v>0</v>
      </c>
      <c r="Q390" t="n">
        <v>6</v>
      </c>
      <c r="R390" s="2" t="inlineStr">
        <is>
          <t>Garnlav
Kolflarnlav
Lunglav
Tallticka
Vedflamlav
Stuplav</t>
        </is>
      </c>
      <c r="S390">
        <f>HYPERLINK("https://klasma.github.io/Logging_2284/artfynd/A 2011-2023 artfynd.xlsx", "A 2011-2023")</f>
        <v/>
      </c>
      <c r="T390">
        <f>HYPERLINK("https://klasma.github.io/Logging_2284/kartor/A 2011-2023 karta.png", "A 2011-2023")</f>
        <v/>
      </c>
      <c r="V390">
        <f>HYPERLINK("https://klasma.github.io/Logging_2284/klagomål/A 2011-2023 FSC-klagomål.docx", "A 2011-2023")</f>
        <v/>
      </c>
      <c r="W390">
        <f>HYPERLINK("https://klasma.github.io/Logging_2284/klagomålsmail/A 2011-2023 FSC-klagomål mail.docx", "A 2011-2023")</f>
        <v/>
      </c>
      <c r="X390">
        <f>HYPERLINK("https://klasma.github.io/Logging_2284/tillsyn/A 2011-2023 tillsynsbegäran.docx", "A 2011-2023")</f>
        <v/>
      </c>
      <c r="Y390">
        <f>HYPERLINK("https://klasma.github.io/Logging_2284/tillsynsmail/A 2011-2023 tillsynsbegäran mail.docx", "A 2011-2023")</f>
        <v/>
      </c>
    </row>
    <row r="391" ht="15" customHeight="1">
      <c r="A391" t="inlineStr">
        <is>
          <t>A 61541-2024</t>
        </is>
      </c>
      <c r="B391" s="1" t="n">
        <v>45646</v>
      </c>
      <c r="C391" s="1" t="n">
        <v>46185</v>
      </c>
      <c r="D391" t="inlineStr">
        <is>
          <t>VÄSTERNORRLANDS LÄN</t>
        </is>
      </c>
      <c r="E391" t="inlineStr">
        <is>
          <t>SOLLEFTEÅ</t>
        </is>
      </c>
      <c r="F391" t="inlineStr">
        <is>
          <t>SCA</t>
        </is>
      </c>
      <c r="G391" t="n">
        <v>6.8</v>
      </c>
      <c r="H391" t="n">
        <v>1</v>
      </c>
      <c r="I391" t="n">
        <v>0</v>
      </c>
      <c r="J391" t="n">
        <v>6</v>
      </c>
      <c r="K391" t="n">
        <v>0</v>
      </c>
      <c r="L391" t="n">
        <v>0</v>
      </c>
      <c r="M391" t="n">
        <v>0</v>
      </c>
      <c r="N391" t="n">
        <v>0</v>
      </c>
      <c r="O391" t="n">
        <v>6</v>
      </c>
      <c r="P391" t="n">
        <v>0</v>
      </c>
      <c r="Q391" t="n">
        <v>6</v>
      </c>
      <c r="R391" s="2" t="inlineStr">
        <is>
          <t>Gammelgransskål
Garnlav
Skogshare
Tretåig hackspett
Ullticka
Vitgrynig nållav</t>
        </is>
      </c>
      <c r="S391">
        <f>HYPERLINK("https://klasma.github.io/Logging_2283/artfynd/A 61541-2024 artfynd.xlsx", "A 61541-2024")</f>
        <v/>
      </c>
      <c r="T391">
        <f>HYPERLINK("https://klasma.github.io/Logging_2283/kartor/A 61541-2024 karta.png", "A 61541-2024")</f>
        <v/>
      </c>
      <c r="V391">
        <f>HYPERLINK("https://klasma.github.io/Logging_2283/klagomål/A 61541-2024 FSC-klagomål.docx", "A 61541-2024")</f>
        <v/>
      </c>
      <c r="W391">
        <f>HYPERLINK("https://klasma.github.io/Logging_2283/klagomålsmail/A 61541-2024 FSC-klagomål mail.docx", "A 61541-2024")</f>
        <v/>
      </c>
      <c r="X391">
        <f>HYPERLINK("https://klasma.github.io/Logging_2283/tillsyn/A 61541-2024 tillsynsbegäran.docx", "A 61541-2024")</f>
        <v/>
      </c>
      <c r="Y391">
        <f>HYPERLINK("https://klasma.github.io/Logging_2283/tillsynsmail/A 61541-2024 tillsynsbegäran mail.docx", "A 61541-2024")</f>
        <v/>
      </c>
      <c r="Z391">
        <f>HYPERLINK("https://klasma.github.io/Logging_2283/fåglar/A 61541-2024 prioriterade fågelarter.docx", "A 61541-2024")</f>
        <v/>
      </c>
    </row>
    <row r="392" ht="15" customHeight="1">
      <c r="A392" t="inlineStr">
        <is>
          <t>A 8439-2025</t>
        </is>
      </c>
      <c r="B392" s="1" t="n">
        <v>45709.44822916666</v>
      </c>
      <c r="C392" s="1" t="n">
        <v>46185</v>
      </c>
      <c r="D392" t="inlineStr">
        <is>
          <t>VÄSTERNORRLANDS LÄN</t>
        </is>
      </c>
      <c r="E392" t="inlineStr">
        <is>
          <t>TIMRÅ</t>
        </is>
      </c>
      <c r="F392" t="inlineStr">
        <is>
          <t>SCA</t>
        </is>
      </c>
      <c r="G392" t="n">
        <v>7</v>
      </c>
      <c r="H392" t="n">
        <v>0</v>
      </c>
      <c r="I392" t="n">
        <v>2</v>
      </c>
      <c r="J392" t="n">
        <v>4</v>
      </c>
      <c r="K392" t="n">
        <v>0</v>
      </c>
      <c r="L392" t="n">
        <v>0</v>
      </c>
      <c r="M392" t="n">
        <v>0</v>
      </c>
      <c r="N392" t="n">
        <v>0</v>
      </c>
      <c r="O392" t="n">
        <v>4</v>
      </c>
      <c r="P392" t="n">
        <v>0</v>
      </c>
      <c r="Q392" t="n">
        <v>6</v>
      </c>
      <c r="R392" s="2" t="inlineStr">
        <is>
          <t>Gammelgransskål
Garnlav
Ullticka
Violettgrå tagellav
Dropptaggsvamp
Vedticka</t>
        </is>
      </c>
      <c r="S392">
        <f>HYPERLINK("https://klasma.github.io/Logging_2262/artfynd/A 8439-2025 artfynd.xlsx", "A 8439-2025")</f>
        <v/>
      </c>
      <c r="T392">
        <f>HYPERLINK("https://klasma.github.io/Logging_2262/kartor/A 8439-2025 karta.png", "A 8439-2025")</f>
        <v/>
      </c>
      <c r="V392">
        <f>HYPERLINK("https://klasma.github.io/Logging_2262/klagomål/A 8439-2025 FSC-klagomål.docx", "A 8439-2025")</f>
        <v/>
      </c>
      <c r="W392">
        <f>HYPERLINK("https://klasma.github.io/Logging_2262/klagomålsmail/A 8439-2025 FSC-klagomål mail.docx", "A 8439-2025")</f>
        <v/>
      </c>
      <c r="X392">
        <f>HYPERLINK("https://klasma.github.io/Logging_2262/tillsyn/A 8439-2025 tillsynsbegäran.docx", "A 8439-2025")</f>
        <v/>
      </c>
      <c r="Y392">
        <f>HYPERLINK("https://klasma.github.io/Logging_2262/tillsynsmail/A 8439-2025 tillsynsbegäran mail.docx", "A 8439-2025")</f>
        <v/>
      </c>
    </row>
    <row r="393" ht="15" customHeight="1">
      <c r="A393" t="inlineStr">
        <is>
          <t>A 36470-2024</t>
        </is>
      </c>
      <c r="B393" s="1" t="n">
        <v>45537</v>
      </c>
      <c r="C393" s="1" t="n">
        <v>46185</v>
      </c>
      <c r="D393" t="inlineStr">
        <is>
          <t>VÄSTERNORRLANDS LÄN</t>
        </is>
      </c>
      <c r="E393" t="inlineStr">
        <is>
          <t>SOLLEFTEÅ</t>
        </is>
      </c>
      <c r="F393" t="inlineStr">
        <is>
          <t>SCA</t>
        </is>
      </c>
      <c r="G393" t="n">
        <v>10.3</v>
      </c>
      <c r="H393" t="n">
        <v>3</v>
      </c>
      <c r="I393" t="n">
        <v>0</v>
      </c>
      <c r="J393" t="n">
        <v>6</v>
      </c>
      <c r="K393" t="n">
        <v>0</v>
      </c>
      <c r="L393" t="n">
        <v>0</v>
      </c>
      <c r="M393" t="n">
        <v>0</v>
      </c>
      <c r="N393" t="n">
        <v>0</v>
      </c>
      <c r="O393" t="n">
        <v>6</v>
      </c>
      <c r="P393" t="n">
        <v>0</v>
      </c>
      <c r="Q393" t="n">
        <v>6</v>
      </c>
      <c r="R393" s="2" t="inlineStr">
        <is>
          <t>Gammelgransskål
Granticka
Harticka
Spillkråka
Talltita
Tretåig hackspett</t>
        </is>
      </c>
      <c r="S393">
        <f>HYPERLINK("https://klasma.github.io/Logging_2283/artfynd/A 36470-2024 artfynd.xlsx", "A 36470-2024")</f>
        <v/>
      </c>
      <c r="T393">
        <f>HYPERLINK("https://klasma.github.io/Logging_2283/kartor/A 36470-2024 karta.png", "A 36470-2024")</f>
        <v/>
      </c>
      <c r="V393">
        <f>HYPERLINK("https://klasma.github.io/Logging_2283/klagomål/A 36470-2024 FSC-klagomål.docx", "A 36470-2024")</f>
        <v/>
      </c>
      <c r="W393">
        <f>HYPERLINK("https://klasma.github.io/Logging_2283/klagomålsmail/A 36470-2024 FSC-klagomål mail.docx", "A 36470-2024")</f>
        <v/>
      </c>
      <c r="X393">
        <f>HYPERLINK("https://klasma.github.io/Logging_2283/tillsyn/A 36470-2024 tillsynsbegäran.docx", "A 36470-2024")</f>
        <v/>
      </c>
      <c r="Y393">
        <f>HYPERLINK("https://klasma.github.io/Logging_2283/tillsynsmail/A 36470-2024 tillsynsbegäran mail.docx", "A 36470-2024")</f>
        <v/>
      </c>
      <c r="Z393">
        <f>HYPERLINK("https://klasma.github.io/Logging_2283/fåglar/A 36470-2024 prioriterade fågelarter.docx", "A 36470-2024")</f>
        <v/>
      </c>
    </row>
    <row r="394" ht="15" customHeight="1">
      <c r="A394" t="inlineStr">
        <is>
          <t>A 7334-2025</t>
        </is>
      </c>
      <c r="B394" s="1" t="n">
        <v>45703.35998842592</v>
      </c>
      <c r="C394" s="1" t="n">
        <v>46185</v>
      </c>
      <c r="D394" t="inlineStr">
        <is>
          <t>VÄSTERNORRLANDS LÄN</t>
        </is>
      </c>
      <c r="E394" t="inlineStr">
        <is>
          <t>SOLLEFTEÅ</t>
        </is>
      </c>
      <c r="G394" t="n">
        <v>2.2</v>
      </c>
      <c r="H394" t="n">
        <v>4</v>
      </c>
      <c r="I394" t="n">
        <v>2</v>
      </c>
      <c r="J394" t="n">
        <v>3</v>
      </c>
      <c r="K394" t="n">
        <v>0</v>
      </c>
      <c r="L394" t="n">
        <v>0</v>
      </c>
      <c r="M394" t="n">
        <v>0</v>
      </c>
      <c r="N394" t="n">
        <v>0</v>
      </c>
      <c r="O394" t="n">
        <v>3</v>
      </c>
      <c r="P394" t="n">
        <v>0</v>
      </c>
      <c r="Q394" t="n">
        <v>6</v>
      </c>
      <c r="R394" s="2" t="inlineStr">
        <is>
          <t>Björktrast
Gulsparv
Rödvingetrast
Skinnlav
Stor aspticka
Revlummer</t>
        </is>
      </c>
      <c r="S394">
        <f>HYPERLINK("https://klasma.github.io/Logging_2283/artfynd/A 7334-2025 artfynd.xlsx", "A 7334-2025")</f>
        <v/>
      </c>
      <c r="T394">
        <f>HYPERLINK("https://klasma.github.io/Logging_2283/kartor/A 7334-2025 karta.png", "A 7334-2025")</f>
        <v/>
      </c>
      <c r="V394">
        <f>HYPERLINK("https://klasma.github.io/Logging_2283/klagomål/A 7334-2025 FSC-klagomål.docx", "A 7334-2025")</f>
        <v/>
      </c>
      <c r="W394">
        <f>HYPERLINK("https://klasma.github.io/Logging_2283/klagomålsmail/A 7334-2025 FSC-klagomål mail.docx", "A 7334-2025")</f>
        <v/>
      </c>
      <c r="X394">
        <f>HYPERLINK("https://klasma.github.io/Logging_2283/tillsyn/A 7334-2025 tillsynsbegäran.docx", "A 7334-2025")</f>
        <v/>
      </c>
      <c r="Y394">
        <f>HYPERLINK("https://klasma.github.io/Logging_2283/tillsynsmail/A 7334-2025 tillsynsbegäran mail.docx", "A 7334-2025")</f>
        <v/>
      </c>
      <c r="Z394">
        <f>HYPERLINK("https://klasma.github.io/Logging_2283/fåglar/A 7334-2025 prioriterade fågelarter.docx", "A 7334-2025")</f>
        <v/>
      </c>
    </row>
    <row r="395" ht="15" customHeight="1">
      <c r="A395" t="inlineStr">
        <is>
          <t>A 24421-2025</t>
        </is>
      </c>
      <c r="B395" s="1" t="n">
        <v>45797.67784722222</v>
      </c>
      <c r="C395" s="1" t="n">
        <v>46185</v>
      </c>
      <c r="D395" t="inlineStr">
        <is>
          <t>VÄSTERNORRLANDS LÄN</t>
        </is>
      </c>
      <c r="E395" t="inlineStr">
        <is>
          <t>TIMRÅ</t>
        </is>
      </c>
      <c r="F395" t="inlineStr">
        <is>
          <t>SCA</t>
        </is>
      </c>
      <c r="G395" t="n">
        <v>1.3</v>
      </c>
      <c r="H395" t="n">
        <v>2</v>
      </c>
      <c r="I395" t="n">
        <v>1</v>
      </c>
      <c r="J395" t="n">
        <v>2</v>
      </c>
      <c r="K395" t="n">
        <v>1</v>
      </c>
      <c r="L395" t="n">
        <v>0</v>
      </c>
      <c r="M395" t="n">
        <v>0</v>
      </c>
      <c r="N395" t="n">
        <v>0</v>
      </c>
      <c r="O395" t="n">
        <v>3</v>
      </c>
      <c r="P395" t="n">
        <v>1</v>
      </c>
      <c r="Q395" t="n">
        <v>6</v>
      </c>
      <c r="R395" s="2" t="inlineStr">
        <is>
          <t>Rynkskinn
Gammelgransskål
Knottrig blåslav
Skuggblåslav
Fläcknycklar
Revlummer</t>
        </is>
      </c>
      <c r="S395">
        <f>HYPERLINK("https://klasma.github.io/Logging_2262/artfynd/A 24421-2025 artfynd.xlsx", "A 24421-2025")</f>
        <v/>
      </c>
      <c r="T395">
        <f>HYPERLINK("https://klasma.github.io/Logging_2262/kartor/A 24421-2025 karta.png", "A 24421-2025")</f>
        <v/>
      </c>
      <c r="V395">
        <f>HYPERLINK("https://klasma.github.io/Logging_2262/klagomål/A 24421-2025 FSC-klagomål.docx", "A 24421-2025")</f>
        <v/>
      </c>
      <c r="W395">
        <f>HYPERLINK("https://klasma.github.io/Logging_2262/klagomålsmail/A 24421-2025 FSC-klagomål mail.docx", "A 24421-2025")</f>
        <v/>
      </c>
      <c r="X395">
        <f>HYPERLINK("https://klasma.github.io/Logging_2262/tillsyn/A 24421-2025 tillsynsbegäran.docx", "A 24421-2025")</f>
        <v/>
      </c>
      <c r="Y395">
        <f>HYPERLINK("https://klasma.github.io/Logging_2262/tillsynsmail/A 24421-2025 tillsynsbegäran mail.docx", "A 24421-2025")</f>
        <v/>
      </c>
    </row>
    <row r="396" ht="15" customHeight="1">
      <c r="A396" t="inlineStr">
        <is>
          <t>A 31364-2022</t>
        </is>
      </c>
      <c r="B396" s="1" t="n">
        <v>44774</v>
      </c>
      <c r="C396" s="1" t="n">
        <v>46185</v>
      </c>
      <c r="D396" t="inlineStr">
        <is>
          <t>VÄSTERNORRLANDS LÄN</t>
        </is>
      </c>
      <c r="E396" t="inlineStr">
        <is>
          <t>ÅNGE</t>
        </is>
      </c>
      <c r="F396" t="inlineStr">
        <is>
          <t>Sveaskog</t>
        </is>
      </c>
      <c r="G396" t="n">
        <v>5.4</v>
      </c>
      <c r="H396" t="n">
        <v>3</v>
      </c>
      <c r="I396" t="n">
        <v>1</v>
      </c>
      <c r="J396" t="n">
        <v>1</v>
      </c>
      <c r="K396" t="n">
        <v>0</v>
      </c>
      <c r="L396" t="n">
        <v>0</v>
      </c>
      <c r="M396" t="n">
        <v>0</v>
      </c>
      <c r="N396" t="n">
        <v>0</v>
      </c>
      <c r="O396" t="n">
        <v>1</v>
      </c>
      <c r="P396" t="n">
        <v>0</v>
      </c>
      <c r="Q396" t="n">
        <v>5</v>
      </c>
      <c r="R396" s="2" t="inlineStr">
        <is>
          <t>Violettgrå tagellav
Kransrams
Fläcknycklar
Nattviol
Blåsippa</t>
        </is>
      </c>
      <c r="S396">
        <f>HYPERLINK("https://klasma.github.io/Logging_2260/artfynd/A 31364-2022 artfynd.xlsx", "A 31364-2022")</f>
        <v/>
      </c>
      <c r="T396">
        <f>HYPERLINK("https://klasma.github.io/Logging_2260/kartor/A 31364-2022 karta.png", "A 31364-2022")</f>
        <v/>
      </c>
      <c r="V396">
        <f>HYPERLINK("https://klasma.github.io/Logging_2260/klagomål/A 31364-2022 FSC-klagomål.docx", "A 31364-2022")</f>
        <v/>
      </c>
      <c r="W396">
        <f>HYPERLINK("https://klasma.github.io/Logging_2260/klagomålsmail/A 31364-2022 FSC-klagomål mail.docx", "A 31364-2022")</f>
        <v/>
      </c>
      <c r="X396">
        <f>HYPERLINK("https://klasma.github.io/Logging_2260/tillsyn/A 31364-2022 tillsynsbegäran.docx", "A 31364-2022")</f>
        <v/>
      </c>
      <c r="Y396">
        <f>HYPERLINK("https://klasma.github.io/Logging_2260/tillsynsmail/A 31364-2022 tillsynsbegäran mail.docx", "A 31364-2022")</f>
        <v/>
      </c>
    </row>
    <row r="397" ht="15" customHeight="1">
      <c r="A397" t="inlineStr">
        <is>
          <t>A 20949-2022</t>
        </is>
      </c>
      <c r="B397" s="1" t="n">
        <v>44701.93967592593</v>
      </c>
      <c r="C397" s="1" t="n">
        <v>46185</v>
      </c>
      <c r="D397" t="inlineStr">
        <is>
          <t>VÄSTERNORRLANDS LÄN</t>
        </is>
      </c>
      <c r="E397" t="inlineStr">
        <is>
          <t>SOLLEFTEÅ</t>
        </is>
      </c>
      <c r="F397" t="inlineStr">
        <is>
          <t>SCA</t>
        </is>
      </c>
      <c r="G397" t="n">
        <v>2.2</v>
      </c>
      <c r="H397" t="n">
        <v>1</v>
      </c>
      <c r="I397" t="n">
        <v>0</v>
      </c>
      <c r="J397" t="n">
        <v>5</v>
      </c>
      <c r="K397" t="n">
        <v>0</v>
      </c>
      <c r="L397" t="n">
        <v>0</v>
      </c>
      <c r="M397" t="n">
        <v>0</v>
      </c>
      <c r="N397" t="n">
        <v>0</v>
      </c>
      <c r="O397" t="n">
        <v>5</v>
      </c>
      <c r="P397" t="n">
        <v>0</v>
      </c>
      <c r="Q397" t="n">
        <v>5</v>
      </c>
      <c r="R397" s="2" t="inlineStr">
        <is>
          <t>Garnlav
Kolflarnlav
Lunglav
Tretåig hackspett
Vedskivlav</t>
        </is>
      </c>
      <c r="S397">
        <f>HYPERLINK("https://klasma.github.io/Logging_2283/artfynd/A 20949-2022 artfynd.xlsx", "A 20949-2022")</f>
        <v/>
      </c>
      <c r="T397">
        <f>HYPERLINK("https://klasma.github.io/Logging_2283/kartor/A 20949-2022 karta.png", "A 20949-2022")</f>
        <v/>
      </c>
      <c r="V397">
        <f>HYPERLINK("https://klasma.github.io/Logging_2283/klagomål/A 20949-2022 FSC-klagomål.docx", "A 20949-2022")</f>
        <v/>
      </c>
      <c r="W397">
        <f>HYPERLINK("https://klasma.github.io/Logging_2283/klagomålsmail/A 20949-2022 FSC-klagomål mail.docx", "A 20949-2022")</f>
        <v/>
      </c>
      <c r="X397">
        <f>HYPERLINK("https://klasma.github.io/Logging_2283/tillsyn/A 20949-2022 tillsynsbegäran.docx", "A 20949-2022")</f>
        <v/>
      </c>
      <c r="Y397">
        <f>HYPERLINK("https://klasma.github.io/Logging_2283/tillsynsmail/A 20949-2022 tillsynsbegäran mail.docx", "A 20949-2022")</f>
        <v/>
      </c>
      <c r="Z397">
        <f>HYPERLINK("https://klasma.github.io/Logging_2283/fåglar/A 20949-2022 prioriterade fågelarter.docx", "A 20949-2022")</f>
        <v/>
      </c>
    </row>
    <row r="398" ht="15" customHeight="1">
      <c r="A398" t="inlineStr">
        <is>
          <t>A 11490-2022</t>
        </is>
      </c>
      <c r="B398" s="1" t="n">
        <v>44630.93877314815</v>
      </c>
      <c r="C398" s="1" t="n">
        <v>46185</v>
      </c>
      <c r="D398" t="inlineStr">
        <is>
          <t>VÄSTERNORRLANDS LÄN</t>
        </is>
      </c>
      <c r="E398" t="inlineStr">
        <is>
          <t>SOLLEFTEÅ</t>
        </is>
      </c>
      <c r="F398" t="inlineStr">
        <is>
          <t>SCA</t>
        </is>
      </c>
      <c r="G398" t="n">
        <v>2</v>
      </c>
      <c r="H398" t="n">
        <v>2</v>
      </c>
      <c r="I398" t="n">
        <v>0</v>
      </c>
      <c r="J398" t="n">
        <v>5</v>
      </c>
      <c r="K398" t="n">
        <v>0</v>
      </c>
      <c r="L398" t="n">
        <v>0</v>
      </c>
      <c r="M398" t="n">
        <v>0</v>
      </c>
      <c r="N398" t="n">
        <v>0</v>
      </c>
      <c r="O398" t="n">
        <v>5</v>
      </c>
      <c r="P398" t="n">
        <v>0</v>
      </c>
      <c r="Q398" t="n">
        <v>5</v>
      </c>
      <c r="R398" s="2" t="inlineStr">
        <is>
          <t>Garnlav
Lunglav
Spillkråka
Tretåig hackspett
Ullticka</t>
        </is>
      </c>
      <c r="S398">
        <f>HYPERLINK("https://klasma.github.io/Logging_2283/artfynd/A 11490-2022 artfynd.xlsx", "A 11490-2022")</f>
        <v/>
      </c>
      <c r="T398">
        <f>HYPERLINK("https://klasma.github.io/Logging_2283/kartor/A 11490-2022 karta.png", "A 11490-2022")</f>
        <v/>
      </c>
      <c r="V398">
        <f>HYPERLINK("https://klasma.github.io/Logging_2283/klagomål/A 11490-2022 FSC-klagomål.docx", "A 11490-2022")</f>
        <v/>
      </c>
      <c r="W398">
        <f>HYPERLINK("https://klasma.github.io/Logging_2283/klagomålsmail/A 11490-2022 FSC-klagomål mail.docx", "A 11490-2022")</f>
        <v/>
      </c>
      <c r="X398">
        <f>HYPERLINK("https://klasma.github.io/Logging_2283/tillsyn/A 11490-2022 tillsynsbegäran.docx", "A 11490-2022")</f>
        <v/>
      </c>
      <c r="Y398">
        <f>HYPERLINK("https://klasma.github.io/Logging_2283/tillsynsmail/A 11490-2022 tillsynsbegäran mail.docx", "A 11490-2022")</f>
        <v/>
      </c>
      <c r="Z398">
        <f>HYPERLINK("https://klasma.github.io/Logging_2283/fåglar/A 11490-2022 prioriterade fågelarter.docx", "A 11490-2022")</f>
        <v/>
      </c>
    </row>
    <row r="399" ht="15" customHeight="1">
      <c r="A399" t="inlineStr">
        <is>
          <t>A 41169-2022</t>
        </is>
      </c>
      <c r="B399" s="1" t="n">
        <v>44825</v>
      </c>
      <c r="C399" s="1" t="n">
        <v>46185</v>
      </c>
      <c r="D399" t="inlineStr">
        <is>
          <t>VÄSTERNORRLANDS LÄN</t>
        </is>
      </c>
      <c r="E399" t="inlineStr">
        <is>
          <t>SOLLEFTEÅ</t>
        </is>
      </c>
      <c r="F399" t="inlineStr">
        <is>
          <t>SCA</t>
        </is>
      </c>
      <c r="G399" t="n">
        <v>1.8</v>
      </c>
      <c r="H399" t="n">
        <v>2</v>
      </c>
      <c r="I399" t="n">
        <v>1</v>
      </c>
      <c r="J399" t="n">
        <v>4</v>
      </c>
      <c r="K399" t="n">
        <v>0</v>
      </c>
      <c r="L399" t="n">
        <v>0</v>
      </c>
      <c r="M399" t="n">
        <v>0</v>
      </c>
      <c r="N399" t="n">
        <v>0</v>
      </c>
      <c r="O399" t="n">
        <v>4</v>
      </c>
      <c r="P399" t="n">
        <v>0</v>
      </c>
      <c r="Q399" t="n">
        <v>5</v>
      </c>
      <c r="R399" s="2" t="inlineStr">
        <is>
          <t>Spillkråka
Tretåig hackspett
Ullticka
Vedskivlav
Vedticka</t>
        </is>
      </c>
      <c r="S399">
        <f>HYPERLINK("https://klasma.github.io/Logging_2283/artfynd/A 41169-2022 artfynd.xlsx", "A 41169-2022")</f>
        <v/>
      </c>
      <c r="T399">
        <f>HYPERLINK("https://klasma.github.io/Logging_2283/kartor/A 41169-2022 karta.png", "A 41169-2022")</f>
        <v/>
      </c>
      <c r="V399">
        <f>HYPERLINK("https://klasma.github.io/Logging_2283/klagomål/A 41169-2022 FSC-klagomål.docx", "A 41169-2022")</f>
        <v/>
      </c>
      <c r="W399">
        <f>HYPERLINK("https://klasma.github.io/Logging_2283/klagomålsmail/A 41169-2022 FSC-klagomål mail.docx", "A 41169-2022")</f>
        <v/>
      </c>
      <c r="X399">
        <f>HYPERLINK("https://klasma.github.io/Logging_2283/tillsyn/A 41169-2022 tillsynsbegäran.docx", "A 41169-2022")</f>
        <v/>
      </c>
      <c r="Y399">
        <f>HYPERLINK("https://klasma.github.io/Logging_2283/tillsynsmail/A 41169-2022 tillsynsbegäran mail.docx", "A 41169-2022")</f>
        <v/>
      </c>
      <c r="Z399">
        <f>HYPERLINK("https://klasma.github.io/Logging_2283/fåglar/A 41169-2022 prioriterade fågelarter.docx", "A 41169-2022")</f>
        <v/>
      </c>
    </row>
    <row r="400" ht="15" customHeight="1">
      <c r="A400" t="inlineStr">
        <is>
          <t>A 32911-2024</t>
        </is>
      </c>
      <c r="B400" s="1" t="n">
        <v>45516</v>
      </c>
      <c r="C400" s="1" t="n">
        <v>46185</v>
      </c>
      <c r="D400" t="inlineStr">
        <is>
          <t>VÄSTERNORRLANDS LÄN</t>
        </is>
      </c>
      <c r="E400" t="inlineStr">
        <is>
          <t>ÅNGE</t>
        </is>
      </c>
      <c r="F400" t="inlineStr">
        <is>
          <t>SCA</t>
        </is>
      </c>
      <c r="G400" t="n">
        <v>1</v>
      </c>
      <c r="H400" t="n">
        <v>3</v>
      </c>
      <c r="I400" t="n">
        <v>0</v>
      </c>
      <c r="J400" t="n">
        <v>2</v>
      </c>
      <c r="K400" t="n">
        <v>2</v>
      </c>
      <c r="L400" t="n">
        <v>0</v>
      </c>
      <c r="M400" t="n">
        <v>0</v>
      </c>
      <c r="N400" t="n">
        <v>0</v>
      </c>
      <c r="O400" t="n">
        <v>4</v>
      </c>
      <c r="P400" t="n">
        <v>2</v>
      </c>
      <c r="Q400" t="n">
        <v>5</v>
      </c>
      <c r="R400" s="2" t="inlineStr">
        <is>
          <t>Doftticka
Knärot
Garnlav
Lunglav
Revlummer</t>
        </is>
      </c>
      <c r="S400">
        <f>HYPERLINK("https://klasma.github.io/Logging_2260/artfynd/A 32911-2024 artfynd.xlsx", "A 32911-2024")</f>
        <v/>
      </c>
      <c r="T400">
        <f>HYPERLINK("https://klasma.github.io/Logging_2260/kartor/A 32911-2024 karta.png", "A 32911-2024")</f>
        <v/>
      </c>
      <c r="U400">
        <f>HYPERLINK("https://klasma.github.io/Logging_2260/knärot/A 32911-2024 karta knärot.png", "A 32911-2024")</f>
        <v/>
      </c>
      <c r="V400">
        <f>HYPERLINK("https://klasma.github.io/Logging_2260/klagomål/A 32911-2024 FSC-klagomål.docx", "A 32911-2024")</f>
        <v/>
      </c>
      <c r="W400">
        <f>HYPERLINK("https://klasma.github.io/Logging_2260/klagomålsmail/A 32911-2024 FSC-klagomål mail.docx", "A 32911-2024")</f>
        <v/>
      </c>
      <c r="X400">
        <f>HYPERLINK("https://klasma.github.io/Logging_2260/tillsyn/A 32911-2024 tillsynsbegäran.docx", "A 32911-2024")</f>
        <v/>
      </c>
      <c r="Y400">
        <f>HYPERLINK("https://klasma.github.io/Logging_2260/tillsynsmail/A 32911-2024 tillsynsbegäran mail.docx", "A 32911-2024")</f>
        <v/>
      </c>
    </row>
    <row r="401" ht="15" customHeight="1">
      <c r="A401" t="inlineStr">
        <is>
          <t>A 25237-2025</t>
        </is>
      </c>
      <c r="B401" s="1" t="n">
        <v>45800</v>
      </c>
      <c r="C401" s="1" t="n">
        <v>46185</v>
      </c>
      <c r="D401" t="inlineStr">
        <is>
          <t>VÄSTERNORRLANDS LÄN</t>
        </is>
      </c>
      <c r="E401" t="inlineStr">
        <is>
          <t>TIMRÅ</t>
        </is>
      </c>
      <c r="F401" t="inlineStr">
        <is>
          <t>SCA</t>
        </is>
      </c>
      <c r="G401" t="n">
        <v>17</v>
      </c>
      <c r="H401" t="n">
        <v>1</v>
      </c>
      <c r="I401" t="n">
        <v>0</v>
      </c>
      <c r="J401" t="n">
        <v>4</v>
      </c>
      <c r="K401" t="n">
        <v>0</v>
      </c>
      <c r="L401" t="n">
        <v>0</v>
      </c>
      <c r="M401" t="n">
        <v>0</v>
      </c>
      <c r="N401" t="n">
        <v>0</v>
      </c>
      <c r="O401" t="n">
        <v>4</v>
      </c>
      <c r="P401" t="n">
        <v>0</v>
      </c>
      <c r="Q401" t="n">
        <v>5</v>
      </c>
      <c r="R401" s="2" t="inlineStr">
        <is>
          <t>Garnlav
Lunglav
Ullticka
Violettgrå tagellav
Tjäder</t>
        </is>
      </c>
      <c r="S401">
        <f>HYPERLINK("https://klasma.github.io/Logging_2262/artfynd/A 25237-2025 artfynd.xlsx", "A 25237-2025")</f>
        <v/>
      </c>
      <c r="T401">
        <f>HYPERLINK("https://klasma.github.io/Logging_2262/kartor/A 25237-2025 karta.png", "A 25237-2025")</f>
        <v/>
      </c>
      <c r="U401">
        <f>HYPERLINK("https://klasma.github.io/Logging_2262/knärot/A 25237-2025 karta knärot.png", "A 25237-2025")</f>
        <v/>
      </c>
      <c r="V401">
        <f>HYPERLINK("https://klasma.github.io/Logging_2262/klagomål/A 25237-2025 FSC-klagomål.docx", "A 25237-2025")</f>
        <v/>
      </c>
      <c r="W401">
        <f>HYPERLINK("https://klasma.github.io/Logging_2262/klagomålsmail/A 25237-2025 FSC-klagomål mail.docx", "A 25237-2025")</f>
        <v/>
      </c>
      <c r="X401">
        <f>HYPERLINK("https://klasma.github.io/Logging_2262/tillsyn/A 25237-2025 tillsynsbegäran.docx", "A 25237-2025")</f>
        <v/>
      </c>
      <c r="Y401">
        <f>HYPERLINK("https://klasma.github.io/Logging_2262/tillsynsmail/A 25237-2025 tillsynsbegäran mail.docx", "A 25237-2025")</f>
        <v/>
      </c>
      <c r="Z401">
        <f>HYPERLINK("https://klasma.github.io/Logging_2262/fåglar/A 25237-2025 prioriterade fågelarter.docx", "A 25237-2025")</f>
        <v/>
      </c>
    </row>
    <row r="402" ht="15" customHeight="1">
      <c r="A402" t="inlineStr">
        <is>
          <t>A 27914-2024</t>
        </is>
      </c>
      <c r="B402" s="1" t="n">
        <v>45475</v>
      </c>
      <c r="C402" s="1" t="n">
        <v>46185</v>
      </c>
      <c r="D402" t="inlineStr">
        <is>
          <t>VÄSTERNORRLANDS LÄN</t>
        </is>
      </c>
      <c r="E402" t="inlineStr">
        <is>
          <t>ÅNGE</t>
        </is>
      </c>
      <c r="F402" t="inlineStr">
        <is>
          <t>SCA</t>
        </is>
      </c>
      <c r="G402" t="n">
        <v>1.4</v>
      </c>
      <c r="H402" t="n">
        <v>0</v>
      </c>
      <c r="I402" t="n">
        <v>2</v>
      </c>
      <c r="J402" t="n">
        <v>3</v>
      </c>
      <c r="K402" t="n">
        <v>0</v>
      </c>
      <c r="L402" t="n">
        <v>0</v>
      </c>
      <c r="M402" t="n">
        <v>0</v>
      </c>
      <c r="N402" t="n">
        <v>0</v>
      </c>
      <c r="O402" t="n">
        <v>3</v>
      </c>
      <c r="P402" t="n">
        <v>0</v>
      </c>
      <c r="Q402" t="n">
        <v>5</v>
      </c>
      <c r="R402" s="2" t="inlineStr">
        <is>
          <t>Granticka
Lunglav
Vedtrappmossa
Korallblylav
Stuplav</t>
        </is>
      </c>
      <c r="S402">
        <f>HYPERLINK("https://klasma.github.io/Logging_2260/artfynd/A 27914-2024 artfynd.xlsx", "A 27914-2024")</f>
        <v/>
      </c>
      <c r="T402">
        <f>HYPERLINK("https://klasma.github.io/Logging_2260/kartor/A 27914-2024 karta.png", "A 27914-2024")</f>
        <v/>
      </c>
      <c r="V402">
        <f>HYPERLINK("https://klasma.github.io/Logging_2260/klagomål/A 27914-2024 FSC-klagomål.docx", "A 27914-2024")</f>
        <v/>
      </c>
      <c r="W402">
        <f>HYPERLINK("https://klasma.github.io/Logging_2260/klagomålsmail/A 27914-2024 FSC-klagomål mail.docx", "A 27914-2024")</f>
        <v/>
      </c>
      <c r="X402">
        <f>HYPERLINK("https://klasma.github.io/Logging_2260/tillsyn/A 27914-2024 tillsynsbegäran.docx", "A 27914-2024")</f>
        <v/>
      </c>
      <c r="Y402">
        <f>HYPERLINK("https://klasma.github.io/Logging_2260/tillsynsmail/A 27914-2024 tillsynsbegäran mail.docx", "A 27914-2024")</f>
        <v/>
      </c>
    </row>
    <row r="403" ht="15" customHeight="1">
      <c r="A403" t="inlineStr">
        <is>
          <t>A 23319-2025</t>
        </is>
      </c>
      <c r="B403" s="1" t="n">
        <v>45791.61511574074</v>
      </c>
      <c r="C403" s="1" t="n">
        <v>46185</v>
      </c>
      <c r="D403" t="inlineStr">
        <is>
          <t>VÄSTERNORRLANDS LÄN</t>
        </is>
      </c>
      <c r="E403" t="inlineStr">
        <is>
          <t>SOLLEFTEÅ</t>
        </is>
      </c>
      <c r="F403" t="inlineStr">
        <is>
          <t>SCA</t>
        </is>
      </c>
      <c r="G403" t="n">
        <v>5.3</v>
      </c>
      <c r="H403" t="n">
        <v>2</v>
      </c>
      <c r="I403" t="n">
        <v>3</v>
      </c>
      <c r="J403" t="n">
        <v>1</v>
      </c>
      <c r="K403" t="n">
        <v>0</v>
      </c>
      <c r="L403" t="n">
        <v>0</v>
      </c>
      <c r="M403" t="n">
        <v>0</v>
      </c>
      <c r="N403" t="n">
        <v>0</v>
      </c>
      <c r="O403" t="n">
        <v>1</v>
      </c>
      <c r="P403" t="n">
        <v>0</v>
      </c>
      <c r="Q403" t="n">
        <v>5</v>
      </c>
      <c r="R403" s="2" t="inlineStr">
        <is>
          <t>Lunglav
Plattlummer
Skinnlav
Stor aspticka
Revlummer</t>
        </is>
      </c>
      <c r="S403">
        <f>HYPERLINK("https://klasma.github.io/Logging_2283/artfynd/A 23319-2025 artfynd.xlsx", "A 23319-2025")</f>
        <v/>
      </c>
      <c r="T403">
        <f>HYPERLINK("https://klasma.github.io/Logging_2283/kartor/A 23319-2025 karta.png", "A 23319-2025")</f>
        <v/>
      </c>
      <c r="V403">
        <f>HYPERLINK("https://klasma.github.io/Logging_2283/klagomål/A 23319-2025 FSC-klagomål.docx", "A 23319-2025")</f>
        <v/>
      </c>
      <c r="W403">
        <f>HYPERLINK("https://klasma.github.io/Logging_2283/klagomålsmail/A 23319-2025 FSC-klagomål mail.docx", "A 23319-2025")</f>
        <v/>
      </c>
      <c r="X403">
        <f>HYPERLINK("https://klasma.github.io/Logging_2283/tillsyn/A 23319-2025 tillsynsbegäran.docx", "A 23319-2025")</f>
        <v/>
      </c>
      <c r="Y403">
        <f>HYPERLINK("https://klasma.github.io/Logging_2283/tillsynsmail/A 23319-2025 tillsynsbegäran mail.docx", "A 23319-2025")</f>
        <v/>
      </c>
    </row>
    <row r="404" ht="15" customHeight="1">
      <c r="A404" t="inlineStr">
        <is>
          <t>A 38322-2025</t>
        </is>
      </c>
      <c r="B404" s="1" t="n">
        <v>45883.49003472222</v>
      </c>
      <c r="C404" s="1" t="n">
        <v>46185</v>
      </c>
      <c r="D404" t="inlineStr">
        <is>
          <t>VÄSTERNORRLANDS LÄN</t>
        </is>
      </c>
      <c r="E404" t="inlineStr">
        <is>
          <t>ÅNGE</t>
        </is>
      </c>
      <c r="F404" t="inlineStr">
        <is>
          <t>SCA</t>
        </is>
      </c>
      <c r="G404" t="n">
        <v>5.4</v>
      </c>
      <c r="H404" t="n">
        <v>1</v>
      </c>
      <c r="I404" t="n">
        <v>0</v>
      </c>
      <c r="J404" t="n">
        <v>4</v>
      </c>
      <c r="K404" t="n">
        <v>0</v>
      </c>
      <c r="L404" t="n">
        <v>0</v>
      </c>
      <c r="M404" t="n">
        <v>0</v>
      </c>
      <c r="N404" t="n">
        <v>0</v>
      </c>
      <c r="O404" t="n">
        <v>4</v>
      </c>
      <c r="P404" t="n">
        <v>0</v>
      </c>
      <c r="Q404" t="n">
        <v>5</v>
      </c>
      <c r="R404" s="2" t="inlineStr">
        <is>
          <t>Gammelgransskål
Garnlav
Skrovellav
Violettgrå tagellav
Revlummer</t>
        </is>
      </c>
      <c r="S404">
        <f>HYPERLINK("https://klasma.github.io/Logging_2260/artfynd/A 38322-2025 artfynd.xlsx", "A 38322-2025")</f>
        <v/>
      </c>
      <c r="T404">
        <f>HYPERLINK("https://klasma.github.io/Logging_2260/kartor/A 38322-2025 karta.png", "A 38322-2025")</f>
        <v/>
      </c>
      <c r="V404">
        <f>HYPERLINK("https://klasma.github.io/Logging_2260/klagomål/A 38322-2025 FSC-klagomål.docx", "A 38322-2025")</f>
        <v/>
      </c>
      <c r="W404">
        <f>HYPERLINK("https://klasma.github.io/Logging_2260/klagomålsmail/A 38322-2025 FSC-klagomål mail.docx", "A 38322-2025")</f>
        <v/>
      </c>
      <c r="X404">
        <f>HYPERLINK("https://klasma.github.io/Logging_2260/tillsyn/A 38322-2025 tillsynsbegäran.docx", "A 38322-2025")</f>
        <v/>
      </c>
      <c r="Y404">
        <f>HYPERLINK("https://klasma.github.io/Logging_2260/tillsynsmail/A 38322-2025 tillsynsbegäran mail.docx", "A 38322-2025")</f>
        <v/>
      </c>
    </row>
    <row r="405" ht="15" customHeight="1">
      <c r="A405" t="inlineStr">
        <is>
          <t>A 50418-2024</t>
        </is>
      </c>
      <c r="B405" s="1" t="n">
        <v>45601.38575231482</v>
      </c>
      <c r="C405" s="1" t="n">
        <v>46185</v>
      </c>
      <c r="D405" t="inlineStr">
        <is>
          <t>VÄSTERNORRLANDS LÄN</t>
        </is>
      </c>
      <c r="E405" t="inlineStr">
        <is>
          <t>SOLLEFTEÅ</t>
        </is>
      </c>
      <c r="F405" t="inlineStr">
        <is>
          <t>SCA</t>
        </is>
      </c>
      <c r="G405" t="n">
        <v>3.4</v>
      </c>
      <c r="H405" t="n">
        <v>0</v>
      </c>
      <c r="I405" t="n">
        <v>0</v>
      </c>
      <c r="J405" t="n">
        <v>4</v>
      </c>
      <c r="K405" t="n">
        <v>1</v>
      </c>
      <c r="L405" t="n">
        <v>0</v>
      </c>
      <c r="M405" t="n">
        <v>0</v>
      </c>
      <c r="N405" t="n">
        <v>0</v>
      </c>
      <c r="O405" t="n">
        <v>5</v>
      </c>
      <c r="P405" t="n">
        <v>1</v>
      </c>
      <c r="Q405" t="n">
        <v>5</v>
      </c>
      <c r="R405" s="2" t="inlineStr">
        <is>
          <t>Rynkskinn
Garnlav
Granticka
Harticka
Lunglav</t>
        </is>
      </c>
      <c r="S405">
        <f>HYPERLINK("https://klasma.github.io/Logging_2283/artfynd/A 50418-2024 artfynd.xlsx", "A 50418-2024")</f>
        <v/>
      </c>
      <c r="T405">
        <f>HYPERLINK("https://klasma.github.io/Logging_2283/kartor/A 50418-2024 karta.png", "A 50418-2024")</f>
        <v/>
      </c>
      <c r="V405">
        <f>HYPERLINK("https://klasma.github.io/Logging_2283/klagomål/A 50418-2024 FSC-klagomål.docx", "A 50418-2024")</f>
        <v/>
      </c>
      <c r="W405">
        <f>HYPERLINK("https://klasma.github.io/Logging_2283/klagomålsmail/A 50418-2024 FSC-klagomål mail.docx", "A 50418-2024")</f>
        <v/>
      </c>
      <c r="X405">
        <f>HYPERLINK("https://klasma.github.io/Logging_2283/tillsyn/A 50418-2024 tillsynsbegäran.docx", "A 50418-2024")</f>
        <v/>
      </c>
      <c r="Y405">
        <f>HYPERLINK("https://klasma.github.io/Logging_2283/tillsynsmail/A 50418-2024 tillsynsbegäran mail.docx", "A 50418-2024")</f>
        <v/>
      </c>
    </row>
    <row r="406" ht="15" customHeight="1">
      <c r="A406" t="inlineStr">
        <is>
          <t>A 52716-2022</t>
        </is>
      </c>
      <c r="B406" s="1" t="n">
        <v>44874</v>
      </c>
      <c r="C406" s="1" t="n">
        <v>46185</v>
      </c>
      <c r="D406" t="inlineStr">
        <is>
          <t>VÄSTERNORRLANDS LÄN</t>
        </is>
      </c>
      <c r="E406" t="inlineStr">
        <is>
          <t>HÄRNÖSAND</t>
        </is>
      </c>
      <c r="F406" t="inlineStr">
        <is>
          <t>SCA</t>
        </is>
      </c>
      <c r="G406" t="n">
        <v>7.9</v>
      </c>
      <c r="H406" t="n">
        <v>1</v>
      </c>
      <c r="I406" t="n">
        <v>2</v>
      </c>
      <c r="J406" t="n">
        <v>3</v>
      </c>
      <c r="K406" t="n">
        <v>0</v>
      </c>
      <c r="L406" t="n">
        <v>0</v>
      </c>
      <c r="M406" t="n">
        <v>0</v>
      </c>
      <c r="N406" t="n">
        <v>0</v>
      </c>
      <c r="O406" t="n">
        <v>3</v>
      </c>
      <c r="P406" t="n">
        <v>0</v>
      </c>
      <c r="Q406" t="n">
        <v>5</v>
      </c>
      <c r="R406" s="2" t="inlineStr">
        <is>
          <t>Granticka
Sötgräs
Violettgrå tagellav
Skinnlav
Strutbräken</t>
        </is>
      </c>
      <c r="S406">
        <f>HYPERLINK("https://klasma.github.io/Logging_2280/artfynd/A 52716-2022 artfynd.xlsx", "A 52716-2022")</f>
        <v/>
      </c>
      <c r="T406">
        <f>HYPERLINK("https://klasma.github.io/Logging_2280/kartor/A 52716-2022 karta.png", "A 52716-2022")</f>
        <v/>
      </c>
      <c r="V406">
        <f>HYPERLINK("https://klasma.github.io/Logging_2280/klagomål/A 52716-2022 FSC-klagomål.docx", "A 52716-2022")</f>
        <v/>
      </c>
      <c r="W406">
        <f>HYPERLINK("https://klasma.github.io/Logging_2280/klagomålsmail/A 52716-2022 FSC-klagomål mail.docx", "A 52716-2022")</f>
        <v/>
      </c>
      <c r="X406">
        <f>HYPERLINK("https://klasma.github.io/Logging_2280/tillsyn/A 52716-2022 tillsynsbegäran.docx", "A 52716-2022")</f>
        <v/>
      </c>
      <c r="Y406">
        <f>HYPERLINK("https://klasma.github.io/Logging_2280/tillsynsmail/A 52716-2022 tillsynsbegäran mail.docx", "A 52716-2022")</f>
        <v/>
      </c>
    </row>
    <row r="407" ht="15" customHeight="1">
      <c r="A407" t="inlineStr">
        <is>
          <t>A 28159-2025</t>
        </is>
      </c>
      <c r="B407" s="1" t="n">
        <v>45818.36550925926</v>
      </c>
      <c r="C407" s="1" t="n">
        <v>46185</v>
      </c>
      <c r="D407" t="inlineStr">
        <is>
          <t>VÄSTERNORRLANDS LÄN</t>
        </is>
      </c>
      <c r="E407" t="inlineStr">
        <is>
          <t>KRAMFORS</t>
        </is>
      </c>
      <c r="F407" t="inlineStr">
        <is>
          <t>SCA</t>
        </is>
      </c>
      <c r="G407" t="n">
        <v>2.9</v>
      </c>
      <c r="H407" t="n">
        <v>0</v>
      </c>
      <c r="I407" t="n">
        <v>1</v>
      </c>
      <c r="J407" t="n">
        <v>4</v>
      </c>
      <c r="K407" t="n">
        <v>0</v>
      </c>
      <c r="L407" t="n">
        <v>0</v>
      </c>
      <c r="M407" t="n">
        <v>0</v>
      </c>
      <c r="N407" t="n">
        <v>0</v>
      </c>
      <c r="O407" t="n">
        <v>4</v>
      </c>
      <c r="P407" t="n">
        <v>0</v>
      </c>
      <c r="Q407" t="n">
        <v>5</v>
      </c>
      <c r="R407" s="2" t="inlineStr">
        <is>
          <t>Gammelgransskål
Garnlav
Rosenticka
Ullticka
Svavelriska</t>
        </is>
      </c>
      <c r="S407">
        <f>HYPERLINK("https://klasma.github.io/Logging_2282/artfynd/A 28159-2025 artfynd.xlsx", "A 28159-2025")</f>
        <v/>
      </c>
      <c r="T407">
        <f>HYPERLINK("https://klasma.github.io/Logging_2282/kartor/A 28159-2025 karta.png", "A 28159-2025")</f>
        <v/>
      </c>
      <c r="V407">
        <f>HYPERLINK("https://klasma.github.io/Logging_2282/klagomål/A 28159-2025 FSC-klagomål.docx", "A 28159-2025")</f>
        <v/>
      </c>
      <c r="W407">
        <f>HYPERLINK("https://klasma.github.io/Logging_2282/klagomålsmail/A 28159-2025 FSC-klagomål mail.docx", "A 28159-2025")</f>
        <v/>
      </c>
      <c r="X407">
        <f>HYPERLINK("https://klasma.github.io/Logging_2282/tillsyn/A 28159-2025 tillsynsbegäran.docx", "A 28159-2025")</f>
        <v/>
      </c>
      <c r="Y407">
        <f>HYPERLINK("https://klasma.github.io/Logging_2282/tillsynsmail/A 28159-2025 tillsynsbegäran mail.docx", "A 28159-2025")</f>
        <v/>
      </c>
    </row>
    <row r="408" ht="15" customHeight="1">
      <c r="A408" t="inlineStr">
        <is>
          <t>A 28406-2025</t>
        </is>
      </c>
      <c r="B408" s="1" t="n">
        <v>45819.34565972222</v>
      </c>
      <c r="C408" s="1" t="n">
        <v>46185</v>
      </c>
      <c r="D408" t="inlineStr">
        <is>
          <t>VÄSTERNORRLANDS LÄN</t>
        </is>
      </c>
      <c r="E408" t="inlineStr">
        <is>
          <t>SUNDSVALL</t>
        </is>
      </c>
      <c r="F408" t="inlineStr">
        <is>
          <t>Naturvårdsverket</t>
        </is>
      </c>
      <c r="G408" t="n">
        <v>27.4</v>
      </c>
      <c r="H408" t="n">
        <v>2</v>
      </c>
      <c r="I408" t="n">
        <v>0</v>
      </c>
      <c r="J408" t="n">
        <v>3</v>
      </c>
      <c r="K408" t="n">
        <v>0</v>
      </c>
      <c r="L408" t="n">
        <v>0</v>
      </c>
      <c r="M408" t="n">
        <v>0</v>
      </c>
      <c r="N408" t="n">
        <v>0</v>
      </c>
      <c r="O408" t="n">
        <v>3</v>
      </c>
      <c r="P408" t="n">
        <v>0</v>
      </c>
      <c r="Q408" t="n">
        <v>5</v>
      </c>
      <c r="R408" s="2" t="inlineStr">
        <is>
          <t>Garnlav
Lunglav
Ullticka
Vanlig groda
Fläcknycklar</t>
        </is>
      </c>
      <c r="S408">
        <f>HYPERLINK("https://klasma.github.io/Logging_2281/artfynd/A 28406-2025 artfynd.xlsx", "A 28406-2025")</f>
        <v/>
      </c>
      <c r="T408">
        <f>HYPERLINK("https://klasma.github.io/Logging_2281/kartor/A 28406-2025 karta.png", "A 28406-2025")</f>
        <v/>
      </c>
      <c r="V408">
        <f>HYPERLINK("https://klasma.github.io/Logging_2281/klagomål/A 28406-2025 FSC-klagomål.docx", "A 28406-2025")</f>
        <v/>
      </c>
      <c r="W408">
        <f>HYPERLINK("https://klasma.github.io/Logging_2281/klagomålsmail/A 28406-2025 FSC-klagomål mail.docx", "A 28406-2025")</f>
        <v/>
      </c>
      <c r="X408">
        <f>HYPERLINK("https://klasma.github.io/Logging_2281/tillsyn/A 28406-2025 tillsynsbegäran.docx", "A 28406-2025")</f>
        <v/>
      </c>
      <c r="Y408">
        <f>HYPERLINK("https://klasma.github.io/Logging_2281/tillsynsmail/A 28406-2025 tillsynsbegäran mail.docx", "A 28406-2025")</f>
        <v/>
      </c>
    </row>
    <row r="409" ht="15" customHeight="1">
      <c r="A409" t="inlineStr">
        <is>
          <t>A 30394-2025</t>
        </is>
      </c>
      <c r="B409" s="1" t="n">
        <v>45827.57431712963</v>
      </c>
      <c r="C409" s="1" t="n">
        <v>46185</v>
      </c>
      <c r="D409" t="inlineStr">
        <is>
          <t>VÄSTERNORRLANDS LÄN</t>
        </is>
      </c>
      <c r="E409" t="inlineStr">
        <is>
          <t>SUNDSVALL</t>
        </is>
      </c>
      <c r="F409" t="inlineStr">
        <is>
          <t>SCA</t>
        </is>
      </c>
      <c r="G409" t="n">
        <v>3.6</v>
      </c>
      <c r="H409" t="n">
        <v>3</v>
      </c>
      <c r="I409" t="n">
        <v>2</v>
      </c>
      <c r="J409" t="n">
        <v>2</v>
      </c>
      <c r="K409" t="n">
        <v>0</v>
      </c>
      <c r="L409" t="n">
        <v>0</v>
      </c>
      <c r="M409" t="n">
        <v>0</v>
      </c>
      <c r="N409" t="n">
        <v>0</v>
      </c>
      <c r="O409" t="n">
        <v>2</v>
      </c>
      <c r="P409" t="n">
        <v>0</v>
      </c>
      <c r="Q409" t="n">
        <v>5</v>
      </c>
      <c r="R409" s="2" t="inlineStr">
        <is>
          <t>Spillkråka
Tretåig hackspett
Barkticka
Grönpyrola
Kungsfågel</t>
        </is>
      </c>
      <c r="S409">
        <f>HYPERLINK("https://klasma.github.io/Logging_2281/artfynd/A 30394-2025 artfynd.xlsx", "A 30394-2025")</f>
        <v/>
      </c>
      <c r="T409">
        <f>HYPERLINK("https://klasma.github.io/Logging_2281/kartor/A 30394-2025 karta.png", "A 30394-2025")</f>
        <v/>
      </c>
      <c r="V409">
        <f>HYPERLINK("https://klasma.github.io/Logging_2281/klagomål/A 30394-2025 FSC-klagomål.docx", "A 30394-2025")</f>
        <v/>
      </c>
      <c r="W409">
        <f>HYPERLINK("https://klasma.github.io/Logging_2281/klagomålsmail/A 30394-2025 FSC-klagomål mail.docx", "A 30394-2025")</f>
        <v/>
      </c>
      <c r="X409">
        <f>HYPERLINK("https://klasma.github.io/Logging_2281/tillsyn/A 30394-2025 tillsynsbegäran.docx", "A 30394-2025")</f>
        <v/>
      </c>
      <c r="Y409">
        <f>HYPERLINK("https://klasma.github.io/Logging_2281/tillsynsmail/A 30394-2025 tillsynsbegäran mail.docx", "A 30394-2025")</f>
        <v/>
      </c>
      <c r="Z409">
        <f>HYPERLINK("https://klasma.github.io/Logging_2281/fåglar/A 30394-2025 prioriterade fågelarter.docx", "A 30394-2025")</f>
        <v/>
      </c>
    </row>
    <row r="410" ht="15" customHeight="1">
      <c r="A410" t="inlineStr">
        <is>
          <t>A 31424-2025</t>
        </is>
      </c>
      <c r="B410" s="1" t="n">
        <v>45833.49002314815</v>
      </c>
      <c r="C410" s="1" t="n">
        <v>46185</v>
      </c>
      <c r="D410" t="inlineStr">
        <is>
          <t>VÄSTERNORRLANDS LÄN</t>
        </is>
      </c>
      <c r="E410" t="inlineStr">
        <is>
          <t>SUNDSVALL</t>
        </is>
      </c>
      <c r="F410" t="inlineStr">
        <is>
          <t>Naturvårdsverket</t>
        </is>
      </c>
      <c r="G410" t="n">
        <v>2.4</v>
      </c>
      <c r="H410" t="n">
        <v>3</v>
      </c>
      <c r="I410" t="n">
        <v>1</v>
      </c>
      <c r="J410" t="n">
        <v>3</v>
      </c>
      <c r="K410" t="n">
        <v>0</v>
      </c>
      <c r="L410" t="n">
        <v>0</v>
      </c>
      <c r="M410" t="n">
        <v>0</v>
      </c>
      <c r="N410" t="n">
        <v>0</v>
      </c>
      <c r="O410" t="n">
        <v>3</v>
      </c>
      <c r="P410" t="n">
        <v>0</v>
      </c>
      <c r="Q410" t="n">
        <v>5</v>
      </c>
      <c r="R410" s="2" t="inlineStr">
        <is>
          <t>Garnlav
Talltita
Vedskivlav
Spindelblomster
Fläcknycklar</t>
        </is>
      </c>
      <c r="S410">
        <f>HYPERLINK("https://klasma.github.io/Logging_2281/artfynd/A 31424-2025 artfynd.xlsx", "A 31424-2025")</f>
        <v/>
      </c>
      <c r="T410">
        <f>HYPERLINK("https://klasma.github.io/Logging_2281/kartor/A 31424-2025 karta.png", "A 31424-2025")</f>
        <v/>
      </c>
      <c r="V410">
        <f>HYPERLINK("https://klasma.github.io/Logging_2281/klagomål/A 31424-2025 FSC-klagomål.docx", "A 31424-2025")</f>
        <v/>
      </c>
      <c r="W410">
        <f>HYPERLINK("https://klasma.github.io/Logging_2281/klagomålsmail/A 31424-2025 FSC-klagomål mail.docx", "A 31424-2025")</f>
        <v/>
      </c>
      <c r="X410">
        <f>HYPERLINK("https://klasma.github.io/Logging_2281/tillsyn/A 31424-2025 tillsynsbegäran.docx", "A 31424-2025")</f>
        <v/>
      </c>
      <c r="Y410">
        <f>HYPERLINK("https://klasma.github.io/Logging_2281/tillsynsmail/A 31424-2025 tillsynsbegäran mail.docx", "A 31424-2025")</f>
        <v/>
      </c>
      <c r="Z410">
        <f>HYPERLINK("https://klasma.github.io/Logging_2281/fåglar/A 31424-2025 prioriterade fågelarter.docx", "A 31424-2025")</f>
        <v/>
      </c>
    </row>
    <row r="411" ht="15" customHeight="1">
      <c r="A411" t="inlineStr">
        <is>
          <t>A 33519-2024</t>
        </is>
      </c>
      <c r="B411" s="1" t="n">
        <v>45519</v>
      </c>
      <c r="C411" s="1" t="n">
        <v>46185</v>
      </c>
      <c r="D411" t="inlineStr">
        <is>
          <t>VÄSTERNORRLANDS LÄN</t>
        </is>
      </c>
      <c r="E411" t="inlineStr">
        <is>
          <t>SOLLEFTEÅ</t>
        </is>
      </c>
      <c r="G411" t="n">
        <v>3.6</v>
      </c>
      <c r="H411" t="n">
        <v>0</v>
      </c>
      <c r="I411" t="n">
        <v>1</v>
      </c>
      <c r="J411" t="n">
        <v>4</v>
      </c>
      <c r="K411" t="n">
        <v>0</v>
      </c>
      <c r="L411" t="n">
        <v>0</v>
      </c>
      <c r="M411" t="n">
        <v>0</v>
      </c>
      <c r="N411" t="n">
        <v>0</v>
      </c>
      <c r="O411" t="n">
        <v>4</v>
      </c>
      <c r="P411" t="n">
        <v>0</v>
      </c>
      <c r="Q411" t="n">
        <v>5</v>
      </c>
      <c r="R411" s="2" t="inlineStr">
        <is>
          <t>Garnlav
Kolflarnlav
Skrovlig taggsvamp
Vaddporing
Dropptaggsvamp</t>
        </is>
      </c>
      <c r="S411">
        <f>HYPERLINK("https://klasma.github.io/Logging_2283/artfynd/A 33519-2024 artfynd.xlsx", "A 33519-2024")</f>
        <v/>
      </c>
      <c r="T411">
        <f>HYPERLINK("https://klasma.github.io/Logging_2283/kartor/A 33519-2024 karta.png", "A 33519-2024")</f>
        <v/>
      </c>
      <c r="U411">
        <f>HYPERLINK("https://klasma.github.io/Logging_2283/knärot/A 33519-2024 karta knärot.png", "A 33519-2024")</f>
        <v/>
      </c>
      <c r="V411">
        <f>HYPERLINK("https://klasma.github.io/Logging_2283/klagomål/A 33519-2024 FSC-klagomål.docx", "A 33519-2024")</f>
        <v/>
      </c>
      <c r="W411">
        <f>HYPERLINK("https://klasma.github.io/Logging_2283/klagomålsmail/A 33519-2024 FSC-klagomål mail.docx", "A 33519-2024")</f>
        <v/>
      </c>
      <c r="X411">
        <f>HYPERLINK("https://klasma.github.io/Logging_2283/tillsyn/A 33519-2024 tillsynsbegäran.docx", "A 33519-2024")</f>
        <v/>
      </c>
      <c r="Y411">
        <f>HYPERLINK("https://klasma.github.io/Logging_2283/tillsynsmail/A 33519-2024 tillsynsbegäran mail.docx", "A 33519-2024")</f>
        <v/>
      </c>
    </row>
    <row r="412" ht="15" customHeight="1">
      <c r="A412" t="inlineStr">
        <is>
          <t>A 43520-2025</t>
        </is>
      </c>
      <c r="B412" s="1" t="n">
        <v>45911.57364583333</v>
      </c>
      <c r="C412" s="1" t="n">
        <v>46185</v>
      </c>
      <c r="D412" t="inlineStr">
        <is>
          <t>VÄSTERNORRLANDS LÄN</t>
        </is>
      </c>
      <c r="E412" t="inlineStr">
        <is>
          <t>ÅNGE</t>
        </is>
      </c>
      <c r="F412" t="inlineStr">
        <is>
          <t>SCA</t>
        </is>
      </c>
      <c r="G412" t="n">
        <v>2.5</v>
      </c>
      <c r="H412" t="n">
        <v>0</v>
      </c>
      <c r="I412" t="n">
        <v>2</v>
      </c>
      <c r="J412" t="n">
        <v>3</v>
      </c>
      <c r="K412" t="n">
        <v>0</v>
      </c>
      <c r="L412" t="n">
        <v>0</v>
      </c>
      <c r="M412" t="n">
        <v>0</v>
      </c>
      <c r="N412" t="n">
        <v>0</v>
      </c>
      <c r="O412" t="n">
        <v>3</v>
      </c>
      <c r="P412" t="n">
        <v>0</v>
      </c>
      <c r="Q412" t="n">
        <v>5</v>
      </c>
      <c r="R412" s="2" t="inlineStr">
        <is>
          <t>Garnlav
Lunglav
Vedtrappmossa
Bårdlav
Stuplav</t>
        </is>
      </c>
      <c r="S412">
        <f>HYPERLINK("https://klasma.github.io/Logging_2260/artfynd/A 43520-2025 artfynd.xlsx", "A 43520-2025")</f>
        <v/>
      </c>
      <c r="T412">
        <f>HYPERLINK("https://klasma.github.io/Logging_2260/kartor/A 43520-2025 karta.png", "A 43520-2025")</f>
        <v/>
      </c>
      <c r="V412">
        <f>HYPERLINK("https://klasma.github.io/Logging_2260/klagomål/A 43520-2025 FSC-klagomål.docx", "A 43520-2025")</f>
        <v/>
      </c>
      <c r="W412">
        <f>HYPERLINK("https://klasma.github.io/Logging_2260/klagomålsmail/A 43520-2025 FSC-klagomål mail.docx", "A 43520-2025")</f>
        <v/>
      </c>
      <c r="X412">
        <f>HYPERLINK("https://klasma.github.io/Logging_2260/tillsyn/A 43520-2025 tillsynsbegäran.docx", "A 43520-2025")</f>
        <v/>
      </c>
      <c r="Y412">
        <f>HYPERLINK("https://klasma.github.io/Logging_2260/tillsynsmail/A 43520-2025 tillsynsbegäran mail.docx", "A 43520-2025")</f>
        <v/>
      </c>
    </row>
    <row r="413" ht="15" customHeight="1">
      <c r="A413" t="inlineStr">
        <is>
          <t>A 44407-2025</t>
        </is>
      </c>
      <c r="B413" s="1" t="n">
        <v>45916.52679398148</v>
      </c>
      <c r="C413" s="1" t="n">
        <v>46185</v>
      </c>
      <c r="D413" t="inlineStr">
        <is>
          <t>VÄSTERNORRLANDS LÄN</t>
        </is>
      </c>
      <c r="E413" t="inlineStr">
        <is>
          <t>SOLLEFTEÅ</t>
        </is>
      </c>
      <c r="G413" t="n">
        <v>4.1</v>
      </c>
      <c r="H413" t="n">
        <v>1</v>
      </c>
      <c r="I413" t="n">
        <v>3</v>
      </c>
      <c r="J413" t="n">
        <v>1</v>
      </c>
      <c r="K413" t="n">
        <v>0</v>
      </c>
      <c r="L413" t="n">
        <v>0</v>
      </c>
      <c r="M413" t="n">
        <v>0</v>
      </c>
      <c r="N413" t="n">
        <v>0</v>
      </c>
      <c r="O413" t="n">
        <v>1</v>
      </c>
      <c r="P413" t="n">
        <v>0</v>
      </c>
      <c r="Q413" t="n">
        <v>5</v>
      </c>
      <c r="R413" s="2" t="inlineStr">
        <is>
          <t>Granticka
Dvärghäxört
Luddlav
Stuplav
Revlummer</t>
        </is>
      </c>
      <c r="S413">
        <f>HYPERLINK("https://klasma.github.io/Logging_2283/artfynd/A 44407-2025 artfynd.xlsx", "A 44407-2025")</f>
        <v/>
      </c>
      <c r="T413">
        <f>HYPERLINK("https://klasma.github.io/Logging_2283/kartor/A 44407-2025 karta.png", "A 44407-2025")</f>
        <v/>
      </c>
      <c r="V413">
        <f>HYPERLINK("https://klasma.github.io/Logging_2283/klagomål/A 44407-2025 FSC-klagomål.docx", "A 44407-2025")</f>
        <v/>
      </c>
      <c r="W413">
        <f>HYPERLINK("https://klasma.github.io/Logging_2283/klagomålsmail/A 44407-2025 FSC-klagomål mail.docx", "A 44407-2025")</f>
        <v/>
      </c>
      <c r="X413">
        <f>HYPERLINK("https://klasma.github.io/Logging_2283/tillsyn/A 44407-2025 tillsynsbegäran.docx", "A 44407-2025")</f>
        <v/>
      </c>
      <c r="Y413">
        <f>HYPERLINK("https://klasma.github.io/Logging_2283/tillsynsmail/A 44407-2025 tillsynsbegäran mail.docx", "A 44407-2025")</f>
        <v/>
      </c>
    </row>
    <row r="414" ht="15" customHeight="1">
      <c r="A414" t="inlineStr">
        <is>
          <t>A 51065-2024</t>
        </is>
      </c>
      <c r="B414" s="1" t="n">
        <v>45603</v>
      </c>
      <c r="C414" s="1" t="n">
        <v>46185</v>
      </c>
      <c r="D414" t="inlineStr">
        <is>
          <t>VÄSTERNORRLANDS LÄN</t>
        </is>
      </c>
      <c r="E414" t="inlineStr">
        <is>
          <t>ÅNGE</t>
        </is>
      </c>
      <c r="F414" t="inlineStr">
        <is>
          <t>SCA</t>
        </is>
      </c>
      <c r="G414" t="n">
        <v>4.1</v>
      </c>
      <c r="H414" t="n">
        <v>2</v>
      </c>
      <c r="I414" t="n">
        <v>0</v>
      </c>
      <c r="J414" t="n">
        <v>4</v>
      </c>
      <c r="K414" t="n">
        <v>1</v>
      </c>
      <c r="L414" t="n">
        <v>0</v>
      </c>
      <c r="M414" t="n">
        <v>0</v>
      </c>
      <c r="N414" t="n">
        <v>0</v>
      </c>
      <c r="O414" t="n">
        <v>5</v>
      </c>
      <c r="P414" t="n">
        <v>1</v>
      </c>
      <c r="Q414" t="n">
        <v>5</v>
      </c>
      <c r="R414" s="2" t="inlineStr">
        <is>
          <t>Knärot
Garnlav
Granticka
Järpe
Lunglav</t>
        </is>
      </c>
      <c r="S414">
        <f>HYPERLINK("https://klasma.github.io/Logging_2260/artfynd/A 51065-2024 artfynd.xlsx", "A 51065-2024")</f>
        <v/>
      </c>
      <c r="T414">
        <f>HYPERLINK("https://klasma.github.io/Logging_2260/kartor/A 51065-2024 karta.png", "A 51065-2024")</f>
        <v/>
      </c>
      <c r="U414">
        <f>HYPERLINK("https://klasma.github.io/Logging_2260/knärot/A 51065-2024 karta knärot.png", "A 51065-2024")</f>
        <v/>
      </c>
      <c r="V414">
        <f>HYPERLINK("https://klasma.github.io/Logging_2260/klagomål/A 51065-2024 FSC-klagomål.docx", "A 51065-2024")</f>
        <v/>
      </c>
      <c r="W414">
        <f>HYPERLINK("https://klasma.github.io/Logging_2260/klagomålsmail/A 51065-2024 FSC-klagomål mail.docx", "A 51065-2024")</f>
        <v/>
      </c>
      <c r="X414">
        <f>HYPERLINK("https://klasma.github.io/Logging_2260/tillsyn/A 51065-2024 tillsynsbegäran.docx", "A 51065-2024")</f>
        <v/>
      </c>
      <c r="Y414">
        <f>HYPERLINK("https://klasma.github.io/Logging_2260/tillsynsmail/A 51065-2024 tillsynsbegäran mail.docx", "A 51065-2024")</f>
        <v/>
      </c>
      <c r="Z414">
        <f>HYPERLINK("https://klasma.github.io/Logging_2260/fåglar/A 51065-2024 prioriterade fågelarter.docx", "A 51065-2024")</f>
        <v/>
      </c>
    </row>
    <row r="415" ht="15" customHeight="1">
      <c r="A415" t="inlineStr">
        <is>
          <t>A 44797-2025</t>
        </is>
      </c>
      <c r="B415" s="1" t="n">
        <v>45918.34486111111</v>
      </c>
      <c r="C415" s="1" t="n">
        <v>46185</v>
      </c>
      <c r="D415" t="inlineStr">
        <is>
          <t>VÄSTERNORRLANDS LÄN</t>
        </is>
      </c>
      <c r="E415" t="inlineStr">
        <is>
          <t>SOLLEFTEÅ</t>
        </is>
      </c>
      <c r="F415" t="inlineStr">
        <is>
          <t>SCA</t>
        </is>
      </c>
      <c r="G415" t="n">
        <v>2.4</v>
      </c>
      <c r="H415" t="n">
        <v>0</v>
      </c>
      <c r="I415" t="n">
        <v>1</v>
      </c>
      <c r="J415" t="n">
        <v>3</v>
      </c>
      <c r="K415" t="n">
        <v>1</v>
      </c>
      <c r="L415" t="n">
        <v>0</v>
      </c>
      <c r="M415" t="n">
        <v>0</v>
      </c>
      <c r="N415" t="n">
        <v>0</v>
      </c>
      <c r="O415" t="n">
        <v>4</v>
      </c>
      <c r="P415" t="n">
        <v>1</v>
      </c>
      <c r="Q415" t="n">
        <v>5</v>
      </c>
      <c r="R415" s="2" t="inlineStr">
        <is>
          <t>Goliatmusseron
Dvärgbägarlav
Orange taggsvamp
Skrovlig taggsvamp
Skarp dropptaggsvamp</t>
        </is>
      </c>
      <c r="S415">
        <f>HYPERLINK("https://klasma.github.io/Logging_2283/artfynd/A 44797-2025 artfynd.xlsx", "A 44797-2025")</f>
        <v/>
      </c>
      <c r="T415">
        <f>HYPERLINK("https://klasma.github.io/Logging_2283/kartor/A 44797-2025 karta.png", "A 44797-2025")</f>
        <v/>
      </c>
      <c r="V415">
        <f>HYPERLINK("https://klasma.github.io/Logging_2283/klagomål/A 44797-2025 FSC-klagomål.docx", "A 44797-2025")</f>
        <v/>
      </c>
      <c r="W415">
        <f>HYPERLINK("https://klasma.github.io/Logging_2283/klagomålsmail/A 44797-2025 FSC-klagomål mail.docx", "A 44797-2025")</f>
        <v/>
      </c>
      <c r="X415">
        <f>HYPERLINK("https://klasma.github.io/Logging_2283/tillsyn/A 44797-2025 tillsynsbegäran.docx", "A 44797-2025")</f>
        <v/>
      </c>
      <c r="Y415">
        <f>HYPERLINK("https://klasma.github.io/Logging_2283/tillsynsmail/A 44797-2025 tillsynsbegäran mail.docx", "A 44797-2025")</f>
        <v/>
      </c>
    </row>
    <row r="416" ht="15" customHeight="1">
      <c r="A416" t="inlineStr">
        <is>
          <t>A 47102-2025</t>
        </is>
      </c>
      <c r="B416" s="1" t="n">
        <v>45929</v>
      </c>
      <c r="C416" s="1" t="n">
        <v>46185</v>
      </c>
      <c r="D416" t="inlineStr">
        <is>
          <t>VÄSTERNORRLANDS LÄN</t>
        </is>
      </c>
      <c r="E416" t="inlineStr">
        <is>
          <t>ÅNGE</t>
        </is>
      </c>
      <c r="G416" t="n">
        <v>1.3</v>
      </c>
      <c r="H416" t="n">
        <v>1</v>
      </c>
      <c r="I416" t="n">
        <v>1</v>
      </c>
      <c r="J416" t="n">
        <v>3</v>
      </c>
      <c r="K416" t="n">
        <v>1</v>
      </c>
      <c r="L416" t="n">
        <v>0</v>
      </c>
      <c r="M416" t="n">
        <v>0</v>
      </c>
      <c r="N416" t="n">
        <v>0</v>
      </c>
      <c r="O416" t="n">
        <v>4</v>
      </c>
      <c r="P416" t="n">
        <v>1</v>
      </c>
      <c r="Q416" t="n">
        <v>5</v>
      </c>
      <c r="R416" s="2" t="inlineStr">
        <is>
          <t>Knärot
Garnlav
Rosenticka
Ullticka
Dropptaggsvamp</t>
        </is>
      </c>
      <c r="S416">
        <f>HYPERLINK("https://klasma.github.io/Logging_2260/artfynd/A 47102-2025 artfynd.xlsx", "A 47102-2025")</f>
        <v/>
      </c>
      <c r="T416">
        <f>HYPERLINK("https://klasma.github.io/Logging_2260/kartor/A 47102-2025 karta.png", "A 47102-2025")</f>
        <v/>
      </c>
      <c r="U416">
        <f>HYPERLINK("https://klasma.github.io/Logging_2260/knärot/A 47102-2025 karta knärot.png", "A 47102-2025")</f>
        <v/>
      </c>
      <c r="V416">
        <f>HYPERLINK("https://klasma.github.io/Logging_2260/klagomål/A 47102-2025 FSC-klagomål.docx", "A 47102-2025")</f>
        <v/>
      </c>
      <c r="W416">
        <f>HYPERLINK("https://klasma.github.io/Logging_2260/klagomålsmail/A 47102-2025 FSC-klagomål mail.docx", "A 47102-2025")</f>
        <v/>
      </c>
      <c r="X416">
        <f>HYPERLINK("https://klasma.github.io/Logging_2260/tillsyn/A 47102-2025 tillsynsbegäran.docx", "A 47102-2025")</f>
        <v/>
      </c>
      <c r="Y416">
        <f>HYPERLINK("https://klasma.github.io/Logging_2260/tillsynsmail/A 47102-2025 tillsynsbegäran mail.docx", "A 47102-2025")</f>
        <v/>
      </c>
    </row>
    <row r="417" ht="15" customHeight="1">
      <c r="A417" t="inlineStr">
        <is>
          <t>A 8412-2024</t>
        </is>
      </c>
      <c r="B417" s="1" t="n">
        <v>45352</v>
      </c>
      <c r="C417" s="1" t="n">
        <v>46185</v>
      </c>
      <c r="D417" t="inlineStr">
        <is>
          <t>VÄSTERNORRLANDS LÄN</t>
        </is>
      </c>
      <c r="E417" t="inlineStr">
        <is>
          <t>HÄRNÖSAND</t>
        </is>
      </c>
      <c r="F417" t="inlineStr">
        <is>
          <t>SCA</t>
        </is>
      </c>
      <c r="G417" t="n">
        <v>1.6</v>
      </c>
      <c r="H417" t="n">
        <v>1</v>
      </c>
      <c r="I417" t="n">
        <v>0</v>
      </c>
      <c r="J417" t="n">
        <v>2</v>
      </c>
      <c r="K417" t="n">
        <v>3</v>
      </c>
      <c r="L417" t="n">
        <v>0</v>
      </c>
      <c r="M417" t="n">
        <v>0</v>
      </c>
      <c r="N417" t="n">
        <v>0</v>
      </c>
      <c r="O417" t="n">
        <v>5</v>
      </c>
      <c r="P417" t="n">
        <v>3</v>
      </c>
      <c r="Q417" t="n">
        <v>5</v>
      </c>
      <c r="R417" s="2" t="inlineStr">
        <is>
          <t>Aspgelélav
Knärot
Liten aspgelélav
Apelsinticka
Lunglav</t>
        </is>
      </c>
      <c r="S417">
        <f>HYPERLINK("https://klasma.github.io/Logging_2280/artfynd/A 8412-2024 artfynd.xlsx", "A 8412-2024")</f>
        <v/>
      </c>
      <c r="T417">
        <f>HYPERLINK("https://klasma.github.io/Logging_2280/kartor/A 8412-2024 karta.png", "A 8412-2024")</f>
        <v/>
      </c>
      <c r="U417">
        <f>HYPERLINK("https://klasma.github.io/Logging_2280/knärot/A 8412-2024 karta knärot.png", "A 8412-2024")</f>
        <v/>
      </c>
      <c r="V417">
        <f>HYPERLINK("https://klasma.github.io/Logging_2280/klagomål/A 8412-2024 FSC-klagomål.docx", "A 8412-2024")</f>
        <v/>
      </c>
      <c r="W417">
        <f>HYPERLINK("https://klasma.github.io/Logging_2280/klagomålsmail/A 8412-2024 FSC-klagomål mail.docx", "A 8412-2024")</f>
        <v/>
      </c>
      <c r="X417">
        <f>HYPERLINK("https://klasma.github.io/Logging_2280/tillsyn/A 8412-2024 tillsynsbegäran.docx", "A 8412-2024")</f>
        <v/>
      </c>
      <c r="Y417">
        <f>HYPERLINK("https://klasma.github.io/Logging_2280/tillsynsmail/A 8412-2024 tillsynsbegäran mail.docx", "A 8412-2024")</f>
        <v/>
      </c>
    </row>
    <row r="418" ht="15" customHeight="1">
      <c r="A418" t="inlineStr">
        <is>
          <t>A 49642-2025</t>
        </is>
      </c>
      <c r="B418" s="1" t="n">
        <v>45939.61542824074</v>
      </c>
      <c r="C418" s="1" t="n">
        <v>46185</v>
      </c>
      <c r="D418" t="inlineStr">
        <is>
          <t>VÄSTERNORRLANDS LÄN</t>
        </is>
      </c>
      <c r="E418" t="inlineStr">
        <is>
          <t>SUNDSVALL</t>
        </is>
      </c>
      <c r="F418" t="inlineStr">
        <is>
          <t>SCA</t>
        </is>
      </c>
      <c r="G418" t="n">
        <v>3.9</v>
      </c>
      <c r="H418" t="n">
        <v>2</v>
      </c>
      <c r="I418" t="n">
        <v>2</v>
      </c>
      <c r="J418" t="n">
        <v>2</v>
      </c>
      <c r="K418" t="n">
        <v>0</v>
      </c>
      <c r="L418" t="n">
        <v>0</v>
      </c>
      <c r="M418" t="n">
        <v>0</v>
      </c>
      <c r="N418" t="n">
        <v>0</v>
      </c>
      <c r="O418" t="n">
        <v>2</v>
      </c>
      <c r="P418" t="n">
        <v>0</v>
      </c>
      <c r="Q418" t="n">
        <v>5</v>
      </c>
      <c r="R418" s="2" t="inlineStr">
        <is>
          <t>Lunglav
Spillkråka
Skinnlav
Stuplav
Lavskrika</t>
        </is>
      </c>
      <c r="S418">
        <f>HYPERLINK("https://klasma.github.io/Logging_2281/artfynd/A 49642-2025 artfynd.xlsx", "A 49642-2025")</f>
        <v/>
      </c>
      <c r="T418">
        <f>HYPERLINK("https://klasma.github.io/Logging_2281/kartor/A 49642-2025 karta.png", "A 49642-2025")</f>
        <v/>
      </c>
      <c r="V418">
        <f>HYPERLINK("https://klasma.github.io/Logging_2281/klagomål/A 49642-2025 FSC-klagomål.docx", "A 49642-2025")</f>
        <v/>
      </c>
      <c r="W418">
        <f>HYPERLINK("https://klasma.github.io/Logging_2281/klagomålsmail/A 49642-2025 FSC-klagomål mail.docx", "A 49642-2025")</f>
        <v/>
      </c>
      <c r="X418">
        <f>HYPERLINK("https://klasma.github.io/Logging_2281/tillsyn/A 49642-2025 tillsynsbegäran.docx", "A 49642-2025")</f>
        <v/>
      </c>
      <c r="Y418">
        <f>HYPERLINK("https://klasma.github.io/Logging_2281/tillsynsmail/A 49642-2025 tillsynsbegäran mail.docx", "A 49642-2025")</f>
        <v/>
      </c>
      <c r="Z418">
        <f>HYPERLINK("https://klasma.github.io/Logging_2281/fåglar/A 49642-2025 prioriterade fågelarter.docx", "A 49642-2025")</f>
        <v/>
      </c>
    </row>
    <row r="419" ht="15" customHeight="1">
      <c r="A419" t="inlineStr">
        <is>
          <t>A 49778-2025</t>
        </is>
      </c>
      <c r="B419" s="1" t="n">
        <v>45940.38585648148</v>
      </c>
      <c r="C419" s="1" t="n">
        <v>46185</v>
      </c>
      <c r="D419" t="inlineStr">
        <is>
          <t>VÄSTERNORRLANDS LÄN</t>
        </is>
      </c>
      <c r="E419" t="inlineStr">
        <is>
          <t>TIMRÅ</t>
        </is>
      </c>
      <c r="F419" t="inlineStr">
        <is>
          <t>SCA</t>
        </is>
      </c>
      <c r="G419" t="n">
        <v>2.7</v>
      </c>
      <c r="H419" t="n">
        <v>1</v>
      </c>
      <c r="I419" t="n">
        <v>0</v>
      </c>
      <c r="J419" t="n">
        <v>4</v>
      </c>
      <c r="K419" t="n">
        <v>1</v>
      </c>
      <c r="L419" t="n">
        <v>0</v>
      </c>
      <c r="M419" t="n">
        <v>0</v>
      </c>
      <c r="N419" t="n">
        <v>0</v>
      </c>
      <c r="O419" t="n">
        <v>5</v>
      </c>
      <c r="P419" t="n">
        <v>1</v>
      </c>
      <c r="Q419" t="n">
        <v>5</v>
      </c>
      <c r="R419" s="2" t="inlineStr">
        <is>
          <t>Knärot
Dvärgbägarlav
Garnlav
Lunglav
Vedskivlav</t>
        </is>
      </c>
      <c r="S419">
        <f>HYPERLINK("https://klasma.github.io/Logging_2262/artfynd/A 49778-2025 artfynd.xlsx", "A 49778-2025")</f>
        <v/>
      </c>
      <c r="T419">
        <f>HYPERLINK("https://klasma.github.io/Logging_2262/kartor/A 49778-2025 karta.png", "A 49778-2025")</f>
        <v/>
      </c>
      <c r="U419">
        <f>HYPERLINK("https://klasma.github.io/Logging_2262/knärot/A 49778-2025 karta knärot.png", "A 49778-2025")</f>
        <v/>
      </c>
      <c r="V419">
        <f>HYPERLINK("https://klasma.github.io/Logging_2262/klagomål/A 49778-2025 FSC-klagomål.docx", "A 49778-2025")</f>
        <v/>
      </c>
      <c r="W419">
        <f>HYPERLINK("https://klasma.github.io/Logging_2262/klagomålsmail/A 49778-2025 FSC-klagomål mail.docx", "A 49778-2025")</f>
        <v/>
      </c>
      <c r="X419">
        <f>HYPERLINK("https://klasma.github.io/Logging_2262/tillsyn/A 49778-2025 tillsynsbegäran.docx", "A 49778-2025")</f>
        <v/>
      </c>
      <c r="Y419">
        <f>HYPERLINK("https://klasma.github.io/Logging_2262/tillsynsmail/A 49778-2025 tillsynsbegäran mail.docx", "A 49778-2025")</f>
        <v/>
      </c>
    </row>
    <row r="420" ht="15" customHeight="1">
      <c r="A420" t="inlineStr">
        <is>
          <t>A 3575-2026</t>
        </is>
      </c>
      <c r="B420" s="1" t="n">
        <v>46042.71269675926</v>
      </c>
      <c r="C420" s="1" t="n">
        <v>46185</v>
      </c>
      <c r="D420" t="inlineStr">
        <is>
          <t>VÄSTERNORRLANDS LÄN</t>
        </is>
      </c>
      <c r="E420" t="inlineStr">
        <is>
          <t>SOLLEFTEÅ</t>
        </is>
      </c>
      <c r="G420" t="n">
        <v>4.7</v>
      </c>
      <c r="H420" t="n">
        <v>0</v>
      </c>
      <c r="I420" t="n">
        <v>1</v>
      </c>
      <c r="J420" t="n">
        <v>4</v>
      </c>
      <c r="K420" t="n">
        <v>0</v>
      </c>
      <c r="L420" t="n">
        <v>0</v>
      </c>
      <c r="M420" t="n">
        <v>0</v>
      </c>
      <c r="N420" t="n">
        <v>0</v>
      </c>
      <c r="O420" t="n">
        <v>4</v>
      </c>
      <c r="P420" t="n">
        <v>0</v>
      </c>
      <c r="Q420" t="n">
        <v>5</v>
      </c>
      <c r="R420" s="2" t="inlineStr">
        <is>
          <t>Garnlav
Rosenticka
Stjärntagging
Ullticka
Vedticka</t>
        </is>
      </c>
      <c r="S420">
        <f>HYPERLINK("https://klasma.github.io/Logging_2283/artfynd/A 3575-2026 artfynd.xlsx", "A 3575-2026")</f>
        <v/>
      </c>
      <c r="T420">
        <f>HYPERLINK("https://klasma.github.io/Logging_2283/kartor/A 3575-2026 karta.png", "A 3575-2026")</f>
        <v/>
      </c>
      <c r="V420">
        <f>HYPERLINK("https://klasma.github.io/Logging_2283/klagomål/A 3575-2026 FSC-klagomål.docx", "A 3575-2026")</f>
        <v/>
      </c>
      <c r="W420">
        <f>HYPERLINK("https://klasma.github.io/Logging_2283/klagomålsmail/A 3575-2026 FSC-klagomål mail.docx", "A 3575-2026")</f>
        <v/>
      </c>
      <c r="X420">
        <f>HYPERLINK("https://klasma.github.io/Logging_2283/tillsyn/A 3575-2026 tillsynsbegäran.docx", "A 3575-2026")</f>
        <v/>
      </c>
      <c r="Y420">
        <f>HYPERLINK("https://klasma.github.io/Logging_2283/tillsynsmail/A 3575-2026 tillsynsbegäran mail.docx", "A 3575-2026")</f>
        <v/>
      </c>
    </row>
    <row r="421" ht="15" customHeight="1">
      <c r="A421" t="inlineStr">
        <is>
          <t>A 4552-2022</t>
        </is>
      </c>
      <c r="B421" s="1" t="n">
        <v>44590</v>
      </c>
      <c r="C421" s="1" t="n">
        <v>46185</v>
      </c>
      <c r="D421" t="inlineStr">
        <is>
          <t>VÄSTERNORRLANDS LÄN</t>
        </is>
      </c>
      <c r="E421" t="inlineStr">
        <is>
          <t>SOLLEFTEÅ</t>
        </is>
      </c>
      <c r="F421" t="inlineStr">
        <is>
          <t>SCA</t>
        </is>
      </c>
      <c r="G421" t="n">
        <v>4.4</v>
      </c>
      <c r="H421" t="n">
        <v>0</v>
      </c>
      <c r="I421" t="n">
        <v>1</v>
      </c>
      <c r="J421" t="n">
        <v>4</v>
      </c>
      <c r="K421" t="n">
        <v>0</v>
      </c>
      <c r="L421" t="n">
        <v>0</v>
      </c>
      <c r="M421" t="n">
        <v>0</v>
      </c>
      <c r="N421" t="n">
        <v>0</v>
      </c>
      <c r="O421" t="n">
        <v>4</v>
      </c>
      <c r="P421" t="n">
        <v>0</v>
      </c>
      <c r="Q421" t="n">
        <v>5</v>
      </c>
      <c r="R421" s="2" t="inlineStr">
        <is>
          <t>Gammelgransskål
Garnlav
Skrovlig taggsvamp
Vedskivlav
Skarp dropptaggsvamp</t>
        </is>
      </c>
      <c r="S421">
        <f>HYPERLINK("https://klasma.github.io/Logging_2283/artfynd/A 4552-2022 artfynd.xlsx", "A 4552-2022")</f>
        <v/>
      </c>
      <c r="T421">
        <f>HYPERLINK("https://klasma.github.io/Logging_2283/kartor/A 4552-2022 karta.png", "A 4552-2022")</f>
        <v/>
      </c>
      <c r="V421">
        <f>HYPERLINK("https://klasma.github.io/Logging_2283/klagomål/A 4552-2022 FSC-klagomål.docx", "A 4552-2022")</f>
        <v/>
      </c>
      <c r="W421">
        <f>HYPERLINK("https://klasma.github.io/Logging_2283/klagomålsmail/A 4552-2022 FSC-klagomål mail.docx", "A 4552-2022")</f>
        <v/>
      </c>
      <c r="X421">
        <f>HYPERLINK("https://klasma.github.io/Logging_2283/tillsyn/A 4552-2022 tillsynsbegäran.docx", "A 4552-2022")</f>
        <v/>
      </c>
      <c r="Y421">
        <f>HYPERLINK("https://klasma.github.io/Logging_2283/tillsynsmail/A 4552-2022 tillsynsbegäran mail.docx", "A 4552-2022")</f>
        <v/>
      </c>
    </row>
    <row r="422" ht="15" customHeight="1">
      <c r="A422" t="inlineStr">
        <is>
          <t>A 51341-2025</t>
        </is>
      </c>
      <c r="B422" s="1" t="n">
        <v>45950.42761574074</v>
      </c>
      <c r="C422" s="1" t="n">
        <v>46185</v>
      </c>
      <c r="D422" t="inlineStr">
        <is>
          <t>VÄSTERNORRLANDS LÄN</t>
        </is>
      </c>
      <c r="E422" t="inlineStr">
        <is>
          <t>SOLLEFTEÅ</t>
        </is>
      </c>
      <c r="F422" t="inlineStr">
        <is>
          <t>SCA</t>
        </is>
      </c>
      <c r="G422" t="n">
        <v>5.3</v>
      </c>
      <c r="H422" t="n">
        <v>0</v>
      </c>
      <c r="I422" t="n">
        <v>2</v>
      </c>
      <c r="J422" t="n">
        <v>3</v>
      </c>
      <c r="K422" t="n">
        <v>0</v>
      </c>
      <c r="L422" t="n">
        <v>0</v>
      </c>
      <c r="M422" t="n">
        <v>0</v>
      </c>
      <c r="N422" t="n">
        <v>0</v>
      </c>
      <c r="O422" t="n">
        <v>3</v>
      </c>
      <c r="P422" t="n">
        <v>0</v>
      </c>
      <c r="Q422" t="n">
        <v>5</v>
      </c>
      <c r="R422" s="2" t="inlineStr">
        <is>
          <t>Garnlav
Mörk kolflarnlav
Rosenticka
Dropptaggsvamp
Vedticka</t>
        </is>
      </c>
      <c r="S422">
        <f>HYPERLINK("https://klasma.github.io/Logging_2283/artfynd/A 51341-2025 artfynd.xlsx", "A 51341-2025")</f>
        <v/>
      </c>
      <c r="T422">
        <f>HYPERLINK("https://klasma.github.io/Logging_2283/kartor/A 51341-2025 karta.png", "A 51341-2025")</f>
        <v/>
      </c>
      <c r="V422">
        <f>HYPERLINK("https://klasma.github.io/Logging_2283/klagomål/A 51341-2025 FSC-klagomål.docx", "A 51341-2025")</f>
        <v/>
      </c>
      <c r="W422">
        <f>HYPERLINK("https://klasma.github.io/Logging_2283/klagomålsmail/A 51341-2025 FSC-klagomål mail.docx", "A 51341-2025")</f>
        <v/>
      </c>
      <c r="X422">
        <f>HYPERLINK("https://klasma.github.io/Logging_2283/tillsyn/A 51341-2025 tillsynsbegäran.docx", "A 51341-2025")</f>
        <v/>
      </c>
      <c r="Y422">
        <f>HYPERLINK("https://klasma.github.io/Logging_2283/tillsynsmail/A 51341-2025 tillsynsbegäran mail.docx", "A 51341-2025")</f>
        <v/>
      </c>
    </row>
    <row r="423" ht="15" customHeight="1">
      <c r="A423" t="inlineStr">
        <is>
          <t>A 40482-2025</t>
        </is>
      </c>
      <c r="B423" s="1" t="n">
        <v>45895</v>
      </c>
      <c r="C423" s="1" t="n">
        <v>46185</v>
      </c>
      <c r="D423" t="inlineStr">
        <is>
          <t>VÄSTERNORRLANDS LÄN</t>
        </is>
      </c>
      <c r="E423" t="inlineStr">
        <is>
          <t>TIMRÅ</t>
        </is>
      </c>
      <c r="G423" t="n">
        <v>20.9</v>
      </c>
      <c r="H423" t="n">
        <v>2</v>
      </c>
      <c r="I423" t="n">
        <v>0</v>
      </c>
      <c r="J423" t="n">
        <v>3</v>
      </c>
      <c r="K423" t="n">
        <v>0</v>
      </c>
      <c r="L423" t="n">
        <v>0</v>
      </c>
      <c r="M423" t="n">
        <v>0</v>
      </c>
      <c r="N423" t="n">
        <v>0</v>
      </c>
      <c r="O423" t="n">
        <v>3</v>
      </c>
      <c r="P423" t="n">
        <v>0</v>
      </c>
      <c r="Q423" t="n">
        <v>5</v>
      </c>
      <c r="R423" s="2" t="inlineStr">
        <is>
          <t>Garnlav
Knottrig blåslav
Violettgrå tagellav
Fläcknycklar
Mattlummer</t>
        </is>
      </c>
      <c r="S423">
        <f>HYPERLINK("https://klasma.github.io/Logging_2262/artfynd/A 40482-2025 artfynd.xlsx", "A 40482-2025")</f>
        <v/>
      </c>
      <c r="T423">
        <f>HYPERLINK("https://klasma.github.io/Logging_2262/kartor/A 40482-2025 karta.png", "A 40482-2025")</f>
        <v/>
      </c>
      <c r="V423">
        <f>HYPERLINK("https://klasma.github.io/Logging_2262/klagomål/A 40482-2025 FSC-klagomål.docx", "A 40482-2025")</f>
        <v/>
      </c>
      <c r="W423">
        <f>HYPERLINK("https://klasma.github.io/Logging_2262/klagomålsmail/A 40482-2025 FSC-klagomål mail.docx", "A 40482-2025")</f>
        <v/>
      </c>
      <c r="X423">
        <f>HYPERLINK("https://klasma.github.io/Logging_2262/tillsyn/A 40482-2025 tillsynsbegäran.docx", "A 40482-2025")</f>
        <v/>
      </c>
      <c r="Y423">
        <f>HYPERLINK("https://klasma.github.io/Logging_2262/tillsynsmail/A 40482-2025 tillsynsbegäran mail.docx", "A 40482-2025")</f>
        <v/>
      </c>
    </row>
    <row r="424" ht="15" customHeight="1">
      <c r="A424" t="inlineStr">
        <is>
          <t>A 38327-2025</t>
        </is>
      </c>
      <c r="B424" s="1" t="n">
        <v>45883.49084490741</v>
      </c>
      <c r="C424" s="1" t="n">
        <v>46185</v>
      </c>
      <c r="D424" t="inlineStr">
        <is>
          <t>VÄSTERNORRLANDS LÄN</t>
        </is>
      </c>
      <c r="E424" t="inlineStr">
        <is>
          <t>ÅNGE</t>
        </is>
      </c>
      <c r="F424" t="inlineStr">
        <is>
          <t>SCA</t>
        </is>
      </c>
      <c r="G424" t="n">
        <v>2.1</v>
      </c>
      <c r="H424" t="n">
        <v>1</v>
      </c>
      <c r="I424" t="n">
        <v>0</v>
      </c>
      <c r="J424" t="n">
        <v>4</v>
      </c>
      <c r="K424" t="n">
        <v>0</v>
      </c>
      <c r="L424" t="n">
        <v>0</v>
      </c>
      <c r="M424" t="n">
        <v>0</v>
      </c>
      <c r="N424" t="n">
        <v>0</v>
      </c>
      <c r="O424" t="n">
        <v>4</v>
      </c>
      <c r="P424" t="n">
        <v>0</v>
      </c>
      <c r="Q424" t="n">
        <v>5</v>
      </c>
      <c r="R424" s="2" t="inlineStr">
        <is>
          <t>Gammelgransskål
Garnlav
Ullticka
Violettgrå tagellav
Revlummer</t>
        </is>
      </c>
      <c r="S424">
        <f>HYPERLINK("https://klasma.github.io/Logging_2260/artfynd/A 38327-2025 artfynd.xlsx", "A 38327-2025")</f>
        <v/>
      </c>
      <c r="T424">
        <f>HYPERLINK("https://klasma.github.io/Logging_2260/kartor/A 38327-2025 karta.png", "A 38327-2025")</f>
        <v/>
      </c>
      <c r="V424">
        <f>HYPERLINK("https://klasma.github.io/Logging_2260/klagomål/A 38327-2025 FSC-klagomål.docx", "A 38327-2025")</f>
        <v/>
      </c>
      <c r="W424">
        <f>HYPERLINK("https://klasma.github.io/Logging_2260/klagomålsmail/A 38327-2025 FSC-klagomål mail.docx", "A 38327-2025")</f>
        <v/>
      </c>
      <c r="X424">
        <f>HYPERLINK("https://klasma.github.io/Logging_2260/tillsyn/A 38327-2025 tillsynsbegäran.docx", "A 38327-2025")</f>
        <v/>
      </c>
      <c r="Y424">
        <f>HYPERLINK("https://klasma.github.io/Logging_2260/tillsynsmail/A 38327-2025 tillsynsbegäran mail.docx", "A 38327-2025")</f>
        <v/>
      </c>
    </row>
    <row r="425" ht="15" customHeight="1">
      <c r="A425" t="inlineStr">
        <is>
          <t>A 52392-2025</t>
        </is>
      </c>
      <c r="B425" s="1" t="n">
        <v>45954.34424768519</v>
      </c>
      <c r="C425" s="1" t="n">
        <v>46185</v>
      </c>
      <c r="D425" t="inlineStr">
        <is>
          <t>VÄSTERNORRLANDS LÄN</t>
        </is>
      </c>
      <c r="E425" t="inlineStr">
        <is>
          <t>ÅNGE</t>
        </is>
      </c>
      <c r="F425" t="inlineStr">
        <is>
          <t>SCA</t>
        </is>
      </c>
      <c r="G425" t="n">
        <v>2.6</v>
      </c>
      <c r="H425" t="n">
        <v>1</v>
      </c>
      <c r="I425" t="n">
        <v>1</v>
      </c>
      <c r="J425" t="n">
        <v>4</v>
      </c>
      <c r="K425" t="n">
        <v>0</v>
      </c>
      <c r="L425" t="n">
        <v>0</v>
      </c>
      <c r="M425" t="n">
        <v>0</v>
      </c>
      <c r="N425" t="n">
        <v>0</v>
      </c>
      <c r="O425" t="n">
        <v>4</v>
      </c>
      <c r="P425" t="n">
        <v>0</v>
      </c>
      <c r="Q425" t="n">
        <v>5</v>
      </c>
      <c r="R425" s="2" t="inlineStr">
        <is>
          <t>Garnlav
Rosenticka
Tretåig hackspett
Ullticka
Brandticka</t>
        </is>
      </c>
      <c r="S425">
        <f>HYPERLINK("https://klasma.github.io/Logging_2260/artfynd/A 52392-2025 artfynd.xlsx", "A 52392-2025")</f>
        <v/>
      </c>
      <c r="T425">
        <f>HYPERLINK("https://klasma.github.io/Logging_2260/kartor/A 52392-2025 karta.png", "A 52392-2025")</f>
        <v/>
      </c>
      <c r="V425">
        <f>HYPERLINK("https://klasma.github.io/Logging_2260/klagomål/A 52392-2025 FSC-klagomål.docx", "A 52392-2025")</f>
        <v/>
      </c>
      <c r="W425">
        <f>HYPERLINK("https://klasma.github.io/Logging_2260/klagomålsmail/A 52392-2025 FSC-klagomål mail.docx", "A 52392-2025")</f>
        <v/>
      </c>
      <c r="X425">
        <f>HYPERLINK("https://klasma.github.io/Logging_2260/tillsyn/A 52392-2025 tillsynsbegäran.docx", "A 52392-2025")</f>
        <v/>
      </c>
      <c r="Y425">
        <f>HYPERLINK("https://klasma.github.io/Logging_2260/tillsynsmail/A 52392-2025 tillsynsbegäran mail.docx", "A 52392-2025")</f>
        <v/>
      </c>
      <c r="Z425">
        <f>HYPERLINK("https://klasma.github.io/Logging_2260/fåglar/A 52392-2025 prioriterade fågelarter.docx", "A 52392-2025")</f>
        <v/>
      </c>
    </row>
    <row r="426" ht="15" customHeight="1">
      <c r="A426" t="inlineStr">
        <is>
          <t>A 3958-2024</t>
        </is>
      </c>
      <c r="B426" s="1" t="n">
        <v>45322</v>
      </c>
      <c r="C426" s="1" t="n">
        <v>46185</v>
      </c>
      <c r="D426" t="inlineStr">
        <is>
          <t>VÄSTERNORRLANDS LÄN</t>
        </is>
      </c>
      <c r="E426" t="inlineStr">
        <is>
          <t>SUNDSVALL</t>
        </is>
      </c>
      <c r="G426" t="n">
        <v>7.2</v>
      </c>
      <c r="H426" t="n">
        <v>1</v>
      </c>
      <c r="I426" t="n">
        <v>0</v>
      </c>
      <c r="J426" t="n">
        <v>5</v>
      </c>
      <c r="K426" t="n">
        <v>0</v>
      </c>
      <c r="L426" t="n">
        <v>0</v>
      </c>
      <c r="M426" t="n">
        <v>0</v>
      </c>
      <c r="N426" t="n">
        <v>0</v>
      </c>
      <c r="O426" t="n">
        <v>5</v>
      </c>
      <c r="P426" t="n">
        <v>0</v>
      </c>
      <c r="Q426" t="n">
        <v>5</v>
      </c>
      <c r="R426" s="2" t="inlineStr">
        <is>
          <t>Garnlav
Granticka
Lunglav
Tretåig hackspett
Ullticka</t>
        </is>
      </c>
      <c r="S426">
        <f>HYPERLINK("https://klasma.github.io/Logging_2281/artfynd/A 3958-2024 artfynd.xlsx", "A 3958-2024")</f>
        <v/>
      </c>
      <c r="T426">
        <f>HYPERLINK("https://klasma.github.io/Logging_2281/kartor/A 3958-2024 karta.png", "A 3958-2024")</f>
        <v/>
      </c>
      <c r="V426">
        <f>HYPERLINK("https://klasma.github.io/Logging_2281/klagomål/A 3958-2024 FSC-klagomål.docx", "A 3958-2024")</f>
        <v/>
      </c>
      <c r="W426">
        <f>HYPERLINK("https://klasma.github.io/Logging_2281/klagomålsmail/A 3958-2024 FSC-klagomål mail.docx", "A 3958-2024")</f>
        <v/>
      </c>
      <c r="X426">
        <f>HYPERLINK("https://klasma.github.io/Logging_2281/tillsyn/A 3958-2024 tillsynsbegäran.docx", "A 3958-2024")</f>
        <v/>
      </c>
      <c r="Y426">
        <f>HYPERLINK("https://klasma.github.io/Logging_2281/tillsynsmail/A 3958-2024 tillsynsbegäran mail.docx", "A 3958-2024")</f>
        <v/>
      </c>
      <c r="Z426">
        <f>HYPERLINK("https://klasma.github.io/Logging_2281/fåglar/A 3958-2024 prioriterade fågelarter.docx", "A 3958-2024")</f>
        <v/>
      </c>
    </row>
    <row r="427" ht="15" customHeight="1">
      <c r="A427" t="inlineStr">
        <is>
          <t>A 17925-2023</t>
        </is>
      </c>
      <c r="B427" s="1" t="n">
        <v>45040</v>
      </c>
      <c r="C427" s="1" t="n">
        <v>46185</v>
      </c>
      <c r="D427" t="inlineStr">
        <is>
          <t>VÄSTERNORRLANDS LÄN</t>
        </is>
      </c>
      <c r="E427" t="inlineStr">
        <is>
          <t>ÖRNSKÖLDSVIK</t>
        </is>
      </c>
      <c r="G427" t="n">
        <v>14.5</v>
      </c>
      <c r="H427" t="n">
        <v>1</v>
      </c>
      <c r="I427" t="n">
        <v>0</v>
      </c>
      <c r="J427" t="n">
        <v>3</v>
      </c>
      <c r="K427" t="n">
        <v>2</v>
      </c>
      <c r="L427" t="n">
        <v>0</v>
      </c>
      <c r="M427" t="n">
        <v>0</v>
      </c>
      <c r="N427" t="n">
        <v>0</v>
      </c>
      <c r="O427" t="n">
        <v>5</v>
      </c>
      <c r="P427" t="n">
        <v>2</v>
      </c>
      <c r="Q427" t="n">
        <v>5</v>
      </c>
      <c r="R427" s="2" t="inlineStr">
        <is>
          <t>Knärot
Rynkskinn
Lunglav
Rosenticka
Ullticka</t>
        </is>
      </c>
      <c r="S427">
        <f>HYPERLINK("https://klasma.github.io/Logging_2284/artfynd/A 17925-2023 artfynd.xlsx", "A 17925-2023")</f>
        <v/>
      </c>
      <c r="T427">
        <f>HYPERLINK("https://klasma.github.io/Logging_2284/kartor/A 17925-2023 karta.png", "A 17925-2023")</f>
        <v/>
      </c>
      <c r="U427">
        <f>HYPERLINK("https://klasma.github.io/Logging_2284/knärot/A 17925-2023 karta knärot.png", "A 17925-2023")</f>
        <v/>
      </c>
      <c r="V427">
        <f>HYPERLINK("https://klasma.github.io/Logging_2284/klagomål/A 17925-2023 FSC-klagomål.docx", "A 17925-2023")</f>
        <v/>
      </c>
      <c r="W427">
        <f>HYPERLINK("https://klasma.github.io/Logging_2284/klagomålsmail/A 17925-2023 FSC-klagomål mail.docx", "A 17925-2023")</f>
        <v/>
      </c>
      <c r="X427">
        <f>HYPERLINK("https://klasma.github.io/Logging_2284/tillsyn/A 17925-2023 tillsynsbegäran.docx", "A 17925-2023")</f>
        <v/>
      </c>
      <c r="Y427">
        <f>HYPERLINK("https://klasma.github.io/Logging_2284/tillsynsmail/A 17925-2023 tillsynsbegäran mail.docx", "A 17925-2023")</f>
        <v/>
      </c>
    </row>
    <row r="428" ht="15" customHeight="1">
      <c r="A428" t="inlineStr">
        <is>
          <t>A 32216-2023</t>
        </is>
      </c>
      <c r="B428" s="1" t="n">
        <v>45119</v>
      </c>
      <c r="C428" s="1" t="n">
        <v>46185</v>
      </c>
      <c r="D428" t="inlineStr">
        <is>
          <t>VÄSTERNORRLANDS LÄN</t>
        </is>
      </c>
      <c r="E428" t="inlineStr">
        <is>
          <t>SOLLEFTEÅ</t>
        </is>
      </c>
      <c r="F428" t="inlineStr">
        <is>
          <t>SCA</t>
        </is>
      </c>
      <c r="G428" t="n">
        <v>2.2</v>
      </c>
      <c r="H428" t="n">
        <v>1</v>
      </c>
      <c r="I428" t="n">
        <v>0</v>
      </c>
      <c r="J428" t="n">
        <v>4</v>
      </c>
      <c r="K428" t="n">
        <v>1</v>
      </c>
      <c r="L428" t="n">
        <v>0</v>
      </c>
      <c r="M428" t="n">
        <v>0</v>
      </c>
      <c r="N428" t="n">
        <v>0</v>
      </c>
      <c r="O428" t="n">
        <v>5</v>
      </c>
      <c r="P428" t="n">
        <v>1</v>
      </c>
      <c r="Q428" t="n">
        <v>5</v>
      </c>
      <c r="R428" s="2" t="inlineStr">
        <is>
          <t>Rynkskinn
Lunglav
Rosenticka
Tretåig hackspett
Ullticka</t>
        </is>
      </c>
      <c r="S428">
        <f>HYPERLINK("https://klasma.github.io/Logging_2283/artfynd/A 32216-2023 artfynd.xlsx", "A 32216-2023")</f>
        <v/>
      </c>
      <c r="T428">
        <f>HYPERLINK("https://klasma.github.io/Logging_2283/kartor/A 32216-2023 karta.png", "A 32216-2023")</f>
        <v/>
      </c>
      <c r="V428">
        <f>HYPERLINK("https://klasma.github.io/Logging_2283/klagomål/A 32216-2023 FSC-klagomål.docx", "A 32216-2023")</f>
        <v/>
      </c>
      <c r="W428">
        <f>HYPERLINK("https://klasma.github.io/Logging_2283/klagomålsmail/A 32216-2023 FSC-klagomål mail.docx", "A 32216-2023")</f>
        <v/>
      </c>
      <c r="X428">
        <f>HYPERLINK("https://klasma.github.io/Logging_2283/tillsyn/A 32216-2023 tillsynsbegäran.docx", "A 32216-2023")</f>
        <v/>
      </c>
      <c r="Y428">
        <f>HYPERLINK("https://klasma.github.io/Logging_2283/tillsynsmail/A 32216-2023 tillsynsbegäran mail.docx", "A 32216-2023")</f>
        <v/>
      </c>
      <c r="Z428">
        <f>HYPERLINK("https://klasma.github.io/Logging_2283/fåglar/A 32216-2023 prioriterade fågelarter.docx", "A 32216-2023")</f>
        <v/>
      </c>
    </row>
    <row r="429" ht="15" customHeight="1">
      <c r="A429" t="inlineStr">
        <is>
          <t>A 57391-2025</t>
        </is>
      </c>
      <c r="B429" s="1" t="n">
        <v>45980.42244212963</v>
      </c>
      <c r="C429" s="1" t="n">
        <v>46185</v>
      </c>
      <c r="D429" t="inlineStr">
        <is>
          <t>VÄSTERNORRLANDS LÄN</t>
        </is>
      </c>
      <c r="E429" t="inlineStr">
        <is>
          <t>SUNDSVALL</t>
        </is>
      </c>
      <c r="G429" t="n">
        <v>4</v>
      </c>
      <c r="H429" t="n">
        <v>1</v>
      </c>
      <c r="I429" t="n">
        <v>0</v>
      </c>
      <c r="J429" t="n">
        <v>3</v>
      </c>
      <c r="K429" t="n">
        <v>2</v>
      </c>
      <c r="L429" t="n">
        <v>0</v>
      </c>
      <c r="M429" t="n">
        <v>0</v>
      </c>
      <c r="N429" t="n">
        <v>0</v>
      </c>
      <c r="O429" t="n">
        <v>5</v>
      </c>
      <c r="P429" t="n">
        <v>2</v>
      </c>
      <c r="Q429" t="n">
        <v>5</v>
      </c>
      <c r="R429" s="2" t="inlineStr">
        <is>
          <t>Laxporing
Rynkskinn
Rosenticka
Talltita
Ullticka</t>
        </is>
      </c>
      <c r="S429">
        <f>HYPERLINK("https://klasma.github.io/Logging_2281/artfynd/A 57391-2025 artfynd.xlsx", "A 57391-2025")</f>
        <v/>
      </c>
      <c r="T429">
        <f>HYPERLINK("https://klasma.github.io/Logging_2281/kartor/A 57391-2025 karta.png", "A 57391-2025")</f>
        <v/>
      </c>
      <c r="V429">
        <f>HYPERLINK("https://klasma.github.io/Logging_2281/klagomål/A 57391-2025 FSC-klagomål.docx", "A 57391-2025")</f>
        <v/>
      </c>
      <c r="W429">
        <f>HYPERLINK("https://klasma.github.io/Logging_2281/klagomålsmail/A 57391-2025 FSC-klagomål mail.docx", "A 57391-2025")</f>
        <v/>
      </c>
      <c r="X429">
        <f>HYPERLINK("https://klasma.github.io/Logging_2281/tillsyn/A 57391-2025 tillsynsbegäran.docx", "A 57391-2025")</f>
        <v/>
      </c>
      <c r="Y429">
        <f>HYPERLINK("https://klasma.github.io/Logging_2281/tillsynsmail/A 57391-2025 tillsynsbegäran mail.docx", "A 57391-2025")</f>
        <v/>
      </c>
      <c r="Z429">
        <f>HYPERLINK("https://klasma.github.io/Logging_2281/fåglar/A 57391-2025 prioriterade fågelarter.docx", "A 57391-2025")</f>
        <v/>
      </c>
    </row>
    <row r="430" ht="15" customHeight="1">
      <c r="A430" t="inlineStr">
        <is>
          <t>A 50231-2023</t>
        </is>
      </c>
      <c r="B430" s="1" t="n">
        <v>45215</v>
      </c>
      <c r="C430" s="1" t="n">
        <v>46185</v>
      </c>
      <c r="D430" t="inlineStr">
        <is>
          <t>VÄSTERNORRLANDS LÄN</t>
        </is>
      </c>
      <c r="E430" t="inlineStr">
        <is>
          <t>TIMRÅ</t>
        </is>
      </c>
      <c r="F430" t="inlineStr">
        <is>
          <t>SCA</t>
        </is>
      </c>
      <c r="G430" t="n">
        <v>1.6</v>
      </c>
      <c r="H430" t="n">
        <v>1</v>
      </c>
      <c r="I430" t="n">
        <v>2</v>
      </c>
      <c r="J430" t="n">
        <v>2</v>
      </c>
      <c r="K430" t="n">
        <v>0</v>
      </c>
      <c r="L430" t="n">
        <v>0</v>
      </c>
      <c r="M430" t="n">
        <v>0</v>
      </c>
      <c r="N430" t="n">
        <v>0</v>
      </c>
      <c r="O430" t="n">
        <v>2</v>
      </c>
      <c r="P430" t="n">
        <v>0</v>
      </c>
      <c r="Q430" t="n">
        <v>5</v>
      </c>
      <c r="R430" s="2" t="inlineStr">
        <is>
          <t>Orange taggsvamp
Ullticka
Strutbräken
Stuplav
Revlummer</t>
        </is>
      </c>
      <c r="S430">
        <f>HYPERLINK("https://klasma.github.io/Logging_2262/artfynd/A 50231-2023 artfynd.xlsx", "A 50231-2023")</f>
        <v/>
      </c>
      <c r="T430">
        <f>HYPERLINK("https://klasma.github.io/Logging_2262/kartor/A 50231-2023 karta.png", "A 50231-2023")</f>
        <v/>
      </c>
      <c r="U430">
        <f>HYPERLINK("https://klasma.github.io/Logging_2262/knärot/A 50231-2023 karta knärot.png", "A 50231-2023")</f>
        <v/>
      </c>
      <c r="V430">
        <f>HYPERLINK("https://klasma.github.io/Logging_2262/klagomål/A 50231-2023 FSC-klagomål.docx", "A 50231-2023")</f>
        <v/>
      </c>
      <c r="W430">
        <f>HYPERLINK("https://klasma.github.io/Logging_2262/klagomålsmail/A 50231-2023 FSC-klagomål mail.docx", "A 50231-2023")</f>
        <v/>
      </c>
      <c r="X430">
        <f>HYPERLINK("https://klasma.github.io/Logging_2262/tillsyn/A 50231-2023 tillsynsbegäran.docx", "A 50231-2023")</f>
        <v/>
      </c>
      <c r="Y430">
        <f>HYPERLINK("https://klasma.github.io/Logging_2262/tillsynsmail/A 50231-2023 tillsynsbegäran mail.docx", "A 50231-2023")</f>
        <v/>
      </c>
    </row>
    <row r="431" ht="15" customHeight="1">
      <c r="A431" t="inlineStr">
        <is>
          <t>A 13696-2023</t>
        </is>
      </c>
      <c r="B431" s="1" t="n">
        <v>45006</v>
      </c>
      <c r="C431" s="1" t="n">
        <v>46185</v>
      </c>
      <c r="D431" t="inlineStr">
        <is>
          <t>VÄSTERNORRLANDS LÄN</t>
        </is>
      </c>
      <c r="E431" t="inlineStr">
        <is>
          <t>ÅNGE</t>
        </is>
      </c>
      <c r="F431" t="inlineStr">
        <is>
          <t>SCA</t>
        </is>
      </c>
      <c r="G431" t="n">
        <v>47.6</v>
      </c>
      <c r="H431" t="n">
        <v>1</v>
      </c>
      <c r="I431" t="n">
        <v>0</v>
      </c>
      <c r="J431" t="n">
        <v>4</v>
      </c>
      <c r="K431" t="n">
        <v>1</v>
      </c>
      <c r="L431" t="n">
        <v>0</v>
      </c>
      <c r="M431" t="n">
        <v>0</v>
      </c>
      <c r="N431" t="n">
        <v>0</v>
      </c>
      <c r="O431" t="n">
        <v>5</v>
      </c>
      <c r="P431" t="n">
        <v>1</v>
      </c>
      <c r="Q431" t="n">
        <v>5</v>
      </c>
      <c r="R431" s="2" t="inlineStr">
        <is>
          <t>Knärot
Dvärgbägarlav
Knottrig blåslav
Mörk kolflarnlav
Nordtagging</t>
        </is>
      </c>
      <c r="S431">
        <f>HYPERLINK("https://klasma.github.io/Logging_2260/artfynd/A 13696-2023 artfynd.xlsx", "A 13696-2023")</f>
        <v/>
      </c>
      <c r="T431">
        <f>HYPERLINK("https://klasma.github.io/Logging_2260/kartor/A 13696-2023 karta.png", "A 13696-2023")</f>
        <v/>
      </c>
      <c r="U431">
        <f>HYPERLINK("https://klasma.github.io/Logging_2260/knärot/A 13696-2023 karta knärot.png", "A 13696-2023")</f>
        <v/>
      </c>
      <c r="V431">
        <f>HYPERLINK("https://klasma.github.io/Logging_2260/klagomål/A 13696-2023 FSC-klagomål.docx", "A 13696-2023")</f>
        <v/>
      </c>
      <c r="W431">
        <f>HYPERLINK("https://klasma.github.io/Logging_2260/klagomålsmail/A 13696-2023 FSC-klagomål mail.docx", "A 13696-2023")</f>
        <v/>
      </c>
      <c r="X431">
        <f>HYPERLINK("https://klasma.github.io/Logging_2260/tillsyn/A 13696-2023 tillsynsbegäran.docx", "A 13696-2023")</f>
        <v/>
      </c>
      <c r="Y431">
        <f>HYPERLINK("https://klasma.github.io/Logging_2260/tillsynsmail/A 13696-2023 tillsynsbegäran mail.docx", "A 13696-2023")</f>
        <v/>
      </c>
    </row>
    <row r="432" ht="15" customHeight="1">
      <c r="A432" t="inlineStr">
        <is>
          <t>A 63343-2025</t>
        </is>
      </c>
      <c r="B432" s="1" t="n">
        <v>46010.65679398148</v>
      </c>
      <c r="C432" s="1" t="n">
        <v>46185</v>
      </c>
      <c r="D432" t="inlineStr">
        <is>
          <t>VÄSTERNORRLANDS LÄN</t>
        </is>
      </c>
      <c r="E432" t="inlineStr">
        <is>
          <t>ÖRNSKÖLDSVIK</t>
        </is>
      </c>
      <c r="F432" t="inlineStr">
        <is>
          <t>SCA</t>
        </is>
      </c>
      <c r="G432" t="n">
        <v>4.5</v>
      </c>
      <c r="H432" t="n">
        <v>1</v>
      </c>
      <c r="I432" t="n">
        <v>1</v>
      </c>
      <c r="J432" t="n">
        <v>3</v>
      </c>
      <c r="K432" t="n">
        <v>1</v>
      </c>
      <c r="L432" t="n">
        <v>0</v>
      </c>
      <c r="M432" t="n">
        <v>0</v>
      </c>
      <c r="N432" t="n">
        <v>0</v>
      </c>
      <c r="O432" t="n">
        <v>4</v>
      </c>
      <c r="P432" t="n">
        <v>1</v>
      </c>
      <c r="Q432" t="n">
        <v>5</v>
      </c>
      <c r="R432" s="2" t="inlineStr">
        <is>
          <t>Knärot
Garnlav
Gränsticka
Lunglav
Stuplav</t>
        </is>
      </c>
      <c r="S432">
        <f>HYPERLINK("https://klasma.github.io/Logging_2284/artfynd/A 63343-2025 artfynd.xlsx", "A 63343-2025")</f>
        <v/>
      </c>
      <c r="T432">
        <f>HYPERLINK("https://klasma.github.io/Logging_2284/kartor/A 63343-2025 karta.png", "A 63343-2025")</f>
        <v/>
      </c>
      <c r="U432">
        <f>HYPERLINK("https://klasma.github.io/Logging_2284/knärot/A 63343-2025 karta knärot.png", "A 63343-2025")</f>
        <v/>
      </c>
      <c r="V432">
        <f>HYPERLINK("https://klasma.github.io/Logging_2284/klagomål/A 63343-2025 FSC-klagomål.docx", "A 63343-2025")</f>
        <v/>
      </c>
      <c r="W432">
        <f>HYPERLINK("https://klasma.github.io/Logging_2284/klagomålsmail/A 63343-2025 FSC-klagomål mail.docx", "A 63343-2025")</f>
        <v/>
      </c>
      <c r="X432">
        <f>HYPERLINK("https://klasma.github.io/Logging_2284/tillsyn/A 63343-2025 tillsynsbegäran.docx", "A 63343-2025")</f>
        <v/>
      </c>
      <c r="Y432">
        <f>HYPERLINK("https://klasma.github.io/Logging_2284/tillsynsmail/A 63343-2025 tillsynsbegäran mail.docx", "A 63343-2025")</f>
        <v/>
      </c>
    </row>
    <row r="433" ht="15" customHeight="1">
      <c r="A433" t="inlineStr">
        <is>
          <t>A 2451-2024</t>
        </is>
      </c>
      <c r="B433" s="1" t="n">
        <v>45312.58627314815</v>
      </c>
      <c r="C433" s="1" t="n">
        <v>46185</v>
      </c>
      <c r="D433" t="inlineStr">
        <is>
          <t>VÄSTERNORRLANDS LÄN</t>
        </is>
      </c>
      <c r="E433" t="inlineStr">
        <is>
          <t>ÅNGE</t>
        </is>
      </c>
      <c r="G433" t="n">
        <v>3.5</v>
      </c>
      <c r="H433" t="n">
        <v>0</v>
      </c>
      <c r="I433" t="n">
        <v>1</v>
      </c>
      <c r="J433" t="n">
        <v>4</v>
      </c>
      <c r="K433" t="n">
        <v>0</v>
      </c>
      <c r="L433" t="n">
        <v>0</v>
      </c>
      <c r="M433" t="n">
        <v>0</v>
      </c>
      <c r="N433" t="n">
        <v>0</v>
      </c>
      <c r="O433" t="n">
        <v>4</v>
      </c>
      <c r="P433" t="n">
        <v>0</v>
      </c>
      <c r="Q433" t="n">
        <v>5</v>
      </c>
      <c r="R433" s="2" t="inlineStr">
        <is>
          <t>Garnlav
Mörk kolflarnlav
Rosenticka
Ullticka
Dropptaggsvamp</t>
        </is>
      </c>
      <c r="S433">
        <f>HYPERLINK("https://klasma.github.io/Logging_2260/artfynd/A 2451-2024 artfynd.xlsx", "A 2451-2024")</f>
        <v/>
      </c>
      <c r="T433">
        <f>HYPERLINK("https://klasma.github.io/Logging_2260/kartor/A 2451-2024 karta.png", "A 2451-2024")</f>
        <v/>
      </c>
      <c r="V433">
        <f>HYPERLINK("https://klasma.github.io/Logging_2260/klagomål/A 2451-2024 FSC-klagomål.docx", "A 2451-2024")</f>
        <v/>
      </c>
      <c r="W433">
        <f>HYPERLINK("https://klasma.github.io/Logging_2260/klagomålsmail/A 2451-2024 FSC-klagomål mail.docx", "A 2451-2024")</f>
        <v/>
      </c>
      <c r="X433">
        <f>HYPERLINK("https://klasma.github.io/Logging_2260/tillsyn/A 2451-2024 tillsynsbegäran.docx", "A 2451-2024")</f>
        <v/>
      </c>
      <c r="Y433">
        <f>HYPERLINK("https://klasma.github.io/Logging_2260/tillsynsmail/A 2451-2024 tillsynsbegäran mail.docx", "A 2451-2024")</f>
        <v/>
      </c>
    </row>
    <row r="434" ht="15" customHeight="1">
      <c r="A434" t="inlineStr">
        <is>
          <t>A 59662-2023</t>
        </is>
      </c>
      <c r="B434" s="1" t="n">
        <v>45254.96438657407</v>
      </c>
      <c r="C434" s="1" t="n">
        <v>46185</v>
      </c>
      <c r="D434" t="inlineStr">
        <is>
          <t>VÄSTERNORRLANDS LÄN</t>
        </is>
      </c>
      <c r="E434" t="inlineStr">
        <is>
          <t>SOLLEFTEÅ</t>
        </is>
      </c>
      <c r="F434" t="inlineStr">
        <is>
          <t>SCA</t>
        </is>
      </c>
      <c r="G434" t="n">
        <v>4.8</v>
      </c>
      <c r="H434" t="n">
        <v>1</v>
      </c>
      <c r="I434" t="n">
        <v>0</v>
      </c>
      <c r="J434" t="n">
        <v>4</v>
      </c>
      <c r="K434" t="n">
        <v>1</v>
      </c>
      <c r="L434" t="n">
        <v>0</v>
      </c>
      <c r="M434" t="n">
        <v>0</v>
      </c>
      <c r="N434" t="n">
        <v>0</v>
      </c>
      <c r="O434" t="n">
        <v>5</v>
      </c>
      <c r="P434" t="n">
        <v>1</v>
      </c>
      <c r="Q434" t="n">
        <v>5</v>
      </c>
      <c r="R434" s="2" t="inlineStr">
        <is>
          <t>Knärot
Dvärgbägarlav
Kolflarnlav
Koralltaggsvamp
Tallticka</t>
        </is>
      </c>
      <c r="S434">
        <f>HYPERLINK("https://klasma.github.io/Logging_2283/artfynd/A 59662-2023 artfynd.xlsx", "A 59662-2023")</f>
        <v/>
      </c>
      <c r="T434">
        <f>HYPERLINK("https://klasma.github.io/Logging_2283/kartor/A 59662-2023 karta.png", "A 59662-2023")</f>
        <v/>
      </c>
      <c r="U434">
        <f>HYPERLINK("https://klasma.github.io/Logging_2283/knärot/A 59662-2023 karta knärot.png", "A 59662-2023")</f>
        <v/>
      </c>
      <c r="V434">
        <f>HYPERLINK("https://klasma.github.io/Logging_2283/klagomål/A 59662-2023 FSC-klagomål.docx", "A 59662-2023")</f>
        <v/>
      </c>
      <c r="W434">
        <f>HYPERLINK("https://klasma.github.io/Logging_2283/klagomålsmail/A 59662-2023 FSC-klagomål mail.docx", "A 59662-2023")</f>
        <v/>
      </c>
      <c r="X434">
        <f>HYPERLINK("https://klasma.github.io/Logging_2283/tillsyn/A 59662-2023 tillsynsbegäran.docx", "A 59662-2023")</f>
        <v/>
      </c>
      <c r="Y434">
        <f>HYPERLINK("https://klasma.github.io/Logging_2283/tillsynsmail/A 59662-2023 tillsynsbegäran mail.docx", "A 59662-2023")</f>
        <v/>
      </c>
    </row>
    <row r="435" ht="15" customHeight="1">
      <c r="A435" t="inlineStr">
        <is>
          <t>A 42090-2024</t>
        </is>
      </c>
      <c r="B435" s="1" t="n">
        <v>45562</v>
      </c>
      <c r="C435" s="1" t="n">
        <v>46185</v>
      </c>
      <c r="D435" t="inlineStr">
        <is>
          <t>VÄSTERNORRLANDS LÄN</t>
        </is>
      </c>
      <c r="E435" t="inlineStr">
        <is>
          <t>ÅNGE</t>
        </is>
      </c>
      <c r="F435" t="inlineStr">
        <is>
          <t>SCA</t>
        </is>
      </c>
      <c r="G435" t="n">
        <v>20.2</v>
      </c>
      <c r="H435" t="n">
        <v>0</v>
      </c>
      <c r="I435" t="n">
        <v>1</v>
      </c>
      <c r="J435" t="n">
        <v>4</v>
      </c>
      <c r="K435" t="n">
        <v>0</v>
      </c>
      <c r="L435" t="n">
        <v>0</v>
      </c>
      <c r="M435" t="n">
        <v>0</v>
      </c>
      <c r="N435" t="n">
        <v>0</v>
      </c>
      <c r="O435" t="n">
        <v>4</v>
      </c>
      <c r="P435" t="n">
        <v>0</v>
      </c>
      <c r="Q435" t="n">
        <v>5</v>
      </c>
      <c r="R435" s="2" t="inlineStr">
        <is>
          <t>Garnlav
Granticka
Rosenticka
Ullticka
Vedticka</t>
        </is>
      </c>
      <c r="S435">
        <f>HYPERLINK("https://klasma.github.io/Logging_2260/artfynd/A 42090-2024 artfynd.xlsx", "A 42090-2024")</f>
        <v/>
      </c>
      <c r="T435">
        <f>HYPERLINK("https://klasma.github.io/Logging_2260/kartor/A 42090-2024 karta.png", "A 42090-2024")</f>
        <v/>
      </c>
      <c r="V435">
        <f>HYPERLINK("https://klasma.github.io/Logging_2260/klagomål/A 42090-2024 FSC-klagomål.docx", "A 42090-2024")</f>
        <v/>
      </c>
      <c r="W435">
        <f>HYPERLINK("https://klasma.github.io/Logging_2260/klagomålsmail/A 42090-2024 FSC-klagomål mail.docx", "A 42090-2024")</f>
        <v/>
      </c>
      <c r="X435">
        <f>HYPERLINK("https://klasma.github.io/Logging_2260/tillsyn/A 42090-2024 tillsynsbegäran.docx", "A 42090-2024")</f>
        <v/>
      </c>
      <c r="Y435">
        <f>HYPERLINK("https://klasma.github.io/Logging_2260/tillsynsmail/A 42090-2024 tillsynsbegäran mail.docx", "A 42090-2024")</f>
        <v/>
      </c>
    </row>
    <row r="436" ht="15" customHeight="1">
      <c r="A436" t="inlineStr">
        <is>
          <t>A 15784-2026</t>
        </is>
      </c>
      <c r="B436" s="1" t="n">
        <v>46107.46947916667</v>
      </c>
      <c r="C436" s="1" t="n">
        <v>46185</v>
      </c>
      <c r="D436" t="inlineStr">
        <is>
          <t>VÄSTERNORRLANDS LÄN</t>
        </is>
      </c>
      <c r="E436" t="inlineStr">
        <is>
          <t>ÅNGE</t>
        </is>
      </c>
      <c r="F436" t="inlineStr">
        <is>
          <t>SCA</t>
        </is>
      </c>
      <c r="G436" t="n">
        <v>10.4</v>
      </c>
      <c r="H436" t="n">
        <v>1</v>
      </c>
      <c r="I436" t="n">
        <v>2</v>
      </c>
      <c r="J436" t="n">
        <v>2</v>
      </c>
      <c r="K436" t="n">
        <v>0</v>
      </c>
      <c r="L436" t="n">
        <v>0</v>
      </c>
      <c r="M436" t="n">
        <v>0</v>
      </c>
      <c r="N436" t="n">
        <v>0</v>
      </c>
      <c r="O436" t="n">
        <v>2</v>
      </c>
      <c r="P436" t="n">
        <v>0</v>
      </c>
      <c r="Q436" t="n">
        <v>5</v>
      </c>
      <c r="R436" s="2" t="inlineStr">
        <is>
          <t>Lunglav
Ullticka
Bollvitmossa
Kransrams
Nattviol</t>
        </is>
      </c>
      <c r="S436">
        <f>HYPERLINK("https://klasma.github.io/Logging_2260/artfynd/A 15784-2026 artfynd.xlsx", "A 15784-2026")</f>
        <v/>
      </c>
      <c r="T436">
        <f>HYPERLINK("https://klasma.github.io/Logging_2260/kartor/A 15784-2026 karta.png", "A 15784-2026")</f>
        <v/>
      </c>
      <c r="V436">
        <f>HYPERLINK("https://klasma.github.io/Logging_2260/klagomål/A 15784-2026 FSC-klagomål.docx", "A 15784-2026")</f>
        <v/>
      </c>
      <c r="W436">
        <f>HYPERLINK("https://klasma.github.io/Logging_2260/klagomålsmail/A 15784-2026 FSC-klagomål mail.docx", "A 15784-2026")</f>
        <v/>
      </c>
      <c r="X436">
        <f>HYPERLINK("https://klasma.github.io/Logging_2260/tillsyn/A 15784-2026 tillsynsbegäran.docx", "A 15784-2026")</f>
        <v/>
      </c>
      <c r="Y436">
        <f>HYPERLINK("https://klasma.github.io/Logging_2260/tillsynsmail/A 15784-2026 tillsynsbegäran mail.docx", "A 15784-2026")</f>
        <v/>
      </c>
    </row>
    <row r="437" ht="15" customHeight="1">
      <c r="A437" t="inlineStr">
        <is>
          <t>A 52269-2024</t>
        </is>
      </c>
      <c r="B437" s="1" t="n">
        <v>45608.65660879629</v>
      </c>
      <c r="C437" s="1" t="n">
        <v>46185</v>
      </c>
      <c r="D437" t="inlineStr">
        <is>
          <t>VÄSTERNORRLANDS LÄN</t>
        </is>
      </c>
      <c r="E437" t="inlineStr">
        <is>
          <t>ÅNGE</t>
        </is>
      </c>
      <c r="F437" t="inlineStr">
        <is>
          <t>SCA</t>
        </is>
      </c>
      <c r="G437" t="n">
        <v>5.1</v>
      </c>
      <c r="H437" t="n">
        <v>0</v>
      </c>
      <c r="I437" t="n">
        <v>2</v>
      </c>
      <c r="J437" t="n">
        <v>3</v>
      </c>
      <c r="K437" t="n">
        <v>0</v>
      </c>
      <c r="L437" t="n">
        <v>0</v>
      </c>
      <c r="M437" t="n">
        <v>0</v>
      </c>
      <c r="N437" t="n">
        <v>0</v>
      </c>
      <c r="O437" t="n">
        <v>3</v>
      </c>
      <c r="P437" t="n">
        <v>0</v>
      </c>
      <c r="Q437" t="n">
        <v>5</v>
      </c>
      <c r="R437" s="2" t="inlineStr">
        <is>
          <t>Lunglav
Rosenticka
Ullticka
Bårdlav
Stor aspticka</t>
        </is>
      </c>
      <c r="S437">
        <f>HYPERLINK("https://klasma.github.io/Logging_2260/artfynd/A 52269-2024 artfynd.xlsx", "A 52269-2024")</f>
        <v/>
      </c>
      <c r="T437">
        <f>HYPERLINK("https://klasma.github.io/Logging_2260/kartor/A 52269-2024 karta.png", "A 52269-2024")</f>
        <v/>
      </c>
      <c r="V437">
        <f>HYPERLINK("https://klasma.github.io/Logging_2260/klagomål/A 52269-2024 FSC-klagomål.docx", "A 52269-2024")</f>
        <v/>
      </c>
      <c r="W437">
        <f>HYPERLINK("https://klasma.github.io/Logging_2260/klagomålsmail/A 52269-2024 FSC-klagomål mail.docx", "A 52269-2024")</f>
        <v/>
      </c>
      <c r="X437">
        <f>HYPERLINK("https://klasma.github.io/Logging_2260/tillsyn/A 52269-2024 tillsynsbegäran.docx", "A 52269-2024")</f>
        <v/>
      </c>
      <c r="Y437">
        <f>HYPERLINK("https://klasma.github.io/Logging_2260/tillsynsmail/A 52269-2024 tillsynsbegäran mail.docx", "A 52269-2024")</f>
        <v/>
      </c>
    </row>
    <row r="438" ht="15" customHeight="1">
      <c r="A438" t="inlineStr">
        <is>
          <t>A 32217-2023</t>
        </is>
      </c>
      <c r="B438" s="1" t="n">
        <v>45119</v>
      </c>
      <c r="C438" s="1" t="n">
        <v>46185</v>
      </c>
      <c r="D438" t="inlineStr">
        <is>
          <t>VÄSTERNORRLANDS LÄN</t>
        </is>
      </c>
      <c r="E438" t="inlineStr">
        <is>
          <t>SOLLEFTEÅ</t>
        </is>
      </c>
      <c r="F438" t="inlineStr">
        <is>
          <t>SCA</t>
        </is>
      </c>
      <c r="G438" t="n">
        <v>1.8</v>
      </c>
      <c r="H438" t="n">
        <v>1</v>
      </c>
      <c r="I438" t="n">
        <v>0</v>
      </c>
      <c r="J438" t="n">
        <v>5</v>
      </c>
      <c r="K438" t="n">
        <v>0</v>
      </c>
      <c r="L438" t="n">
        <v>0</v>
      </c>
      <c r="M438" t="n">
        <v>0</v>
      </c>
      <c r="N438" t="n">
        <v>0</v>
      </c>
      <c r="O438" t="n">
        <v>5</v>
      </c>
      <c r="P438" t="n">
        <v>0</v>
      </c>
      <c r="Q438" t="n">
        <v>5</v>
      </c>
      <c r="R438" s="2" t="inlineStr">
        <is>
          <t>Garnlav
Lunglav
Rosenticka
Skogshare
Tretåig hackspett</t>
        </is>
      </c>
      <c r="S438">
        <f>HYPERLINK("https://klasma.github.io/Logging_2283/artfynd/A 32217-2023 artfynd.xlsx", "A 32217-2023")</f>
        <v/>
      </c>
      <c r="T438">
        <f>HYPERLINK("https://klasma.github.io/Logging_2283/kartor/A 32217-2023 karta.png", "A 32217-2023")</f>
        <v/>
      </c>
      <c r="V438">
        <f>HYPERLINK("https://klasma.github.io/Logging_2283/klagomål/A 32217-2023 FSC-klagomål.docx", "A 32217-2023")</f>
        <v/>
      </c>
      <c r="W438">
        <f>HYPERLINK("https://klasma.github.io/Logging_2283/klagomålsmail/A 32217-2023 FSC-klagomål mail.docx", "A 32217-2023")</f>
        <v/>
      </c>
      <c r="X438">
        <f>HYPERLINK("https://klasma.github.io/Logging_2283/tillsyn/A 32217-2023 tillsynsbegäran.docx", "A 32217-2023")</f>
        <v/>
      </c>
      <c r="Y438">
        <f>HYPERLINK("https://klasma.github.io/Logging_2283/tillsynsmail/A 32217-2023 tillsynsbegäran mail.docx", "A 32217-2023")</f>
        <v/>
      </c>
      <c r="Z438">
        <f>HYPERLINK("https://klasma.github.io/Logging_2283/fåglar/A 32217-2023 prioriterade fågelarter.docx", "A 32217-2023")</f>
        <v/>
      </c>
    </row>
    <row r="439" ht="15" customHeight="1">
      <c r="A439" t="inlineStr">
        <is>
          <t>A 48562-2024</t>
        </is>
      </c>
      <c r="B439" s="1" t="n">
        <v>45593.38597222222</v>
      </c>
      <c r="C439" s="1" t="n">
        <v>46185</v>
      </c>
      <c r="D439" t="inlineStr">
        <is>
          <t>VÄSTERNORRLANDS LÄN</t>
        </is>
      </c>
      <c r="E439" t="inlineStr">
        <is>
          <t>SOLLEFTEÅ</t>
        </is>
      </c>
      <c r="F439" t="inlineStr">
        <is>
          <t>SCA</t>
        </is>
      </c>
      <c r="G439" t="n">
        <v>5.3</v>
      </c>
      <c r="H439" t="n">
        <v>1</v>
      </c>
      <c r="I439" t="n">
        <v>1</v>
      </c>
      <c r="J439" t="n">
        <v>4</v>
      </c>
      <c r="K439" t="n">
        <v>0</v>
      </c>
      <c r="L439" t="n">
        <v>0</v>
      </c>
      <c r="M439" t="n">
        <v>0</v>
      </c>
      <c r="N439" t="n">
        <v>0</v>
      </c>
      <c r="O439" t="n">
        <v>4</v>
      </c>
      <c r="P439" t="n">
        <v>0</v>
      </c>
      <c r="Q439" t="n">
        <v>5</v>
      </c>
      <c r="R439" s="2" t="inlineStr">
        <is>
          <t>Gammelgransskål
Garnlav
Lunglav
Vitgrynig nållav
Lappranunkel</t>
        </is>
      </c>
      <c r="S439">
        <f>HYPERLINK("https://klasma.github.io/Logging_2283/artfynd/A 48562-2024 artfynd.xlsx", "A 48562-2024")</f>
        <v/>
      </c>
      <c r="T439">
        <f>HYPERLINK("https://klasma.github.io/Logging_2283/kartor/A 48562-2024 karta.png", "A 48562-2024")</f>
        <v/>
      </c>
      <c r="V439">
        <f>HYPERLINK("https://klasma.github.io/Logging_2283/klagomål/A 48562-2024 FSC-klagomål.docx", "A 48562-2024")</f>
        <v/>
      </c>
      <c r="W439">
        <f>HYPERLINK("https://klasma.github.io/Logging_2283/klagomålsmail/A 48562-2024 FSC-klagomål mail.docx", "A 48562-2024")</f>
        <v/>
      </c>
      <c r="X439">
        <f>HYPERLINK("https://klasma.github.io/Logging_2283/tillsyn/A 48562-2024 tillsynsbegäran.docx", "A 48562-2024")</f>
        <v/>
      </c>
      <c r="Y439">
        <f>HYPERLINK("https://klasma.github.io/Logging_2283/tillsynsmail/A 48562-2024 tillsynsbegäran mail.docx", "A 48562-2024")</f>
        <v/>
      </c>
    </row>
    <row r="440" ht="15" customHeight="1">
      <c r="A440" t="inlineStr">
        <is>
          <t>A 15139-2024</t>
        </is>
      </c>
      <c r="B440" s="1" t="n">
        <v>45399</v>
      </c>
      <c r="C440" s="1" t="n">
        <v>46185</v>
      </c>
      <c r="D440" t="inlineStr">
        <is>
          <t>VÄSTERNORRLANDS LÄN</t>
        </is>
      </c>
      <c r="E440" t="inlineStr">
        <is>
          <t>KRAMFORS</t>
        </is>
      </c>
      <c r="F440" t="inlineStr">
        <is>
          <t>SCA</t>
        </is>
      </c>
      <c r="G440" t="n">
        <v>4.8</v>
      </c>
      <c r="H440" t="n">
        <v>0</v>
      </c>
      <c r="I440" t="n">
        <v>2</v>
      </c>
      <c r="J440" t="n">
        <v>2</v>
      </c>
      <c r="K440" t="n">
        <v>1</v>
      </c>
      <c r="L440" t="n">
        <v>0</v>
      </c>
      <c r="M440" t="n">
        <v>0</v>
      </c>
      <c r="N440" t="n">
        <v>0</v>
      </c>
      <c r="O440" t="n">
        <v>3</v>
      </c>
      <c r="P440" t="n">
        <v>1</v>
      </c>
      <c r="Q440" t="n">
        <v>5</v>
      </c>
      <c r="R440" s="2" t="inlineStr">
        <is>
          <t>Rynkskinn
Rosenticka
Ullticka
Trådticka
Vedticka</t>
        </is>
      </c>
      <c r="S440">
        <f>HYPERLINK("https://klasma.github.io/Logging_2282/artfynd/A 15139-2024 artfynd.xlsx", "A 15139-2024")</f>
        <v/>
      </c>
      <c r="T440">
        <f>HYPERLINK("https://klasma.github.io/Logging_2282/kartor/A 15139-2024 karta.png", "A 15139-2024")</f>
        <v/>
      </c>
      <c r="V440">
        <f>HYPERLINK("https://klasma.github.io/Logging_2282/klagomål/A 15139-2024 FSC-klagomål.docx", "A 15139-2024")</f>
        <v/>
      </c>
      <c r="W440">
        <f>HYPERLINK("https://klasma.github.io/Logging_2282/klagomålsmail/A 15139-2024 FSC-klagomål mail.docx", "A 15139-2024")</f>
        <v/>
      </c>
      <c r="X440">
        <f>HYPERLINK("https://klasma.github.io/Logging_2282/tillsyn/A 15139-2024 tillsynsbegäran.docx", "A 15139-2024")</f>
        <v/>
      </c>
      <c r="Y440">
        <f>HYPERLINK("https://klasma.github.io/Logging_2282/tillsynsmail/A 15139-2024 tillsynsbegäran mail.docx", "A 15139-2024")</f>
        <v/>
      </c>
    </row>
    <row r="441" ht="15" customHeight="1">
      <c r="A441" t="inlineStr">
        <is>
          <t>A 15984-2026</t>
        </is>
      </c>
      <c r="B441" s="1" t="n">
        <v>46108</v>
      </c>
      <c r="C441" s="1" t="n">
        <v>46185</v>
      </c>
      <c r="D441" t="inlineStr">
        <is>
          <t>VÄSTERNORRLANDS LÄN</t>
        </is>
      </c>
      <c r="E441" t="inlineStr">
        <is>
          <t>SOLLEFTEÅ</t>
        </is>
      </c>
      <c r="F441" t="inlineStr">
        <is>
          <t>SCA</t>
        </is>
      </c>
      <c r="G441" t="n">
        <v>4.1</v>
      </c>
      <c r="H441" t="n">
        <v>3</v>
      </c>
      <c r="I441" t="n">
        <v>0</v>
      </c>
      <c r="J441" t="n">
        <v>4</v>
      </c>
      <c r="K441" t="n">
        <v>1</v>
      </c>
      <c r="L441" t="n">
        <v>0</v>
      </c>
      <c r="M441" t="n">
        <v>0</v>
      </c>
      <c r="N441" t="n">
        <v>0</v>
      </c>
      <c r="O441" t="n">
        <v>5</v>
      </c>
      <c r="P441" t="n">
        <v>1</v>
      </c>
      <c r="Q441" t="n">
        <v>5</v>
      </c>
      <c r="R441" s="2" t="inlineStr">
        <is>
          <t>Knärot
Garnlav
Lunglav
Spillkråka
Tretåig hackspett</t>
        </is>
      </c>
      <c r="S441">
        <f>HYPERLINK("https://klasma.github.io/Logging_2283/artfynd/A 15984-2026 artfynd.xlsx", "A 15984-2026")</f>
        <v/>
      </c>
      <c r="T441">
        <f>HYPERLINK("https://klasma.github.io/Logging_2283/kartor/A 15984-2026 karta.png", "A 15984-2026")</f>
        <v/>
      </c>
      <c r="U441">
        <f>HYPERLINK("https://klasma.github.io/Logging_2283/knärot/A 15984-2026 karta knärot.png", "A 15984-2026")</f>
        <v/>
      </c>
      <c r="V441">
        <f>HYPERLINK("https://klasma.github.io/Logging_2283/klagomål/A 15984-2026 FSC-klagomål.docx", "A 15984-2026")</f>
        <v/>
      </c>
      <c r="W441">
        <f>HYPERLINK("https://klasma.github.io/Logging_2283/klagomålsmail/A 15984-2026 FSC-klagomål mail.docx", "A 15984-2026")</f>
        <v/>
      </c>
      <c r="X441">
        <f>HYPERLINK("https://klasma.github.io/Logging_2283/tillsyn/A 15984-2026 tillsynsbegäran.docx", "A 15984-2026")</f>
        <v/>
      </c>
      <c r="Y441">
        <f>HYPERLINK("https://klasma.github.io/Logging_2283/tillsynsmail/A 15984-2026 tillsynsbegäran mail.docx", "A 15984-2026")</f>
        <v/>
      </c>
      <c r="Z441">
        <f>HYPERLINK("https://klasma.github.io/Logging_2283/fåglar/A 15984-2026 prioriterade fågelarter.docx", "A 15984-2026")</f>
        <v/>
      </c>
    </row>
    <row r="442" ht="15" customHeight="1">
      <c r="A442" t="inlineStr">
        <is>
          <t>A 15971-2026</t>
        </is>
      </c>
      <c r="B442" s="1" t="n">
        <v>46108</v>
      </c>
      <c r="C442" s="1" t="n">
        <v>46185</v>
      </c>
      <c r="D442" t="inlineStr">
        <is>
          <t>VÄSTERNORRLANDS LÄN</t>
        </is>
      </c>
      <c r="E442" t="inlineStr">
        <is>
          <t>SOLLEFTEÅ</t>
        </is>
      </c>
      <c r="F442" t="inlineStr">
        <is>
          <t>SCA</t>
        </is>
      </c>
      <c r="G442" t="n">
        <v>10.1</v>
      </c>
      <c r="H442" t="n">
        <v>2</v>
      </c>
      <c r="I442" t="n">
        <v>0</v>
      </c>
      <c r="J442" t="n">
        <v>4</v>
      </c>
      <c r="K442" t="n">
        <v>1</v>
      </c>
      <c r="L442" t="n">
        <v>0</v>
      </c>
      <c r="M442" t="n">
        <v>0</v>
      </c>
      <c r="N442" t="n">
        <v>0</v>
      </c>
      <c r="O442" t="n">
        <v>5</v>
      </c>
      <c r="P442" t="n">
        <v>1</v>
      </c>
      <c r="Q442" t="n">
        <v>5</v>
      </c>
      <c r="R442" s="2" t="inlineStr">
        <is>
          <t>Knärot
Garnlav
Lunglav
Tretåig hackspett
Ullticka</t>
        </is>
      </c>
      <c r="S442">
        <f>HYPERLINK("https://klasma.github.io/Logging_2283/artfynd/A 15971-2026 artfynd.xlsx", "A 15971-2026")</f>
        <v/>
      </c>
      <c r="T442">
        <f>HYPERLINK("https://klasma.github.io/Logging_2283/kartor/A 15971-2026 karta.png", "A 15971-2026")</f>
        <v/>
      </c>
      <c r="U442">
        <f>HYPERLINK("https://klasma.github.io/Logging_2283/knärot/A 15971-2026 karta knärot.png", "A 15971-2026")</f>
        <v/>
      </c>
      <c r="V442">
        <f>HYPERLINK("https://klasma.github.io/Logging_2283/klagomål/A 15971-2026 FSC-klagomål.docx", "A 15971-2026")</f>
        <v/>
      </c>
      <c r="W442">
        <f>HYPERLINK("https://klasma.github.io/Logging_2283/klagomålsmail/A 15971-2026 FSC-klagomål mail.docx", "A 15971-2026")</f>
        <v/>
      </c>
      <c r="X442">
        <f>HYPERLINK("https://klasma.github.io/Logging_2283/tillsyn/A 15971-2026 tillsynsbegäran.docx", "A 15971-2026")</f>
        <v/>
      </c>
      <c r="Y442">
        <f>HYPERLINK("https://klasma.github.io/Logging_2283/tillsynsmail/A 15971-2026 tillsynsbegäran mail.docx", "A 15971-2026")</f>
        <v/>
      </c>
      <c r="Z442">
        <f>HYPERLINK("https://klasma.github.io/Logging_2283/fåglar/A 15971-2026 prioriterade fågelarter.docx", "A 15971-2026")</f>
        <v/>
      </c>
    </row>
    <row r="443" ht="15" customHeight="1">
      <c r="A443" t="inlineStr">
        <is>
          <t>A 17770-2026</t>
        </is>
      </c>
      <c r="B443" s="1" t="n">
        <v>46122.36533564814</v>
      </c>
      <c r="C443" s="1" t="n">
        <v>46185</v>
      </c>
      <c r="D443" t="inlineStr">
        <is>
          <t>VÄSTERNORRLANDS LÄN</t>
        </is>
      </c>
      <c r="E443" t="inlineStr">
        <is>
          <t>SOLLEFTEÅ</t>
        </is>
      </c>
      <c r="F443" t="inlineStr">
        <is>
          <t>SCA</t>
        </is>
      </c>
      <c r="G443" t="n">
        <v>9.699999999999999</v>
      </c>
      <c r="H443" t="n">
        <v>3</v>
      </c>
      <c r="I443" t="n">
        <v>0</v>
      </c>
      <c r="J443" t="n">
        <v>5</v>
      </c>
      <c r="K443" t="n">
        <v>0</v>
      </c>
      <c r="L443" t="n">
        <v>0</v>
      </c>
      <c r="M443" t="n">
        <v>0</v>
      </c>
      <c r="N443" t="n">
        <v>0</v>
      </c>
      <c r="O443" t="n">
        <v>5</v>
      </c>
      <c r="P443" t="n">
        <v>0</v>
      </c>
      <c r="Q443" t="n">
        <v>5</v>
      </c>
      <c r="R443" s="2" t="inlineStr">
        <is>
          <t>Garnlav
Rosenticka
Spillkråka
Talltita
Tretåig hackspett</t>
        </is>
      </c>
      <c r="S443">
        <f>HYPERLINK("https://klasma.github.io/Logging_2283/artfynd/A 17770-2026 artfynd.xlsx", "A 17770-2026")</f>
        <v/>
      </c>
      <c r="T443">
        <f>HYPERLINK("https://klasma.github.io/Logging_2283/kartor/A 17770-2026 karta.png", "A 17770-2026")</f>
        <v/>
      </c>
      <c r="V443">
        <f>HYPERLINK("https://klasma.github.io/Logging_2283/klagomål/A 17770-2026 FSC-klagomål.docx", "A 17770-2026")</f>
        <v/>
      </c>
      <c r="W443">
        <f>HYPERLINK("https://klasma.github.io/Logging_2283/klagomålsmail/A 17770-2026 FSC-klagomål mail.docx", "A 17770-2026")</f>
        <v/>
      </c>
      <c r="X443">
        <f>HYPERLINK("https://klasma.github.io/Logging_2283/tillsyn/A 17770-2026 tillsynsbegäran.docx", "A 17770-2026")</f>
        <v/>
      </c>
      <c r="Y443">
        <f>HYPERLINK("https://klasma.github.io/Logging_2283/tillsynsmail/A 17770-2026 tillsynsbegäran mail.docx", "A 17770-2026")</f>
        <v/>
      </c>
      <c r="Z443">
        <f>HYPERLINK("https://klasma.github.io/Logging_2283/fåglar/A 17770-2026 prioriterade fågelarter.docx", "A 17770-2026")</f>
        <v/>
      </c>
    </row>
    <row r="444" ht="15" customHeight="1">
      <c r="A444" t="inlineStr">
        <is>
          <t>A 17666-2026</t>
        </is>
      </c>
      <c r="B444" s="1" t="n">
        <v>46120</v>
      </c>
      <c r="C444" s="1" t="n">
        <v>46185</v>
      </c>
      <c r="D444" t="inlineStr">
        <is>
          <t>VÄSTERNORRLANDS LÄN</t>
        </is>
      </c>
      <c r="E444" t="inlineStr">
        <is>
          <t>TIMRÅ</t>
        </is>
      </c>
      <c r="G444" t="n">
        <v>7.4</v>
      </c>
      <c r="H444" t="n">
        <v>1</v>
      </c>
      <c r="I444" t="n">
        <v>0</v>
      </c>
      <c r="J444" t="n">
        <v>3</v>
      </c>
      <c r="K444" t="n">
        <v>2</v>
      </c>
      <c r="L444" t="n">
        <v>0</v>
      </c>
      <c r="M444" t="n">
        <v>0</v>
      </c>
      <c r="N444" t="n">
        <v>0</v>
      </c>
      <c r="O444" t="n">
        <v>5</v>
      </c>
      <c r="P444" t="n">
        <v>2</v>
      </c>
      <c r="Q444" t="n">
        <v>5</v>
      </c>
      <c r="R444" s="2" t="inlineStr">
        <is>
          <t>Bergviol
Sanddraba
Desmeknopp
Sandviol
Skuggviol</t>
        </is>
      </c>
      <c r="S444">
        <f>HYPERLINK("https://klasma.github.io/Logging_2262/artfynd/A 17666-2026 artfynd.xlsx", "A 17666-2026")</f>
        <v/>
      </c>
      <c r="T444">
        <f>HYPERLINK("https://klasma.github.io/Logging_2262/kartor/A 17666-2026 karta.png", "A 17666-2026")</f>
        <v/>
      </c>
      <c r="V444">
        <f>HYPERLINK("https://klasma.github.io/Logging_2262/klagomål/A 17666-2026 FSC-klagomål.docx", "A 17666-2026")</f>
        <v/>
      </c>
      <c r="W444">
        <f>HYPERLINK("https://klasma.github.io/Logging_2262/klagomålsmail/A 17666-2026 FSC-klagomål mail.docx", "A 17666-2026")</f>
        <v/>
      </c>
      <c r="X444">
        <f>HYPERLINK("https://klasma.github.io/Logging_2262/tillsyn/A 17666-2026 tillsynsbegäran.docx", "A 17666-2026")</f>
        <v/>
      </c>
      <c r="Y444">
        <f>HYPERLINK("https://klasma.github.io/Logging_2262/tillsynsmail/A 17666-2026 tillsynsbegäran mail.docx", "A 17666-2026")</f>
        <v/>
      </c>
    </row>
    <row r="445" ht="15" customHeight="1">
      <c r="A445" t="inlineStr">
        <is>
          <t>A 16314-2025</t>
        </is>
      </c>
      <c r="B445" s="1" t="n">
        <v>45751.34763888889</v>
      </c>
      <c r="C445" s="1" t="n">
        <v>46185</v>
      </c>
      <c r="D445" t="inlineStr">
        <is>
          <t>VÄSTERNORRLANDS LÄN</t>
        </is>
      </c>
      <c r="E445" t="inlineStr">
        <is>
          <t>SOLLEFTEÅ</t>
        </is>
      </c>
      <c r="F445" t="inlineStr">
        <is>
          <t>SCA</t>
        </is>
      </c>
      <c r="G445" t="n">
        <v>2.7</v>
      </c>
      <c r="H445" t="n">
        <v>0</v>
      </c>
      <c r="I445" t="n">
        <v>0</v>
      </c>
      <c r="J445" t="n">
        <v>5</v>
      </c>
      <c r="K445" t="n">
        <v>0</v>
      </c>
      <c r="L445" t="n">
        <v>0</v>
      </c>
      <c r="M445" t="n">
        <v>0</v>
      </c>
      <c r="N445" t="n">
        <v>0</v>
      </c>
      <c r="O445" t="n">
        <v>5</v>
      </c>
      <c r="P445" t="n">
        <v>0</v>
      </c>
      <c r="Q445" t="n">
        <v>5</v>
      </c>
      <c r="R445" s="2" t="inlineStr">
        <is>
          <t>Gammelgransskål
Garnlav
Lunglav
Rosenticka
Ullticka</t>
        </is>
      </c>
      <c r="S445">
        <f>HYPERLINK("https://klasma.github.io/Logging_2283/artfynd/A 16314-2025 artfynd.xlsx", "A 16314-2025")</f>
        <v/>
      </c>
      <c r="T445">
        <f>HYPERLINK("https://klasma.github.io/Logging_2283/kartor/A 16314-2025 karta.png", "A 16314-2025")</f>
        <v/>
      </c>
      <c r="V445">
        <f>HYPERLINK("https://klasma.github.io/Logging_2283/klagomål/A 16314-2025 FSC-klagomål.docx", "A 16314-2025")</f>
        <v/>
      </c>
      <c r="W445">
        <f>HYPERLINK("https://klasma.github.io/Logging_2283/klagomålsmail/A 16314-2025 FSC-klagomål mail.docx", "A 16314-2025")</f>
        <v/>
      </c>
      <c r="X445">
        <f>HYPERLINK("https://klasma.github.io/Logging_2283/tillsyn/A 16314-2025 tillsynsbegäran.docx", "A 16314-2025")</f>
        <v/>
      </c>
      <c r="Y445">
        <f>HYPERLINK("https://klasma.github.io/Logging_2283/tillsynsmail/A 16314-2025 tillsynsbegäran mail.docx", "A 16314-2025")</f>
        <v/>
      </c>
    </row>
    <row r="446" ht="15" customHeight="1">
      <c r="A446" t="inlineStr">
        <is>
          <t>A 3598-2026</t>
        </is>
      </c>
      <c r="B446" s="1" t="n">
        <v>46042</v>
      </c>
      <c r="C446" s="1" t="n">
        <v>46185</v>
      </c>
      <c r="D446" t="inlineStr">
        <is>
          <t>VÄSTERNORRLANDS LÄN</t>
        </is>
      </c>
      <c r="E446" t="inlineStr">
        <is>
          <t>SUNDSVALL</t>
        </is>
      </c>
      <c r="G446" t="n">
        <v>6.8</v>
      </c>
      <c r="H446" t="n">
        <v>2</v>
      </c>
      <c r="I446" t="n">
        <v>1</v>
      </c>
      <c r="J446" t="n">
        <v>4</v>
      </c>
      <c r="K446" t="n">
        <v>0</v>
      </c>
      <c r="L446" t="n">
        <v>0</v>
      </c>
      <c r="M446" t="n">
        <v>0</v>
      </c>
      <c r="N446" t="n">
        <v>0</v>
      </c>
      <c r="O446" t="n">
        <v>4</v>
      </c>
      <c r="P446" t="n">
        <v>0</v>
      </c>
      <c r="Q446" t="n">
        <v>5</v>
      </c>
      <c r="R446" s="2" t="inlineStr">
        <is>
          <t>Garnlav
Lunglav
Talltita
Tretåig hackspett
Kattfotslav</t>
        </is>
      </c>
      <c r="S446">
        <f>HYPERLINK("https://klasma.github.io/Logging_2281/artfynd/A 3598-2026 artfynd.xlsx", "A 3598-2026")</f>
        <v/>
      </c>
      <c r="T446">
        <f>HYPERLINK("https://klasma.github.io/Logging_2281/kartor/A 3598-2026 karta.png", "A 3598-2026")</f>
        <v/>
      </c>
      <c r="V446">
        <f>HYPERLINK("https://klasma.github.io/Logging_2281/klagomål/A 3598-2026 FSC-klagomål.docx", "A 3598-2026")</f>
        <v/>
      </c>
      <c r="W446">
        <f>HYPERLINK("https://klasma.github.io/Logging_2281/klagomålsmail/A 3598-2026 FSC-klagomål mail.docx", "A 3598-2026")</f>
        <v/>
      </c>
      <c r="X446">
        <f>HYPERLINK("https://klasma.github.io/Logging_2281/tillsyn/A 3598-2026 tillsynsbegäran.docx", "A 3598-2026")</f>
        <v/>
      </c>
      <c r="Y446">
        <f>HYPERLINK("https://klasma.github.io/Logging_2281/tillsynsmail/A 3598-2026 tillsynsbegäran mail.docx", "A 3598-2026")</f>
        <v/>
      </c>
      <c r="Z446">
        <f>HYPERLINK("https://klasma.github.io/Logging_2281/fåglar/A 3598-2026 prioriterade fågelarter.docx", "A 3598-2026")</f>
        <v/>
      </c>
    </row>
    <row r="447" ht="15" customHeight="1">
      <c r="A447" t="inlineStr">
        <is>
          <t>A 4865-2025</t>
        </is>
      </c>
      <c r="B447" s="1" t="n">
        <v>45688.67528935185</v>
      </c>
      <c r="C447" s="1" t="n">
        <v>46185</v>
      </c>
      <c r="D447" t="inlineStr">
        <is>
          <t>VÄSTERNORRLANDS LÄN</t>
        </is>
      </c>
      <c r="E447" t="inlineStr">
        <is>
          <t>SUNDSVALL</t>
        </is>
      </c>
      <c r="F447" t="inlineStr">
        <is>
          <t>SCA</t>
        </is>
      </c>
      <c r="G447" t="n">
        <v>7.3</v>
      </c>
      <c r="H447" t="n">
        <v>4</v>
      </c>
      <c r="I447" t="n">
        <v>1</v>
      </c>
      <c r="J447" t="n">
        <v>3</v>
      </c>
      <c r="K447" t="n">
        <v>0</v>
      </c>
      <c r="L447" t="n">
        <v>0</v>
      </c>
      <c r="M447" t="n">
        <v>0</v>
      </c>
      <c r="N447" t="n">
        <v>0</v>
      </c>
      <c r="O447" t="n">
        <v>3</v>
      </c>
      <c r="P447" t="n">
        <v>0</v>
      </c>
      <c r="Q447" t="n">
        <v>5</v>
      </c>
      <c r="R447" s="2" t="inlineStr">
        <is>
          <t>Järpe
Lunglav
Tretåig hackspett
Spindelblomster
Tjäder</t>
        </is>
      </c>
      <c r="S447">
        <f>HYPERLINK("https://klasma.github.io/Logging_2281/artfynd/A 4865-2025 artfynd.xlsx", "A 4865-2025")</f>
        <v/>
      </c>
      <c r="T447">
        <f>HYPERLINK("https://klasma.github.io/Logging_2281/kartor/A 4865-2025 karta.png", "A 4865-2025")</f>
        <v/>
      </c>
      <c r="U447">
        <f>HYPERLINK("https://klasma.github.io/Logging_2281/knärot/A 4865-2025 karta knärot.png", "A 4865-2025")</f>
        <v/>
      </c>
      <c r="V447">
        <f>HYPERLINK("https://klasma.github.io/Logging_2281/klagomål/A 4865-2025 FSC-klagomål.docx", "A 4865-2025")</f>
        <v/>
      </c>
      <c r="W447">
        <f>HYPERLINK("https://klasma.github.io/Logging_2281/klagomålsmail/A 4865-2025 FSC-klagomål mail.docx", "A 4865-2025")</f>
        <v/>
      </c>
      <c r="X447">
        <f>HYPERLINK("https://klasma.github.io/Logging_2281/tillsyn/A 4865-2025 tillsynsbegäran.docx", "A 4865-2025")</f>
        <v/>
      </c>
      <c r="Y447">
        <f>HYPERLINK("https://klasma.github.io/Logging_2281/tillsynsmail/A 4865-2025 tillsynsbegäran mail.docx", "A 4865-2025")</f>
        <v/>
      </c>
      <c r="Z447">
        <f>HYPERLINK("https://klasma.github.io/Logging_2281/fåglar/A 4865-2025 prioriterade fågelarter.docx", "A 4865-2025")</f>
        <v/>
      </c>
    </row>
    <row r="448" ht="15" customHeight="1">
      <c r="A448" t="inlineStr">
        <is>
          <t>A 54192-2025</t>
        </is>
      </c>
      <c r="B448" s="1" t="n">
        <v>45964.57350694444</v>
      </c>
      <c r="C448" s="1" t="n">
        <v>46185</v>
      </c>
      <c r="D448" t="inlineStr">
        <is>
          <t>VÄSTERNORRLANDS LÄN</t>
        </is>
      </c>
      <c r="E448" t="inlineStr">
        <is>
          <t>SOLLEFTEÅ</t>
        </is>
      </c>
      <c r="F448" t="inlineStr">
        <is>
          <t>SCA</t>
        </is>
      </c>
      <c r="G448" t="n">
        <v>3.2</v>
      </c>
      <c r="H448" t="n">
        <v>2</v>
      </c>
      <c r="I448" t="n">
        <v>0</v>
      </c>
      <c r="J448" t="n">
        <v>3</v>
      </c>
      <c r="K448" t="n">
        <v>1</v>
      </c>
      <c r="L448" t="n">
        <v>0</v>
      </c>
      <c r="M448" t="n">
        <v>0</v>
      </c>
      <c r="N448" t="n">
        <v>0</v>
      </c>
      <c r="O448" t="n">
        <v>4</v>
      </c>
      <c r="P448" t="n">
        <v>1</v>
      </c>
      <c r="Q448" t="n">
        <v>5</v>
      </c>
      <c r="R448" s="2" t="inlineStr">
        <is>
          <t>Knärot
Garnlav
Kolflarnlav
Lunglav
Tjäder</t>
        </is>
      </c>
      <c r="S448">
        <f>HYPERLINK("https://klasma.github.io/Logging_2283/artfynd/A 54192-2025 artfynd.xlsx", "A 54192-2025")</f>
        <v/>
      </c>
      <c r="T448">
        <f>HYPERLINK("https://klasma.github.io/Logging_2283/kartor/A 54192-2025 karta.png", "A 54192-2025")</f>
        <v/>
      </c>
      <c r="U448">
        <f>HYPERLINK("https://klasma.github.io/Logging_2283/knärot/A 54192-2025 karta knärot.png", "A 54192-2025")</f>
        <v/>
      </c>
      <c r="V448">
        <f>HYPERLINK("https://klasma.github.io/Logging_2283/klagomål/A 54192-2025 FSC-klagomål.docx", "A 54192-2025")</f>
        <v/>
      </c>
      <c r="W448">
        <f>HYPERLINK("https://klasma.github.io/Logging_2283/klagomålsmail/A 54192-2025 FSC-klagomål mail.docx", "A 54192-2025")</f>
        <v/>
      </c>
      <c r="X448">
        <f>HYPERLINK("https://klasma.github.io/Logging_2283/tillsyn/A 54192-2025 tillsynsbegäran.docx", "A 54192-2025")</f>
        <v/>
      </c>
      <c r="Y448">
        <f>HYPERLINK("https://klasma.github.io/Logging_2283/tillsynsmail/A 54192-2025 tillsynsbegäran mail.docx", "A 54192-2025")</f>
        <v/>
      </c>
      <c r="Z448">
        <f>HYPERLINK("https://klasma.github.io/Logging_2283/fåglar/A 54192-2025 prioriterade fågelarter.docx", "A 54192-2025")</f>
        <v/>
      </c>
    </row>
    <row r="449" ht="15" customHeight="1">
      <c r="A449" t="inlineStr">
        <is>
          <t>A 39815-2023</t>
        </is>
      </c>
      <c r="B449" s="1" t="n">
        <v>45167</v>
      </c>
      <c r="C449" s="1" t="n">
        <v>46185</v>
      </c>
      <c r="D449" t="inlineStr">
        <is>
          <t>VÄSTERNORRLANDS LÄN</t>
        </is>
      </c>
      <c r="E449" t="inlineStr">
        <is>
          <t>TIMRÅ</t>
        </is>
      </c>
      <c r="F449" t="inlineStr">
        <is>
          <t>SCA</t>
        </is>
      </c>
      <c r="G449" t="n">
        <v>2.3</v>
      </c>
      <c r="H449" t="n">
        <v>0</v>
      </c>
      <c r="I449" t="n">
        <v>1</v>
      </c>
      <c r="J449" t="n">
        <v>4</v>
      </c>
      <c r="K449" t="n">
        <v>0</v>
      </c>
      <c r="L449" t="n">
        <v>0</v>
      </c>
      <c r="M449" t="n">
        <v>0</v>
      </c>
      <c r="N449" t="n">
        <v>0</v>
      </c>
      <c r="O449" t="n">
        <v>4</v>
      </c>
      <c r="P449" t="n">
        <v>0</v>
      </c>
      <c r="Q449" t="n">
        <v>5</v>
      </c>
      <c r="R449" s="2" t="inlineStr">
        <is>
          <t>Garnlav
Kortskaftad ärgspik
Vedflamlav
Vedskivlav
Dropptaggsvamp</t>
        </is>
      </c>
      <c r="S449">
        <f>HYPERLINK("https://klasma.github.io/Logging_2262/artfynd/A 39815-2023 artfynd.xlsx", "A 39815-2023")</f>
        <v/>
      </c>
      <c r="T449">
        <f>HYPERLINK("https://klasma.github.io/Logging_2262/kartor/A 39815-2023 karta.png", "A 39815-2023")</f>
        <v/>
      </c>
      <c r="V449">
        <f>HYPERLINK("https://klasma.github.io/Logging_2262/klagomål/A 39815-2023 FSC-klagomål.docx", "A 39815-2023")</f>
        <v/>
      </c>
      <c r="W449">
        <f>HYPERLINK("https://klasma.github.io/Logging_2262/klagomålsmail/A 39815-2023 FSC-klagomål mail.docx", "A 39815-2023")</f>
        <v/>
      </c>
      <c r="X449">
        <f>HYPERLINK("https://klasma.github.io/Logging_2262/tillsyn/A 39815-2023 tillsynsbegäran.docx", "A 39815-2023")</f>
        <v/>
      </c>
      <c r="Y449">
        <f>HYPERLINK("https://klasma.github.io/Logging_2262/tillsynsmail/A 39815-2023 tillsynsbegäran mail.docx", "A 39815-2023")</f>
        <v/>
      </c>
    </row>
    <row r="450" ht="15" customHeight="1">
      <c r="A450" t="inlineStr">
        <is>
          <t>A 55004-2023</t>
        </is>
      </c>
      <c r="B450" s="1" t="n">
        <v>45236</v>
      </c>
      <c r="C450" s="1" t="n">
        <v>46185</v>
      </c>
      <c r="D450" t="inlineStr">
        <is>
          <t>VÄSTERNORRLANDS LÄN</t>
        </is>
      </c>
      <c r="E450" t="inlineStr">
        <is>
          <t>ÅNGE</t>
        </is>
      </c>
      <c r="F450" t="inlineStr">
        <is>
          <t>SCA</t>
        </is>
      </c>
      <c r="G450" t="n">
        <v>3.7</v>
      </c>
      <c r="H450" t="n">
        <v>2</v>
      </c>
      <c r="I450" t="n">
        <v>3</v>
      </c>
      <c r="J450" t="n">
        <v>1</v>
      </c>
      <c r="K450" t="n">
        <v>0</v>
      </c>
      <c r="L450" t="n">
        <v>0</v>
      </c>
      <c r="M450" t="n">
        <v>0</v>
      </c>
      <c r="N450" t="n">
        <v>0</v>
      </c>
      <c r="O450" t="n">
        <v>1</v>
      </c>
      <c r="P450" t="n">
        <v>0</v>
      </c>
      <c r="Q450" t="n">
        <v>5</v>
      </c>
      <c r="R450" s="2" t="inlineStr">
        <is>
          <t>Storgröe
Kransrams
Spädstarr
Tvåblad
Fläcknycklar</t>
        </is>
      </c>
      <c r="S450">
        <f>HYPERLINK("https://klasma.github.io/Logging_2260/artfynd/A 55004-2023 artfynd.xlsx", "A 55004-2023")</f>
        <v/>
      </c>
      <c r="T450">
        <f>HYPERLINK("https://klasma.github.io/Logging_2260/kartor/A 55004-2023 karta.png", "A 55004-2023")</f>
        <v/>
      </c>
      <c r="V450">
        <f>HYPERLINK("https://klasma.github.io/Logging_2260/klagomål/A 55004-2023 FSC-klagomål.docx", "A 55004-2023")</f>
        <v/>
      </c>
      <c r="W450">
        <f>HYPERLINK("https://klasma.github.io/Logging_2260/klagomålsmail/A 55004-2023 FSC-klagomål mail.docx", "A 55004-2023")</f>
        <v/>
      </c>
      <c r="X450">
        <f>HYPERLINK("https://klasma.github.io/Logging_2260/tillsyn/A 55004-2023 tillsynsbegäran.docx", "A 55004-2023")</f>
        <v/>
      </c>
      <c r="Y450">
        <f>HYPERLINK("https://klasma.github.io/Logging_2260/tillsynsmail/A 55004-2023 tillsynsbegäran mail.docx", "A 55004-2023")</f>
        <v/>
      </c>
    </row>
    <row r="451" ht="15" customHeight="1">
      <c r="A451" t="inlineStr">
        <is>
          <t>A 3544-2024</t>
        </is>
      </c>
      <c r="B451" s="1" t="n">
        <v>45320</v>
      </c>
      <c r="C451" s="1" t="n">
        <v>46185</v>
      </c>
      <c r="D451" t="inlineStr">
        <is>
          <t>VÄSTERNORRLANDS LÄN</t>
        </is>
      </c>
      <c r="E451" t="inlineStr">
        <is>
          <t>ÖRNSKÖLDSVIK</t>
        </is>
      </c>
      <c r="F451" t="inlineStr">
        <is>
          <t>Holmen skog AB</t>
        </is>
      </c>
      <c r="G451" t="n">
        <v>7.3</v>
      </c>
      <c r="H451" t="n">
        <v>0</v>
      </c>
      <c r="I451" t="n">
        <v>1</v>
      </c>
      <c r="J451" t="n">
        <v>3</v>
      </c>
      <c r="K451" t="n">
        <v>1</v>
      </c>
      <c r="L451" t="n">
        <v>0</v>
      </c>
      <c r="M451" t="n">
        <v>0</v>
      </c>
      <c r="N451" t="n">
        <v>0</v>
      </c>
      <c r="O451" t="n">
        <v>4</v>
      </c>
      <c r="P451" t="n">
        <v>1</v>
      </c>
      <c r="Q451" t="n">
        <v>5</v>
      </c>
      <c r="R451" s="2" t="inlineStr">
        <is>
          <t>Gräddporing
Doftskinn
Garnlav
Reliktbock
Grovticka</t>
        </is>
      </c>
      <c r="S451">
        <f>HYPERLINK("https://klasma.github.io/Logging_2284/artfynd/A 3544-2024 artfynd.xlsx", "A 3544-2024")</f>
        <v/>
      </c>
      <c r="T451">
        <f>HYPERLINK("https://klasma.github.io/Logging_2284/kartor/A 3544-2024 karta.png", "A 3544-2024")</f>
        <v/>
      </c>
      <c r="V451">
        <f>HYPERLINK("https://klasma.github.io/Logging_2284/klagomål/A 3544-2024 FSC-klagomål.docx", "A 3544-2024")</f>
        <v/>
      </c>
      <c r="W451">
        <f>HYPERLINK("https://klasma.github.io/Logging_2284/klagomålsmail/A 3544-2024 FSC-klagomål mail.docx", "A 3544-2024")</f>
        <v/>
      </c>
      <c r="X451">
        <f>HYPERLINK("https://klasma.github.io/Logging_2284/tillsyn/A 3544-2024 tillsynsbegäran.docx", "A 3544-2024")</f>
        <v/>
      </c>
      <c r="Y451">
        <f>HYPERLINK("https://klasma.github.io/Logging_2284/tillsynsmail/A 3544-2024 tillsynsbegäran mail.docx", "A 3544-2024")</f>
        <v/>
      </c>
    </row>
    <row r="452" ht="15" customHeight="1">
      <c r="A452" t="inlineStr">
        <is>
          <t>A 11547-2025</t>
        </is>
      </c>
      <c r="B452" s="1" t="n">
        <v>45727.34447916667</v>
      </c>
      <c r="C452" s="1" t="n">
        <v>46185</v>
      </c>
      <c r="D452" t="inlineStr">
        <is>
          <t>VÄSTERNORRLANDS LÄN</t>
        </is>
      </c>
      <c r="E452" t="inlineStr">
        <is>
          <t>SOLLEFTEÅ</t>
        </is>
      </c>
      <c r="F452" t="inlineStr">
        <is>
          <t>SCA</t>
        </is>
      </c>
      <c r="G452" t="n">
        <v>2.9</v>
      </c>
      <c r="H452" t="n">
        <v>2</v>
      </c>
      <c r="I452" t="n">
        <v>0</v>
      </c>
      <c r="J452" t="n">
        <v>5</v>
      </c>
      <c r="K452" t="n">
        <v>0</v>
      </c>
      <c r="L452" t="n">
        <v>0</v>
      </c>
      <c r="M452" t="n">
        <v>0</v>
      </c>
      <c r="N452" t="n">
        <v>0</v>
      </c>
      <c r="O452" t="n">
        <v>5</v>
      </c>
      <c r="P452" t="n">
        <v>0</v>
      </c>
      <c r="Q452" t="n">
        <v>5</v>
      </c>
      <c r="R452" s="2" t="inlineStr">
        <is>
          <t>Garnlav
Järpe
Lunglav
Tretåig hackspett
Ullticka</t>
        </is>
      </c>
      <c r="S452">
        <f>HYPERLINK("https://klasma.github.io/Logging_2283/artfynd/A 11547-2025 artfynd.xlsx", "A 11547-2025")</f>
        <v/>
      </c>
      <c r="T452">
        <f>HYPERLINK("https://klasma.github.io/Logging_2283/kartor/A 11547-2025 karta.png", "A 11547-2025")</f>
        <v/>
      </c>
      <c r="V452">
        <f>HYPERLINK("https://klasma.github.io/Logging_2283/klagomål/A 11547-2025 FSC-klagomål.docx", "A 11547-2025")</f>
        <v/>
      </c>
      <c r="W452">
        <f>HYPERLINK("https://klasma.github.io/Logging_2283/klagomålsmail/A 11547-2025 FSC-klagomål mail.docx", "A 11547-2025")</f>
        <v/>
      </c>
      <c r="X452">
        <f>HYPERLINK("https://klasma.github.io/Logging_2283/tillsyn/A 11547-2025 tillsynsbegäran.docx", "A 11547-2025")</f>
        <v/>
      </c>
      <c r="Y452">
        <f>HYPERLINK("https://klasma.github.io/Logging_2283/tillsynsmail/A 11547-2025 tillsynsbegäran mail.docx", "A 11547-2025")</f>
        <v/>
      </c>
      <c r="Z452">
        <f>HYPERLINK("https://klasma.github.io/Logging_2283/fåglar/A 11547-2025 prioriterade fågelarter.docx", "A 11547-2025")</f>
        <v/>
      </c>
    </row>
    <row r="453" ht="15" customHeight="1">
      <c r="A453" t="inlineStr">
        <is>
          <t>A 11288-2024</t>
        </is>
      </c>
      <c r="B453" s="1" t="n">
        <v>45371</v>
      </c>
      <c r="C453" s="1" t="n">
        <v>46185</v>
      </c>
      <c r="D453" t="inlineStr">
        <is>
          <t>VÄSTERNORRLANDS LÄN</t>
        </is>
      </c>
      <c r="E453" t="inlineStr">
        <is>
          <t>TIMRÅ</t>
        </is>
      </c>
      <c r="G453" t="n">
        <v>2.4</v>
      </c>
      <c r="H453" t="n">
        <v>3</v>
      </c>
      <c r="I453" t="n">
        <v>2</v>
      </c>
      <c r="J453" t="n">
        <v>1</v>
      </c>
      <c r="K453" t="n">
        <v>0</v>
      </c>
      <c r="L453" t="n">
        <v>0</v>
      </c>
      <c r="M453" t="n">
        <v>0</v>
      </c>
      <c r="N453" t="n">
        <v>0</v>
      </c>
      <c r="O453" t="n">
        <v>1</v>
      </c>
      <c r="P453" t="n">
        <v>0</v>
      </c>
      <c r="Q453" t="n">
        <v>5</v>
      </c>
      <c r="R453" s="2" t="inlineStr">
        <is>
          <t>Spillkråka
Skinnlav
Stor aspticka
Gråspett
Skogsduva</t>
        </is>
      </c>
      <c r="S453">
        <f>HYPERLINK("https://klasma.github.io/Logging_2262/artfynd/A 11288-2024 artfynd.xlsx", "A 11288-2024")</f>
        <v/>
      </c>
      <c r="T453">
        <f>HYPERLINK("https://klasma.github.io/Logging_2262/kartor/A 11288-2024 karta.png", "A 11288-2024")</f>
        <v/>
      </c>
      <c r="V453">
        <f>HYPERLINK("https://klasma.github.io/Logging_2262/klagomål/A 11288-2024 FSC-klagomål.docx", "A 11288-2024")</f>
        <v/>
      </c>
      <c r="W453">
        <f>HYPERLINK("https://klasma.github.io/Logging_2262/klagomålsmail/A 11288-2024 FSC-klagomål mail.docx", "A 11288-2024")</f>
        <v/>
      </c>
      <c r="X453">
        <f>HYPERLINK("https://klasma.github.io/Logging_2262/tillsyn/A 11288-2024 tillsynsbegäran.docx", "A 11288-2024")</f>
        <v/>
      </c>
      <c r="Y453">
        <f>HYPERLINK("https://klasma.github.io/Logging_2262/tillsynsmail/A 11288-2024 tillsynsbegäran mail.docx", "A 11288-2024")</f>
        <v/>
      </c>
      <c r="Z453">
        <f>HYPERLINK("https://klasma.github.io/Logging_2262/fåglar/A 11288-2024 prioriterade fågelarter.docx", "A 11288-2024")</f>
        <v/>
      </c>
    </row>
    <row r="454" ht="15" customHeight="1">
      <c r="A454" t="inlineStr">
        <is>
          <t>A 25972-2026</t>
        </is>
      </c>
      <c r="B454" s="1" t="n">
        <v>46181.38618055556</v>
      </c>
      <c r="C454" s="1" t="n">
        <v>46185</v>
      </c>
      <c r="D454" t="inlineStr">
        <is>
          <t>VÄSTERNORRLANDS LÄN</t>
        </is>
      </c>
      <c r="E454" t="inlineStr">
        <is>
          <t>ÅNGE</t>
        </is>
      </c>
      <c r="F454" t="inlineStr">
        <is>
          <t>SCA</t>
        </is>
      </c>
      <c r="G454" t="n">
        <v>1.4</v>
      </c>
      <c r="H454" t="n">
        <v>0</v>
      </c>
      <c r="I454" t="n">
        <v>1</v>
      </c>
      <c r="J454" t="n">
        <v>3</v>
      </c>
      <c r="K454" t="n">
        <v>1</v>
      </c>
      <c r="L454" t="n">
        <v>0</v>
      </c>
      <c r="M454" t="n">
        <v>0</v>
      </c>
      <c r="N454" t="n">
        <v>0</v>
      </c>
      <c r="O454" t="n">
        <v>4</v>
      </c>
      <c r="P454" t="n">
        <v>1</v>
      </c>
      <c r="Q454" t="n">
        <v>5</v>
      </c>
      <c r="R454" s="2" t="inlineStr">
        <is>
          <t>Rynkskinn
Kolflarnlav
Rosenticka
Ullticka
Dropptaggsvamp</t>
        </is>
      </c>
      <c r="S454">
        <f>HYPERLINK("https://klasma.github.io/Logging_2260/artfynd/A 25972-2026 artfynd.xlsx", "A 25972-2026")</f>
        <v/>
      </c>
      <c r="T454">
        <f>HYPERLINK("https://klasma.github.io/Logging_2260/kartor/A 25972-2026 karta.png", "A 25972-2026")</f>
        <v/>
      </c>
      <c r="V454">
        <f>HYPERLINK("https://klasma.github.io/Logging_2260/klagomål/A 25972-2026 FSC-klagomål.docx", "A 25972-2026")</f>
        <v/>
      </c>
      <c r="W454">
        <f>HYPERLINK("https://klasma.github.io/Logging_2260/klagomålsmail/A 25972-2026 FSC-klagomål mail.docx", "A 25972-2026")</f>
        <v/>
      </c>
      <c r="X454">
        <f>HYPERLINK("https://klasma.github.io/Logging_2260/tillsyn/A 25972-2026 tillsynsbegäran.docx", "A 25972-2026")</f>
        <v/>
      </c>
      <c r="Y454">
        <f>HYPERLINK("https://klasma.github.io/Logging_2260/tillsynsmail/A 25972-2026 tillsynsbegäran mail.docx", "A 25972-2026")</f>
        <v/>
      </c>
    </row>
    <row r="455" ht="15" customHeight="1">
      <c r="A455" t="inlineStr">
        <is>
          <t>A 18829-2023</t>
        </is>
      </c>
      <c r="B455" s="1" t="n">
        <v>45042</v>
      </c>
      <c r="C455" s="1" t="n">
        <v>46185</v>
      </c>
      <c r="D455" t="inlineStr">
        <is>
          <t>VÄSTERNORRLANDS LÄN</t>
        </is>
      </c>
      <c r="E455" t="inlineStr">
        <is>
          <t>SUNDSVALL</t>
        </is>
      </c>
      <c r="G455" t="n">
        <v>9.9</v>
      </c>
      <c r="H455" t="n">
        <v>4</v>
      </c>
      <c r="I455" t="n">
        <v>0</v>
      </c>
      <c r="J455" t="n">
        <v>3</v>
      </c>
      <c r="K455" t="n">
        <v>0</v>
      </c>
      <c r="L455" t="n">
        <v>0</v>
      </c>
      <c r="M455" t="n">
        <v>0</v>
      </c>
      <c r="N455" t="n">
        <v>0</v>
      </c>
      <c r="O455" t="n">
        <v>3</v>
      </c>
      <c r="P455" t="n">
        <v>0</v>
      </c>
      <c r="Q455" t="n">
        <v>5</v>
      </c>
      <c r="R455" s="2" t="inlineStr">
        <is>
          <t>Garnlav
Järpe
Rödvingetrast
Orre
Fläcknycklar</t>
        </is>
      </c>
      <c r="S455">
        <f>HYPERLINK("https://klasma.github.io/Logging_2281/artfynd/A 18829-2023 artfynd.xlsx", "A 18829-2023")</f>
        <v/>
      </c>
      <c r="T455">
        <f>HYPERLINK("https://klasma.github.io/Logging_2281/kartor/A 18829-2023 karta.png", "A 18829-2023")</f>
        <v/>
      </c>
      <c r="V455">
        <f>HYPERLINK("https://klasma.github.io/Logging_2281/klagomål/A 18829-2023 FSC-klagomål.docx", "A 18829-2023")</f>
        <v/>
      </c>
      <c r="W455">
        <f>HYPERLINK("https://klasma.github.io/Logging_2281/klagomålsmail/A 18829-2023 FSC-klagomål mail.docx", "A 18829-2023")</f>
        <v/>
      </c>
      <c r="X455">
        <f>HYPERLINK("https://klasma.github.io/Logging_2281/tillsyn/A 18829-2023 tillsynsbegäran.docx", "A 18829-2023")</f>
        <v/>
      </c>
      <c r="Y455">
        <f>HYPERLINK("https://klasma.github.io/Logging_2281/tillsynsmail/A 18829-2023 tillsynsbegäran mail.docx", "A 18829-2023")</f>
        <v/>
      </c>
      <c r="Z455">
        <f>HYPERLINK("https://klasma.github.io/Logging_2281/fåglar/A 18829-2023 prioriterade fågelarter.docx", "A 18829-2023")</f>
        <v/>
      </c>
    </row>
    <row r="456" ht="15" customHeight="1">
      <c r="A456" t="inlineStr">
        <is>
          <t>A 57864-2025</t>
        </is>
      </c>
      <c r="B456" s="1" t="n">
        <v>45981</v>
      </c>
      <c r="C456" s="1" t="n">
        <v>46185</v>
      </c>
      <c r="D456" t="inlineStr">
        <is>
          <t>VÄSTERNORRLANDS LÄN</t>
        </is>
      </c>
      <c r="E456" t="inlineStr">
        <is>
          <t>SUNDSVALL</t>
        </is>
      </c>
      <c r="G456" t="n">
        <v>1.9</v>
      </c>
      <c r="H456" t="n">
        <v>2</v>
      </c>
      <c r="I456" t="n">
        <v>2</v>
      </c>
      <c r="J456" t="n">
        <v>2</v>
      </c>
      <c r="K456" t="n">
        <v>1</v>
      </c>
      <c r="L456" t="n">
        <v>0</v>
      </c>
      <c r="M456" t="n">
        <v>0</v>
      </c>
      <c r="N456" t="n">
        <v>0</v>
      </c>
      <c r="O456" t="n">
        <v>3</v>
      </c>
      <c r="P456" t="n">
        <v>1</v>
      </c>
      <c r="Q456" t="n">
        <v>5</v>
      </c>
      <c r="R456" s="2" t="inlineStr">
        <is>
          <t>Knärot
Tretåig hackspett
Ullticka
Korallblylav
Vedticka</t>
        </is>
      </c>
      <c r="S456">
        <f>HYPERLINK("https://klasma.github.io/Logging_2281/artfynd/A 57864-2025 artfynd.xlsx", "A 57864-2025")</f>
        <v/>
      </c>
      <c r="T456">
        <f>HYPERLINK("https://klasma.github.io/Logging_2281/kartor/A 57864-2025 karta.png", "A 57864-2025")</f>
        <v/>
      </c>
      <c r="U456">
        <f>HYPERLINK("https://klasma.github.io/Logging_2281/knärot/A 57864-2025 karta knärot.png", "A 57864-2025")</f>
        <v/>
      </c>
      <c r="V456">
        <f>HYPERLINK("https://klasma.github.io/Logging_2281/klagomål/A 57864-2025 FSC-klagomål.docx", "A 57864-2025")</f>
        <v/>
      </c>
      <c r="W456">
        <f>HYPERLINK("https://klasma.github.io/Logging_2281/klagomålsmail/A 57864-2025 FSC-klagomål mail.docx", "A 57864-2025")</f>
        <v/>
      </c>
      <c r="X456">
        <f>HYPERLINK("https://klasma.github.io/Logging_2281/tillsyn/A 57864-2025 tillsynsbegäran.docx", "A 57864-2025")</f>
        <v/>
      </c>
      <c r="Y456">
        <f>HYPERLINK("https://klasma.github.io/Logging_2281/tillsynsmail/A 57864-2025 tillsynsbegäran mail.docx", "A 57864-2025")</f>
        <v/>
      </c>
      <c r="Z456">
        <f>HYPERLINK("https://klasma.github.io/Logging_2281/fåglar/A 57864-2025 prioriterade fågelarter.docx", "A 57864-2025")</f>
        <v/>
      </c>
    </row>
    <row r="457" ht="15" customHeight="1">
      <c r="A457" t="inlineStr">
        <is>
          <t>A 26251-2026</t>
        </is>
      </c>
      <c r="B457" s="1" t="n">
        <v>46182.505</v>
      </c>
      <c r="C457" s="1" t="n">
        <v>46185</v>
      </c>
      <c r="D457" t="inlineStr">
        <is>
          <t>VÄSTERNORRLANDS LÄN</t>
        </is>
      </c>
      <c r="E457" t="inlineStr">
        <is>
          <t>ÖRNSKÖLDSVIK</t>
        </is>
      </c>
      <c r="G457" t="n">
        <v>1</v>
      </c>
      <c r="H457" t="n">
        <v>5</v>
      </c>
      <c r="I457" t="n">
        <v>0</v>
      </c>
      <c r="J457" t="n">
        <v>4</v>
      </c>
      <c r="K457" t="n">
        <v>0</v>
      </c>
      <c r="L457" t="n">
        <v>1</v>
      </c>
      <c r="M457" t="n">
        <v>0</v>
      </c>
      <c r="N457" t="n">
        <v>0</v>
      </c>
      <c r="O457" t="n">
        <v>5</v>
      </c>
      <c r="P457" t="n">
        <v>1</v>
      </c>
      <c r="Q457" t="n">
        <v>5</v>
      </c>
      <c r="R457" s="2" t="inlineStr">
        <is>
          <t>Storspov
Björktrast
Fiskmås
Rödvingetrast
Svartvit flugsnappare</t>
        </is>
      </c>
      <c r="S457">
        <f>HYPERLINK("https://klasma.github.io/Logging_2284/artfynd/A 26251-2026 artfynd.xlsx", "A 26251-2026")</f>
        <v/>
      </c>
      <c r="T457">
        <f>HYPERLINK("https://klasma.github.io/Logging_2284/kartor/A 26251-2026 karta.png", "A 26251-2026")</f>
        <v/>
      </c>
      <c r="V457">
        <f>HYPERLINK("https://klasma.github.io/Logging_2284/klagomål/A 26251-2026 FSC-klagomål.docx", "A 26251-2026")</f>
        <v/>
      </c>
      <c r="W457">
        <f>HYPERLINK("https://klasma.github.io/Logging_2284/klagomålsmail/A 26251-2026 FSC-klagomål mail.docx", "A 26251-2026")</f>
        <v/>
      </c>
      <c r="X457">
        <f>HYPERLINK("https://klasma.github.io/Logging_2284/tillsyn/A 26251-2026 tillsynsbegäran.docx", "A 26251-2026")</f>
        <v/>
      </c>
      <c r="Y457">
        <f>HYPERLINK("https://klasma.github.io/Logging_2284/tillsynsmail/A 26251-2026 tillsynsbegäran mail.docx", "A 26251-2026")</f>
        <v/>
      </c>
      <c r="Z457">
        <f>HYPERLINK("https://klasma.github.io/Logging_2284/fåglar/A 26251-2026 prioriterade fågelarter.docx", "A 26251-2026")</f>
        <v/>
      </c>
    </row>
    <row r="458" ht="15" customHeight="1">
      <c r="A458" t="inlineStr">
        <is>
          <t>A 24422-2025</t>
        </is>
      </c>
      <c r="B458" s="1" t="n">
        <v>45797</v>
      </c>
      <c r="C458" s="1" t="n">
        <v>46185</v>
      </c>
      <c r="D458" t="inlineStr">
        <is>
          <t>VÄSTERNORRLANDS LÄN</t>
        </is>
      </c>
      <c r="E458" t="inlineStr">
        <is>
          <t>SUNDSVALL</t>
        </is>
      </c>
      <c r="F458" t="inlineStr">
        <is>
          <t>SCA</t>
        </is>
      </c>
      <c r="G458" t="n">
        <v>2.2</v>
      </c>
      <c r="H458" t="n">
        <v>2</v>
      </c>
      <c r="I458" t="n">
        <v>1</v>
      </c>
      <c r="J458" t="n">
        <v>3</v>
      </c>
      <c r="K458" t="n">
        <v>0</v>
      </c>
      <c r="L458" t="n">
        <v>0</v>
      </c>
      <c r="M458" t="n">
        <v>0</v>
      </c>
      <c r="N458" t="n">
        <v>0</v>
      </c>
      <c r="O458" t="n">
        <v>3</v>
      </c>
      <c r="P458" t="n">
        <v>0</v>
      </c>
      <c r="Q458" t="n">
        <v>5</v>
      </c>
      <c r="R458" s="2" t="inlineStr">
        <is>
          <t>Garnlav
Lunglav
Tretåig hackspett
Kattfotslav
Revlummer</t>
        </is>
      </c>
      <c r="S458">
        <f>HYPERLINK("https://klasma.github.io/Logging_2281/artfynd/A 24422-2025 artfynd.xlsx", "A 24422-2025")</f>
        <v/>
      </c>
      <c r="T458">
        <f>HYPERLINK("https://klasma.github.io/Logging_2281/kartor/A 24422-2025 karta.png", "A 24422-2025")</f>
        <v/>
      </c>
      <c r="V458">
        <f>HYPERLINK("https://klasma.github.io/Logging_2281/klagomål/A 24422-2025 FSC-klagomål.docx", "A 24422-2025")</f>
        <v/>
      </c>
      <c r="W458">
        <f>HYPERLINK("https://klasma.github.io/Logging_2281/klagomålsmail/A 24422-2025 FSC-klagomål mail.docx", "A 24422-2025")</f>
        <v/>
      </c>
      <c r="X458">
        <f>HYPERLINK("https://klasma.github.io/Logging_2281/tillsyn/A 24422-2025 tillsynsbegäran.docx", "A 24422-2025")</f>
        <v/>
      </c>
      <c r="Y458">
        <f>HYPERLINK("https://klasma.github.io/Logging_2281/tillsynsmail/A 24422-2025 tillsynsbegäran mail.docx", "A 24422-2025")</f>
        <v/>
      </c>
      <c r="Z458">
        <f>HYPERLINK("https://klasma.github.io/Logging_2281/fåglar/A 24422-2025 prioriterade fågelarter.docx", "A 24422-2025")</f>
        <v/>
      </c>
    </row>
    <row r="459" ht="15" customHeight="1">
      <c r="A459" t="inlineStr">
        <is>
          <t>A 56420-2025</t>
        </is>
      </c>
      <c r="B459" s="1" t="n">
        <v>45975</v>
      </c>
      <c r="C459" s="1" t="n">
        <v>46185</v>
      </c>
      <c r="D459" t="inlineStr">
        <is>
          <t>VÄSTERNORRLANDS LÄN</t>
        </is>
      </c>
      <c r="E459" t="inlineStr">
        <is>
          <t>SOLLEFTEÅ</t>
        </is>
      </c>
      <c r="F459" t="inlineStr">
        <is>
          <t>SCA</t>
        </is>
      </c>
      <c r="G459" t="n">
        <v>3.7</v>
      </c>
      <c r="H459" t="n">
        <v>1</v>
      </c>
      <c r="I459" t="n">
        <v>1</v>
      </c>
      <c r="J459" t="n">
        <v>4</v>
      </c>
      <c r="K459" t="n">
        <v>0</v>
      </c>
      <c r="L459" t="n">
        <v>0</v>
      </c>
      <c r="M459" t="n">
        <v>0</v>
      </c>
      <c r="N459" t="n">
        <v>0</v>
      </c>
      <c r="O459" t="n">
        <v>4</v>
      </c>
      <c r="P459" t="n">
        <v>0</v>
      </c>
      <c r="Q459" t="n">
        <v>5</v>
      </c>
      <c r="R459" s="2" t="inlineStr">
        <is>
          <t>Garnlav
Kolflarnlav
Tretåig hackspett
Vedskivlav
Dropptaggsvamp</t>
        </is>
      </c>
      <c r="S459">
        <f>HYPERLINK("https://klasma.github.io/Logging_2283/artfynd/A 56420-2025 artfynd.xlsx", "A 56420-2025")</f>
        <v/>
      </c>
      <c r="T459">
        <f>HYPERLINK("https://klasma.github.io/Logging_2283/kartor/A 56420-2025 karta.png", "A 56420-2025")</f>
        <v/>
      </c>
      <c r="V459">
        <f>HYPERLINK("https://klasma.github.io/Logging_2283/klagomål/A 56420-2025 FSC-klagomål.docx", "A 56420-2025")</f>
        <v/>
      </c>
      <c r="W459">
        <f>HYPERLINK("https://klasma.github.io/Logging_2283/klagomålsmail/A 56420-2025 FSC-klagomål mail.docx", "A 56420-2025")</f>
        <v/>
      </c>
      <c r="X459">
        <f>HYPERLINK("https://klasma.github.io/Logging_2283/tillsyn/A 56420-2025 tillsynsbegäran.docx", "A 56420-2025")</f>
        <v/>
      </c>
      <c r="Y459">
        <f>HYPERLINK("https://klasma.github.io/Logging_2283/tillsynsmail/A 56420-2025 tillsynsbegäran mail.docx", "A 56420-2025")</f>
        <v/>
      </c>
      <c r="Z459">
        <f>HYPERLINK("https://klasma.github.io/Logging_2283/fåglar/A 56420-2025 prioriterade fågelarter.docx", "A 56420-2025")</f>
        <v/>
      </c>
    </row>
    <row r="460" ht="15" customHeight="1">
      <c r="A460" t="inlineStr">
        <is>
          <t>A 20993-2026</t>
        </is>
      </c>
      <c r="B460" s="1" t="n">
        <v>46142.61517361111</v>
      </c>
      <c r="C460" s="1" t="n">
        <v>46185</v>
      </c>
      <c r="D460" t="inlineStr">
        <is>
          <t>VÄSTERNORRLANDS LÄN</t>
        </is>
      </c>
      <c r="E460" t="inlineStr">
        <is>
          <t>SOLLEFTEÅ</t>
        </is>
      </c>
      <c r="F460" t="inlineStr">
        <is>
          <t>SCA</t>
        </is>
      </c>
      <c r="G460" t="n">
        <v>4</v>
      </c>
      <c r="H460" t="n">
        <v>0</v>
      </c>
      <c r="I460" t="n">
        <v>4</v>
      </c>
      <c r="J460" t="n">
        <v>1</v>
      </c>
      <c r="K460" t="n">
        <v>0</v>
      </c>
      <c r="L460" t="n">
        <v>0</v>
      </c>
      <c r="M460" t="n">
        <v>0</v>
      </c>
      <c r="N460" t="n">
        <v>0</v>
      </c>
      <c r="O460" t="n">
        <v>1</v>
      </c>
      <c r="P460" t="n">
        <v>0</v>
      </c>
      <c r="Q460" t="n">
        <v>5</v>
      </c>
      <c r="R460" s="2" t="inlineStr">
        <is>
          <t>Lunglav
Bollvitmossa
Bårdlav
Luddlav
Stuplav</t>
        </is>
      </c>
      <c r="S460">
        <f>HYPERLINK("https://klasma.github.io/Logging_2283/artfynd/A 20993-2026 artfynd.xlsx", "A 20993-2026")</f>
        <v/>
      </c>
      <c r="T460">
        <f>HYPERLINK("https://klasma.github.io/Logging_2283/kartor/A 20993-2026 karta.png", "A 20993-2026")</f>
        <v/>
      </c>
      <c r="V460">
        <f>HYPERLINK("https://klasma.github.io/Logging_2283/klagomål/A 20993-2026 FSC-klagomål.docx", "A 20993-2026")</f>
        <v/>
      </c>
      <c r="W460">
        <f>HYPERLINK("https://klasma.github.io/Logging_2283/klagomålsmail/A 20993-2026 FSC-klagomål mail.docx", "A 20993-2026")</f>
        <v/>
      </c>
      <c r="X460">
        <f>HYPERLINK("https://klasma.github.io/Logging_2283/tillsyn/A 20993-2026 tillsynsbegäran.docx", "A 20993-2026")</f>
        <v/>
      </c>
      <c r="Y460">
        <f>HYPERLINK("https://klasma.github.io/Logging_2283/tillsynsmail/A 20993-2026 tillsynsbegäran mail.docx", "A 20993-2026")</f>
        <v/>
      </c>
    </row>
    <row r="461" ht="15" customHeight="1">
      <c r="A461" t="inlineStr">
        <is>
          <t>A 27910-2024</t>
        </is>
      </c>
      <c r="B461" s="1" t="n">
        <v>45475</v>
      </c>
      <c r="C461" s="1" t="n">
        <v>46185</v>
      </c>
      <c r="D461" t="inlineStr">
        <is>
          <t>VÄSTERNORRLANDS LÄN</t>
        </is>
      </c>
      <c r="E461" t="inlineStr">
        <is>
          <t>SOLLEFTEÅ</t>
        </is>
      </c>
      <c r="F461" t="inlineStr">
        <is>
          <t>SCA</t>
        </is>
      </c>
      <c r="G461" t="n">
        <v>3.2</v>
      </c>
      <c r="H461" t="n">
        <v>0</v>
      </c>
      <c r="I461" t="n">
        <v>1</v>
      </c>
      <c r="J461" t="n">
        <v>3</v>
      </c>
      <c r="K461" t="n">
        <v>1</v>
      </c>
      <c r="L461" t="n">
        <v>0</v>
      </c>
      <c r="M461" t="n">
        <v>0</v>
      </c>
      <c r="N461" t="n">
        <v>0</v>
      </c>
      <c r="O461" t="n">
        <v>4</v>
      </c>
      <c r="P461" t="n">
        <v>1</v>
      </c>
      <c r="Q461" t="n">
        <v>5</v>
      </c>
      <c r="R461" s="2" t="inlineStr">
        <is>
          <t>Rynkskinn
Gammelgransskål
Rosenticka
Ullticka
Vedticka</t>
        </is>
      </c>
      <c r="S461">
        <f>HYPERLINK("https://klasma.github.io/Logging_2283/artfynd/A 27910-2024 artfynd.xlsx", "A 27910-2024")</f>
        <v/>
      </c>
      <c r="T461">
        <f>HYPERLINK("https://klasma.github.io/Logging_2283/kartor/A 27910-2024 karta.png", "A 27910-2024")</f>
        <v/>
      </c>
      <c r="V461">
        <f>HYPERLINK("https://klasma.github.io/Logging_2283/klagomål/A 27910-2024 FSC-klagomål.docx", "A 27910-2024")</f>
        <v/>
      </c>
      <c r="W461">
        <f>HYPERLINK("https://klasma.github.io/Logging_2283/klagomålsmail/A 27910-2024 FSC-klagomål mail.docx", "A 27910-2024")</f>
        <v/>
      </c>
      <c r="X461">
        <f>HYPERLINK("https://klasma.github.io/Logging_2283/tillsyn/A 27910-2024 tillsynsbegäran.docx", "A 27910-2024")</f>
        <v/>
      </c>
      <c r="Y461">
        <f>HYPERLINK("https://klasma.github.io/Logging_2283/tillsynsmail/A 27910-2024 tillsynsbegäran mail.docx", "A 27910-2024")</f>
        <v/>
      </c>
    </row>
    <row r="462" ht="15" customHeight="1">
      <c r="A462" t="inlineStr">
        <is>
          <t>A 13556-2024</t>
        </is>
      </c>
      <c r="B462" s="1" t="n">
        <v>45387</v>
      </c>
      <c r="C462" s="1" t="n">
        <v>46185</v>
      </c>
      <c r="D462" t="inlineStr">
        <is>
          <t>VÄSTERNORRLANDS LÄN</t>
        </is>
      </c>
      <c r="E462" t="inlineStr">
        <is>
          <t>SUNDSVALL</t>
        </is>
      </c>
      <c r="F462" t="inlineStr">
        <is>
          <t>SCA</t>
        </is>
      </c>
      <c r="G462" t="n">
        <v>6.5</v>
      </c>
      <c r="H462" t="n">
        <v>2</v>
      </c>
      <c r="I462" t="n">
        <v>2</v>
      </c>
      <c r="J462" t="n">
        <v>2</v>
      </c>
      <c r="K462" t="n">
        <v>1</v>
      </c>
      <c r="L462" t="n">
        <v>0</v>
      </c>
      <c r="M462" t="n">
        <v>0</v>
      </c>
      <c r="N462" t="n">
        <v>0</v>
      </c>
      <c r="O462" t="n">
        <v>3</v>
      </c>
      <c r="P462" t="n">
        <v>1</v>
      </c>
      <c r="Q462" t="n">
        <v>5</v>
      </c>
      <c r="R462" s="2" t="inlineStr">
        <is>
          <t>Knärot
Mindre hackspett
Ullticka
Bronshjon
Thomsons trägnagare</t>
        </is>
      </c>
      <c r="S462">
        <f>HYPERLINK("https://klasma.github.io/Logging_2281/artfynd/A 13556-2024 artfynd.xlsx", "A 13556-2024")</f>
        <v/>
      </c>
      <c r="T462">
        <f>HYPERLINK("https://klasma.github.io/Logging_2281/kartor/A 13556-2024 karta.png", "A 13556-2024")</f>
        <v/>
      </c>
      <c r="U462">
        <f>HYPERLINK("https://klasma.github.io/Logging_2281/knärot/A 13556-2024 karta knärot.png", "A 13556-2024")</f>
        <v/>
      </c>
      <c r="V462">
        <f>HYPERLINK("https://klasma.github.io/Logging_2281/klagomål/A 13556-2024 FSC-klagomål.docx", "A 13556-2024")</f>
        <v/>
      </c>
      <c r="W462">
        <f>HYPERLINK("https://klasma.github.io/Logging_2281/klagomålsmail/A 13556-2024 FSC-klagomål mail.docx", "A 13556-2024")</f>
        <v/>
      </c>
      <c r="X462">
        <f>HYPERLINK("https://klasma.github.io/Logging_2281/tillsyn/A 13556-2024 tillsynsbegäran.docx", "A 13556-2024")</f>
        <v/>
      </c>
      <c r="Y462">
        <f>HYPERLINK("https://klasma.github.io/Logging_2281/tillsynsmail/A 13556-2024 tillsynsbegäran mail.docx", "A 13556-2024")</f>
        <v/>
      </c>
      <c r="Z462">
        <f>HYPERLINK("https://klasma.github.io/Logging_2281/fåglar/A 13556-2024 prioriterade fågelarter.docx", "A 13556-2024")</f>
        <v/>
      </c>
    </row>
    <row r="463" ht="15" customHeight="1">
      <c r="A463" t="inlineStr">
        <is>
          <t>A 55854-2022</t>
        </is>
      </c>
      <c r="B463" s="1" t="n">
        <v>44886</v>
      </c>
      <c r="C463" s="1" t="n">
        <v>46185</v>
      </c>
      <c r="D463" t="inlineStr">
        <is>
          <t>VÄSTERNORRLANDS LÄN</t>
        </is>
      </c>
      <c r="E463" t="inlineStr">
        <is>
          <t>SUNDSVALL</t>
        </is>
      </c>
      <c r="G463" t="n">
        <v>3.8</v>
      </c>
      <c r="H463" t="n">
        <v>2</v>
      </c>
      <c r="I463" t="n">
        <v>0</v>
      </c>
      <c r="J463" t="n">
        <v>2</v>
      </c>
      <c r="K463" t="n">
        <v>1</v>
      </c>
      <c r="L463" t="n">
        <v>0</v>
      </c>
      <c r="M463" t="n">
        <v>0</v>
      </c>
      <c r="N463" t="n">
        <v>0</v>
      </c>
      <c r="O463" t="n">
        <v>3</v>
      </c>
      <c r="P463" t="n">
        <v>1</v>
      </c>
      <c r="Q463" t="n">
        <v>5</v>
      </c>
      <c r="R463" s="2" t="inlineStr">
        <is>
          <t>Sanddraba
Sminkrot
Vårstarr
Pärluggla
Gullviva</t>
        </is>
      </c>
      <c r="S463">
        <f>HYPERLINK("https://klasma.github.io/Logging_2281/artfynd/A 55854-2022 artfynd.xlsx", "A 55854-2022")</f>
        <v/>
      </c>
      <c r="T463">
        <f>HYPERLINK("https://klasma.github.io/Logging_2281/kartor/A 55854-2022 karta.png", "A 55854-2022")</f>
        <v/>
      </c>
      <c r="V463">
        <f>HYPERLINK("https://klasma.github.io/Logging_2281/klagomål/A 55854-2022 FSC-klagomål.docx", "A 55854-2022")</f>
        <v/>
      </c>
      <c r="W463">
        <f>HYPERLINK("https://klasma.github.io/Logging_2281/klagomålsmail/A 55854-2022 FSC-klagomål mail.docx", "A 55854-2022")</f>
        <v/>
      </c>
      <c r="X463">
        <f>HYPERLINK("https://klasma.github.io/Logging_2281/tillsyn/A 55854-2022 tillsynsbegäran.docx", "A 55854-2022")</f>
        <v/>
      </c>
      <c r="Y463">
        <f>HYPERLINK("https://klasma.github.io/Logging_2281/tillsynsmail/A 55854-2022 tillsynsbegäran mail.docx", "A 55854-2022")</f>
        <v/>
      </c>
      <c r="Z463">
        <f>HYPERLINK("https://klasma.github.io/Logging_2281/fåglar/A 55854-2022 prioriterade fågelarter.docx", "A 55854-2022")</f>
        <v/>
      </c>
    </row>
    <row r="464" ht="15" customHeight="1">
      <c r="A464" t="inlineStr">
        <is>
          <t>A 45007-2023</t>
        </is>
      </c>
      <c r="B464" s="1" t="n">
        <v>45190</v>
      </c>
      <c r="C464" s="1" t="n">
        <v>46185</v>
      </c>
      <c r="D464" t="inlineStr">
        <is>
          <t>VÄSTERNORRLANDS LÄN</t>
        </is>
      </c>
      <c r="E464" t="inlineStr">
        <is>
          <t>SOLLEFTEÅ</t>
        </is>
      </c>
      <c r="F464" t="inlineStr">
        <is>
          <t>SCA</t>
        </is>
      </c>
      <c r="G464" t="n">
        <v>2.1</v>
      </c>
      <c r="H464" t="n">
        <v>3</v>
      </c>
      <c r="I464" t="n">
        <v>0</v>
      </c>
      <c r="J464" t="n">
        <v>4</v>
      </c>
      <c r="K464" t="n">
        <v>0</v>
      </c>
      <c r="L464" t="n">
        <v>0</v>
      </c>
      <c r="M464" t="n">
        <v>0</v>
      </c>
      <c r="N464" t="n">
        <v>0</v>
      </c>
      <c r="O464" t="n">
        <v>4</v>
      </c>
      <c r="P464" t="n">
        <v>0</v>
      </c>
      <c r="Q464" t="n">
        <v>5</v>
      </c>
      <c r="R464" s="2" t="inlineStr">
        <is>
          <t>Garnlav
Spillkråka
Tretåig hackspett
Ullticka
Lavskrika</t>
        </is>
      </c>
      <c r="S464">
        <f>HYPERLINK("https://klasma.github.io/Logging_2283/artfynd/A 45007-2023 artfynd.xlsx", "A 45007-2023")</f>
        <v/>
      </c>
      <c r="T464">
        <f>HYPERLINK("https://klasma.github.io/Logging_2283/kartor/A 45007-2023 karta.png", "A 45007-2023")</f>
        <v/>
      </c>
      <c r="V464">
        <f>HYPERLINK("https://klasma.github.io/Logging_2283/klagomål/A 45007-2023 FSC-klagomål.docx", "A 45007-2023")</f>
        <v/>
      </c>
      <c r="W464">
        <f>HYPERLINK("https://klasma.github.io/Logging_2283/klagomålsmail/A 45007-2023 FSC-klagomål mail.docx", "A 45007-2023")</f>
        <v/>
      </c>
      <c r="X464">
        <f>HYPERLINK("https://klasma.github.io/Logging_2283/tillsyn/A 45007-2023 tillsynsbegäran.docx", "A 45007-2023")</f>
        <v/>
      </c>
      <c r="Y464">
        <f>HYPERLINK("https://klasma.github.io/Logging_2283/tillsynsmail/A 45007-2023 tillsynsbegäran mail.docx", "A 45007-2023")</f>
        <v/>
      </c>
      <c r="Z464">
        <f>HYPERLINK("https://klasma.github.io/Logging_2283/fåglar/A 45007-2023 prioriterade fågelarter.docx", "A 45007-2023")</f>
        <v/>
      </c>
    </row>
    <row r="465" ht="15" customHeight="1">
      <c r="A465" t="inlineStr">
        <is>
          <t>A 27675-2023</t>
        </is>
      </c>
      <c r="B465" s="1" t="n">
        <v>45097</v>
      </c>
      <c r="C465" s="1" t="n">
        <v>46185</v>
      </c>
      <c r="D465" t="inlineStr">
        <is>
          <t>VÄSTERNORRLANDS LÄN</t>
        </is>
      </c>
      <c r="E465" t="inlineStr">
        <is>
          <t>SOLLEFTEÅ</t>
        </is>
      </c>
      <c r="G465" t="n">
        <v>4.7</v>
      </c>
      <c r="H465" t="n">
        <v>1</v>
      </c>
      <c r="I465" t="n">
        <v>1</v>
      </c>
      <c r="J465" t="n">
        <v>3</v>
      </c>
      <c r="K465" t="n">
        <v>1</v>
      </c>
      <c r="L465" t="n">
        <v>0</v>
      </c>
      <c r="M465" t="n">
        <v>0</v>
      </c>
      <c r="N465" t="n">
        <v>0</v>
      </c>
      <c r="O465" t="n">
        <v>4</v>
      </c>
      <c r="P465" t="n">
        <v>1</v>
      </c>
      <c r="Q465" t="n">
        <v>5</v>
      </c>
      <c r="R465" s="2" t="inlineStr">
        <is>
          <t>Knärot
Garnlav
Lunglav
Ullticka
Stuplav</t>
        </is>
      </c>
      <c r="S465">
        <f>HYPERLINK("https://klasma.github.io/Logging_2283/artfynd/A 27675-2023 artfynd.xlsx", "A 27675-2023")</f>
        <v/>
      </c>
      <c r="T465">
        <f>HYPERLINK("https://klasma.github.io/Logging_2283/kartor/A 27675-2023 karta.png", "A 27675-2023")</f>
        <v/>
      </c>
      <c r="U465">
        <f>HYPERLINK("https://klasma.github.io/Logging_2283/knärot/A 27675-2023 karta knärot.png", "A 27675-2023")</f>
        <v/>
      </c>
      <c r="V465">
        <f>HYPERLINK("https://klasma.github.io/Logging_2283/klagomål/A 27675-2023 FSC-klagomål.docx", "A 27675-2023")</f>
        <v/>
      </c>
      <c r="W465">
        <f>HYPERLINK("https://klasma.github.io/Logging_2283/klagomålsmail/A 27675-2023 FSC-klagomål mail.docx", "A 27675-2023")</f>
        <v/>
      </c>
      <c r="X465">
        <f>HYPERLINK("https://klasma.github.io/Logging_2283/tillsyn/A 27675-2023 tillsynsbegäran.docx", "A 27675-2023")</f>
        <v/>
      </c>
      <c r="Y465">
        <f>HYPERLINK("https://klasma.github.io/Logging_2283/tillsynsmail/A 27675-2023 tillsynsbegäran mail.docx", "A 27675-2023")</f>
        <v/>
      </c>
    </row>
    <row r="466" ht="15" customHeight="1">
      <c r="A466" t="inlineStr">
        <is>
          <t>A 62584-2023</t>
        </is>
      </c>
      <c r="B466" s="1" t="n">
        <v>45270</v>
      </c>
      <c r="C466" s="1" t="n">
        <v>46185</v>
      </c>
      <c r="D466" t="inlineStr">
        <is>
          <t>VÄSTERNORRLANDS LÄN</t>
        </is>
      </c>
      <c r="E466" t="inlineStr">
        <is>
          <t>ÖRNSKÖLDSVIK</t>
        </is>
      </c>
      <c r="G466" t="n">
        <v>9.9</v>
      </c>
      <c r="H466" t="n">
        <v>4</v>
      </c>
      <c r="I466" t="n">
        <v>0</v>
      </c>
      <c r="J466" t="n">
        <v>1</v>
      </c>
      <c r="K466" t="n">
        <v>1</v>
      </c>
      <c r="L466" t="n">
        <v>0</v>
      </c>
      <c r="M466" t="n">
        <v>0</v>
      </c>
      <c r="N466" t="n">
        <v>0</v>
      </c>
      <c r="O466" t="n">
        <v>2</v>
      </c>
      <c r="P466" t="n">
        <v>1</v>
      </c>
      <c r="Q466" t="n">
        <v>5</v>
      </c>
      <c r="R466" s="2" t="inlineStr">
        <is>
          <t>Knärot
Ullticka
Tjäder
Fläcknycklar
Revlummer</t>
        </is>
      </c>
      <c r="S466">
        <f>HYPERLINK("https://klasma.github.io/Logging_2284/artfynd/A 62584-2023 artfynd.xlsx", "A 62584-2023")</f>
        <v/>
      </c>
      <c r="T466">
        <f>HYPERLINK("https://klasma.github.io/Logging_2284/kartor/A 62584-2023 karta.png", "A 62584-2023")</f>
        <v/>
      </c>
      <c r="U466">
        <f>HYPERLINK("https://klasma.github.io/Logging_2284/knärot/A 62584-2023 karta knärot.png", "A 62584-2023")</f>
        <v/>
      </c>
      <c r="V466">
        <f>HYPERLINK("https://klasma.github.io/Logging_2284/klagomål/A 62584-2023 FSC-klagomål.docx", "A 62584-2023")</f>
        <v/>
      </c>
      <c r="W466">
        <f>HYPERLINK("https://klasma.github.io/Logging_2284/klagomålsmail/A 62584-2023 FSC-klagomål mail.docx", "A 62584-2023")</f>
        <v/>
      </c>
      <c r="X466">
        <f>HYPERLINK("https://klasma.github.io/Logging_2284/tillsyn/A 62584-2023 tillsynsbegäran.docx", "A 62584-2023")</f>
        <v/>
      </c>
      <c r="Y466">
        <f>HYPERLINK("https://klasma.github.io/Logging_2284/tillsynsmail/A 62584-2023 tillsynsbegäran mail.docx", "A 62584-2023")</f>
        <v/>
      </c>
      <c r="Z466">
        <f>HYPERLINK("https://klasma.github.io/Logging_2284/fåglar/A 62584-2023 prioriterade fågelarter.docx", "A 62584-2023")</f>
        <v/>
      </c>
    </row>
    <row r="467" ht="15" customHeight="1">
      <c r="A467" t="inlineStr">
        <is>
          <t>A 40866-2023</t>
        </is>
      </c>
      <c r="B467" s="1" t="n">
        <v>45173</v>
      </c>
      <c r="C467" s="1" t="n">
        <v>46185</v>
      </c>
      <c r="D467" t="inlineStr">
        <is>
          <t>VÄSTERNORRLANDS LÄN</t>
        </is>
      </c>
      <c r="E467" t="inlineStr">
        <is>
          <t>SOLLEFTEÅ</t>
        </is>
      </c>
      <c r="G467" t="n">
        <v>1.7</v>
      </c>
      <c r="H467" t="n">
        <v>4</v>
      </c>
      <c r="I467" t="n">
        <v>1</v>
      </c>
      <c r="J467" t="n">
        <v>2</v>
      </c>
      <c r="K467" t="n">
        <v>0</v>
      </c>
      <c r="L467" t="n">
        <v>0</v>
      </c>
      <c r="M467" t="n">
        <v>0</v>
      </c>
      <c r="N467" t="n">
        <v>0</v>
      </c>
      <c r="O467" t="n">
        <v>2</v>
      </c>
      <c r="P467" t="n">
        <v>0</v>
      </c>
      <c r="Q467" t="n">
        <v>5</v>
      </c>
      <c r="R467" s="2" t="inlineStr">
        <is>
          <t>Mindre hackspett
Spillkråka
Tibast
Göktyta
Skogsödla</t>
        </is>
      </c>
      <c r="S467">
        <f>HYPERLINK("https://klasma.github.io/Logging_2283/artfynd/A 40866-2023 artfynd.xlsx", "A 40866-2023")</f>
        <v/>
      </c>
      <c r="T467">
        <f>HYPERLINK("https://klasma.github.io/Logging_2283/kartor/A 40866-2023 karta.png", "A 40866-2023")</f>
        <v/>
      </c>
      <c r="V467">
        <f>HYPERLINK("https://klasma.github.io/Logging_2283/klagomål/A 40866-2023 FSC-klagomål.docx", "A 40866-2023")</f>
        <v/>
      </c>
      <c r="W467">
        <f>HYPERLINK("https://klasma.github.io/Logging_2283/klagomålsmail/A 40866-2023 FSC-klagomål mail.docx", "A 40866-2023")</f>
        <v/>
      </c>
      <c r="X467">
        <f>HYPERLINK("https://klasma.github.io/Logging_2283/tillsyn/A 40866-2023 tillsynsbegäran.docx", "A 40866-2023")</f>
        <v/>
      </c>
      <c r="Y467">
        <f>HYPERLINK("https://klasma.github.io/Logging_2283/tillsynsmail/A 40866-2023 tillsynsbegäran mail.docx", "A 40866-2023")</f>
        <v/>
      </c>
      <c r="Z467">
        <f>HYPERLINK("https://klasma.github.io/Logging_2283/fåglar/A 40866-2023 prioriterade fågelarter.docx", "A 40866-2023")</f>
        <v/>
      </c>
    </row>
    <row r="468" ht="15" customHeight="1">
      <c r="A468" t="inlineStr">
        <is>
          <t>A 48831-2024</t>
        </is>
      </c>
      <c r="B468" s="1" t="n">
        <v>45593.7190625</v>
      </c>
      <c r="C468" s="1" t="n">
        <v>46185</v>
      </c>
      <c r="D468" t="inlineStr">
        <is>
          <t>VÄSTERNORRLANDS LÄN</t>
        </is>
      </c>
      <c r="E468" t="inlineStr">
        <is>
          <t>HÄRNÖSAND</t>
        </is>
      </c>
      <c r="F468" t="inlineStr">
        <is>
          <t>SCA</t>
        </is>
      </c>
      <c r="G468" t="n">
        <v>7.4</v>
      </c>
      <c r="H468" t="n">
        <v>2</v>
      </c>
      <c r="I468" t="n">
        <v>1</v>
      </c>
      <c r="J468" t="n">
        <v>3</v>
      </c>
      <c r="K468" t="n">
        <v>0</v>
      </c>
      <c r="L468" t="n">
        <v>0</v>
      </c>
      <c r="M468" t="n">
        <v>0</v>
      </c>
      <c r="N468" t="n">
        <v>0</v>
      </c>
      <c r="O468" t="n">
        <v>3</v>
      </c>
      <c r="P468" t="n">
        <v>0</v>
      </c>
      <c r="Q468" t="n">
        <v>5</v>
      </c>
      <c r="R468" s="2" t="inlineStr">
        <is>
          <t>Garnlav
Lunglav
Ullticka
Tvåblad
Blåsippa</t>
        </is>
      </c>
      <c r="S468">
        <f>HYPERLINK("https://klasma.github.io/Logging_2280/artfynd/A 48831-2024 artfynd.xlsx", "A 48831-2024")</f>
        <v/>
      </c>
      <c r="T468">
        <f>HYPERLINK("https://klasma.github.io/Logging_2280/kartor/A 48831-2024 karta.png", "A 48831-2024")</f>
        <v/>
      </c>
      <c r="V468">
        <f>HYPERLINK("https://klasma.github.io/Logging_2280/klagomål/A 48831-2024 FSC-klagomål.docx", "A 48831-2024")</f>
        <v/>
      </c>
      <c r="W468">
        <f>HYPERLINK("https://klasma.github.io/Logging_2280/klagomålsmail/A 48831-2024 FSC-klagomål mail.docx", "A 48831-2024")</f>
        <v/>
      </c>
      <c r="X468">
        <f>HYPERLINK("https://klasma.github.io/Logging_2280/tillsyn/A 48831-2024 tillsynsbegäran.docx", "A 48831-2024")</f>
        <v/>
      </c>
      <c r="Y468">
        <f>HYPERLINK("https://klasma.github.io/Logging_2280/tillsynsmail/A 48831-2024 tillsynsbegäran mail.docx", "A 48831-2024")</f>
        <v/>
      </c>
    </row>
    <row r="469" ht="15" customHeight="1">
      <c r="A469" t="inlineStr">
        <is>
          <t>A 30235-2022</t>
        </is>
      </c>
      <c r="B469" s="1" t="n">
        <v>44757</v>
      </c>
      <c r="C469" s="1" t="n">
        <v>46185</v>
      </c>
      <c r="D469" t="inlineStr">
        <is>
          <t>VÄSTERNORRLANDS LÄN</t>
        </is>
      </c>
      <c r="E469" t="inlineStr">
        <is>
          <t>SOLLEFTEÅ</t>
        </is>
      </c>
      <c r="F469" t="inlineStr">
        <is>
          <t>SCA</t>
        </is>
      </c>
      <c r="G469" t="n">
        <v>4.7</v>
      </c>
      <c r="H469" t="n">
        <v>3</v>
      </c>
      <c r="I469" t="n">
        <v>0</v>
      </c>
      <c r="J469" t="n">
        <v>3</v>
      </c>
      <c r="K469" t="n">
        <v>2</v>
      </c>
      <c r="L469" t="n">
        <v>0</v>
      </c>
      <c r="M469" t="n">
        <v>0</v>
      </c>
      <c r="N469" t="n">
        <v>0</v>
      </c>
      <c r="O469" t="n">
        <v>5</v>
      </c>
      <c r="P469" t="n">
        <v>2</v>
      </c>
      <c r="Q469" t="n">
        <v>5</v>
      </c>
      <c r="R469" s="2" t="inlineStr">
        <is>
          <t>Doftticka
Knärot
Lunglav
Skrovellav
Tretåig hackspett</t>
        </is>
      </c>
      <c r="S469">
        <f>HYPERLINK("https://klasma.github.io/Logging_2283/artfynd/A 30235-2022 artfynd.xlsx", "A 30235-2022")</f>
        <v/>
      </c>
      <c r="T469">
        <f>HYPERLINK("https://klasma.github.io/Logging_2283/kartor/A 30235-2022 karta.png", "A 30235-2022")</f>
        <v/>
      </c>
      <c r="U469">
        <f>HYPERLINK("https://klasma.github.io/Logging_2283/knärot/A 30235-2022 karta knärot.png", "A 30235-2022")</f>
        <v/>
      </c>
      <c r="V469">
        <f>HYPERLINK("https://klasma.github.io/Logging_2283/klagomål/A 30235-2022 FSC-klagomål.docx", "A 30235-2022")</f>
        <v/>
      </c>
      <c r="W469">
        <f>HYPERLINK("https://klasma.github.io/Logging_2283/klagomålsmail/A 30235-2022 FSC-klagomål mail.docx", "A 30235-2022")</f>
        <v/>
      </c>
      <c r="X469">
        <f>HYPERLINK("https://klasma.github.io/Logging_2283/tillsyn/A 30235-2022 tillsynsbegäran.docx", "A 30235-2022")</f>
        <v/>
      </c>
      <c r="Y469">
        <f>HYPERLINK("https://klasma.github.io/Logging_2283/tillsynsmail/A 30235-2022 tillsynsbegäran mail.docx", "A 30235-2022")</f>
        <v/>
      </c>
      <c r="Z469">
        <f>HYPERLINK("https://klasma.github.io/Logging_2283/fåglar/A 30235-2022 prioriterade fågelarter.docx", "A 30235-2022")</f>
        <v/>
      </c>
    </row>
    <row r="470" ht="15" customHeight="1">
      <c r="A470" t="inlineStr">
        <is>
          <t>A 19449-2024</t>
        </is>
      </c>
      <c r="B470" s="1" t="n">
        <v>45429</v>
      </c>
      <c r="C470" s="1" t="n">
        <v>46185</v>
      </c>
      <c r="D470" t="inlineStr">
        <is>
          <t>VÄSTERNORRLANDS LÄN</t>
        </is>
      </c>
      <c r="E470" t="inlineStr">
        <is>
          <t>TIMRÅ</t>
        </is>
      </c>
      <c r="G470" t="n">
        <v>2.5</v>
      </c>
      <c r="H470" t="n">
        <v>5</v>
      </c>
      <c r="I470" t="n">
        <v>0</v>
      </c>
      <c r="J470" t="n">
        <v>4</v>
      </c>
      <c r="K470" t="n">
        <v>0</v>
      </c>
      <c r="L470" t="n">
        <v>0</v>
      </c>
      <c r="M470" t="n">
        <v>0</v>
      </c>
      <c r="N470" t="n">
        <v>0</v>
      </c>
      <c r="O470" t="n">
        <v>4</v>
      </c>
      <c r="P470" t="n">
        <v>0</v>
      </c>
      <c r="Q470" t="n">
        <v>5</v>
      </c>
      <c r="R470" s="2" t="inlineStr">
        <is>
          <t>Buskskvätta
Hornuggla
Kråka
Rosenfink
Gråspett</t>
        </is>
      </c>
      <c r="S470">
        <f>HYPERLINK("https://klasma.github.io/Logging_2262/artfynd/A 19449-2024 artfynd.xlsx", "A 19449-2024")</f>
        <v/>
      </c>
      <c r="T470">
        <f>HYPERLINK("https://klasma.github.io/Logging_2262/kartor/A 19449-2024 karta.png", "A 19449-2024")</f>
        <v/>
      </c>
      <c r="V470">
        <f>HYPERLINK("https://klasma.github.io/Logging_2262/klagomål/A 19449-2024 FSC-klagomål.docx", "A 19449-2024")</f>
        <v/>
      </c>
      <c r="W470">
        <f>HYPERLINK("https://klasma.github.io/Logging_2262/klagomålsmail/A 19449-2024 FSC-klagomål mail.docx", "A 19449-2024")</f>
        <v/>
      </c>
      <c r="X470">
        <f>HYPERLINK("https://klasma.github.io/Logging_2262/tillsyn/A 19449-2024 tillsynsbegäran.docx", "A 19449-2024")</f>
        <v/>
      </c>
      <c r="Y470">
        <f>HYPERLINK("https://klasma.github.io/Logging_2262/tillsynsmail/A 19449-2024 tillsynsbegäran mail.docx", "A 19449-2024")</f>
        <v/>
      </c>
      <c r="Z470">
        <f>HYPERLINK("https://klasma.github.io/Logging_2262/fåglar/A 19449-2024 prioriterade fågelarter.docx", "A 19449-2024")</f>
        <v/>
      </c>
    </row>
    <row r="471" ht="15" customHeight="1">
      <c r="A471" t="inlineStr">
        <is>
          <t>A 22047-2025</t>
        </is>
      </c>
      <c r="B471" s="1" t="n">
        <v>45785.34423611111</v>
      </c>
      <c r="C471" s="1" t="n">
        <v>46185</v>
      </c>
      <c r="D471" t="inlineStr">
        <is>
          <t>VÄSTERNORRLANDS LÄN</t>
        </is>
      </c>
      <c r="E471" t="inlineStr">
        <is>
          <t>KRAMFORS</t>
        </is>
      </c>
      <c r="F471" t="inlineStr">
        <is>
          <t>SCA</t>
        </is>
      </c>
      <c r="G471" t="n">
        <v>12.4</v>
      </c>
      <c r="H471" t="n">
        <v>1</v>
      </c>
      <c r="I471" t="n">
        <v>0</v>
      </c>
      <c r="J471" t="n">
        <v>2</v>
      </c>
      <c r="K471" t="n">
        <v>3</v>
      </c>
      <c r="L471" t="n">
        <v>0</v>
      </c>
      <c r="M471" t="n">
        <v>0</v>
      </c>
      <c r="N471" t="n">
        <v>0</v>
      </c>
      <c r="O471" t="n">
        <v>5</v>
      </c>
      <c r="P471" t="n">
        <v>3</v>
      </c>
      <c r="Q471" t="n">
        <v>5</v>
      </c>
      <c r="R471" s="2" t="inlineStr">
        <is>
          <t>Knärot
Rynkskinn
Ulltickeporing
Rosenticka
Ullticka</t>
        </is>
      </c>
      <c r="S471">
        <f>HYPERLINK("https://klasma.github.io/Logging_2282/artfynd/A 22047-2025 artfynd.xlsx", "A 22047-2025")</f>
        <v/>
      </c>
      <c r="T471">
        <f>HYPERLINK("https://klasma.github.io/Logging_2282/kartor/A 22047-2025 karta.png", "A 22047-2025")</f>
        <v/>
      </c>
      <c r="U471">
        <f>HYPERLINK("https://klasma.github.io/Logging_2282/knärot/A 22047-2025 karta knärot.png", "A 22047-2025")</f>
        <v/>
      </c>
      <c r="V471">
        <f>HYPERLINK("https://klasma.github.io/Logging_2282/klagomål/A 22047-2025 FSC-klagomål.docx", "A 22047-2025")</f>
        <v/>
      </c>
      <c r="W471">
        <f>HYPERLINK("https://klasma.github.io/Logging_2282/klagomålsmail/A 22047-2025 FSC-klagomål mail.docx", "A 22047-2025")</f>
        <v/>
      </c>
      <c r="X471">
        <f>HYPERLINK("https://klasma.github.io/Logging_2282/tillsyn/A 22047-2025 tillsynsbegäran.docx", "A 22047-2025")</f>
        <v/>
      </c>
      <c r="Y471">
        <f>HYPERLINK("https://klasma.github.io/Logging_2282/tillsynsmail/A 22047-2025 tillsynsbegäran mail.docx", "A 22047-2025")</f>
        <v/>
      </c>
    </row>
    <row r="472" ht="15" customHeight="1">
      <c r="A472" t="inlineStr">
        <is>
          <t>A 39049-2024</t>
        </is>
      </c>
      <c r="B472" s="1" t="n">
        <v>45548.48994212963</v>
      </c>
      <c r="C472" s="1" t="n">
        <v>46185</v>
      </c>
      <c r="D472" t="inlineStr">
        <is>
          <t>VÄSTERNORRLANDS LÄN</t>
        </is>
      </c>
      <c r="E472" t="inlineStr">
        <is>
          <t>HÄRNÖSAND</t>
        </is>
      </c>
      <c r="G472" t="n">
        <v>12.5</v>
      </c>
      <c r="H472" t="n">
        <v>0</v>
      </c>
      <c r="I472" t="n">
        <v>1</v>
      </c>
      <c r="J472" t="n">
        <v>4</v>
      </c>
      <c r="K472" t="n">
        <v>0</v>
      </c>
      <c r="L472" t="n">
        <v>0</v>
      </c>
      <c r="M472" t="n">
        <v>0</v>
      </c>
      <c r="N472" t="n">
        <v>0</v>
      </c>
      <c r="O472" t="n">
        <v>4</v>
      </c>
      <c r="P472" t="n">
        <v>0</v>
      </c>
      <c r="Q472" t="n">
        <v>5</v>
      </c>
      <c r="R472" s="2" t="inlineStr">
        <is>
          <t>Garnlav
Gränsticka
Kötticka
Ullticka
Vedticka</t>
        </is>
      </c>
      <c r="S472">
        <f>HYPERLINK("https://klasma.github.io/Logging_2280/artfynd/A 39049-2024 artfynd.xlsx", "A 39049-2024")</f>
        <v/>
      </c>
      <c r="T472">
        <f>HYPERLINK("https://klasma.github.io/Logging_2280/kartor/A 39049-2024 karta.png", "A 39049-2024")</f>
        <v/>
      </c>
      <c r="V472">
        <f>HYPERLINK("https://klasma.github.io/Logging_2280/klagomål/A 39049-2024 FSC-klagomål.docx", "A 39049-2024")</f>
        <v/>
      </c>
      <c r="W472">
        <f>HYPERLINK("https://klasma.github.io/Logging_2280/klagomålsmail/A 39049-2024 FSC-klagomål mail.docx", "A 39049-2024")</f>
        <v/>
      </c>
      <c r="X472">
        <f>HYPERLINK("https://klasma.github.io/Logging_2280/tillsyn/A 39049-2024 tillsynsbegäran.docx", "A 39049-2024")</f>
        <v/>
      </c>
      <c r="Y472">
        <f>HYPERLINK("https://klasma.github.io/Logging_2280/tillsynsmail/A 39049-2024 tillsynsbegäran mail.docx", "A 39049-2024")</f>
        <v/>
      </c>
    </row>
    <row r="473" ht="15" customHeight="1">
      <c r="A473" t="inlineStr">
        <is>
          <t>A 29620-2024</t>
        </is>
      </c>
      <c r="B473" s="1" t="n">
        <v>45484.65516203704</v>
      </c>
      <c r="C473" s="1" t="n">
        <v>46185</v>
      </c>
      <c r="D473" t="inlineStr">
        <is>
          <t>VÄSTERNORRLANDS LÄN</t>
        </is>
      </c>
      <c r="E473" t="inlineStr">
        <is>
          <t>KRAMFORS</t>
        </is>
      </c>
      <c r="G473" t="n">
        <v>5.4</v>
      </c>
      <c r="H473" t="n">
        <v>0</v>
      </c>
      <c r="I473" t="n">
        <v>0</v>
      </c>
      <c r="J473" t="n">
        <v>5</v>
      </c>
      <c r="K473" t="n">
        <v>0</v>
      </c>
      <c r="L473" t="n">
        <v>0</v>
      </c>
      <c r="M473" t="n">
        <v>0</v>
      </c>
      <c r="N473" t="n">
        <v>0</v>
      </c>
      <c r="O473" t="n">
        <v>5</v>
      </c>
      <c r="P473" t="n">
        <v>0</v>
      </c>
      <c r="Q473" t="n">
        <v>5</v>
      </c>
      <c r="R473" s="2" t="inlineStr">
        <is>
          <t>Dvärgbägarlav
Garnlav
Kolflarnlav
Mörk kolflarnlav
Vedskivlav</t>
        </is>
      </c>
      <c r="S473">
        <f>HYPERLINK("https://klasma.github.io/Logging_2282/artfynd/A 29620-2024 artfynd.xlsx", "A 29620-2024")</f>
        <v/>
      </c>
      <c r="T473">
        <f>HYPERLINK("https://klasma.github.io/Logging_2282/kartor/A 29620-2024 karta.png", "A 29620-2024")</f>
        <v/>
      </c>
      <c r="V473">
        <f>HYPERLINK("https://klasma.github.io/Logging_2282/klagomål/A 29620-2024 FSC-klagomål.docx", "A 29620-2024")</f>
        <v/>
      </c>
      <c r="W473">
        <f>HYPERLINK("https://klasma.github.io/Logging_2282/klagomålsmail/A 29620-2024 FSC-klagomål mail.docx", "A 29620-2024")</f>
        <v/>
      </c>
      <c r="X473">
        <f>HYPERLINK("https://klasma.github.io/Logging_2282/tillsyn/A 29620-2024 tillsynsbegäran.docx", "A 29620-2024")</f>
        <v/>
      </c>
      <c r="Y473">
        <f>HYPERLINK("https://klasma.github.io/Logging_2282/tillsynsmail/A 29620-2024 tillsynsbegäran mail.docx", "A 29620-2024")</f>
        <v/>
      </c>
    </row>
    <row r="474" ht="15" customHeight="1">
      <c r="A474" t="inlineStr">
        <is>
          <t>A 3795-2022</t>
        </is>
      </c>
      <c r="B474" s="1" t="n">
        <v>44586</v>
      </c>
      <c r="C474" s="1" t="n">
        <v>46185</v>
      </c>
      <c r="D474" t="inlineStr">
        <is>
          <t>VÄSTERNORRLANDS LÄN</t>
        </is>
      </c>
      <c r="E474" t="inlineStr">
        <is>
          <t>SOLLEFTEÅ</t>
        </is>
      </c>
      <c r="F474" t="inlineStr">
        <is>
          <t>SCA</t>
        </is>
      </c>
      <c r="G474" t="n">
        <v>1.3</v>
      </c>
      <c r="H474" t="n">
        <v>3</v>
      </c>
      <c r="I474" t="n">
        <v>0</v>
      </c>
      <c r="J474" t="n">
        <v>3</v>
      </c>
      <c r="K474" t="n">
        <v>1</v>
      </c>
      <c r="L474" t="n">
        <v>0</v>
      </c>
      <c r="M474" t="n">
        <v>0</v>
      </c>
      <c r="N474" t="n">
        <v>0</v>
      </c>
      <c r="O474" t="n">
        <v>4</v>
      </c>
      <c r="P474" t="n">
        <v>1</v>
      </c>
      <c r="Q474" t="n">
        <v>4</v>
      </c>
      <c r="R474" s="2" t="inlineStr">
        <is>
          <t>Knärot
Garnlav
Talltita
Tretåig hackspett</t>
        </is>
      </c>
      <c r="S474">
        <f>HYPERLINK("https://klasma.github.io/Logging_2283/artfynd/A 3795-2022 artfynd.xlsx", "A 3795-2022")</f>
        <v/>
      </c>
      <c r="T474">
        <f>HYPERLINK("https://klasma.github.io/Logging_2283/kartor/A 3795-2022 karta.png", "A 3795-2022")</f>
        <v/>
      </c>
      <c r="U474">
        <f>HYPERLINK("https://klasma.github.io/Logging_2283/knärot/A 3795-2022 karta knärot.png", "A 3795-2022")</f>
        <v/>
      </c>
      <c r="V474">
        <f>HYPERLINK("https://klasma.github.io/Logging_2283/klagomål/A 3795-2022 FSC-klagomål.docx", "A 3795-2022")</f>
        <v/>
      </c>
      <c r="W474">
        <f>HYPERLINK("https://klasma.github.io/Logging_2283/klagomålsmail/A 3795-2022 FSC-klagomål mail.docx", "A 3795-2022")</f>
        <v/>
      </c>
      <c r="X474">
        <f>HYPERLINK("https://klasma.github.io/Logging_2283/tillsyn/A 3795-2022 tillsynsbegäran.docx", "A 3795-2022")</f>
        <v/>
      </c>
      <c r="Y474">
        <f>HYPERLINK("https://klasma.github.io/Logging_2283/tillsynsmail/A 3795-2022 tillsynsbegäran mail.docx", "A 3795-2022")</f>
        <v/>
      </c>
      <c r="Z474">
        <f>HYPERLINK("https://klasma.github.io/Logging_2283/fåglar/A 3795-2022 prioriterade fågelarter.docx", "A 3795-2022")</f>
        <v/>
      </c>
    </row>
    <row r="475" ht="15" customHeight="1">
      <c r="A475" t="inlineStr">
        <is>
          <t>A 21663-2022</t>
        </is>
      </c>
      <c r="B475" s="1" t="n">
        <v>44706.94302083334</v>
      </c>
      <c r="C475" s="1" t="n">
        <v>46185</v>
      </c>
      <c r="D475" t="inlineStr">
        <is>
          <t>VÄSTERNORRLANDS LÄN</t>
        </is>
      </c>
      <c r="E475" t="inlineStr">
        <is>
          <t>SUNDSVALL</t>
        </is>
      </c>
      <c r="F475" t="inlineStr">
        <is>
          <t>SCA</t>
        </is>
      </c>
      <c r="G475" t="n">
        <v>1.5</v>
      </c>
      <c r="H475" t="n">
        <v>2</v>
      </c>
      <c r="I475" t="n">
        <v>0</v>
      </c>
      <c r="J475" t="n">
        <v>4</v>
      </c>
      <c r="K475" t="n">
        <v>0</v>
      </c>
      <c r="L475" t="n">
        <v>0</v>
      </c>
      <c r="M475" t="n">
        <v>0</v>
      </c>
      <c r="N475" t="n">
        <v>0</v>
      </c>
      <c r="O475" t="n">
        <v>4</v>
      </c>
      <c r="P475" t="n">
        <v>0</v>
      </c>
      <c r="Q475" t="n">
        <v>4</v>
      </c>
      <c r="R475" s="2" t="inlineStr">
        <is>
          <t>Garnlav
Svartvit flugsnappare
Talltita
Ullticka</t>
        </is>
      </c>
      <c r="S475">
        <f>HYPERLINK("https://klasma.github.io/Logging_2281/artfynd/A 21663-2022 artfynd.xlsx", "A 21663-2022")</f>
        <v/>
      </c>
      <c r="T475">
        <f>HYPERLINK("https://klasma.github.io/Logging_2281/kartor/A 21663-2022 karta.png", "A 21663-2022")</f>
        <v/>
      </c>
      <c r="U475">
        <f>HYPERLINK("https://klasma.github.io/Logging_2281/knärot/A 21663-2022 karta knärot.png", "A 21663-2022")</f>
        <v/>
      </c>
      <c r="V475">
        <f>HYPERLINK("https://klasma.github.io/Logging_2281/klagomål/A 21663-2022 FSC-klagomål.docx", "A 21663-2022")</f>
        <v/>
      </c>
      <c r="W475">
        <f>HYPERLINK("https://klasma.github.io/Logging_2281/klagomålsmail/A 21663-2022 FSC-klagomål mail.docx", "A 21663-2022")</f>
        <v/>
      </c>
      <c r="X475">
        <f>HYPERLINK("https://klasma.github.io/Logging_2281/tillsyn/A 21663-2022 tillsynsbegäran.docx", "A 21663-2022")</f>
        <v/>
      </c>
      <c r="Y475">
        <f>HYPERLINK("https://klasma.github.io/Logging_2281/tillsynsmail/A 21663-2022 tillsynsbegäran mail.docx", "A 21663-2022")</f>
        <v/>
      </c>
      <c r="Z475">
        <f>HYPERLINK("https://klasma.github.io/Logging_2281/fåglar/A 21663-2022 prioriterade fågelarter.docx", "A 21663-2022")</f>
        <v/>
      </c>
    </row>
    <row r="476" ht="15" customHeight="1">
      <c r="A476" t="inlineStr">
        <is>
          <t>A 48061-2022</t>
        </is>
      </c>
      <c r="B476" s="1" t="n">
        <v>44855</v>
      </c>
      <c r="C476" s="1" t="n">
        <v>46185</v>
      </c>
      <c r="D476" t="inlineStr">
        <is>
          <t>VÄSTERNORRLANDS LÄN</t>
        </is>
      </c>
      <c r="E476" t="inlineStr">
        <is>
          <t>SOLLEFTEÅ</t>
        </is>
      </c>
      <c r="F476" t="inlineStr">
        <is>
          <t>SCA</t>
        </is>
      </c>
      <c r="G476" t="n">
        <v>4.1</v>
      </c>
      <c r="H476" t="n">
        <v>0</v>
      </c>
      <c r="I476" t="n">
        <v>1</v>
      </c>
      <c r="J476" t="n">
        <v>2</v>
      </c>
      <c r="K476" t="n">
        <v>1</v>
      </c>
      <c r="L476" t="n">
        <v>0</v>
      </c>
      <c r="M476" t="n">
        <v>0</v>
      </c>
      <c r="N476" t="n">
        <v>0</v>
      </c>
      <c r="O476" t="n">
        <v>3</v>
      </c>
      <c r="P476" t="n">
        <v>1</v>
      </c>
      <c r="Q476" t="n">
        <v>4</v>
      </c>
      <c r="R476" s="2" t="inlineStr">
        <is>
          <t>Rynkskinn
Rosenticka
Ullticka
Trådticka</t>
        </is>
      </c>
      <c r="S476">
        <f>HYPERLINK("https://klasma.github.io/Logging_2283/artfynd/A 48061-2022 artfynd.xlsx", "A 48061-2022")</f>
        <v/>
      </c>
      <c r="T476">
        <f>HYPERLINK("https://klasma.github.io/Logging_2283/kartor/A 48061-2022 karta.png", "A 48061-2022")</f>
        <v/>
      </c>
      <c r="V476">
        <f>HYPERLINK("https://klasma.github.io/Logging_2283/klagomål/A 48061-2022 FSC-klagomål.docx", "A 48061-2022")</f>
        <v/>
      </c>
      <c r="W476">
        <f>HYPERLINK("https://klasma.github.io/Logging_2283/klagomålsmail/A 48061-2022 FSC-klagomål mail.docx", "A 48061-2022")</f>
        <v/>
      </c>
      <c r="X476">
        <f>HYPERLINK("https://klasma.github.io/Logging_2283/tillsyn/A 48061-2022 tillsynsbegäran.docx", "A 48061-2022")</f>
        <v/>
      </c>
      <c r="Y476">
        <f>HYPERLINK("https://klasma.github.io/Logging_2283/tillsynsmail/A 48061-2022 tillsynsbegäran mail.docx", "A 48061-2022")</f>
        <v/>
      </c>
    </row>
    <row r="477" ht="15" customHeight="1">
      <c r="A477" t="inlineStr">
        <is>
          <t>A 27950-2022</t>
        </is>
      </c>
      <c r="B477" s="1" t="n">
        <v>44743.94391203704</v>
      </c>
      <c r="C477" s="1" t="n">
        <v>46185</v>
      </c>
      <c r="D477" t="inlineStr">
        <is>
          <t>VÄSTERNORRLANDS LÄN</t>
        </is>
      </c>
      <c r="E477" t="inlineStr">
        <is>
          <t>SUNDSVALL</t>
        </is>
      </c>
      <c r="F477" t="inlineStr">
        <is>
          <t>SCA</t>
        </is>
      </c>
      <c r="G477" t="n">
        <v>3.6</v>
      </c>
      <c r="H477" t="n">
        <v>4</v>
      </c>
      <c r="I477" t="n">
        <v>0</v>
      </c>
      <c r="J477" t="n">
        <v>3</v>
      </c>
      <c r="K477" t="n">
        <v>1</v>
      </c>
      <c r="L477" t="n">
        <v>0</v>
      </c>
      <c r="M477" t="n">
        <v>0</v>
      </c>
      <c r="N477" t="n">
        <v>0</v>
      </c>
      <c r="O477" t="n">
        <v>4</v>
      </c>
      <c r="P477" t="n">
        <v>1</v>
      </c>
      <c r="Q477" t="n">
        <v>4</v>
      </c>
      <c r="R477" s="2" t="inlineStr">
        <is>
          <t>Knärot
Järpe
Spillkråka
Tretåig hackspett</t>
        </is>
      </c>
      <c r="S477">
        <f>HYPERLINK("https://klasma.github.io/Logging_2281/artfynd/A 27950-2022 artfynd.xlsx", "A 27950-2022")</f>
        <v/>
      </c>
      <c r="T477">
        <f>HYPERLINK("https://klasma.github.io/Logging_2281/kartor/A 27950-2022 karta.png", "A 27950-2022")</f>
        <v/>
      </c>
      <c r="U477">
        <f>HYPERLINK("https://klasma.github.io/Logging_2281/knärot/A 27950-2022 karta knärot.png", "A 27950-2022")</f>
        <v/>
      </c>
      <c r="V477">
        <f>HYPERLINK("https://klasma.github.io/Logging_2281/klagomål/A 27950-2022 FSC-klagomål.docx", "A 27950-2022")</f>
        <v/>
      </c>
      <c r="W477">
        <f>HYPERLINK("https://klasma.github.io/Logging_2281/klagomålsmail/A 27950-2022 FSC-klagomål mail.docx", "A 27950-2022")</f>
        <v/>
      </c>
      <c r="X477">
        <f>HYPERLINK("https://klasma.github.io/Logging_2281/tillsyn/A 27950-2022 tillsynsbegäran.docx", "A 27950-2022")</f>
        <v/>
      </c>
      <c r="Y477">
        <f>HYPERLINK("https://klasma.github.io/Logging_2281/tillsynsmail/A 27950-2022 tillsynsbegäran mail.docx", "A 27950-2022")</f>
        <v/>
      </c>
      <c r="Z477">
        <f>HYPERLINK("https://klasma.github.io/Logging_2281/fåglar/A 27950-2022 prioriterade fågelarter.docx", "A 27950-2022")</f>
        <v/>
      </c>
    </row>
    <row r="478" ht="15" customHeight="1">
      <c r="A478" t="inlineStr">
        <is>
          <t>A 46548-2023</t>
        </is>
      </c>
      <c r="B478" s="1" t="n">
        <v>45197</v>
      </c>
      <c r="C478" s="1" t="n">
        <v>46185</v>
      </c>
      <c r="D478" t="inlineStr">
        <is>
          <t>VÄSTERNORRLANDS LÄN</t>
        </is>
      </c>
      <c r="E478" t="inlineStr">
        <is>
          <t>ÅNGE</t>
        </is>
      </c>
      <c r="F478" t="inlineStr">
        <is>
          <t>SCA</t>
        </is>
      </c>
      <c r="G478" t="n">
        <v>4.1</v>
      </c>
      <c r="H478" t="n">
        <v>3</v>
      </c>
      <c r="I478" t="n">
        <v>2</v>
      </c>
      <c r="J478" t="n">
        <v>0</v>
      </c>
      <c r="K478" t="n">
        <v>1</v>
      </c>
      <c r="L478" t="n">
        <v>0</v>
      </c>
      <c r="M478" t="n">
        <v>0</v>
      </c>
      <c r="N478" t="n">
        <v>0</v>
      </c>
      <c r="O478" t="n">
        <v>1</v>
      </c>
      <c r="P478" t="n">
        <v>1</v>
      </c>
      <c r="Q478" t="n">
        <v>4</v>
      </c>
      <c r="R478" s="2" t="inlineStr">
        <is>
          <t>Knärot
Spindelblomster
Svavelriska
Fläcknycklar</t>
        </is>
      </c>
      <c r="S478">
        <f>HYPERLINK("https://klasma.github.io/Logging_2260/artfynd/A 46548-2023 artfynd.xlsx", "A 46548-2023")</f>
        <v/>
      </c>
      <c r="T478">
        <f>HYPERLINK("https://klasma.github.io/Logging_2260/kartor/A 46548-2023 karta.png", "A 46548-2023")</f>
        <v/>
      </c>
      <c r="U478">
        <f>HYPERLINK("https://klasma.github.io/Logging_2260/knärot/A 46548-2023 karta knärot.png", "A 46548-2023")</f>
        <v/>
      </c>
      <c r="V478">
        <f>HYPERLINK("https://klasma.github.io/Logging_2260/klagomål/A 46548-2023 FSC-klagomål.docx", "A 46548-2023")</f>
        <v/>
      </c>
      <c r="W478">
        <f>HYPERLINK("https://klasma.github.io/Logging_2260/klagomålsmail/A 46548-2023 FSC-klagomål mail.docx", "A 46548-2023")</f>
        <v/>
      </c>
      <c r="X478">
        <f>HYPERLINK("https://klasma.github.io/Logging_2260/tillsyn/A 46548-2023 tillsynsbegäran.docx", "A 46548-2023")</f>
        <v/>
      </c>
      <c r="Y478">
        <f>HYPERLINK("https://klasma.github.io/Logging_2260/tillsynsmail/A 46548-2023 tillsynsbegäran mail.docx", "A 46548-2023")</f>
        <v/>
      </c>
    </row>
    <row r="479" ht="15" customHeight="1">
      <c r="A479" t="inlineStr">
        <is>
          <t>A 53130-2022</t>
        </is>
      </c>
      <c r="B479" s="1" t="n">
        <v>44873</v>
      </c>
      <c r="C479" s="1" t="n">
        <v>46185</v>
      </c>
      <c r="D479" t="inlineStr">
        <is>
          <t>VÄSTERNORRLANDS LÄN</t>
        </is>
      </c>
      <c r="E479" t="inlineStr">
        <is>
          <t>SOLLEFTEÅ</t>
        </is>
      </c>
      <c r="G479" t="n">
        <v>19.8</v>
      </c>
      <c r="H479" t="n">
        <v>2</v>
      </c>
      <c r="I479" t="n">
        <v>1</v>
      </c>
      <c r="J479" t="n">
        <v>2</v>
      </c>
      <c r="K479" t="n">
        <v>0</v>
      </c>
      <c r="L479" t="n">
        <v>0</v>
      </c>
      <c r="M479" t="n">
        <v>0</v>
      </c>
      <c r="N479" t="n">
        <v>0</v>
      </c>
      <c r="O479" t="n">
        <v>2</v>
      </c>
      <c r="P479" t="n">
        <v>0</v>
      </c>
      <c r="Q479" t="n">
        <v>4</v>
      </c>
      <c r="R479" s="2" t="inlineStr">
        <is>
          <t>Lunglav
Myrbräcka
Bårdlav
Fläcknycklar</t>
        </is>
      </c>
      <c r="S479">
        <f>HYPERLINK("https://klasma.github.io/Logging_2283/artfynd/A 53130-2022 artfynd.xlsx", "A 53130-2022")</f>
        <v/>
      </c>
      <c r="T479">
        <f>HYPERLINK("https://klasma.github.io/Logging_2283/kartor/A 53130-2022 karta.png", "A 53130-2022")</f>
        <v/>
      </c>
      <c r="V479">
        <f>HYPERLINK("https://klasma.github.io/Logging_2283/klagomål/A 53130-2022 FSC-klagomål.docx", "A 53130-2022")</f>
        <v/>
      </c>
      <c r="W479">
        <f>HYPERLINK("https://klasma.github.io/Logging_2283/klagomålsmail/A 53130-2022 FSC-klagomål mail.docx", "A 53130-2022")</f>
        <v/>
      </c>
      <c r="X479">
        <f>HYPERLINK("https://klasma.github.io/Logging_2283/tillsyn/A 53130-2022 tillsynsbegäran.docx", "A 53130-2022")</f>
        <v/>
      </c>
      <c r="Y479">
        <f>HYPERLINK("https://klasma.github.io/Logging_2283/tillsynsmail/A 53130-2022 tillsynsbegäran mail.docx", "A 53130-2022")</f>
        <v/>
      </c>
    </row>
    <row r="480" ht="15" customHeight="1">
      <c r="A480" t="inlineStr">
        <is>
          <t>A 11973-2024</t>
        </is>
      </c>
      <c r="B480" s="1" t="n">
        <v>45376</v>
      </c>
      <c r="C480" s="1" t="n">
        <v>46185</v>
      </c>
      <c r="D480" t="inlineStr">
        <is>
          <t>VÄSTERNORRLANDS LÄN</t>
        </is>
      </c>
      <c r="E480" t="inlineStr">
        <is>
          <t>HÄRNÖSAND</t>
        </is>
      </c>
      <c r="F480" t="inlineStr">
        <is>
          <t>SCA</t>
        </is>
      </c>
      <c r="G480" t="n">
        <v>7.9</v>
      </c>
      <c r="H480" t="n">
        <v>0</v>
      </c>
      <c r="I480" t="n">
        <v>1</v>
      </c>
      <c r="J480" t="n">
        <v>3</v>
      </c>
      <c r="K480" t="n">
        <v>0</v>
      </c>
      <c r="L480" t="n">
        <v>0</v>
      </c>
      <c r="M480" t="n">
        <v>0</v>
      </c>
      <c r="N480" t="n">
        <v>0</v>
      </c>
      <c r="O480" t="n">
        <v>3</v>
      </c>
      <c r="P480" t="n">
        <v>0</v>
      </c>
      <c r="Q480" t="n">
        <v>4</v>
      </c>
      <c r="R480" s="2" t="inlineStr">
        <is>
          <t>Garnlav
Lunglav
Violettgrå tagellav
Skinnlav</t>
        </is>
      </c>
      <c r="S480">
        <f>HYPERLINK("https://klasma.github.io/Logging_2280/artfynd/A 11973-2024 artfynd.xlsx", "A 11973-2024")</f>
        <v/>
      </c>
      <c r="T480">
        <f>HYPERLINK("https://klasma.github.io/Logging_2280/kartor/A 11973-2024 karta.png", "A 11973-2024")</f>
        <v/>
      </c>
      <c r="V480">
        <f>HYPERLINK("https://klasma.github.io/Logging_2280/klagomål/A 11973-2024 FSC-klagomål.docx", "A 11973-2024")</f>
        <v/>
      </c>
      <c r="W480">
        <f>HYPERLINK("https://klasma.github.io/Logging_2280/klagomålsmail/A 11973-2024 FSC-klagomål mail.docx", "A 11973-2024")</f>
        <v/>
      </c>
      <c r="X480">
        <f>HYPERLINK("https://klasma.github.io/Logging_2280/tillsyn/A 11973-2024 tillsynsbegäran.docx", "A 11973-2024")</f>
        <v/>
      </c>
      <c r="Y480">
        <f>HYPERLINK("https://klasma.github.io/Logging_2280/tillsynsmail/A 11973-2024 tillsynsbegäran mail.docx", "A 11973-2024")</f>
        <v/>
      </c>
    </row>
    <row r="481" ht="15" customHeight="1">
      <c r="A481" t="inlineStr">
        <is>
          <t>A 13342-2024</t>
        </is>
      </c>
      <c r="B481" s="1" t="n">
        <v>45386</v>
      </c>
      <c r="C481" s="1" t="n">
        <v>46185</v>
      </c>
      <c r="D481" t="inlineStr">
        <is>
          <t>VÄSTERNORRLANDS LÄN</t>
        </is>
      </c>
      <c r="E481" t="inlineStr">
        <is>
          <t>SOLLEFTEÅ</t>
        </is>
      </c>
      <c r="F481" t="inlineStr">
        <is>
          <t>SCA</t>
        </is>
      </c>
      <c r="G481" t="n">
        <v>4.4</v>
      </c>
      <c r="H481" t="n">
        <v>0</v>
      </c>
      <c r="I481" t="n">
        <v>1</v>
      </c>
      <c r="J481" t="n">
        <v>3</v>
      </c>
      <c r="K481" t="n">
        <v>0</v>
      </c>
      <c r="L481" t="n">
        <v>0</v>
      </c>
      <c r="M481" t="n">
        <v>0</v>
      </c>
      <c r="N481" t="n">
        <v>0</v>
      </c>
      <c r="O481" t="n">
        <v>3</v>
      </c>
      <c r="P481" t="n">
        <v>0</v>
      </c>
      <c r="Q481" t="n">
        <v>4</v>
      </c>
      <c r="R481" s="2" t="inlineStr">
        <is>
          <t>Lunglav
Skrovellav
Ullticka
Stuplav</t>
        </is>
      </c>
      <c r="S481">
        <f>HYPERLINK("https://klasma.github.io/Logging_2283/artfynd/A 13342-2024 artfynd.xlsx", "A 13342-2024")</f>
        <v/>
      </c>
      <c r="T481">
        <f>HYPERLINK("https://klasma.github.io/Logging_2283/kartor/A 13342-2024 karta.png", "A 13342-2024")</f>
        <v/>
      </c>
      <c r="V481">
        <f>HYPERLINK("https://klasma.github.io/Logging_2283/klagomål/A 13342-2024 FSC-klagomål.docx", "A 13342-2024")</f>
        <v/>
      </c>
      <c r="W481">
        <f>HYPERLINK("https://klasma.github.io/Logging_2283/klagomålsmail/A 13342-2024 FSC-klagomål mail.docx", "A 13342-2024")</f>
        <v/>
      </c>
      <c r="X481">
        <f>HYPERLINK("https://klasma.github.io/Logging_2283/tillsyn/A 13342-2024 tillsynsbegäran.docx", "A 13342-2024")</f>
        <v/>
      </c>
      <c r="Y481">
        <f>HYPERLINK("https://klasma.github.io/Logging_2283/tillsynsmail/A 13342-2024 tillsynsbegäran mail.docx", "A 13342-2024")</f>
        <v/>
      </c>
    </row>
    <row r="482" ht="15" customHeight="1">
      <c r="A482" t="inlineStr">
        <is>
          <t>A 38326-2024</t>
        </is>
      </c>
      <c r="B482" s="1" t="n">
        <v>45545.67741898148</v>
      </c>
      <c r="C482" s="1" t="n">
        <v>46185</v>
      </c>
      <c r="D482" t="inlineStr">
        <is>
          <t>VÄSTERNORRLANDS LÄN</t>
        </is>
      </c>
      <c r="E482" t="inlineStr">
        <is>
          <t>ÅNGE</t>
        </is>
      </c>
      <c r="F482" t="inlineStr">
        <is>
          <t>SCA</t>
        </is>
      </c>
      <c r="G482" t="n">
        <v>15</v>
      </c>
      <c r="H482" t="n">
        <v>0</v>
      </c>
      <c r="I482" t="n">
        <v>1</v>
      </c>
      <c r="J482" t="n">
        <v>3</v>
      </c>
      <c r="K482" t="n">
        <v>0</v>
      </c>
      <c r="L482" t="n">
        <v>0</v>
      </c>
      <c r="M482" t="n">
        <v>0</v>
      </c>
      <c r="N482" t="n">
        <v>0</v>
      </c>
      <c r="O482" t="n">
        <v>3</v>
      </c>
      <c r="P482" t="n">
        <v>0</v>
      </c>
      <c r="Q482" t="n">
        <v>4</v>
      </c>
      <c r="R482" s="2" t="inlineStr">
        <is>
          <t>Gammelgransskål
Garnlav
Lunglav
Stuplav</t>
        </is>
      </c>
      <c r="S482">
        <f>HYPERLINK("https://klasma.github.io/Logging_2260/artfynd/A 38326-2024 artfynd.xlsx", "A 38326-2024")</f>
        <v/>
      </c>
      <c r="T482">
        <f>HYPERLINK("https://klasma.github.io/Logging_2260/kartor/A 38326-2024 karta.png", "A 38326-2024")</f>
        <v/>
      </c>
      <c r="V482">
        <f>HYPERLINK("https://klasma.github.io/Logging_2260/klagomål/A 38326-2024 FSC-klagomål.docx", "A 38326-2024")</f>
        <v/>
      </c>
      <c r="W482">
        <f>HYPERLINK("https://klasma.github.io/Logging_2260/klagomålsmail/A 38326-2024 FSC-klagomål mail.docx", "A 38326-2024")</f>
        <v/>
      </c>
      <c r="X482">
        <f>HYPERLINK("https://klasma.github.io/Logging_2260/tillsyn/A 38326-2024 tillsynsbegäran.docx", "A 38326-2024")</f>
        <v/>
      </c>
      <c r="Y482">
        <f>HYPERLINK("https://klasma.github.io/Logging_2260/tillsynsmail/A 38326-2024 tillsynsbegäran mail.docx", "A 38326-2024")</f>
        <v/>
      </c>
    </row>
    <row r="483" ht="15" customHeight="1">
      <c r="A483" t="inlineStr">
        <is>
          <t>A 25117-2025</t>
        </is>
      </c>
      <c r="B483" s="1" t="n">
        <v>45800.365</v>
      </c>
      <c r="C483" s="1" t="n">
        <v>46185</v>
      </c>
      <c r="D483" t="inlineStr">
        <is>
          <t>VÄSTERNORRLANDS LÄN</t>
        </is>
      </c>
      <c r="E483" t="inlineStr">
        <is>
          <t>SUNDSVALL</t>
        </is>
      </c>
      <c r="F483" t="inlineStr">
        <is>
          <t>SCA</t>
        </is>
      </c>
      <c r="G483" t="n">
        <v>2</v>
      </c>
      <c r="H483" t="n">
        <v>1</v>
      </c>
      <c r="I483" t="n">
        <v>1</v>
      </c>
      <c r="J483" t="n">
        <v>3</v>
      </c>
      <c r="K483" t="n">
        <v>0</v>
      </c>
      <c r="L483" t="n">
        <v>0</v>
      </c>
      <c r="M483" t="n">
        <v>0</v>
      </c>
      <c r="N483" t="n">
        <v>0</v>
      </c>
      <c r="O483" t="n">
        <v>3</v>
      </c>
      <c r="P483" t="n">
        <v>0</v>
      </c>
      <c r="Q483" t="n">
        <v>4</v>
      </c>
      <c r="R483" s="2" t="inlineStr">
        <is>
          <t>Garnlav
Kolflarnlav
Spillkråka
Björksplintborre</t>
        </is>
      </c>
      <c r="S483">
        <f>HYPERLINK("https://klasma.github.io/Logging_2281/artfynd/A 25117-2025 artfynd.xlsx", "A 25117-2025")</f>
        <v/>
      </c>
      <c r="T483">
        <f>HYPERLINK("https://klasma.github.io/Logging_2281/kartor/A 25117-2025 karta.png", "A 25117-2025")</f>
        <v/>
      </c>
      <c r="V483">
        <f>HYPERLINK("https://klasma.github.io/Logging_2281/klagomål/A 25117-2025 FSC-klagomål.docx", "A 25117-2025")</f>
        <v/>
      </c>
      <c r="W483">
        <f>HYPERLINK("https://klasma.github.io/Logging_2281/klagomålsmail/A 25117-2025 FSC-klagomål mail.docx", "A 25117-2025")</f>
        <v/>
      </c>
      <c r="X483">
        <f>HYPERLINK("https://klasma.github.io/Logging_2281/tillsyn/A 25117-2025 tillsynsbegäran.docx", "A 25117-2025")</f>
        <v/>
      </c>
      <c r="Y483">
        <f>HYPERLINK("https://klasma.github.io/Logging_2281/tillsynsmail/A 25117-2025 tillsynsbegäran mail.docx", "A 25117-2025")</f>
        <v/>
      </c>
      <c r="Z483">
        <f>HYPERLINK("https://klasma.github.io/Logging_2281/fåglar/A 25117-2025 prioriterade fågelarter.docx", "A 25117-2025")</f>
        <v/>
      </c>
    </row>
    <row r="484" ht="15" customHeight="1">
      <c r="A484" t="inlineStr">
        <is>
          <t>A 39176-2024</t>
        </is>
      </c>
      <c r="B484" s="1" t="n">
        <v>45548</v>
      </c>
      <c r="C484" s="1" t="n">
        <v>46185</v>
      </c>
      <c r="D484" t="inlineStr">
        <is>
          <t>VÄSTERNORRLANDS LÄN</t>
        </is>
      </c>
      <c r="E484" t="inlineStr">
        <is>
          <t>ÅNGE</t>
        </is>
      </c>
      <c r="F484" t="inlineStr">
        <is>
          <t>SCA</t>
        </is>
      </c>
      <c r="G484" t="n">
        <v>6.9</v>
      </c>
      <c r="H484" t="n">
        <v>1</v>
      </c>
      <c r="I484" t="n">
        <v>0</v>
      </c>
      <c r="J484" t="n">
        <v>3</v>
      </c>
      <c r="K484" t="n">
        <v>1</v>
      </c>
      <c r="L484" t="n">
        <v>0</v>
      </c>
      <c r="M484" t="n">
        <v>0</v>
      </c>
      <c r="N484" t="n">
        <v>0</v>
      </c>
      <c r="O484" t="n">
        <v>4</v>
      </c>
      <c r="P484" t="n">
        <v>1</v>
      </c>
      <c r="Q484" t="n">
        <v>4</v>
      </c>
      <c r="R484" s="2" t="inlineStr">
        <is>
          <t>Knärot
Doftskinn
Skrovellav
Violettgrå tagellav</t>
        </is>
      </c>
      <c r="S484">
        <f>HYPERLINK("https://klasma.github.io/Logging_2260/artfynd/A 39176-2024 artfynd.xlsx", "A 39176-2024")</f>
        <v/>
      </c>
      <c r="T484">
        <f>HYPERLINK("https://klasma.github.io/Logging_2260/kartor/A 39176-2024 karta.png", "A 39176-2024")</f>
        <v/>
      </c>
      <c r="U484">
        <f>HYPERLINK("https://klasma.github.io/Logging_2260/knärot/A 39176-2024 karta knärot.png", "A 39176-2024")</f>
        <v/>
      </c>
      <c r="V484">
        <f>HYPERLINK("https://klasma.github.io/Logging_2260/klagomål/A 39176-2024 FSC-klagomål.docx", "A 39176-2024")</f>
        <v/>
      </c>
      <c r="W484">
        <f>HYPERLINK("https://klasma.github.io/Logging_2260/klagomålsmail/A 39176-2024 FSC-klagomål mail.docx", "A 39176-2024")</f>
        <v/>
      </c>
      <c r="X484">
        <f>HYPERLINK("https://klasma.github.io/Logging_2260/tillsyn/A 39176-2024 tillsynsbegäran.docx", "A 39176-2024")</f>
        <v/>
      </c>
      <c r="Y484">
        <f>HYPERLINK("https://klasma.github.io/Logging_2260/tillsynsmail/A 39176-2024 tillsynsbegäran mail.docx", "A 39176-2024")</f>
        <v/>
      </c>
    </row>
    <row r="485" ht="15" customHeight="1">
      <c r="A485" t="inlineStr">
        <is>
          <t>A 38488-2025</t>
        </is>
      </c>
      <c r="B485" s="1" t="n">
        <v>45884.34447916667</v>
      </c>
      <c r="C485" s="1" t="n">
        <v>46185</v>
      </c>
      <c r="D485" t="inlineStr">
        <is>
          <t>VÄSTERNORRLANDS LÄN</t>
        </is>
      </c>
      <c r="E485" t="inlineStr">
        <is>
          <t>TIMRÅ</t>
        </is>
      </c>
      <c r="F485" t="inlineStr">
        <is>
          <t>SCA</t>
        </is>
      </c>
      <c r="G485" t="n">
        <v>5.7</v>
      </c>
      <c r="H485" t="n">
        <v>0</v>
      </c>
      <c r="I485" t="n">
        <v>0</v>
      </c>
      <c r="J485" t="n">
        <v>4</v>
      </c>
      <c r="K485" t="n">
        <v>0</v>
      </c>
      <c r="L485" t="n">
        <v>0</v>
      </c>
      <c r="M485" t="n">
        <v>0</v>
      </c>
      <c r="N485" t="n">
        <v>0</v>
      </c>
      <c r="O485" t="n">
        <v>4</v>
      </c>
      <c r="P485" t="n">
        <v>0</v>
      </c>
      <c r="Q485" t="n">
        <v>4</v>
      </c>
      <c r="R485" s="2" t="inlineStr">
        <is>
          <t>Kandelabersvamp
Kötticka
Lunglav
Ullticka</t>
        </is>
      </c>
      <c r="S485">
        <f>HYPERLINK("https://klasma.github.io/Logging_2262/artfynd/A 38488-2025 artfynd.xlsx", "A 38488-2025")</f>
        <v/>
      </c>
      <c r="T485">
        <f>HYPERLINK("https://klasma.github.io/Logging_2262/kartor/A 38488-2025 karta.png", "A 38488-2025")</f>
        <v/>
      </c>
      <c r="U485">
        <f>HYPERLINK("https://klasma.github.io/Logging_2262/knärot/A 38488-2025 karta knärot.png", "A 38488-2025")</f>
        <v/>
      </c>
      <c r="V485">
        <f>HYPERLINK("https://klasma.github.io/Logging_2262/klagomål/A 38488-2025 FSC-klagomål.docx", "A 38488-2025")</f>
        <v/>
      </c>
      <c r="W485">
        <f>HYPERLINK("https://klasma.github.io/Logging_2262/klagomålsmail/A 38488-2025 FSC-klagomål mail.docx", "A 38488-2025")</f>
        <v/>
      </c>
      <c r="X485">
        <f>HYPERLINK("https://klasma.github.io/Logging_2262/tillsyn/A 38488-2025 tillsynsbegäran.docx", "A 38488-2025")</f>
        <v/>
      </c>
      <c r="Y485">
        <f>HYPERLINK("https://klasma.github.io/Logging_2262/tillsynsmail/A 38488-2025 tillsynsbegäran mail.docx", "A 38488-2025")</f>
        <v/>
      </c>
    </row>
    <row r="486" ht="15" customHeight="1">
      <c r="A486" t="inlineStr">
        <is>
          <t>A 25707-2025</t>
        </is>
      </c>
      <c r="B486" s="1" t="n">
        <v>45803.67806712963</v>
      </c>
      <c r="C486" s="1" t="n">
        <v>46185</v>
      </c>
      <c r="D486" t="inlineStr">
        <is>
          <t>VÄSTERNORRLANDS LÄN</t>
        </is>
      </c>
      <c r="E486" t="inlineStr">
        <is>
          <t>SOLLEFTEÅ</t>
        </is>
      </c>
      <c r="F486" t="inlineStr">
        <is>
          <t>SCA</t>
        </is>
      </c>
      <c r="G486" t="n">
        <v>2.6</v>
      </c>
      <c r="H486" t="n">
        <v>2</v>
      </c>
      <c r="I486" t="n">
        <v>1</v>
      </c>
      <c r="J486" t="n">
        <v>2</v>
      </c>
      <c r="K486" t="n">
        <v>0</v>
      </c>
      <c r="L486" t="n">
        <v>0</v>
      </c>
      <c r="M486" t="n">
        <v>0</v>
      </c>
      <c r="N486" t="n">
        <v>0</v>
      </c>
      <c r="O486" t="n">
        <v>2</v>
      </c>
      <c r="P486" t="n">
        <v>0</v>
      </c>
      <c r="Q486" t="n">
        <v>4</v>
      </c>
      <c r="R486" s="2" t="inlineStr">
        <is>
          <t>Kolflarnlav
Talltita
Norrlandslav
Lopplummer (aggregat)</t>
        </is>
      </c>
      <c r="S486">
        <f>HYPERLINK("https://klasma.github.io/Logging_2283/artfynd/A 25707-2025 artfynd.xlsx", "A 25707-2025")</f>
        <v/>
      </c>
      <c r="T486">
        <f>HYPERLINK("https://klasma.github.io/Logging_2283/kartor/A 25707-2025 karta.png", "A 25707-2025")</f>
        <v/>
      </c>
      <c r="V486">
        <f>HYPERLINK("https://klasma.github.io/Logging_2283/klagomål/A 25707-2025 FSC-klagomål.docx", "A 25707-2025")</f>
        <v/>
      </c>
      <c r="W486">
        <f>HYPERLINK("https://klasma.github.io/Logging_2283/klagomålsmail/A 25707-2025 FSC-klagomål mail.docx", "A 25707-2025")</f>
        <v/>
      </c>
      <c r="X486">
        <f>HYPERLINK("https://klasma.github.io/Logging_2283/tillsyn/A 25707-2025 tillsynsbegäran.docx", "A 25707-2025")</f>
        <v/>
      </c>
      <c r="Y486">
        <f>HYPERLINK("https://klasma.github.io/Logging_2283/tillsynsmail/A 25707-2025 tillsynsbegäran mail.docx", "A 25707-2025")</f>
        <v/>
      </c>
      <c r="Z486">
        <f>HYPERLINK("https://klasma.github.io/Logging_2283/fåglar/A 25707-2025 prioriterade fågelarter.docx", "A 25707-2025")</f>
        <v/>
      </c>
    </row>
    <row r="487" ht="15" customHeight="1">
      <c r="A487" t="inlineStr">
        <is>
          <t>A 25940-2025</t>
        </is>
      </c>
      <c r="B487" s="1" t="n">
        <v>45804.59443287037</v>
      </c>
      <c r="C487" s="1" t="n">
        <v>46185</v>
      </c>
      <c r="D487" t="inlineStr">
        <is>
          <t>VÄSTERNORRLANDS LÄN</t>
        </is>
      </c>
      <c r="E487" t="inlineStr">
        <is>
          <t>TIMRÅ</t>
        </is>
      </c>
      <c r="F487" t="inlineStr">
        <is>
          <t>SCA</t>
        </is>
      </c>
      <c r="G487" t="n">
        <v>6.3</v>
      </c>
      <c r="H487" t="n">
        <v>0</v>
      </c>
      <c r="I487" t="n">
        <v>0</v>
      </c>
      <c r="J487" t="n">
        <v>3</v>
      </c>
      <c r="K487" t="n">
        <v>1</v>
      </c>
      <c r="L487" t="n">
        <v>0</v>
      </c>
      <c r="M487" t="n">
        <v>0</v>
      </c>
      <c r="N487" t="n">
        <v>0</v>
      </c>
      <c r="O487" t="n">
        <v>4</v>
      </c>
      <c r="P487" t="n">
        <v>1</v>
      </c>
      <c r="Q487" t="n">
        <v>4</v>
      </c>
      <c r="R487" s="2" t="inlineStr">
        <is>
          <t>Rynkskinn
Garnlav
Rosenticka
Ullticka</t>
        </is>
      </c>
      <c r="S487">
        <f>HYPERLINK("https://klasma.github.io/Logging_2262/artfynd/A 25940-2025 artfynd.xlsx", "A 25940-2025")</f>
        <v/>
      </c>
      <c r="T487">
        <f>HYPERLINK("https://klasma.github.io/Logging_2262/kartor/A 25940-2025 karta.png", "A 25940-2025")</f>
        <v/>
      </c>
      <c r="V487">
        <f>HYPERLINK("https://klasma.github.io/Logging_2262/klagomål/A 25940-2025 FSC-klagomål.docx", "A 25940-2025")</f>
        <v/>
      </c>
      <c r="W487">
        <f>HYPERLINK("https://klasma.github.io/Logging_2262/klagomålsmail/A 25940-2025 FSC-klagomål mail.docx", "A 25940-2025")</f>
        <v/>
      </c>
      <c r="X487">
        <f>HYPERLINK("https://klasma.github.io/Logging_2262/tillsyn/A 25940-2025 tillsynsbegäran.docx", "A 25940-2025")</f>
        <v/>
      </c>
      <c r="Y487">
        <f>HYPERLINK("https://klasma.github.io/Logging_2262/tillsynsmail/A 25940-2025 tillsynsbegäran mail.docx", "A 25940-2025")</f>
        <v/>
      </c>
    </row>
    <row r="488" ht="15" customHeight="1">
      <c r="A488" t="inlineStr">
        <is>
          <t>A 61109-2022</t>
        </is>
      </c>
      <c r="B488" s="1" t="n">
        <v>44908</v>
      </c>
      <c r="C488" s="1" t="n">
        <v>46185</v>
      </c>
      <c r="D488" t="inlineStr">
        <is>
          <t>VÄSTERNORRLANDS LÄN</t>
        </is>
      </c>
      <c r="E488" t="inlineStr">
        <is>
          <t>ÖRNSKÖLDSVIK</t>
        </is>
      </c>
      <c r="G488" t="n">
        <v>3.6</v>
      </c>
      <c r="H488" t="n">
        <v>4</v>
      </c>
      <c r="I488" t="n">
        <v>0</v>
      </c>
      <c r="J488" t="n">
        <v>1</v>
      </c>
      <c r="K488" t="n">
        <v>1</v>
      </c>
      <c r="L488" t="n">
        <v>1</v>
      </c>
      <c r="M488" t="n">
        <v>0</v>
      </c>
      <c r="N488" t="n">
        <v>0</v>
      </c>
      <c r="O488" t="n">
        <v>3</v>
      </c>
      <c r="P488" t="n">
        <v>2</v>
      </c>
      <c r="Q488" t="n">
        <v>4</v>
      </c>
      <c r="R488" s="2" t="inlineStr">
        <is>
          <t>Storspov
Knärot
Gulsparv
Grönsiska</t>
        </is>
      </c>
      <c r="S488">
        <f>HYPERLINK("https://klasma.github.io/Logging_2284/artfynd/A 61109-2022 artfynd.xlsx", "A 61109-2022")</f>
        <v/>
      </c>
      <c r="T488">
        <f>HYPERLINK("https://klasma.github.io/Logging_2284/kartor/A 61109-2022 karta.png", "A 61109-2022")</f>
        <v/>
      </c>
      <c r="U488">
        <f>HYPERLINK("https://klasma.github.io/Logging_2284/knärot/A 61109-2022 karta knärot.png", "A 61109-2022")</f>
        <v/>
      </c>
      <c r="V488">
        <f>HYPERLINK("https://klasma.github.io/Logging_2284/klagomål/A 61109-2022 FSC-klagomål.docx", "A 61109-2022")</f>
        <v/>
      </c>
      <c r="W488">
        <f>HYPERLINK("https://klasma.github.io/Logging_2284/klagomålsmail/A 61109-2022 FSC-klagomål mail.docx", "A 61109-2022")</f>
        <v/>
      </c>
      <c r="X488">
        <f>HYPERLINK("https://klasma.github.io/Logging_2284/tillsyn/A 61109-2022 tillsynsbegäran.docx", "A 61109-2022")</f>
        <v/>
      </c>
      <c r="Y488">
        <f>HYPERLINK("https://klasma.github.io/Logging_2284/tillsynsmail/A 61109-2022 tillsynsbegäran mail.docx", "A 61109-2022")</f>
        <v/>
      </c>
      <c r="Z488">
        <f>HYPERLINK("https://klasma.github.io/Logging_2284/fåglar/A 61109-2022 prioriterade fågelarter.docx", "A 61109-2022")</f>
        <v/>
      </c>
    </row>
    <row r="489" ht="15" customHeight="1">
      <c r="A489" t="inlineStr">
        <is>
          <t>A 38713-2025</t>
        </is>
      </c>
      <c r="B489" s="1" t="n">
        <v>45886.34479166667</v>
      </c>
      <c r="C489" s="1" t="n">
        <v>46185</v>
      </c>
      <c r="D489" t="inlineStr">
        <is>
          <t>VÄSTERNORRLANDS LÄN</t>
        </is>
      </c>
      <c r="E489" t="inlineStr">
        <is>
          <t>ÅNGE</t>
        </is>
      </c>
      <c r="F489" t="inlineStr">
        <is>
          <t>SCA</t>
        </is>
      </c>
      <c r="G489" t="n">
        <v>2</v>
      </c>
      <c r="H489" t="n">
        <v>1</v>
      </c>
      <c r="I489" t="n">
        <v>1</v>
      </c>
      <c r="J489" t="n">
        <v>2</v>
      </c>
      <c r="K489" t="n">
        <v>1</v>
      </c>
      <c r="L489" t="n">
        <v>0</v>
      </c>
      <c r="M489" t="n">
        <v>0</v>
      </c>
      <c r="N489" t="n">
        <v>0</v>
      </c>
      <c r="O489" t="n">
        <v>3</v>
      </c>
      <c r="P489" t="n">
        <v>1</v>
      </c>
      <c r="Q489" t="n">
        <v>4</v>
      </c>
      <c r="R489" s="2" t="inlineStr">
        <is>
          <t>Knärot
Garnlav
Vedtrappmossa
Bollvitmossa</t>
        </is>
      </c>
      <c r="S489">
        <f>HYPERLINK("https://klasma.github.io/Logging_2260/artfynd/A 38713-2025 artfynd.xlsx", "A 38713-2025")</f>
        <v/>
      </c>
      <c r="T489">
        <f>HYPERLINK("https://klasma.github.io/Logging_2260/kartor/A 38713-2025 karta.png", "A 38713-2025")</f>
        <v/>
      </c>
      <c r="U489">
        <f>HYPERLINK("https://klasma.github.io/Logging_2260/knärot/A 38713-2025 karta knärot.png", "A 38713-2025")</f>
        <v/>
      </c>
      <c r="V489">
        <f>HYPERLINK("https://klasma.github.io/Logging_2260/klagomål/A 38713-2025 FSC-klagomål.docx", "A 38713-2025")</f>
        <v/>
      </c>
      <c r="W489">
        <f>HYPERLINK("https://klasma.github.io/Logging_2260/klagomålsmail/A 38713-2025 FSC-klagomål mail.docx", "A 38713-2025")</f>
        <v/>
      </c>
      <c r="X489">
        <f>HYPERLINK("https://klasma.github.io/Logging_2260/tillsyn/A 38713-2025 tillsynsbegäran.docx", "A 38713-2025")</f>
        <v/>
      </c>
      <c r="Y489">
        <f>HYPERLINK("https://klasma.github.io/Logging_2260/tillsynsmail/A 38713-2025 tillsynsbegäran mail.docx", "A 38713-2025")</f>
        <v/>
      </c>
    </row>
    <row r="490" ht="15" customHeight="1">
      <c r="A490" t="inlineStr">
        <is>
          <t>A 40654-2025</t>
        </is>
      </c>
      <c r="B490" s="1" t="n">
        <v>45896.63640046296</v>
      </c>
      <c r="C490" s="1" t="n">
        <v>46185</v>
      </c>
      <c r="D490" t="inlineStr">
        <is>
          <t>VÄSTERNORRLANDS LÄN</t>
        </is>
      </c>
      <c r="E490" t="inlineStr">
        <is>
          <t>SUNDSVALL</t>
        </is>
      </c>
      <c r="F490" t="inlineStr">
        <is>
          <t>Naturvårdsverket</t>
        </is>
      </c>
      <c r="G490" t="n">
        <v>1.2</v>
      </c>
      <c r="H490" t="n">
        <v>0</v>
      </c>
      <c r="I490" t="n">
        <v>1</v>
      </c>
      <c r="J490" t="n">
        <v>3</v>
      </c>
      <c r="K490" t="n">
        <v>0</v>
      </c>
      <c r="L490" t="n">
        <v>0</v>
      </c>
      <c r="M490" t="n">
        <v>0</v>
      </c>
      <c r="N490" t="n">
        <v>0</v>
      </c>
      <c r="O490" t="n">
        <v>3</v>
      </c>
      <c r="P490" t="n">
        <v>0</v>
      </c>
      <c r="Q490" t="n">
        <v>4</v>
      </c>
      <c r="R490" s="2" t="inlineStr">
        <is>
          <t>Garnlav
Granticka
Lunglav
Gulnål</t>
        </is>
      </c>
      <c r="S490">
        <f>HYPERLINK("https://klasma.github.io/Logging_2281/artfynd/A 40654-2025 artfynd.xlsx", "A 40654-2025")</f>
        <v/>
      </c>
      <c r="T490">
        <f>HYPERLINK("https://klasma.github.io/Logging_2281/kartor/A 40654-2025 karta.png", "A 40654-2025")</f>
        <v/>
      </c>
      <c r="V490">
        <f>HYPERLINK("https://klasma.github.io/Logging_2281/klagomål/A 40654-2025 FSC-klagomål.docx", "A 40654-2025")</f>
        <v/>
      </c>
      <c r="W490">
        <f>HYPERLINK("https://klasma.github.io/Logging_2281/klagomålsmail/A 40654-2025 FSC-klagomål mail.docx", "A 40654-2025")</f>
        <v/>
      </c>
      <c r="X490">
        <f>HYPERLINK("https://klasma.github.io/Logging_2281/tillsyn/A 40654-2025 tillsynsbegäran.docx", "A 40654-2025")</f>
        <v/>
      </c>
      <c r="Y490">
        <f>HYPERLINK("https://klasma.github.io/Logging_2281/tillsynsmail/A 40654-2025 tillsynsbegäran mail.docx", "A 40654-2025")</f>
        <v/>
      </c>
    </row>
    <row r="491" ht="15" customHeight="1">
      <c r="A491" t="inlineStr">
        <is>
          <t>A 62638-2022</t>
        </is>
      </c>
      <c r="B491" s="1" t="n">
        <v>44925</v>
      </c>
      <c r="C491" s="1" t="n">
        <v>46185</v>
      </c>
      <c r="D491" t="inlineStr">
        <is>
          <t>VÄSTERNORRLANDS LÄN</t>
        </is>
      </c>
      <c r="E491" t="inlineStr">
        <is>
          <t>SOLLEFTEÅ</t>
        </is>
      </c>
      <c r="F491" t="inlineStr">
        <is>
          <t>Holmen skog AB</t>
        </is>
      </c>
      <c r="G491" t="n">
        <v>4</v>
      </c>
      <c r="H491" t="n">
        <v>1</v>
      </c>
      <c r="I491" t="n">
        <v>1</v>
      </c>
      <c r="J491" t="n">
        <v>2</v>
      </c>
      <c r="K491" t="n">
        <v>1</v>
      </c>
      <c r="L491" t="n">
        <v>0</v>
      </c>
      <c r="M491" t="n">
        <v>0</v>
      </c>
      <c r="N491" t="n">
        <v>0</v>
      </c>
      <c r="O491" t="n">
        <v>3</v>
      </c>
      <c r="P491" t="n">
        <v>1</v>
      </c>
      <c r="Q491" t="n">
        <v>4</v>
      </c>
      <c r="R491" s="2" t="inlineStr">
        <is>
          <t>Knärot
Koralltaggsvamp
Lunglav
Skinnlav</t>
        </is>
      </c>
      <c r="S491">
        <f>HYPERLINK("https://klasma.github.io/Logging_2283/artfynd/A 62638-2022 artfynd.xlsx", "A 62638-2022")</f>
        <v/>
      </c>
      <c r="T491">
        <f>HYPERLINK("https://klasma.github.io/Logging_2283/kartor/A 62638-2022 karta.png", "A 62638-2022")</f>
        <v/>
      </c>
      <c r="U491">
        <f>HYPERLINK("https://klasma.github.io/Logging_2283/knärot/A 62638-2022 karta knärot.png", "A 62638-2022")</f>
        <v/>
      </c>
      <c r="V491">
        <f>HYPERLINK("https://klasma.github.io/Logging_2283/klagomål/A 62638-2022 FSC-klagomål.docx", "A 62638-2022")</f>
        <v/>
      </c>
      <c r="W491">
        <f>HYPERLINK("https://klasma.github.io/Logging_2283/klagomålsmail/A 62638-2022 FSC-klagomål mail.docx", "A 62638-2022")</f>
        <v/>
      </c>
      <c r="X491">
        <f>HYPERLINK("https://klasma.github.io/Logging_2283/tillsyn/A 62638-2022 tillsynsbegäran.docx", "A 62638-2022")</f>
        <v/>
      </c>
      <c r="Y491">
        <f>HYPERLINK("https://klasma.github.io/Logging_2283/tillsynsmail/A 62638-2022 tillsynsbegäran mail.docx", "A 62638-2022")</f>
        <v/>
      </c>
    </row>
    <row r="492" ht="15" customHeight="1">
      <c r="A492" t="inlineStr">
        <is>
          <t>A 29561-2025</t>
        </is>
      </c>
      <c r="B492" s="1" t="n">
        <v>45825.36510416667</v>
      </c>
      <c r="C492" s="1" t="n">
        <v>46185</v>
      </c>
      <c r="D492" t="inlineStr">
        <is>
          <t>VÄSTERNORRLANDS LÄN</t>
        </is>
      </c>
      <c r="E492" t="inlineStr">
        <is>
          <t>SOLLEFTEÅ</t>
        </is>
      </c>
      <c r="F492" t="inlineStr">
        <is>
          <t>SCA</t>
        </is>
      </c>
      <c r="G492" t="n">
        <v>11.9</v>
      </c>
      <c r="H492" t="n">
        <v>0</v>
      </c>
      <c r="I492" t="n">
        <v>1</v>
      </c>
      <c r="J492" t="n">
        <v>3</v>
      </c>
      <c r="K492" t="n">
        <v>0</v>
      </c>
      <c r="L492" t="n">
        <v>0</v>
      </c>
      <c r="M492" t="n">
        <v>0</v>
      </c>
      <c r="N492" t="n">
        <v>0</v>
      </c>
      <c r="O492" t="n">
        <v>3</v>
      </c>
      <c r="P492" t="n">
        <v>0</v>
      </c>
      <c r="Q492" t="n">
        <v>4</v>
      </c>
      <c r="R492" s="2" t="inlineStr">
        <is>
          <t>Garnlav
Kolflarnlav
Vedskivlav
Stuplav</t>
        </is>
      </c>
      <c r="S492">
        <f>HYPERLINK("https://klasma.github.io/Logging_2283/artfynd/A 29561-2025 artfynd.xlsx", "A 29561-2025")</f>
        <v/>
      </c>
      <c r="T492">
        <f>HYPERLINK("https://klasma.github.io/Logging_2283/kartor/A 29561-2025 karta.png", "A 29561-2025")</f>
        <v/>
      </c>
      <c r="V492">
        <f>HYPERLINK("https://klasma.github.io/Logging_2283/klagomål/A 29561-2025 FSC-klagomål.docx", "A 29561-2025")</f>
        <v/>
      </c>
      <c r="W492">
        <f>HYPERLINK("https://klasma.github.io/Logging_2283/klagomålsmail/A 29561-2025 FSC-klagomål mail.docx", "A 29561-2025")</f>
        <v/>
      </c>
      <c r="X492">
        <f>HYPERLINK("https://klasma.github.io/Logging_2283/tillsyn/A 29561-2025 tillsynsbegäran.docx", "A 29561-2025")</f>
        <v/>
      </c>
      <c r="Y492">
        <f>HYPERLINK("https://klasma.github.io/Logging_2283/tillsynsmail/A 29561-2025 tillsynsbegäran mail.docx", "A 29561-2025")</f>
        <v/>
      </c>
    </row>
    <row r="493" ht="15" customHeight="1">
      <c r="A493" t="inlineStr">
        <is>
          <t>A 41592-2024</t>
        </is>
      </c>
      <c r="B493" s="1" t="n">
        <v>45560</v>
      </c>
      <c r="C493" s="1" t="n">
        <v>46185</v>
      </c>
      <c r="D493" t="inlineStr">
        <is>
          <t>VÄSTERNORRLANDS LÄN</t>
        </is>
      </c>
      <c r="E493" t="inlineStr">
        <is>
          <t>HÄRNÖSAND</t>
        </is>
      </c>
      <c r="F493" t="inlineStr">
        <is>
          <t>SCA</t>
        </is>
      </c>
      <c r="G493" t="n">
        <v>6.8</v>
      </c>
      <c r="H493" t="n">
        <v>0</v>
      </c>
      <c r="I493" t="n">
        <v>1</v>
      </c>
      <c r="J493" t="n">
        <v>3</v>
      </c>
      <c r="K493" t="n">
        <v>0</v>
      </c>
      <c r="L493" t="n">
        <v>0</v>
      </c>
      <c r="M493" t="n">
        <v>0</v>
      </c>
      <c r="N493" t="n">
        <v>0</v>
      </c>
      <c r="O493" t="n">
        <v>3</v>
      </c>
      <c r="P493" t="n">
        <v>0</v>
      </c>
      <c r="Q493" t="n">
        <v>4</v>
      </c>
      <c r="R493" s="2" t="inlineStr">
        <is>
          <t>Garnlav
Ullticka
Vedflamlav
Stuplav</t>
        </is>
      </c>
      <c r="S493">
        <f>HYPERLINK("https://klasma.github.io/Logging_2280/artfynd/A 41592-2024 artfynd.xlsx", "A 41592-2024")</f>
        <v/>
      </c>
      <c r="T493">
        <f>HYPERLINK("https://klasma.github.io/Logging_2280/kartor/A 41592-2024 karta.png", "A 41592-2024")</f>
        <v/>
      </c>
      <c r="V493">
        <f>HYPERLINK("https://klasma.github.io/Logging_2280/klagomål/A 41592-2024 FSC-klagomål.docx", "A 41592-2024")</f>
        <v/>
      </c>
      <c r="W493">
        <f>HYPERLINK("https://klasma.github.io/Logging_2280/klagomålsmail/A 41592-2024 FSC-klagomål mail.docx", "A 41592-2024")</f>
        <v/>
      </c>
      <c r="X493">
        <f>HYPERLINK("https://klasma.github.io/Logging_2280/tillsyn/A 41592-2024 tillsynsbegäran.docx", "A 41592-2024")</f>
        <v/>
      </c>
      <c r="Y493">
        <f>HYPERLINK("https://klasma.github.io/Logging_2280/tillsynsmail/A 41592-2024 tillsynsbegäran mail.docx", "A 41592-2024")</f>
        <v/>
      </c>
    </row>
    <row r="494" ht="15" customHeight="1">
      <c r="A494" t="inlineStr">
        <is>
          <t>A 58121-2021</t>
        </is>
      </c>
      <c r="B494" s="1" t="n">
        <v>44487</v>
      </c>
      <c r="C494" s="1" t="n">
        <v>46185</v>
      </c>
      <c r="D494" t="inlineStr">
        <is>
          <t>VÄSTERNORRLANDS LÄN</t>
        </is>
      </c>
      <c r="E494" t="inlineStr">
        <is>
          <t>ÖRNSKÖLDSVIK</t>
        </is>
      </c>
      <c r="G494" t="n">
        <v>13.8</v>
      </c>
      <c r="H494" t="n">
        <v>0</v>
      </c>
      <c r="I494" t="n">
        <v>3</v>
      </c>
      <c r="J494" t="n">
        <v>1</v>
      </c>
      <c r="K494" t="n">
        <v>0</v>
      </c>
      <c r="L494" t="n">
        <v>0</v>
      </c>
      <c r="M494" t="n">
        <v>0</v>
      </c>
      <c r="N494" t="n">
        <v>0</v>
      </c>
      <c r="O494" t="n">
        <v>1</v>
      </c>
      <c r="P494" t="n">
        <v>0</v>
      </c>
      <c r="Q494" t="n">
        <v>4</v>
      </c>
      <c r="R494" s="2" t="inlineStr">
        <is>
          <t>Granticka
Bronshjon
Svart trolldruva
Thomsons trägnagare</t>
        </is>
      </c>
      <c r="S494">
        <f>HYPERLINK("https://klasma.github.io/Logging_2284/artfynd/A 58121-2021 artfynd.xlsx", "A 58121-2021")</f>
        <v/>
      </c>
      <c r="T494">
        <f>HYPERLINK("https://klasma.github.io/Logging_2284/kartor/A 58121-2021 karta.png", "A 58121-2021")</f>
        <v/>
      </c>
      <c r="V494">
        <f>HYPERLINK("https://klasma.github.io/Logging_2284/klagomål/A 58121-2021 FSC-klagomål.docx", "A 58121-2021")</f>
        <v/>
      </c>
      <c r="W494">
        <f>HYPERLINK("https://klasma.github.io/Logging_2284/klagomålsmail/A 58121-2021 FSC-klagomål mail.docx", "A 58121-2021")</f>
        <v/>
      </c>
      <c r="X494">
        <f>HYPERLINK("https://klasma.github.io/Logging_2284/tillsyn/A 58121-2021 tillsynsbegäran.docx", "A 58121-2021")</f>
        <v/>
      </c>
      <c r="Y494">
        <f>HYPERLINK("https://klasma.github.io/Logging_2284/tillsynsmail/A 58121-2021 tillsynsbegäran mail.docx", "A 58121-2021")</f>
        <v/>
      </c>
    </row>
    <row r="495" ht="15" customHeight="1">
      <c r="A495" t="inlineStr">
        <is>
          <t>A 44034-2025</t>
        </is>
      </c>
      <c r="B495" s="1" t="n">
        <v>45915.49065972222</v>
      </c>
      <c r="C495" s="1" t="n">
        <v>46185</v>
      </c>
      <c r="D495" t="inlineStr">
        <is>
          <t>VÄSTERNORRLANDS LÄN</t>
        </is>
      </c>
      <c r="E495" t="inlineStr">
        <is>
          <t>TIMRÅ</t>
        </is>
      </c>
      <c r="F495" t="inlineStr">
        <is>
          <t>SCA</t>
        </is>
      </c>
      <c r="G495" t="n">
        <v>5.2</v>
      </c>
      <c r="H495" t="n">
        <v>0</v>
      </c>
      <c r="I495" t="n">
        <v>2</v>
      </c>
      <c r="J495" t="n">
        <v>2</v>
      </c>
      <c r="K495" t="n">
        <v>0</v>
      </c>
      <c r="L495" t="n">
        <v>0</v>
      </c>
      <c r="M495" t="n">
        <v>0</v>
      </c>
      <c r="N495" t="n">
        <v>0</v>
      </c>
      <c r="O495" t="n">
        <v>2</v>
      </c>
      <c r="P495" t="n">
        <v>0</v>
      </c>
      <c r="Q495" t="n">
        <v>4</v>
      </c>
      <c r="R495" s="2" t="inlineStr">
        <is>
          <t>Garnlav
Äggvaxskivling
Dvärgtufs
Skinnlav</t>
        </is>
      </c>
      <c r="S495">
        <f>HYPERLINK("https://klasma.github.io/Logging_2262/artfynd/A 44034-2025 artfynd.xlsx", "A 44034-2025")</f>
        <v/>
      </c>
      <c r="T495">
        <f>HYPERLINK("https://klasma.github.io/Logging_2262/kartor/A 44034-2025 karta.png", "A 44034-2025")</f>
        <v/>
      </c>
      <c r="V495">
        <f>HYPERLINK("https://klasma.github.io/Logging_2262/klagomål/A 44034-2025 FSC-klagomål.docx", "A 44034-2025")</f>
        <v/>
      </c>
      <c r="W495">
        <f>HYPERLINK("https://klasma.github.io/Logging_2262/klagomålsmail/A 44034-2025 FSC-klagomål mail.docx", "A 44034-2025")</f>
        <v/>
      </c>
      <c r="X495">
        <f>HYPERLINK("https://klasma.github.io/Logging_2262/tillsyn/A 44034-2025 tillsynsbegäran.docx", "A 44034-2025")</f>
        <v/>
      </c>
      <c r="Y495">
        <f>HYPERLINK("https://klasma.github.io/Logging_2262/tillsynsmail/A 44034-2025 tillsynsbegäran mail.docx", "A 44034-2025")</f>
        <v/>
      </c>
    </row>
    <row r="496" ht="15" customHeight="1">
      <c r="A496" t="inlineStr">
        <is>
          <t>A 44917-2024</t>
        </is>
      </c>
      <c r="B496" s="1" t="n">
        <v>45575.40046296296</v>
      </c>
      <c r="C496" s="1" t="n">
        <v>46185</v>
      </c>
      <c r="D496" t="inlineStr">
        <is>
          <t>VÄSTERNORRLANDS LÄN</t>
        </is>
      </c>
      <c r="E496" t="inlineStr">
        <is>
          <t>HÄRNÖSAND</t>
        </is>
      </c>
      <c r="G496" t="n">
        <v>10.8</v>
      </c>
      <c r="H496" t="n">
        <v>0</v>
      </c>
      <c r="I496" t="n">
        <v>2</v>
      </c>
      <c r="J496" t="n">
        <v>2</v>
      </c>
      <c r="K496" t="n">
        <v>0</v>
      </c>
      <c r="L496" t="n">
        <v>0</v>
      </c>
      <c r="M496" t="n">
        <v>0</v>
      </c>
      <c r="N496" t="n">
        <v>0</v>
      </c>
      <c r="O496" t="n">
        <v>2</v>
      </c>
      <c r="P496" t="n">
        <v>0</v>
      </c>
      <c r="Q496" t="n">
        <v>4</v>
      </c>
      <c r="R496" s="2" t="inlineStr">
        <is>
          <t>Garnlav
Ullticka
Stor aspticka
Vedticka</t>
        </is>
      </c>
      <c r="S496">
        <f>HYPERLINK("https://klasma.github.io/Logging_2280/artfynd/A 44917-2024 artfynd.xlsx", "A 44917-2024")</f>
        <v/>
      </c>
      <c r="T496">
        <f>HYPERLINK("https://klasma.github.io/Logging_2280/kartor/A 44917-2024 karta.png", "A 44917-2024")</f>
        <v/>
      </c>
      <c r="V496">
        <f>HYPERLINK("https://klasma.github.io/Logging_2280/klagomål/A 44917-2024 FSC-klagomål.docx", "A 44917-2024")</f>
        <v/>
      </c>
      <c r="W496">
        <f>HYPERLINK("https://klasma.github.io/Logging_2280/klagomålsmail/A 44917-2024 FSC-klagomål mail.docx", "A 44917-2024")</f>
        <v/>
      </c>
      <c r="X496">
        <f>HYPERLINK("https://klasma.github.io/Logging_2280/tillsyn/A 44917-2024 tillsynsbegäran.docx", "A 44917-2024")</f>
        <v/>
      </c>
      <c r="Y496">
        <f>HYPERLINK("https://klasma.github.io/Logging_2280/tillsynsmail/A 44917-2024 tillsynsbegäran mail.docx", "A 44917-2024")</f>
        <v/>
      </c>
    </row>
    <row r="497" ht="15" customHeight="1">
      <c r="A497" t="inlineStr">
        <is>
          <t>A 11029-2025</t>
        </is>
      </c>
      <c r="B497" s="1" t="n">
        <v>45723</v>
      </c>
      <c r="C497" s="1" t="n">
        <v>46185</v>
      </c>
      <c r="D497" t="inlineStr">
        <is>
          <t>VÄSTERNORRLANDS LÄN</t>
        </is>
      </c>
      <c r="E497" t="inlineStr">
        <is>
          <t>ÅNGE</t>
        </is>
      </c>
      <c r="G497" t="n">
        <v>1.3</v>
      </c>
      <c r="H497" t="n">
        <v>3</v>
      </c>
      <c r="I497" t="n">
        <v>0</v>
      </c>
      <c r="J497" t="n">
        <v>1</v>
      </c>
      <c r="K497" t="n">
        <v>1</v>
      </c>
      <c r="L497" t="n">
        <v>0</v>
      </c>
      <c r="M497" t="n">
        <v>0</v>
      </c>
      <c r="N497" t="n">
        <v>0</v>
      </c>
      <c r="O497" t="n">
        <v>2</v>
      </c>
      <c r="P497" t="n">
        <v>1</v>
      </c>
      <c r="Q497" t="n">
        <v>4</v>
      </c>
      <c r="R497" s="2" t="inlineStr">
        <is>
          <t>Knärot
Garnlav
Vanlig groda
Revlummer</t>
        </is>
      </c>
      <c r="S497">
        <f>HYPERLINK("https://klasma.github.io/Logging_2260/artfynd/A 11029-2025 artfynd.xlsx", "A 11029-2025")</f>
        <v/>
      </c>
      <c r="T497">
        <f>HYPERLINK("https://klasma.github.io/Logging_2260/kartor/A 11029-2025 karta.png", "A 11029-2025")</f>
        <v/>
      </c>
      <c r="U497">
        <f>HYPERLINK("https://klasma.github.io/Logging_2260/knärot/A 11029-2025 karta knärot.png", "A 11029-2025")</f>
        <v/>
      </c>
      <c r="V497">
        <f>HYPERLINK("https://klasma.github.io/Logging_2260/klagomål/A 11029-2025 FSC-klagomål.docx", "A 11029-2025")</f>
        <v/>
      </c>
      <c r="W497">
        <f>HYPERLINK("https://klasma.github.io/Logging_2260/klagomålsmail/A 11029-2025 FSC-klagomål mail.docx", "A 11029-2025")</f>
        <v/>
      </c>
      <c r="X497">
        <f>HYPERLINK("https://klasma.github.io/Logging_2260/tillsyn/A 11029-2025 tillsynsbegäran.docx", "A 11029-2025")</f>
        <v/>
      </c>
      <c r="Y497">
        <f>HYPERLINK("https://klasma.github.io/Logging_2260/tillsynsmail/A 11029-2025 tillsynsbegäran mail.docx", "A 11029-2025")</f>
        <v/>
      </c>
    </row>
    <row r="498" ht="15" customHeight="1">
      <c r="A498" t="inlineStr">
        <is>
          <t>A 34647-2025</t>
        </is>
      </c>
      <c r="B498" s="1" t="n">
        <v>45848.34471064815</v>
      </c>
      <c r="C498" s="1" t="n">
        <v>46185</v>
      </c>
      <c r="D498" t="inlineStr">
        <is>
          <t>VÄSTERNORRLANDS LÄN</t>
        </is>
      </c>
      <c r="E498" t="inlineStr">
        <is>
          <t>HÄRNÖSAND</t>
        </is>
      </c>
      <c r="F498" t="inlineStr">
        <is>
          <t>SCA</t>
        </is>
      </c>
      <c r="G498" t="n">
        <v>4.7</v>
      </c>
      <c r="H498" t="n">
        <v>0</v>
      </c>
      <c r="I498" t="n">
        <v>1</v>
      </c>
      <c r="J498" t="n">
        <v>3</v>
      </c>
      <c r="K498" t="n">
        <v>0</v>
      </c>
      <c r="L498" t="n">
        <v>0</v>
      </c>
      <c r="M498" t="n">
        <v>0</v>
      </c>
      <c r="N498" t="n">
        <v>0</v>
      </c>
      <c r="O498" t="n">
        <v>3</v>
      </c>
      <c r="P498" t="n">
        <v>0</v>
      </c>
      <c r="Q498" t="n">
        <v>4</v>
      </c>
      <c r="R498" s="2" t="inlineStr">
        <is>
          <t>Garnlav
Kolflarnlav
Lunglav
Korallblylav</t>
        </is>
      </c>
      <c r="S498">
        <f>HYPERLINK("https://klasma.github.io/Logging_2280/artfynd/A 34647-2025 artfynd.xlsx", "A 34647-2025")</f>
        <v/>
      </c>
      <c r="T498">
        <f>HYPERLINK("https://klasma.github.io/Logging_2280/kartor/A 34647-2025 karta.png", "A 34647-2025")</f>
        <v/>
      </c>
      <c r="V498">
        <f>HYPERLINK("https://klasma.github.io/Logging_2280/klagomål/A 34647-2025 FSC-klagomål.docx", "A 34647-2025")</f>
        <v/>
      </c>
      <c r="W498">
        <f>HYPERLINK("https://klasma.github.io/Logging_2280/klagomålsmail/A 34647-2025 FSC-klagomål mail.docx", "A 34647-2025")</f>
        <v/>
      </c>
      <c r="X498">
        <f>HYPERLINK("https://klasma.github.io/Logging_2280/tillsyn/A 34647-2025 tillsynsbegäran.docx", "A 34647-2025")</f>
        <v/>
      </c>
      <c r="Y498">
        <f>HYPERLINK("https://klasma.github.io/Logging_2280/tillsynsmail/A 34647-2025 tillsynsbegäran mail.docx", "A 34647-2025")</f>
        <v/>
      </c>
    </row>
    <row r="499" ht="15" customHeight="1">
      <c r="A499" t="inlineStr">
        <is>
          <t>A 49232-2025</t>
        </is>
      </c>
      <c r="B499" s="1" t="n">
        <v>45937</v>
      </c>
      <c r="C499" s="1" t="n">
        <v>46185</v>
      </c>
      <c r="D499" t="inlineStr">
        <is>
          <t>VÄSTERNORRLANDS LÄN</t>
        </is>
      </c>
      <c r="E499" t="inlineStr">
        <is>
          <t>TIMRÅ</t>
        </is>
      </c>
      <c r="G499" t="n">
        <v>4.2</v>
      </c>
      <c r="H499" t="n">
        <v>3</v>
      </c>
      <c r="I499" t="n">
        <v>0</v>
      </c>
      <c r="J499" t="n">
        <v>3</v>
      </c>
      <c r="K499" t="n">
        <v>0</v>
      </c>
      <c r="L499" t="n">
        <v>0</v>
      </c>
      <c r="M499" t="n">
        <v>0</v>
      </c>
      <c r="N499" t="n">
        <v>0</v>
      </c>
      <c r="O499" t="n">
        <v>3</v>
      </c>
      <c r="P499" t="n">
        <v>0</v>
      </c>
      <c r="Q499" t="n">
        <v>4</v>
      </c>
      <c r="R499" s="2" t="inlineStr">
        <is>
          <t>Grönsångare
Rödprick
Spillkråka
Gråspett</t>
        </is>
      </c>
      <c r="S499">
        <f>HYPERLINK("https://klasma.github.io/Logging_2262/artfynd/A 49232-2025 artfynd.xlsx", "A 49232-2025")</f>
        <v/>
      </c>
      <c r="T499">
        <f>HYPERLINK("https://klasma.github.io/Logging_2262/kartor/A 49232-2025 karta.png", "A 49232-2025")</f>
        <v/>
      </c>
      <c r="V499">
        <f>HYPERLINK("https://klasma.github.io/Logging_2262/klagomål/A 49232-2025 FSC-klagomål.docx", "A 49232-2025")</f>
        <v/>
      </c>
      <c r="W499">
        <f>HYPERLINK("https://klasma.github.io/Logging_2262/klagomålsmail/A 49232-2025 FSC-klagomål mail.docx", "A 49232-2025")</f>
        <v/>
      </c>
      <c r="X499">
        <f>HYPERLINK("https://klasma.github.io/Logging_2262/tillsyn/A 49232-2025 tillsynsbegäran.docx", "A 49232-2025")</f>
        <v/>
      </c>
      <c r="Y499">
        <f>HYPERLINK("https://klasma.github.io/Logging_2262/tillsynsmail/A 49232-2025 tillsynsbegäran mail.docx", "A 49232-2025")</f>
        <v/>
      </c>
      <c r="Z499">
        <f>HYPERLINK("https://klasma.github.io/Logging_2262/fåglar/A 49232-2025 prioriterade fågelarter.docx", "A 49232-2025")</f>
        <v/>
      </c>
    </row>
    <row r="500" ht="15" customHeight="1">
      <c r="A500" t="inlineStr">
        <is>
          <t>A 48844-2025</t>
        </is>
      </c>
      <c r="B500" s="1" t="n">
        <v>45937.4278125</v>
      </c>
      <c r="C500" s="1" t="n">
        <v>46185</v>
      </c>
      <c r="D500" t="inlineStr">
        <is>
          <t>VÄSTERNORRLANDS LÄN</t>
        </is>
      </c>
      <c r="E500" t="inlineStr">
        <is>
          <t>SUNDSVALL</t>
        </is>
      </c>
      <c r="F500" t="inlineStr">
        <is>
          <t>SCA</t>
        </is>
      </c>
      <c r="G500" t="n">
        <v>3.9</v>
      </c>
      <c r="H500" t="n">
        <v>0</v>
      </c>
      <c r="I500" t="n">
        <v>2</v>
      </c>
      <c r="J500" t="n">
        <v>2</v>
      </c>
      <c r="K500" t="n">
        <v>0</v>
      </c>
      <c r="L500" t="n">
        <v>0</v>
      </c>
      <c r="M500" t="n">
        <v>0</v>
      </c>
      <c r="N500" t="n">
        <v>0</v>
      </c>
      <c r="O500" t="n">
        <v>2</v>
      </c>
      <c r="P500" t="n">
        <v>0</v>
      </c>
      <c r="Q500" t="n">
        <v>4</v>
      </c>
      <c r="R500" s="2" t="inlineStr">
        <is>
          <t>Granticka
Ullticka
Stuplav
Vedticka</t>
        </is>
      </c>
      <c r="S500">
        <f>HYPERLINK("https://klasma.github.io/Logging_2281/artfynd/A 48844-2025 artfynd.xlsx", "A 48844-2025")</f>
        <v/>
      </c>
      <c r="T500">
        <f>HYPERLINK("https://klasma.github.io/Logging_2281/kartor/A 48844-2025 karta.png", "A 48844-2025")</f>
        <v/>
      </c>
      <c r="V500">
        <f>HYPERLINK("https://klasma.github.io/Logging_2281/klagomål/A 48844-2025 FSC-klagomål.docx", "A 48844-2025")</f>
        <v/>
      </c>
      <c r="W500">
        <f>HYPERLINK("https://klasma.github.io/Logging_2281/klagomålsmail/A 48844-2025 FSC-klagomål mail.docx", "A 48844-2025")</f>
        <v/>
      </c>
      <c r="X500">
        <f>HYPERLINK("https://klasma.github.io/Logging_2281/tillsyn/A 48844-2025 tillsynsbegäran.docx", "A 48844-2025")</f>
        <v/>
      </c>
      <c r="Y500">
        <f>HYPERLINK("https://klasma.github.io/Logging_2281/tillsynsmail/A 48844-2025 tillsynsbegäran mail.docx", "A 48844-2025")</f>
        <v/>
      </c>
    </row>
    <row r="501" ht="15" customHeight="1">
      <c r="A501" t="inlineStr">
        <is>
          <t>A 38193-2025</t>
        </is>
      </c>
      <c r="B501" s="1" t="n">
        <v>45882.65716435185</v>
      </c>
      <c r="C501" s="1" t="n">
        <v>46185</v>
      </c>
      <c r="D501" t="inlineStr">
        <is>
          <t>VÄSTERNORRLANDS LÄN</t>
        </is>
      </c>
      <c r="E501" t="inlineStr">
        <is>
          <t>SUNDSVALL</t>
        </is>
      </c>
      <c r="F501" t="inlineStr">
        <is>
          <t>SCA</t>
        </is>
      </c>
      <c r="G501" t="n">
        <v>4</v>
      </c>
      <c r="H501" t="n">
        <v>0</v>
      </c>
      <c r="I501" t="n">
        <v>0</v>
      </c>
      <c r="J501" t="n">
        <v>4</v>
      </c>
      <c r="K501" t="n">
        <v>0</v>
      </c>
      <c r="L501" t="n">
        <v>0</v>
      </c>
      <c r="M501" t="n">
        <v>0</v>
      </c>
      <c r="N501" t="n">
        <v>0</v>
      </c>
      <c r="O501" t="n">
        <v>4</v>
      </c>
      <c r="P501" t="n">
        <v>0</v>
      </c>
      <c r="Q501" t="n">
        <v>4</v>
      </c>
      <c r="R501" s="2" t="inlineStr">
        <is>
          <t>Garnlav
Kolflarnlav
Mörk kolflarnlav
Vedskivlav</t>
        </is>
      </c>
      <c r="S501">
        <f>HYPERLINK("https://klasma.github.io/Logging_2281/artfynd/A 38193-2025 artfynd.xlsx", "A 38193-2025")</f>
        <v/>
      </c>
      <c r="T501">
        <f>HYPERLINK("https://klasma.github.io/Logging_2281/kartor/A 38193-2025 karta.png", "A 38193-2025")</f>
        <v/>
      </c>
      <c r="V501">
        <f>HYPERLINK("https://klasma.github.io/Logging_2281/klagomål/A 38193-2025 FSC-klagomål.docx", "A 38193-2025")</f>
        <v/>
      </c>
      <c r="W501">
        <f>HYPERLINK("https://klasma.github.io/Logging_2281/klagomålsmail/A 38193-2025 FSC-klagomål mail.docx", "A 38193-2025")</f>
        <v/>
      </c>
      <c r="X501">
        <f>HYPERLINK("https://klasma.github.io/Logging_2281/tillsyn/A 38193-2025 tillsynsbegäran.docx", "A 38193-2025")</f>
        <v/>
      </c>
      <c r="Y501">
        <f>HYPERLINK("https://klasma.github.io/Logging_2281/tillsynsmail/A 38193-2025 tillsynsbegäran mail.docx", "A 38193-2025")</f>
        <v/>
      </c>
    </row>
    <row r="502" ht="15" customHeight="1">
      <c r="A502" t="inlineStr">
        <is>
          <t>A 49997-2021</t>
        </is>
      </c>
      <c r="B502" s="1" t="n">
        <v>44456</v>
      </c>
      <c r="C502" s="1" t="n">
        <v>46185</v>
      </c>
      <c r="D502" t="inlineStr">
        <is>
          <t>VÄSTERNORRLANDS LÄN</t>
        </is>
      </c>
      <c r="E502" t="inlineStr">
        <is>
          <t>SUNDSVALL</t>
        </is>
      </c>
      <c r="G502" t="n">
        <v>1.7</v>
      </c>
      <c r="H502" t="n">
        <v>0</v>
      </c>
      <c r="I502" t="n">
        <v>0</v>
      </c>
      <c r="J502" t="n">
        <v>3</v>
      </c>
      <c r="K502" t="n">
        <v>1</v>
      </c>
      <c r="L502" t="n">
        <v>0</v>
      </c>
      <c r="M502" t="n">
        <v>0</v>
      </c>
      <c r="N502" t="n">
        <v>0</v>
      </c>
      <c r="O502" t="n">
        <v>4</v>
      </c>
      <c r="P502" t="n">
        <v>1</v>
      </c>
      <c r="Q502" t="n">
        <v>4</v>
      </c>
      <c r="R502" s="2" t="inlineStr">
        <is>
          <t>Rynkskinn
Gränsticka
Rosenticka
Ullticka</t>
        </is>
      </c>
      <c r="S502">
        <f>HYPERLINK("https://klasma.github.io/Logging_2281/artfynd/A 49997-2021 artfynd.xlsx", "A 49997-2021")</f>
        <v/>
      </c>
      <c r="T502">
        <f>HYPERLINK("https://klasma.github.io/Logging_2281/kartor/A 49997-2021 karta.png", "A 49997-2021")</f>
        <v/>
      </c>
      <c r="V502">
        <f>HYPERLINK("https://klasma.github.io/Logging_2281/klagomål/A 49997-2021 FSC-klagomål.docx", "A 49997-2021")</f>
        <v/>
      </c>
      <c r="W502">
        <f>HYPERLINK("https://klasma.github.io/Logging_2281/klagomålsmail/A 49997-2021 FSC-klagomål mail.docx", "A 49997-2021")</f>
        <v/>
      </c>
      <c r="X502">
        <f>HYPERLINK("https://klasma.github.io/Logging_2281/tillsyn/A 49997-2021 tillsynsbegäran.docx", "A 49997-2021")</f>
        <v/>
      </c>
      <c r="Y502">
        <f>HYPERLINK("https://klasma.github.io/Logging_2281/tillsynsmail/A 49997-2021 tillsynsbegäran mail.docx", "A 49997-2021")</f>
        <v/>
      </c>
    </row>
    <row r="503" ht="15" customHeight="1">
      <c r="A503" t="inlineStr">
        <is>
          <t>A 53296-2024</t>
        </is>
      </c>
      <c r="B503" s="1" t="n">
        <v>45614.38782407407</v>
      </c>
      <c r="C503" s="1" t="n">
        <v>46185</v>
      </c>
      <c r="D503" t="inlineStr">
        <is>
          <t>VÄSTERNORRLANDS LÄN</t>
        </is>
      </c>
      <c r="E503" t="inlineStr">
        <is>
          <t>TIMRÅ</t>
        </is>
      </c>
      <c r="F503" t="inlineStr">
        <is>
          <t>SCA</t>
        </is>
      </c>
      <c r="G503" t="n">
        <v>3.7</v>
      </c>
      <c r="H503" t="n">
        <v>0</v>
      </c>
      <c r="I503" t="n">
        <v>0</v>
      </c>
      <c r="J503" t="n">
        <v>2</v>
      </c>
      <c r="K503" t="n">
        <v>2</v>
      </c>
      <c r="L503" t="n">
        <v>0</v>
      </c>
      <c r="M503" t="n">
        <v>0</v>
      </c>
      <c r="N503" t="n">
        <v>0</v>
      </c>
      <c r="O503" t="n">
        <v>4</v>
      </c>
      <c r="P503" t="n">
        <v>2</v>
      </c>
      <c r="Q503" t="n">
        <v>4</v>
      </c>
      <c r="R503" s="2" t="inlineStr">
        <is>
          <t>Läderdoftande fingersvamp
Rynkskinn
Rosenticka
Ullticka</t>
        </is>
      </c>
      <c r="S503">
        <f>HYPERLINK("https://klasma.github.io/Logging_2262/artfynd/A 53296-2024 artfynd.xlsx", "A 53296-2024")</f>
        <v/>
      </c>
      <c r="T503">
        <f>HYPERLINK("https://klasma.github.io/Logging_2262/kartor/A 53296-2024 karta.png", "A 53296-2024")</f>
        <v/>
      </c>
      <c r="V503">
        <f>HYPERLINK("https://klasma.github.io/Logging_2262/klagomål/A 53296-2024 FSC-klagomål.docx", "A 53296-2024")</f>
        <v/>
      </c>
      <c r="W503">
        <f>HYPERLINK("https://klasma.github.io/Logging_2262/klagomålsmail/A 53296-2024 FSC-klagomål mail.docx", "A 53296-2024")</f>
        <v/>
      </c>
      <c r="X503">
        <f>HYPERLINK("https://klasma.github.io/Logging_2262/tillsyn/A 53296-2024 tillsynsbegäran.docx", "A 53296-2024")</f>
        <v/>
      </c>
      <c r="Y503">
        <f>HYPERLINK("https://klasma.github.io/Logging_2262/tillsynsmail/A 53296-2024 tillsynsbegäran mail.docx", "A 53296-2024")</f>
        <v/>
      </c>
    </row>
    <row r="504" ht="15" customHeight="1">
      <c r="A504" t="inlineStr">
        <is>
          <t>A 57553-2021</t>
        </is>
      </c>
      <c r="B504" s="1" t="n">
        <v>44483.94234953704</v>
      </c>
      <c r="C504" s="1" t="n">
        <v>46185</v>
      </c>
      <c r="D504" t="inlineStr">
        <is>
          <t>VÄSTERNORRLANDS LÄN</t>
        </is>
      </c>
      <c r="E504" t="inlineStr">
        <is>
          <t>TIMRÅ</t>
        </is>
      </c>
      <c r="F504" t="inlineStr">
        <is>
          <t>SCA</t>
        </is>
      </c>
      <c r="G504" t="n">
        <v>17.9</v>
      </c>
      <c r="H504" t="n">
        <v>1</v>
      </c>
      <c r="I504" t="n">
        <v>1</v>
      </c>
      <c r="J504" t="n">
        <v>2</v>
      </c>
      <c r="K504" t="n">
        <v>1</v>
      </c>
      <c r="L504" t="n">
        <v>0</v>
      </c>
      <c r="M504" t="n">
        <v>0</v>
      </c>
      <c r="N504" t="n">
        <v>0</v>
      </c>
      <c r="O504" t="n">
        <v>3</v>
      </c>
      <c r="P504" t="n">
        <v>1</v>
      </c>
      <c r="Q504" t="n">
        <v>4</v>
      </c>
      <c r="R504" s="2" t="inlineStr">
        <is>
          <t>Knärot
Garnlav
Tallticka
Vedticka</t>
        </is>
      </c>
      <c r="S504">
        <f>HYPERLINK("https://klasma.github.io/Logging_2262/artfynd/A 57553-2021 artfynd.xlsx", "A 57553-2021")</f>
        <v/>
      </c>
      <c r="T504">
        <f>HYPERLINK("https://klasma.github.io/Logging_2262/kartor/A 57553-2021 karta.png", "A 57553-2021")</f>
        <v/>
      </c>
      <c r="U504">
        <f>HYPERLINK("https://klasma.github.io/Logging_2262/knärot/A 57553-2021 karta knärot.png", "A 57553-2021")</f>
        <v/>
      </c>
      <c r="V504">
        <f>HYPERLINK("https://klasma.github.io/Logging_2262/klagomål/A 57553-2021 FSC-klagomål.docx", "A 57553-2021")</f>
        <v/>
      </c>
      <c r="W504">
        <f>HYPERLINK("https://klasma.github.io/Logging_2262/klagomålsmail/A 57553-2021 FSC-klagomål mail.docx", "A 57553-2021")</f>
        <v/>
      </c>
      <c r="X504">
        <f>HYPERLINK("https://klasma.github.io/Logging_2262/tillsyn/A 57553-2021 tillsynsbegäran.docx", "A 57553-2021")</f>
        <v/>
      </c>
      <c r="Y504">
        <f>HYPERLINK("https://klasma.github.io/Logging_2262/tillsynsmail/A 57553-2021 tillsynsbegäran mail.docx", "A 57553-2021")</f>
        <v/>
      </c>
    </row>
    <row r="505" ht="15" customHeight="1">
      <c r="A505" t="inlineStr">
        <is>
          <t>A 50982-2025</t>
        </is>
      </c>
      <c r="B505" s="1" t="n">
        <v>45947.34473379629</v>
      </c>
      <c r="C505" s="1" t="n">
        <v>46185</v>
      </c>
      <c r="D505" t="inlineStr">
        <is>
          <t>VÄSTERNORRLANDS LÄN</t>
        </is>
      </c>
      <c r="E505" t="inlineStr">
        <is>
          <t>SUNDSVALL</t>
        </is>
      </c>
      <c r="F505" t="inlineStr">
        <is>
          <t>SCA</t>
        </is>
      </c>
      <c r="G505" t="n">
        <v>3</v>
      </c>
      <c r="H505" t="n">
        <v>2</v>
      </c>
      <c r="I505" t="n">
        <v>1</v>
      </c>
      <c r="J505" t="n">
        <v>2</v>
      </c>
      <c r="K505" t="n">
        <v>1</v>
      </c>
      <c r="L505" t="n">
        <v>0</v>
      </c>
      <c r="M505" t="n">
        <v>0</v>
      </c>
      <c r="N505" t="n">
        <v>0</v>
      </c>
      <c r="O505" t="n">
        <v>3</v>
      </c>
      <c r="P505" t="n">
        <v>1</v>
      </c>
      <c r="Q505" t="n">
        <v>4</v>
      </c>
      <c r="R505" s="2" t="inlineStr">
        <is>
          <t>Knärot
Lunglav
Tretåig hackspett
Skinnlav</t>
        </is>
      </c>
      <c r="S505">
        <f>HYPERLINK("https://klasma.github.io/Logging_2281/artfynd/A 50982-2025 artfynd.xlsx", "A 50982-2025")</f>
        <v/>
      </c>
      <c r="T505">
        <f>HYPERLINK("https://klasma.github.io/Logging_2281/kartor/A 50982-2025 karta.png", "A 50982-2025")</f>
        <v/>
      </c>
      <c r="U505">
        <f>HYPERLINK("https://klasma.github.io/Logging_2281/knärot/A 50982-2025 karta knärot.png", "A 50982-2025")</f>
        <v/>
      </c>
      <c r="V505">
        <f>HYPERLINK("https://klasma.github.io/Logging_2281/klagomål/A 50982-2025 FSC-klagomål.docx", "A 50982-2025")</f>
        <v/>
      </c>
      <c r="W505">
        <f>HYPERLINK("https://klasma.github.io/Logging_2281/klagomålsmail/A 50982-2025 FSC-klagomål mail.docx", "A 50982-2025")</f>
        <v/>
      </c>
      <c r="X505">
        <f>HYPERLINK("https://klasma.github.io/Logging_2281/tillsyn/A 50982-2025 tillsynsbegäran.docx", "A 50982-2025")</f>
        <v/>
      </c>
      <c r="Y505">
        <f>HYPERLINK("https://klasma.github.io/Logging_2281/tillsynsmail/A 50982-2025 tillsynsbegäran mail.docx", "A 50982-2025")</f>
        <v/>
      </c>
      <c r="Z505">
        <f>HYPERLINK("https://klasma.github.io/Logging_2281/fåglar/A 50982-2025 prioriterade fågelarter.docx", "A 50982-2025")</f>
        <v/>
      </c>
    </row>
    <row r="506" ht="15" customHeight="1">
      <c r="A506" t="inlineStr">
        <is>
          <t>A 52150-2025</t>
        </is>
      </c>
      <c r="B506" s="1" t="n">
        <v>45953.34493055556</v>
      </c>
      <c r="C506" s="1" t="n">
        <v>46185</v>
      </c>
      <c r="D506" t="inlineStr">
        <is>
          <t>VÄSTERNORRLANDS LÄN</t>
        </is>
      </c>
      <c r="E506" t="inlineStr">
        <is>
          <t>TIMRÅ</t>
        </is>
      </c>
      <c r="F506" t="inlineStr">
        <is>
          <t>SCA</t>
        </is>
      </c>
      <c r="G506" t="n">
        <v>7</v>
      </c>
      <c r="H506" t="n">
        <v>0</v>
      </c>
      <c r="I506" t="n">
        <v>0</v>
      </c>
      <c r="J506" t="n">
        <v>4</v>
      </c>
      <c r="K506" t="n">
        <v>0</v>
      </c>
      <c r="L506" t="n">
        <v>0</v>
      </c>
      <c r="M506" t="n">
        <v>0</v>
      </c>
      <c r="N506" t="n">
        <v>0</v>
      </c>
      <c r="O506" t="n">
        <v>4</v>
      </c>
      <c r="P506" t="n">
        <v>0</v>
      </c>
      <c r="Q506" t="n">
        <v>4</v>
      </c>
      <c r="R506" s="2" t="inlineStr">
        <is>
          <t>Granticka
Lunglav
Stjärntagging
Ullticka</t>
        </is>
      </c>
      <c r="S506">
        <f>HYPERLINK("https://klasma.github.io/Logging_2262/artfynd/A 52150-2025 artfynd.xlsx", "A 52150-2025")</f>
        <v/>
      </c>
      <c r="T506">
        <f>HYPERLINK("https://klasma.github.io/Logging_2262/kartor/A 52150-2025 karta.png", "A 52150-2025")</f>
        <v/>
      </c>
      <c r="V506">
        <f>HYPERLINK("https://klasma.github.io/Logging_2262/klagomål/A 52150-2025 FSC-klagomål.docx", "A 52150-2025")</f>
        <v/>
      </c>
      <c r="W506">
        <f>HYPERLINK("https://klasma.github.io/Logging_2262/klagomålsmail/A 52150-2025 FSC-klagomål mail.docx", "A 52150-2025")</f>
        <v/>
      </c>
      <c r="X506">
        <f>HYPERLINK("https://klasma.github.io/Logging_2262/tillsyn/A 52150-2025 tillsynsbegäran.docx", "A 52150-2025")</f>
        <v/>
      </c>
      <c r="Y506">
        <f>HYPERLINK("https://klasma.github.io/Logging_2262/tillsynsmail/A 52150-2025 tillsynsbegäran mail.docx", "A 52150-2025")</f>
        <v/>
      </c>
    </row>
    <row r="507" ht="15" customHeight="1">
      <c r="A507" t="inlineStr">
        <is>
          <t>A 54093-2024</t>
        </is>
      </c>
      <c r="B507" s="1" t="n">
        <v>45616.51100694444</v>
      </c>
      <c r="C507" s="1" t="n">
        <v>46185</v>
      </c>
      <c r="D507" t="inlineStr">
        <is>
          <t>VÄSTERNORRLANDS LÄN</t>
        </is>
      </c>
      <c r="E507" t="inlineStr">
        <is>
          <t>SOLLEFTEÅ</t>
        </is>
      </c>
      <c r="F507" t="inlineStr">
        <is>
          <t>SCA</t>
        </is>
      </c>
      <c r="G507" t="n">
        <v>3.9</v>
      </c>
      <c r="H507" t="n">
        <v>0</v>
      </c>
      <c r="I507" t="n">
        <v>0</v>
      </c>
      <c r="J507" t="n">
        <v>4</v>
      </c>
      <c r="K507" t="n">
        <v>0</v>
      </c>
      <c r="L507" t="n">
        <v>0</v>
      </c>
      <c r="M507" t="n">
        <v>0</v>
      </c>
      <c r="N507" t="n">
        <v>0</v>
      </c>
      <c r="O507" t="n">
        <v>4</v>
      </c>
      <c r="P507" t="n">
        <v>0</v>
      </c>
      <c r="Q507" t="n">
        <v>4</v>
      </c>
      <c r="R507" s="2" t="inlineStr">
        <is>
          <t>Garnlav
Lunglav
Rosenticka
Ullticka</t>
        </is>
      </c>
      <c r="S507">
        <f>HYPERLINK("https://klasma.github.io/Logging_2283/artfynd/A 54093-2024 artfynd.xlsx", "A 54093-2024")</f>
        <v/>
      </c>
      <c r="T507">
        <f>HYPERLINK("https://klasma.github.io/Logging_2283/kartor/A 54093-2024 karta.png", "A 54093-2024")</f>
        <v/>
      </c>
      <c r="V507">
        <f>HYPERLINK("https://klasma.github.io/Logging_2283/klagomål/A 54093-2024 FSC-klagomål.docx", "A 54093-2024")</f>
        <v/>
      </c>
      <c r="W507">
        <f>HYPERLINK("https://klasma.github.io/Logging_2283/klagomålsmail/A 54093-2024 FSC-klagomål mail.docx", "A 54093-2024")</f>
        <v/>
      </c>
      <c r="X507">
        <f>HYPERLINK("https://klasma.github.io/Logging_2283/tillsyn/A 54093-2024 tillsynsbegäran.docx", "A 54093-2024")</f>
        <v/>
      </c>
      <c r="Y507">
        <f>HYPERLINK("https://klasma.github.io/Logging_2283/tillsynsmail/A 54093-2024 tillsynsbegäran mail.docx", "A 54093-2024")</f>
        <v/>
      </c>
    </row>
    <row r="508" ht="15" customHeight="1">
      <c r="A508" t="inlineStr">
        <is>
          <t>A 48667-2024</t>
        </is>
      </c>
      <c r="B508" s="1" t="n">
        <v>45593.49023148148</v>
      </c>
      <c r="C508" s="1" t="n">
        <v>46185</v>
      </c>
      <c r="D508" t="inlineStr">
        <is>
          <t>VÄSTERNORRLANDS LÄN</t>
        </is>
      </c>
      <c r="E508" t="inlineStr">
        <is>
          <t>HÄRNÖSAND</t>
        </is>
      </c>
      <c r="F508" t="inlineStr">
        <is>
          <t>SCA</t>
        </is>
      </c>
      <c r="G508" t="n">
        <v>1</v>
      </c>
      <c r="H508" t="n">
        <v>0</v>
      </c>
      <c r="I508" t="n">
        <v>3</v>
      </c>
      <c r="J508" t="n">
        <v>1</v>
      </c>
      <c r="K508" t="n">
        <v>0</v>
      </c>
      <c r="L508" t="n">
        <v>0</v>
      </c>
      <c r="M508" t="n">
        <v>0</v>
      </c>
      <c r="N508" t="n">
        <v>0</v>
      </c>
      <c r="O508" t="n">
        <v>1</v>
      </c>
      <c r="P508" t="n">
        <v>0</v>
      </c>
      <c r="Q508" t="n">
        <v>4</v>
      </c>
      <c r="R508" s="2" t="inlineStr">
        <is>
          <t>Gränsticka
Kattfotslav
Skinnlav
Vedticka</t>
        </is>
      </c>
      <c r="S508">
        <f>HYPERLINK("https://klasma.github.io/Logging_2280/artfynd/A 48667-2024 artfynd.xlsx", "A 48667-2024")</f>
        <v/>
      </c>
      <c r="T508">
        <f>HYPERLINK("https://klasma.github.io/Logging_2280/kartor/A 48667-2024 karta.png", "A 48667-2024")</f>
        <v/>
      </c>
      <c r="V508">
        <f>HYPERLINK("https://klasma.github.io/Logging_2280/klagomål/A 48667-2024 FSC-klagomål.docx", "A 48667-2024")</f>
        <v/>
      </c>
      <c r="W508">
        <f>HYPERLINK("https://klasma.github.io/Logging_2280/klagomålsmail/A 48667-2024 FSC-klagomål mail.docx", "A 48667-2024")</f>
        <v/>
      </c>
      <c r="X508">
        <f>HYPERLINK("https://klasma.github.io/Logging_2280/tillsyn/A 48667-2024 tillsynsbegäran.docx", "A 48667-2024")</f>
        <v/>
      </c>
      <c r="Y508">
        <f>HYPERLINK("https://klasma.github.io/Logging_2280/tillsynsmail/A 48667-2024 tillsynsbegäran mail.docx", "A 48667-2024")</f>
        <v/>
      </c>
    </row>
    <row r="509" ht="15" customHeight="1">
      <c r="A509" t="inlineStr">
        <is>
          <t>A 54095-2025</t>
        </is>
      </c>
      <c r="B509" s="1" t="n">
        <v>45964.40685185185</v>
      </c>
      <c r="C509" s="1" t="n">
        <v>46185</v>
      </c>
      <c r="D509" t="inlineStr">
        <is>
          <t>VÄSTERNORRLANDS LÄN</t>
        </is>
      </c>
      <c r="E509" t="inlineStr">
        <is>
          <t>ÅNGE</t>
        </is>
      </c>
      <c r="F509" t="inlineStr">
        <is>
          <t>SCA</t>
        </is>
      </c>
      <c r="G509" t="n">
        <v>14.1</v>
      </c>
      <c r="H509" t="n">
        <v>1</v>
      </c>
      <c r="I509" t="n">
        <v>1</v>
      </c>
      <c r="J509" t="n">
        <v>2</v>
      </c>
      <c r="K509" t="n">
        <v>1</v>
      </c>
      <c r="L509" t="n">
        <v>0</v>
      </c>
      <c r="M509" t="n">
        <v>0</v>
      </c>
      <c r="N509" t="n">
        <v>0</v>
      </c>
      <c r="O509" t="n">
        <v>3</v>
      </c>
      <c r="P509" t="n">
        <v>1</v>
      </c>
      <c r="Q509" t="n">
        <v>4</v>
      </c>
      <c r="R509" s="2" t="inlineStr">
        <is>
          <t>Knärot
Mörk kolflarnlav
Vedtrappmossa
Skarp dropptaggsvamp</t>
        </is>
      </c>
      <c r="S509">
        <f>HYPERLINK("https://klasma.github.io/Logging_2260/artfynd/A 54095-2025 artfynd.xlsx", "A 54095-2025")</f>
        <v/>
      </c>
      <c r="T509">
        <f>HYPERLINK("https://klasma.github.io/Logging_2260/kartor/A 54095-2025 karta.png", "A 54095-2025")</f>
        <v/>
      </c>
      <c r="U509">
        <f>HYPERLINK("https://klasma.github.io/Logging_2260/knärot/A 54095-2025 karta knärot.png", "A 54095-2025")</f>
        <v/>
      </c>
      <c r="V509">
        <f>HYPERLINK("https://klasma.github.io/Logging_2260/klagomål/A 54095-2025 FSC-klagomål.docx", "A 54095-2025")</f>
        <v/>
      </c>
      <c r="W509">
        <f>HYPERLINK("https://klasma.github.io/Logging_2260/klagomålsmail/A 54095-2025 FSC-klagomål mail.docx", "A 54095-2025")</f>
        <v/>
      </c>
      <c r="X509">
        <f>HYPERLINK("https://klasma.github.io/Logging_2260/tillsyn/A 54095-2025 tillsynsbegäran.docx", "A 54095-2025")</f>
        <v/>
      </c>
      <c r="Y509">
        <f>HYPERLINK("https://klasma.github.io/Logging_2260/tillsynsmail/A 54095-2025 tillsynsbegäran mail.docx", "A 54095-2025")</f>
        <v/>
      </c>
    </row>
    <row r="510" ht="15" customHeight="1">
      <c r="A510" t="inlineStr">
        <is>
          <t>A 7905-2026</t>
        </is>
      </c>
      <c r="B510" s="1" t="n">
        <v>46063.35283564815</v>
      </c>
      <c r="C510" s="1" t="n">
        <v>46185</v>
      </c>
      <c r="D510" t="inlineStr">
        <is>
          <t>VÄSTERNORRLANDS LÄN</t>
        </is>
      </c>
      <c r="E510" t="inlineStr">
        <is>
          <t>SOLLEFTEÅ</t>
        </is>
      </c>
      <c r="G510" t="n">
        <v>3.2</v>
      </c>
      <c r="H510" t="n">
        <v>4</v>
      </c>
      <c r="I510" t="n">
        <v>0</v>
      </c>
      <c r="J510" t="n">
        <v>1</v>
      </c>
      <c r="K510" t="n">
        <v>0</v>
      </c>
      <c r="L510" t="n">
        <v>0</v>
      </c>
      <c r="M510" t="n">
        <v>0</v>
      </c>
      <c r="N510" t="n">
        <v>0</v>
      </c>
      <c r="O510" t="n">
        <v>1</v>
      </c>
      <c r="P510" t="n">
        <v>0</v>
      </c>
      <c r="Q510" t="n">
        <v>4</v>
      </c>
      <c r="R510" s="2" t="inlineStr">
        <is>
          <t>Talltita
Lavskrika
Orre
Tjäder</t>
        </is>
      </c>
      <c r="S510">
        <f>HYPERLINK("https://klasma.github.io/Logging_2283/artfynd/A 7905-2026 artfynd.xlsx", "A 7905-2026")</f>
        <v/>
      </c>
      <c r="T510">
        <f>HYPERLINK("https://klasma.github.io/Logging_2283/kartor/A 7905-2026 karta.png", "A 7905-2026")</f>
        <v/>
      </c>
      <c r="V510">
        <f>HYPERLINK("https://klasma.github.io/Logging_2283/klagomål/A 7905-2026 FSC-klagomål.docx", "A 7905-2026")</f>
        <v/>
      </c>
      <c r="W510">
        <f>HYPERLINK("https://klasma.github.io/Logging_2283/klagomålsmail/A 7905-2026 FSC-klagomål mail.docx", "A 7905-2026")</f>
        <v/>
      </c>
      <c r="X510">
        <f>HYPERLINK("https://klasma.github.io/Logging_2283/tillsyn/A 7905-2026 tillsynsbegäran.docx", "A 7905-2026")</f>
        <v/>
      </c>
      <c r="Y510">
        <f>HYPERLINK("https://klasma.github.io/Logging_2283/tillsynsmail/A 7905-2026 tillsynsbegäran mail.docx", "A 7905-2026")</f>
        <v/>
      </c>
      <c r="Z510">
        <f>HYPERLINK("https://klasma.github.io/Logging_2283/fåglar/A 7905-2026 prioriterade fågelarter.docx", "A 7905-2026")</f>
        <v/>
      </c>
    </row>
    <row r="511" ht="15" customHeight="1">
      <c r="A511" t="inlineStr">
        <is>
          <t>A 55337-2025</t>
        </is>
      </c>
      <c r="B511" s="1" t="n">
        <v>45971.34467592592</v>
      </c>
      <c r="C511" s="1" t="n">
        <v>46185</v>
      </c>
      <c r="D511" t="inlineStr">
        <is>
          <t>VÄSTERNORRLANDS LÄN</t>
        </is>
      </c>
      <c r="E511" t="inlineStr">
        <is>
          <t>HÄRNÖSAND</t>
        </is>
      </c>
      <c r="F511" t="inlineStr">
        <is>
          <t>SCA</t>
        </is>
      </c>
      <c r="G511" t="n">
        <v>2.9</v>
      </c>
      <c r="H511" t="n">
        <v>0</v>
      </c>
      <c r="I511" t="n">
        <v>2</v>
      </c>
      <c r="J511" t="n">
        <v>2</v>
      </c>
      <c r="K511" t="n">
        <v>0</v>
      </c>
      <c r="L511" t="n">
        <v>0</v>
      </c>
      <c r="M511" t="n">
        <v>0</v>
      </c>
      <c r="N511" t="n">
        <v>0</v>
      </c>
      <c r="O511" t="n">
        <v>2</v>
      </c>
      <c r="P511" t="n">
        <v>0</v>
      </c>
      <c r="Q511" t="n">
        <v>4</v>
      </c>
      <c r="R511" s="2" t="inlineStr">
        <is>
          <t>Garnlav
Lunglav
Korallblylav
Skinnlav</t>
        </is>
      </c>
      <c r="S511">
        <f>HYPERLINK("https://klasma.github.io/Logging_2280/artfynd/A 55337-2025 artfynd.xlsx", "A 55337-2025")</f>
        <v/>
      </c>
      <c r="T511">
        <f>HYPERLINK("https://klasma.github.io/Logging_2280/kartor/A 55337-2025 karta.png", "A 55337-2025")</f>
        <v/>
      </c>
      <c r="V511">
        <f>HYPERLINK("https://klasma.github.io/Logging_2280/klagomål/A 55337-2025 FSC-klagomål.docx", "A 55337-2025")</f>
        <v/>
      </c>
      <c r="W511">
        <f>HYPERLINK("https://klasma.github.io/Logging_2280/klagomålsmail/A 55337-2025 FSC-klagomål mail.docx", "A 55337-2025")</f>
        <v/>
      </c>
      <c r="X511">
        <f>HYPERLINK("https://klasma.github.io/Logging_2280/tillsyn/A 55337-2025 tillsynsbegäran.docx", "A 55337-2025")</f>
        <v/>
      </c>
      <c r="Y511">
        <f>HYPERLINK("https://klasma.github.io/Logging_2280/tillsynsmail/A 55337-2025 tillsynsbegäran mail.docx", "A 55337-2025")</f>
        <v/>
      </c>
    </row>
    <row r="512" ht="15" customHeight="1">
      <c r="A512" t="inlineStr">
        <is>
          <t>A 8691-2026</t>
        </is>
      </c>
      <c r="B512" s="1" t="n">
        <v>46066.4482175926</v>
      </c>
      <c r="C512" s="1" t="n">
        <v>46185</v>
      </c>
      <c r="D512" t="inlineStr">
        <is>
          <t>VÄSTERNORRLANDS LÄN</t>
        </is>
      </c>
      <c r="E512" t="inlineStr">
        <is>
          <t>SUNDSVALL</t>
        </is>
      </c>
      <c r="G512" t="n">
        <v>0.6</v>
      </c>
      <c r="H512" t="n">
        <v>3</v>
      </c>
      <c r="I512" t="n">
        <v>0</v>
      </c>
      <c r="J512" t="n">
        <v>2</v>
      </c>
      <c r="K512" t="n">
        <v>0</v>
      </c>
      <c r="L512" t="n">
        <v>0</v>
      </c>
      <c r="M512" t="n">
        <v>0</v>
      </c>
      <c r="N512" t="n">
        <v>0</v>
      </c>
      <c r="O512" t="n">
        <v>2</v>
      </c>
      <c r="P512" t="n">
        <v>0</v>
      </c>
      <c r="Q512" t="n">
        <v>4</v>
      </c>
      <c r="R512" s="2" t="inlineStr">
        <is>
          <t>Spillkråka
Ullticka
Vanlig padda
Revlummer</t>
        </is>
      </c>
      <c r="S512">
        <f>HYPERLINK("https://klasma.github.io/Logging_2281/artfynd/A 8691-2026 artfynd.xlsx", "A 8691-2026")</f>
        <v/>
      </c>
      <c r="T512">
        <f>HYPERLINK("https://klasma.github.io/Logging_2281/kartor/A 8691-2026 karta.png", "A 8691-2026")</f>
        <v/>
      </c>
      <c r="V512">
        <f>HYPERLINK("https://klasma.github.io/Logging_2281/klagomål/A 8691-2026 FSC-klagomål.docx", "A 8691-2026")</f>
        <v/>
      </c>
      <c r="W512">
        <f>HYPERLINK("https://klasma.github.io/Logging_2281/klagomålsmail/A 8691-2026 FSC-klagomål mail.docx", "A 8691-2026")</f>
        <v/>
      </c>
      <c r="X512">
        <f>HYPERLINK("https://klasma.github.io/Logging_2281/tillsyn/A 8691-2026 tillsynsbegäran.docx", "A 8691-2026")</f>
        <v/>
      </c>
      <c r="Y512">
        <f>HYPERLINK("https://klasma.github.io/Logging_2281/tillsynsmail/A 8691-2026 tillsynsbegäran mail.docx", "A 8691-2026")</f>
        <v/>
      </c>
      <c r="Z512">
        <f>HYPERLINK("https://klasma.github.io/Logging_2281/fåglar/A 8691-2026 prioriterade fågelarter.docx", "A 8691-2026")</f>
        <v/>
      </c>
    </row>
    <row r="513" ht="15" customHeight="1">
      <c r="A513" t="inlineStr">
        <is>
          <t>A 41267-2021</t>
        </is>
      </c>
      <c r="B513" s="1" t="n">
        <v>44424</v>
      </c>
      <c r="C513" s="1" t="n">
        <v>46185</v>
      </c>
      <c r="D513" t="inlineStr">
        <is>
          <t>VÄSTERNORRLANDS LÄN</t>
        </is>
      </c>
      <c r="E513" t="inlineStr">
        <is>
          <t>ÖRNSKÖLDSVIK</t>
        </is>
      </c>
      <c r="F513" t="inlineStr">
        <is>
          <t>Holmen skog AB</t>
        </is>
      </c>
      <c r="G513" t="n">
        <v>1.5</v>
      </c>
      <c r="H513" t="n">
        <v>0</v>
      </c>
      <c r="I513" t="n">
        <v>1</v>
      </c>
      <c r="J513" t="n">
        <v>3</v>
      </c>
      <c r="K513" t="n">
        <v>0</v>
      </c>
      <c r="L513" t="n">
        <v>0</v>
      </c>
      <c r="M513" t="n">
        <v>0</v>
      </c>
      <c r="N513" t="n">
        <v>0</v>
      </c>
      <c r="O513" t="n">
        <v>3</v>
      </c>
      <c r="P513" t="n">
        <v>0</v>
      </c>
      <c r="Q513" t="n">
        <v>4</v>
      </c>
      <c r="R513" s="2" t="inlineStr">
        <is>
          <t>Gammelgransskål
Garnlav
Granticka
Vedticka</t>
        </is>
      </c>
      <c r="S513">
        <f>HYPERLINK("https://klasma.github.io/Logging_2284/artfynd/A 41267-2021 artfynd.xlsx", "A 41267-2021")</f>
        <v/>
      </c>
      <c r="T513">
        <f>HYPERLINK("https://klasma.github.io/Logging_2284/kartor/A 41267-2021 karta.png", "A 41267-2021")</f>
        <v/>
      </c>
      <c r="V513">
        <f>HYPERLINK("https://klasma.github.io/Logging_2284/klagomål/A 41267-2021 FSC-klagomål.docx", "A 41267-2021")</f>
        <v/>
      </c>
      <c r="W513">
        <f>HYPERLINK("https://klasma.github.io/Logging_2284/klagomålsmail/A 41267-2021 FSC-klagomål mail.docx", "A 41267-2021")</f>
        <v/>
      </c>
      <c r="X513">
        <f>HYPERLINK("https://klasma.github.io/Logging_2284/tillsyn/A 41267-2021 tillsynsbegäran.docx", "A 41267-2021")</f>
        <v/>
      </c>
      <c r="Y513">
        <f>HYPERLINK("https://klasma.github.io/Logging_2284/tillsynsmail/A 41267-2021 tillsynsbegäran mail.docx", "A 41267-2021")</f>
        <v/>
      </c>
    </row>
    <row r="514" ht="15" customHeight="1">
      <c r="A514" t="inlineStr">
        <is>
          <t>A 60194-2024</t>
        </is>
      </c>
      <c r="B514" s="1" t="n">
        <v>45642</v>
      </c>
      <c r="C514" s="1" t="n">
        <v>46185</v>
      </c>
      <c r="D514" t="inlineStr">
        <is>
          <t>VÄSTERNORRLANDS LÄN</t>
        </is>
      </c>
      <c r="E514" t="inlineStr">
        <is>
          <t>SUNDSVALL</t>
        </is>
      </c>
      <c r="F514" t="inlineStr">
        <is>
          <t>SCA</t>
        </is>
      </c>
      <c r="G514" t="n">
        <v>16.6</v>
      </c>
      <c r="H514" t="n">
        <v>3</v>
      </c>
      <c r="I514" t="n">
        <v>1</v>
      </c>
      <c r="J514" t="n">
        <v>2</v>
      </c>
      <c r="K514" t="n">
        <v>1</v>
      </c>
      <c r="L514" t="n">
        <v>0</v>
      </c>
      <c r="M514" t="n">
        <v>0</v>
      </c>
      <c r="N514" t="n">
        <v>0</v>
      </c>
      <c r="O514" t="n">
        <v>3</v>
      </c>
      <c r="P514" t="n">
        <v>1</v>
      </c>
      <c r="Q514" t="n">
        <v>4</v>
      </c>
      <c r="R514" s="2" t="inlineStr">
        <is>
          <t>Knärot
Mindre hackspett
Spillkråka
Björksplintborre</t>
        </is>
      </c>
      <c r="S514">
        <f>HYPERLINK("https://klasma.github.io/Logging_2281/artfynd/A 60194-2024 artfynd.xlsx", "A 60194-2024")</f>
        <v/>
      </c>
      <c r="T514">
        <f>HYPERLINK("https://klasma.github.io/Logging_2281/kartor/A 60194-2024 karta.png", "A 60194-2024")</f>
        <v/>
      </c>
      <c r="U514">
        <f>HYPERLINK("https://klasma.github.io/Logging_2281/knärot/A 60194-2024 karta knärot.png", "A 60194-2024")</f>
        <v/>
      </c>
      <c r="V514">
        <f>HYPERLINK("https://klasma.github.io/Logging_2281/klagomål/A 60194-2024 FSC-klagomål.docx", "A 60194-2024")</f>
        <v/>
      </c>
      <c r="W514">
        <f>HYPERLINK("https://klasma.github.io/Logging_2281/klagomålsmail/A 60194-2024 FSC-klagomål mail.docx", "A 60194-2024")</f>
        <v/>
      </c>
      <c r="X514">
        <f>HYPERLINK("https://klasma.github.io/Logging_2281/tillsyn/A 60194-2024 tillsynsbegäran.docx", "A 60194-2024")</f>
        <v/>
      </c>
      <c r="Y514">
        <f>HYPERLINK("https://klasma.github.io/Logging_2281/tillsynsmail/A 60194-2024 tillsynsbegäran mail.docx", "A 60194-2024")</f>
        <v/>
      </c>
      <c r="Z514">
        <f>HYPERLINK("https://klasma.github.io/Logging_2281/fåglar/A 60194-2024 prioriterade fågelarter.docx", "A 60194-2024")</f>
        <v/>
      </c>
    </row>
    <row r="515" ht="15" customHeight="1">
      <c r="A515" t="inlineStr">
        <is>
          <t>A 60260-2025</t>
        </is>
      </c>
      <c r="B515" s="1" t="n">
        <v>45994.61025462963</v>
      </c>
      <c r="C515" s="1" t="n">
        <v>46185</v>
      </c>
      <c r="D515" t="inlineStr">
        <is>
          <t>VÄSTERNORRLANDS LÄN</t>
        </is>
      </c>
      <c r="E515" t="inlineStr">
        <is>
          <t>SOLLEFTEÅ</t>
        </is>
      </c>
      <c r="G515" t="n">
        <v>2.2</v>
      </c>
      <c r="H515" t="n">
        <v>0</v>
      </c>
      <c r="I515" t="n">
        <v>1</v>
      </c>
      <c r="J515" t="n">
        <v>1</v>
      </c>
      <c r="K515" t="n">
        <v>2</v>
      </c>
      <c r="L515" t="n">
        <v>0</v>
      </c>
      <c r="M515" t="n">
        <v>0</v>
      </c>
      <c r="N515" t="n">
        <v>0</v>
      </c>
      <c r="O515" t="n">
        <v>3</v>
      </c>
      <c r="P515" t="n">
        <v>2</v>
      </c>
      <c r="Q515" t="n">
        <v>4</v>
      </c>
      <c r="R515" s="2" t="inlineStr">
        <is>
          <t>Liten aspgelélav
Sprickporing
Lunglav
Korallblylav</t>
        </is>
      </c>
      <c r="S515">
        <f>HYPERLINK("https://klasma.github.io/Logging_2283/artfynd/A 60260-2025 artfynd.xlsx", "A 60260-2025")</f>
        <v/>
      </c>
      <c r="T515">
        <f>HYPERLINK("https://klasma.github.io/Logging_2283/kartor/A 60260-2025 karta.png", "A 60260-2025")</f>
        <v/>
      </c>
      <c r="V515">
        <f>HYPERLINK("https://klasma.github.io/Logging_2283/klagomål/A 60260-2025 FSC-klagomål.docx", "A 60260-2025")</f>
        <v/>
      </c>
      <c r="W515">
        <f>HYPERLINK("https://klasma.github.io/Logging_2283/klagomålsmail/A 60260-2025 FSC-klagomål mail.docx", "A 60260-2025")</f>
        <v/>
      </c>
      <c r="X515">
        <f>HYPERLINK("https://klasma.github.io/Logging_2283/tillsyn/A 60260-2025 tillsynsbegäran.docx", "A 60260-2025")</f>
        <v/>
      </c>
      <c r="Y515">
        <f>HYPERLINK("https://klasma.github.io/Logging_2283/tillsynsmail/A 60260-2025 tillsynsbegäran mail.docx", "A 60260-2025")</f>
        <v/>
      </c>
    </row>
    <row r="516" ht="15" customHeight="1">
      <c r="A516" t="inlineStr">
        <is>
          <t>A 13391-2025</t>
        </is>
      </c>
      <c r="B516" s="1" t="n">
        <v>45735.69886574074</v>
      </c>
      <c r="C516" s="1" t="n">
        <v>46185</v>
      </c>
      <c r="D516" t="inlineStr">
        <is>
          <t>VÄSTERNORRLANDS LÄN</t>
        </is>
      </c>
      <c r="E516" t="inlineStr">
        <is>
          <t>SUNDSVALL</t>
        </is>
      </c>
      <c r="F516" t="inlineStr">
        <is>
          <t>SCA</t>
        </is>
      </c>
      <c r="G516" t="n">
        <v>3.4</v>
      </c>
      <c r="H516" t="n">
        <v>2</v>
      </c>
      <c r="I516" t="n">
        <v>0</v>
      </c>
      <c r="J516" t="n">
        <v>2</v>
      </c>
      <c r="K516" t="n">
        <v>0</v>
      </c>
      <c r="L516" t="n">
        <v>0</v>
      </c>
      <c r="M516" t="n">
        <v>0</v>
      </c>
      <c r="N516" t="n">
        <v>0</v>
      </c>
      <c r="O516" t="n">
        <v>2</v>
      </c>
      <c r="P516" t="n">
        <v>0</v>
      </c>
      <c r="Q516" t="n">
        <v>4</v>
      </c>
      <c r="R516" s="2" t="inlineStr">
        <is>
          <t>Rosenticka
Ullticka
Fiskgjuse
Kungsfågel</t>
        </is>
      </c>
      <c r="S516">
        <f>HYPERLINK("https://klasma.github.io/Logging_2281/artfynd/A 13391-2025 artfynd.xlsx", "A 13391-2025")</f>
        <v/>
      </c>
      <c r="T516">
        <f>HYPERLINK("https://klasma.github.io/Logging_2281/kartor/A 13391-2025 karta.png", "A 13391-2025")</f>
        <v/>
      </c>
      <c r="V516">
        <f>HYPERLINK("https://klasma.github.io/Logging_2281/klagomål/A 13391-2025 FSC-klagomål.docx", "A 13391-2025")</f>
        <v/>
      </c>
      <c r="W516">
        <f>HYPERLINK("https://klasma.github.io/Logging_2281/klagomålsmail/A 13391-2025 FSC-klagomål mail.docx", "A 13391-2025")</f>
        <v/>
      </c>
      <c r="X516">
        <f>HYPERLINK("https://klasma.github.io/Logging_2281/tillsyn/A 13391-2025 tillsynsbegäran.docx", "A 13391-2025")</f>
        <v/>
      </c>
      <c r="Y516">
        <f>HYPERLINK("https://klasma.github.io/Logging_2281/tillsynsmail/A 13391-2025 tillsynsbegäran mail.docx", "A 13391-2025")</f>
        <v/>
      </c>
      <c r="Z516">
        <f>HYPERLINK("https://klasma.github.io/Logging_2281/fåglar/A 13391-2025 prioriterade fågelarter.docx", "A 13391-2025")</f>
        <v/>
      </c>
    </row>
    <row r="517" ht="15" customHeight="1">
      <c r="A517" t="inlineStr">
        <is>
          <t>A 61007-2025</t>
        </is>
      </c>
      <c r="B517" s="1" t="n">
        <v>45998</v>
      </c>
      <c r="C517" s="1" t="n">
        <v>46185</v>
      </c>
      <c r="D517" t="inlineStr">
        <is>
          <t>VÄSTERNORRLANDS LÄN</t>
        </is>
      </c>
      <c r="E517" t="inlineStr">
        <is>
          <t>ÅNGE</t>
        </is>
      </c>
      <c r="F517" t="inlineStr">
        <is>
          <t>SCA</t>
        </is>
      </c>
      <c r="G517" t="n">
        <v>5.6</v>
      </c>
      <c r="H517" t="n">
        <v>0</v>
      </c>
      <c r="I517" t="n">
        <v>0</v>
      </c>
      <c r="J517" t="n">
        <v>4</v>
      </c>
      <c r="K517" t="n">
        <v>0</v>
      </c>
      <c r="L517" t="n">
        <v>0</v>
      </c>
      <c r="M517" t="n">
        <v>0</v>
      </c>
      <c r="N517" t="n">
        <v>0</v>
      </c>
      <c r="O517" t="n">
        <v>4</v>
      </c>
      <c r="P517" t="n">
        <v>0</v>
      </c>
      <c r="Q517" t="n">
        <v>4</v>
      </c>
      <c r="R517" s="2" t="inlineStr">
        <is>
          <t>Gammelgransskål
Garnlav
Granticka
Violettgrå tagellav</t>
        </is>
      </c>
      <c r="S517">
        <f>HYPERLINK("https://klasma.github.io/Logging_2260/artfynd/A 61007-2025 artfynd.xlsx", "A 61007-2025")</f>
        <v/>
      </c>
      <c r="T517">
        <f>HYPERLINK("https://klasma.github.io/Logging_2260/kartor/A 61007-2025 karta.png", "A 61007-2025")</f>
        <v/>
      </c>
      <c r="V517">
        <f>HYPERLINK("https://klasma.github.io/Logging_2260/klagomål/A 61007-2025 FSC-klagomål.docx", "A 61007-2025")</f>
        <v/>
      </c>
      <c r="W517">
        <f>HYPERLINK("https://klasma.github.io/Logging_2260/klagomålsmail/A 61007-2025 FSC-klagomål mail.docx", "A 61007-2025")</f>
        <v/>
      </c>
      <c r="X517">
        <f>HYPERLINK("https://klasma.github.io/Logging_2260/tillsyn/A 61007-2025 tillsynsbegäran.docx", "A 61007-2025")</f>
        <v/>
      </c>
      <c r="Y517">
        <f>HYPERLINK("https://klasma.github.io/Logging_2260/tillsynsmail/A 61007-2025 tillsynsbegäran mail.docx", "A 61007-2025")</f>
        <v/>
      </c>
    </row>
    <row r="518" ht="15" customHeight="1">
      <c r="A518" t="inlineStr">
        <is>
          <t>A 16767-2023</t>
        </is>
      </c>
      <c r="B518" s="1" t="n">
        <v>45030</v>
      </c>
      <c r="C518" s="1" t="n">
        <v>46185</v>
      </c>
      <c r="D518" t="inlineStr">
        <is>
          <t>VÄSTERNORRLANDS LÄN</t>
        </is>
      </c>
      <c r="E518" t="inlineStr">
        <is>
          <t>SUNDSVALL</t>
        </is>
      </c>
      <c r="F518" t="inlineStr">
        <is>
          <t>SCA</t>
        </is>
      </c>
      <c r="G518" t="n">
        <v>5.2</v>
      </c>
      <c r="H518" t="n">
        <v>0</v>
      </c>
      <c r="I518" t="n">
        <v>1</v>
      </c>
      <c r="J518" t="n">
        <v>3</v>
      </c>
      <c r="K518" t="n">
        <v>0</v>
      </c>
      <c r="L518" t="n">
        <v>0</v>
      </c>
      <c r="M518" t="n">
        <v>0</v>
      </c>
      <c r="N518" t="n">
        <v>0</v>
      </c>
      <c r="O518" t="n">
        <v>3</v>
      </c>
      <c r="P518" t="n">
        <v>0</v>
      </c>
      <c r="Q518" t="n">
        <v>4</v>
      </c>
      <c r="R518" s="2" t="inlineStr">
        <is>
          <t>Garnlav
Lunglav
Violettgrå tagellav
Stor aspticka</t>
        </is>
      </c>
      <c r="S518">
        <f>HYPERLINK("https://klasma.github.io/Logging_2281/artfynd/A 16767-2023 artfynd.xlsx", "A 16767-2023")</f>
        <v/>
      </c>
      <c r="T518">
        <f>HYPERLINK("https://klasma.github.io/Logging_2281/kartor/A 16767-2023 karta.png", "A 16767-2023")</f>
        <v/>
      </c>
      <c r="V518">
        <f>HYPERLINK("https://klasma.github.io/Logging_2281/klagomål/A 16767-2023 FSC-klagomål.docx", "A 16767-2023")</f>
        <v/>
      </c>
      <c r="W518">
        <f>HYPERLINK("https://klasma.github.io/Logging_2281/klagomålsmail/A 16767-2023 FSC-klagomål mail.docx", "A 16767-2023")</f>
        <v/>
      </c>
      <c r="X518">
        <f>HYPERLINK("https://klasma.github.io/Logging_2281/tillsyn/A 16767-2023 tillsynsbegäran.docx", "A 16767-2023")</f>
        <v/>
      </c>
      <c r="Y518">
        <f>HYPERLINK("https://klasma.github.io/Logging_2281/tillsynsmail/A 16767-2023 tillsynsbegäran mail.docx", "A 16767-2023")</f>
        <v/>
      </c>
    </row>
    <row r="519" ht="15" customHeight="1">
      <c r="A519" t="inlineStr">
        <is>
          <t>A 50839-2023</t>
        </is>
      </c>
      <c r="B519" s="1" t="n">
        <v>45217</v>
      </c>
      <c r="C519" s="1" t="n">
        <v>46185</v>
      </c>
      <c r="D519" t="inlineStr">
        <is>
          <t>VÄSTERNORRLANDS LÄN</t>
        </is>
      </c>
      <c r="E519" t="inlineStr">
        <is>
          <t>SOLLEFTEÅ</t>
        </is>
      </c>
      <c r="F519" t="inlineStr">
        <is>
          <t>SCA</t>
        </is>
      </c>
      <c r="G519" t="n">
        <v>2.8</v>
      </c>
      <c r="H519" t="n">
        <v>0</v>
      </c>
      <c r="I519" t="n">
        <v>1</v>
      </c>
      <c r="J519" t="n">
        <v>3</v>
      </c>
      <c r="K519" t="n">
        <v>0</v>
      </c>
      <c r="L519" t="n">
        <v>0</v>
      </c>
      <c r="M519" t="n">
        <v>0</v>
      </c>
      <c r="N519" t="n">
        <v>0</v>
      </c>
      <c r="O519" t="n">
        <v>3</v>
      </c>
      <c r="P519" t="n">
        <v>0</v>
      </c>
      <c r="Q519" t="n">
        <v>4</v>
      </c>
      <c r="R519" s="2" t="inlineStr">
        <is>
          <t>Garnlav
Granticka
Vitskaftad svartspik
Gulnål</t>
        </is>
      </c>
      <c r="S519">
        <f>HYPERLINK("https://klasma.github.io/Logging_2283/artfynd/A 50839-2023 artfynd.xlsx", "A 50839-2023")</f>
        <v/>
      </c>
      <c r="T519">
        <f>HYPERLINK("https://klasma.github.io/Logging_2283/kartor/A 50839-2023 karta.png", "A 50839-2023")</f>
        <v/>
      </c>
      <c r="V519">
        <f>HYPERLINK("https://klasma.github.io/Logging_2283/klagomål/A 50839-2023 FSC-klagomål.docx", "A 50839-2023")</f>
        <v/>
      </c>
      <c r="W519">
        <f>HYPERLINK("https://klasma.github.io/Logging_2283/klagomålsmail/A 50839-2023 FSC-klagomål mail.docx", "A 50839-2023")</f>
        <v/>
      </c>
      <c r="X519">
        <f>HYPERLINK("https://klasma.github.io/Logging_2283/tillsyn/A 50839-2023 tillsynsbegäran.docx", "A 50839-2023")</f>
        <v/>
      </c>
      <c r="Y519">
        <f>HYPERLINK("https://klasma.github.io/Logging_2283/tillsynsmail/A 50839-2023 tillsynsbegäran mail.docx", "A 50839-2023")</f>
        <v/>
      </c>
    </row>
    <row r="520" ht="15" customHeight="1">
      <c r="A520" t="inlineStr">
        <is>
          <t>A 16319-2025</t>
        </is>
      </c>
      <c r="B520" s="1" t="n">
        <v>45751.34840277778</v>
      </c>
      <c r="C520" s="1" t="n">
        <v>46185</v>
      </c>
      <c r="D520" t="inlineStr">
        <is>
          <t>VÄSTERNORRLANDS LÄN</t>
        </is>
      </c>
      <c r="E520" t="inlineStr">
        <is>
          <t>SUNDSVALL</t>
        </is>
      </c>
      <c r="F520" t="inlineStr">
        <is>
          <t>SCA</t>
        </is>
      </c>
      <c r="G520" t="n">
        <v>2.1</v>
      </c>
      <c r="H520" t="n">
        <v>3</v>
      </c>
      <c r="I520" t="n">
        <v>0</v>
      </c>
      <c r="J520" t="n">
        <v>3</v>
      </c>
      <c r="K520" t="n">
        <v>0</v>
      </c>
      <c r="L520" t="n">
        <v>0</v>
      </c>
      <c r="M520" t="n">
        <v>0</v>
      </c>
      <c r="N520" t="n">
        <v>0</v>
      </c>
      <c r="O520" t="n">
        <v>3</v>
      </c>
      <c r="P520" t="n">
        <v>0</v>
      </c>
      <c r="Q520" t="n">
        <v>4</v>
      </c>
      <c r="R520" s="2" t="inlineStr">
        <is>
          <t>Lunglav
Spillkråka
Talltita
Tjäder</t>
        </is>
      </c>
      <c r="S520">
        <f>HYPERLINK("https://klasma.github.io/Logging_2281/artfynd/A 16319-2025 artfynd.xlsx", "A 16319-2025")</f>
        <v/>
      </c>
      <c r="T520">
        <f>HYPERLINK("https://klasma.github.io/Logging_2281/kartor/A 16319-2025 karta.png", "A 16319-2025")</f>
        <v/>
      </c>
      <c r="V520">
        <f>HYPERLINK("https://klasma.github.io/Logging_2281/klagomål/A 16319-2025 FSC-klagomål.docx", "A 16319-2025")</f>
        <v/>
      </c>
      <c r="W520">
        <f>HYPERLINK("https://klasma.github.io/Logging_2281/klagomålsmail/A 16319-2025 FSC-klagomål mail.docx", "A 16319-2025")</f>
        <v/>
      </c>
      <c r="X520">
        <f>HYPERLINK("https://klasma.github.io/Logging_2281/tillsyn/A 16319-2025 tillsynsbegäran.docx", "A 16319-2025")</f>
        <v/>
      </c>
      <c r="Y520">
        <f>HYPERLINK("https://klasma.github.io/Logging_2281/tillsynsmail/A 16319-2025 tillsynsbegäran mail.docx", "A 16319-2025")</f>
        <v/>
      </c>
      <c r="Z520">
        <f>HYPERLINK("https://klasma.github.io/Logging_2281/fåglar/A 16319-2025 prioriterade fågelarter.docx", "A 16319-2025")</f>
        <v/>
      </c>
    </row>
    <row r="521" ht="15" customHeight="1">
      <c r="A521" t="inlineStr">
        <is>
          <t>A 39095-2025</t>
        </is>
      </c>
      <c r="B521" s="1" t="n">
        <v>45888</v>
      </c>
      <c r="C521" s="1" t="n">
        <v>46185</v>
      </c>
      <c r="D521" t="inlineStr">
        <is>
          <t>VÄSTERNORRLANDS LÄN</t>
        </is>
      </c>
      <c r="E521" t="inlineStr">
        <is>
          <t>SOLLEFTEÅ</t>
        </is>
      </c>
      <c r="F521" t="inlineStr">
        <is>
          <t>Holmen skog AB</t>
        </is>
      </c>
      <c r="G521" t="n">
        <v>1.3</v>
      </c>
      <c r="H521" t="n">
        <v>3</v>
      </c>
      <c r="I521" t="n">
        <v>0</v>
      </c>
      <c r="J521" t="n">
        <v>3</v>
      </c>
      <c r="K521" t="n">
        <v>0</v>
      </c>
      <c r="L521" t="n">
        <v>0</v>
      </c>
      <c r="M521" t="n">
        <v>0</v>
      </c>
      <c r="N521" t="n">
        <v>0</v>
      </c>
      <c r="O521" t="n">
        <v>3</v>
      </c>
      <c r="P521" t="n">
        <v>0</v>
      </c>
      <c r="Q521" t="n">
        <v>4</v>
      </c>
      <c r="R521" s="2" t="inlineStr">
        <is>
          <t>Garnlav
Talltita
Tretåig hackspett
Tjäder</t>
        </is>
      </c>
      <c r="S521">
        <f>HYPERLINK("https://klasma.github.io/Logging_2283/artfynd/A 39095-2025 artfynd.xlsx", "A 39095-2025")</f>
        <v/>
      </c>
      <c r="T521">
        <f>HYPERLINK("https://klasma.github.io/Logging_2283/kartor/A 39095-2025 karta.png", "A 39095-2025")</f>
        <v/>
      </c>
      <c r="V521">
        <f>HYPERLINK("https://klasma.github.io/Logging_2283/klagomål/A 39095-2025 FSC-klagomål.docx", "A 39095-2025")</f>
        <v/>
      </c>
      <c r="W521">
        <f>HYPERLINK("https://klasma.github.io/Logging_2283/klagomålsmail/A 39095-2025 FSC-klagomål mail.docx", "A 39095-2025")</f>
        <v/>
      </c>
      <c r="X521">
        <f>HYPERLINK("https://klasma.github.io/Logging_2283/tillsyn/A 39095-2025 tillsynsbegäran.docx", "A 39095-2025")</f>
        <v/>
      </c>
      <c r="Y521">
        <f>HYPERLINK("https://klasma.github.io/Logging_2283/tillsynsmail/A 39095-2025 tillsynsbegäran mail.docx", "A 39095-2025")</f>
        <v/>
      </c>
      <c r="Z521">
        <f>HYPERLINK("https://klasma.github.io/Logging_2283/fåglar/A 39095-2025 prioriterade fågelarter.docx", "A 39095-2025")</f>
        <v/>
      </c>
    </row>
    <row r="522" ht="15" customHeight="1">
      <c r="A522" t="inlineStr">
        <is>
          <t>A 61487-2025</t>
        </is>
      </c>
      <c r="B522" s="1" t="n">
        <v>46001.63628472222</v>
      </c>
      <c r="C522" s="1" t="n">
        <v>46185</v>
      </c>
      <c r="D522" t="inlineStr">
        <is>
          <t>VÄSTERNORRLANDS LÄN</t>
        </is>
      </c>
      <c r="E522" t="inlineStr">
        <is>
          <t>ÅNGE</t>
        </is>
      </c>
      <c r="F522" t="inlineStr">
        <is>
          <t>SCA</t>
        </is>
      </c>
      <c r="G522" t="n">
        <v>5.4</v>
      </c>
      <c r="H522" t="n">
        <v>1</v>
      </c>
      <c r="I522" t="n">
        <v>0</v>
      </c>
      <c r="J522" t="n">
        <v>3</v>
      </c>
      <c r="K522" t="n">
        <v>1</v>
      </c>
      <c r="L522" t="n">
        <v>0</v>
      </c>
      <c r="M522" t="n">
        <v>0</v>
      </c>
      <c r="N522" t="n">
        <v>0</v>
      </c>
      <c r="O522" t="n">
        <v>4</v>
      </c>
      <c r="P522" t="n">
        <v>1</v>
      </c>
      <c r="Q522" t="n">
        <v>4</v>
      </c>
      <c r="R522" s="2" t="inlineStr">
        <is>
          <t>Rynkskinn
Garnlav
Tretåig hackspett
Vedtrappmossa</t>
        </is>
      </c>
      <c r="S522">
        <f>HYPERLINK("https://klasma.github.io/Logging_2260/artfynd/A 61487-2025 artfynd.xlsx", "A 61487-2025")</f>
        <v/>
      </c>
      <c r="T522">
        <f>HYPERLINK("https://klasma.github.io/Logging_2260/kartor/A 61487-2025 karta.png", "A 61487-2025")</f>
        <v/>
      </c>
      <c r="V522">
        <f>HYPERLINK("https://klasma.github.io/Logging_2260/klagomål/A 61487-2025 FSC-klagomål.docx", "A 61487-2025")</f>
        <v/>
      </c>
      <c r="W522">
        <f>HYPERLINK("https://klasma.github.io/Logging_2260/klagomålsmail/A 61487-2025 FSC-klagomål mail.docx", "A 61487-2025")</f>
        <v/>
      </c>
      <c r="X522">
        <f>HYPERLINK("https://klasma.github.io/Logging_2260/tillsyn/A 61487-2025 tillsynsbegäran.docx", "A 61487-2025")</f>
        <v/>
      </c>
      <c r="Y522">
        <f>HYPERLINK("https://klasma.github.io/Logging_2260/tillsynsmail/A 61487-2025 tillsynsbegäran mail.docx", "A 61487-2025")</f>
        <v/>
      </c>
      <c r="Z522">
        <f>HYPERLINK("https://klasma.github.io/Logging_2260/fåglar/A 61487-2025 prioriterade fågelarter.docx", "A 61487-2025")</f>
        <v/>
      </c>
    </row>
    <row r="523" ht="15" customHeight="1">
      <c r="A523" t="inlineStr">
        <is>
          <t>A 5881-2024</t>
        </is>
      </c>
      <c r="B523" s="1" t="n">
        <v>45335</v>
      </c>
      <c r="C523" s="1" t="n">
        <v>46185</v>
      </c>
      <c r="D523" t="inlineStr">
        <is>
          <t>VÄSTERNORRLANDS LÄN</t>
        </is>
      </c>
      <c r="E523" t="inlineStr">
        <is>
          <t>HÄRNÖSAND</t>
        </is>
      </c>
      <c r="G523" t="n">
        <v>22.9</v>
      </c>
      <c r="H523" t="n">
        <v>0</v>
      </c>
      <c r="I523" t="n">
        <v>1</v>
      </c>
      <c r="J523" t="n">
        <v>3</v>
      </c>
      <c r="K523" t="n">
        <v>0</v>
      </c>
      <c r="L523" t="n">
        <v>0</v>
      </c>
      <c r="M523" t="n">
        <v>0</v>
      </c>
      <c r="N523" t="n">
        <v>0</v>
      </c>
      <c r="O523" t="n">
        <v>3</v>
      </c>
      <c r="P523" t="n">
        <v>0</v>
      </c>
      <c r="Q523" t="n">
        <v>4</v>
      </c>
      <c r="R523" s="2" t="inlineStr">
        <is>
          <t>Motaggsvamp
Rosenticka
Ullticka
Dropptaggsvamp</t>
        </is>
      </c>
      <c r="S523">
        <f>HYPERLINK("https://klasma.github.io/Logging_2280/artfynd/A 5881-2024 artfynd.xlsx", "A 5881-2024")</f>
        <v/>
      </c>
      <c r="T523">
        <f>HYPERLINK("https://klasma.github.io/Logging_2280/kartor/A 5881-2024 karta.png", "A 5881-2024")</f>
        <v/>
      </c>
      <c r="V523">
        <f>HYPERLINK("https://klasma.github.io/Logging_2280/klagomål/A 5881-2024 FSC-klagomål.docx", "A 5881-2024")</f>
        <v/>
      </c>
      <c r="W523">
        <f>HYPERLINK("https://klasma.github.io/Logging_2280/klagomålsmail/A 5881-2024 FSC-klagomål mail.docx", "A 5881-2024")</f>
        <v/>
      </c>
      <c r="X523">
        <f>HYPERLINK("https://klasma.github.io/Logging_2280/tillsyn/A 5881-2024 tillsynsbegäran.docx", "A 5881-2024")</f>
        <v/>
      </c>
      <c r="Y523">
        <f>HYPERLINK("https://klasma.github.io/Logging_2280/tillsynsmail/A 5881-2024 tillsynsbegäran mail.docx", "A 5881-2024")</f>
        <v/>
      </c>
    </row>
    <row r="524" ht="15" customHeight="1">
      <c r="A524" t="inlineStr">
        <is>
          <t>A 26467-2024</t>
        </is>
      </c>
      <c r="B524" s="1" t="n">
        <v>45469</v>
      </c>
      <c r="C524" s="1" t="n">
        <v>46185</v>
      </c>
      <c r="D524" t="inlineStr">
        <is>
          <t>VÄSTERNORRLANDS LÄN</t>
        </is>
      </c>
      <c r="E524" t="inlineStr">
        <is>
          <t>SOLLEFTEÅ</t>
        </is>
      </c>
      <c r="G524" t="n">
        <v>1.1</v>
      </c>
      <c r="H524" t="n">
        <v>2</v>
      </c>
      <c r="I524" t="n">
        <v>1</v>
      </c>
      <c r="J524" t="n">
        <v>1</v>
      </c>
      <c r="K524" t="n">
        <v>0</v>
      </c>
      <c r="L524" t="n">
        <v>0</v>
      </c>
      <c r="M524" t="n">
        <v>0</v>
      </c>
      <c r="N524" t="n">
        <v>0</v>
      </c>
      <c r="O524" t="n">
        <v>1</v>
      </c>
      <c r="P524" t="n">
        <v>0</v>
      </c>
      <c r="Q524" t="n">
        <v>4</v>
      </c>
      <c r="R524" s="2" t="inlineStr">
        <is>
          <t>Rosenticka
Springkorn
Skogsrör
Revlummer</t>
        </is>
      </c>
      <c r="S524">
        <f>HYPERLINK("https://klasma.github.io/Logging_2283/artfynd/A 26467-2024 artfynd.xlsx", "A 26467-2024")</f>
        <v/>
      </c>
      <c r="T524">
        <f>HYPERLINK("https://klasma.github.io/Logging_2283/kartor/A 26467-2024 karta.png", "A 26467-2024")</f>
        <v/>
      </c>
      <c r="V524">
        <f>HYPERLINK("https://klasma.github.io/Logging_2283/klagomål/A 26467-2024 FSC-klagomål.docx", "A 26467-2024")</f>
        <v/>
      </c>
      <c r="W524">
        <f>HYPERLINK("https://klasma.github.io/Logging_2283/klagomålsmail/A 26467-2024 FSC-klagomål mail.docx", "A 26467-2024")</f>
        <v/>
      </c>
      <c r="X524">
        <f>HYPERLINK("https://klasma.github.io/Logging_2283/tillsyn/A 26467-2024 tillsynsbegäran.docx", "A 26467-2024")</f>
        <v/>
      </c>
      <c r="Y524">
        <f>HYPERLINK("https://klasma.github.io/Logging_2283/tillsynsmail/A 26467-2024 tillsynsbegäran mail.docx", "A 26467-2024")</f>
        <v/>
      </c>
    </row>
    <row r="525" ht="15" customHeight="1">
      <c r="A525" t="inlineStr">
        <is>
          <t>A 5018-2025</t>
        </is>
      </c>
      <c r="B525" s="1" t="n">
        <v>45691</v>
      </c>
      <c r="C525" s="1" t="n">
        <v>46185</v>
      </c>
      <c r="D525" t="inlineStr">
        <is>
          <t>VÄSTERNORRLANDS LÄN</t>
        </is>
      </c>
      <c r="E525" t="inlineStr">
        <is>
          <t>SOLLEFTEÅ</t>
        </is>
      </c>
      <c r="G525" t="n">
        <v>11.5</v>
      </c>
      <c r="H525" t="n">
        <v>1</v>
      </c>
      <c r="I525" t="n">
        <v>0</v>
      </c>
      <c r="J525" t="n">
        <v>3</v>
      </c>
      <c r="K525" t="n">
        <v>0</v>
      </c>
      <c r="L525" t="n">
        <v>0</v>
      </c>
      <c r="M525" t="n">
        <v>0</v>
      </c>
      <c r="N525" t="n">
        <v>0</v>
      </c>
      <c r="O525" t="n">
        <v>3</v>
      </c>
      <c r="P525" t="n">
        <v>0</v>
      </c>
      <c r="Q525" t="n">
        <v>4</v>
      </c>
      <c r="R525" s="2" t="inlineStr">
        <is>
          <t>Garnlav
Granticka
Rosenticka
Tjäder</t>
        </is>
      </c>
      <c r="S525">
        <f>HYPERLINK("https://klasma.github.io/Logging_2283/artfynd/A 5018-2025 artfynd.xlsx", "A 5018-2025")</f>
        <v/>
      </c>
      <c r="T525">
        <f>HYPERLINK("https://klasma.github.io/Logging_2283/kartor/A 5018-2025 karta.png", "A 5018-2025")</f>
        <v/>
      </c>
      <c r="V525">
        <f>HYPERLINK("https://klasma.github.io/Logging_2283/klagomål/A 5018-2025 FSC-klagomål.docx", "A 5018-2025")</f>
        <v/>
      </c>
      <c r="W525">
        <f>HYPERLINK("https://klasma.github.io/Logging_2283/klagomålsmail/A 5018-2025 FSC-klagomål mail.docx", "A 5018-2025")</f>
        <v/>
      </c>
      <c r="X525">
        <f>HYPERLINK("https://klasma.github.io/Logging_2283/tillsyn/A 5018-2025 tillsynsbegäran.docx", "A 5018-2025")</f>
        <v/>
      </c>
      <c r="Y525">
        <f>HYPERLINK("https://klasma.github.io/Logging_2283/tillsynsmail/A 5018-2025 tillsynsbegäran mail.docx", "A 5018-2025")</f>
        <v/>
      </c>
      <c r="Z525">
        <f>HYPERLINK("https://klasma.github.io/Logging_2283/fåglar/A 5018-2025 prioriterade fågelarter.docx", "A 5018-2025")</f>
        <v/>
      </c>
    </row>
    <row r="526" ht="15" customHeight="1">
      <c r="A526" t="inlineStr">
        <is>
          <t>A 44558-2024</t>
        </is>
      </c>
      <c r="B526" s="1" t="n">
        <v>45574.47001157407</v>
      </c>
      <c r="C526" s="1" t="n">
        <v>46185</v>
      </c>
      <c r="D526" t="inlineStr">
        <is>
          <t>VÄSTERNORRLANDS LÄN</t>
        </is>
      </c>
      <c r="E526" t="inlineStr">
        <is>
          <t>ÅNGE</t>
        </is>
      </c>
      <c r="F526" t="inlineStr">
        <is>
          <t>SCA</t>
        </is>
      </c>
      <c r="G526" t="n">
        <v>6.1</v>
      </c>
      <c r="H526" t="n">
        <v>0</v>
      </c>
      <c r="I526" t="n">
        <v>0</v>
      </c>
      <c r="J526" t="n">
        <v>3</v>
      </c>
      <c r="K526" t="n">
        <v>1</v>
      </c>
      <c r="L526" t="n">
        <v>0</v>
      </c>
      <c r="M526" t="n">
        <v>0</v>
      </c>
      <c r="N526" t="n">
        <v>0</v>
      </c>
      <c r="O526" t="n">
        <v>4</v>
      </c>
      <c r="P526" t="n">
        <v>1</v>
      </c>
      <c r="Q526" t="n">
        <v>4</v>
      </c>
      <c r="R526" s="2" t="inlineStr">
        <is>
          <t>Gräddporing
Kortskaftad ärgspik
Reliktbock
Ullticka</t>
        </is>
      </c>
      <c r="S526">
        <f>HYPERLINK("https://klasma.github.io/Logging_2260/artfynd/A 44558-2024 artfynd.xlsx", "A 44558-2024")</f>
        <v/>
      </c>
      <c r="T526">
        <f>HYPERLINK("https://klasma.github.io/Logging_2260/kartor/A 44558-2024 karta.png", "A 44558-2024")</f>
        <v/>
      </c>
      <c r="V526">
        <f>HYPERLINK("https://klasma.github.io/Logging_2260/klagomål/A 44558-2024 FSC-klagomål.docx", "A 44558-2024")</f>
        <v/>
      </c>
      <c r="W526">
        <f>HYPERLINK("https://klasma.github.io/Logging_2260/klagomålsmail/A 44558-2024 FSC-klagomål mail.docx", "A 44558-2024")</f>
        <v/>
      </c>
      <c r="X526">
        <f>HYPERLINK("https://klasma.github.io/Logging_2260/tillsyn/A 44558-2024 tillsynsbegäran.docx", "A 44558-2024")</f>
        <v/>
      </c>
      <c r="Y526">
        <f>HYPERLINK("https://klasma.github.io/Logging_2260/tillsynsmail/A 44558-2024 tillsynsbegäran mail.docx", "A 44558-2024")</f>
        <v/>
      </c>
    </row>
    <row r="527" ht="15" customHeight="1">
      <c r="A527" t="inlineStr">
        <is>
          <t>A 28007-2023</t>
        </is>
      </c>
      <c r="B527" s="1" t="n">
        <v>45098</v>
      </c>
      <c r="C527" s="1" t="n">
        <v>46185</v>
      </c>
      <c r="D527" t="inlineStr">
        <is>
          <t>VÄSTERNORRLANDS LÄN</t>
        </is>
      </c>
      <c r="E527" t="inlineStr">
        <is>
          <t>TIMRÅ</t>
        </is>
      </c>
      <c r="F527" t="inlineStr">
        <is>
          <t>SCA</t>
        </is>
      </c>
      <c r="G527" t="n">
        <v>1.1</v>
      </c>
      <c r="H527" t="n">
        <v>3</v>
      </c>
      <c r="I527" t="n">
        <v>1</v>
      </c>
      <c r="J527" t="n">
        <v>1</v>
      </c>
      <c r="K527" t="n">
        <v>0</v>
      </c>
      <c r="L527" t="n">
        <v>0</v>
      </c>
      <c r="M527" t="n">
        <v>0</v>
      </c>
      <c r="N527" t="n">
        <v>0</v>
      </c>
      <c r="O527" t="n">
        <v>1</v>
      </c>
      <c r="P527" t="n">
        <v>0</v>
      </c>
      <c r="Q527" t="n">
        <v>4</v>
      </c>
      <c r="R527" s="2" t="inlineStr">
        <is>
          <t>Spillkråka
Svart trolldruva
Kungsfågel
Nattviol</t>
        </is>
      </c>
      <c r="S527">
        <f>HYPERLINK("https://klasma.github.io/Logging_2262/artfynd/A 28007-2023 artfynd.xlsx", "A 28007-2023")</f>
        <v/>
      </c>
      <c r="T527">
        <f>HYPERLINK("https://klasma.github.io/Logging_2262/kartor/A 28007-2023 karta.png", "A 28007-2023")</f>
        <v/>
      </c>
      <c r="V527">
        <f>HYPERLINK("https://klasma.github.io/Logging_2262/klagomål/A 28007-2023 FSC-klagomål.docx", "A 28007-2023")</f>
        <v/>
      </c>
      <c r="W527">
        <f>HYPERLINK("https://klasma.github.io/Logging_2262/klagomålsmail/A 28007-2023 FSC-klagomål mail.docx", "A 28007-2023")</f>
        <v/>
      </c>
      <c r="X527">
        <f>HYPERLINK("https://klasma.github.io/Logging_2262/tillsyn/A 28007-2023 tillsynsbegäran.docx", "A 28007-2023")</f>
        <v/>
      </c>
      <c r="Y527">
        <f>HYPERLINK("https://klasma.github.io/Logging_2262/tillsynsmail/A 28007-2023 tillsynsbegäran mail.docx", "A 28007-2023")</f>
        <v/>
      </c>
      <c r="Z527">
        <f>HYPERLINK("https://klasma.github.io/Logging_2262/fåglar/A 28007-2023 prioriterade fågelarter.docx", "A 28007-2023")</f>
        <v/>
      </c>
    </row>
    <row r="528" ht="15" customHeight="1">
      <c r="A528" t="inlineStr">
        <is>
          <t>A 32218-2023</t>
        </is>
      </c>
      <c r="B528" s="1" t="n">
        <v>45119</v>
      </c>
      <c r="C528" s="1" t="n">
        <v>46185</v>
      </c>
      <c r="D528" t="inlineStr">
        <is>
          <t>VÄSTERNORRLANDS LÄN</t>
        </is>
      </c>
      <c r="E528" t="inlineStr">
        <is>
          <t>SOLLEFTEÅ</t>
        </is>
      </c>
      <c r="F528" t="inlineStr">
        <is>
          <t>SCA</t>
        </is>
      </c>
      <c r="G528" t="n">
        <v>2.1</v>
      </c>
      <c r="H528" t="n">
        <v>1</v>
      </c>
      <c r="I528" t="n">
        <v>0</v>
      </c>
      <c r="J528" t="n">
        <v>4</v>
      </c>
      <c r="K528" t="n">
        <v>0</v>
      </c>
      <c r="L528" t="n">
        <v>0</v>
      </c>
      <c r="M528" t="n">
        <v>0</v>
      </c>
      <c r="N528" t="n">
        <v>0</v>
      </c>
      <c r="O528" t="n">
        <v>4</v>
      </c>
      <c r="P528" t="n">
        <v>0</v>
      </c>
      <c r="Q528" t="n">
        <v>4</v>
      </c>
      <c r="R528" s="2" t="inlineStr">
        <is>
          <t>Garnlav
Lunglav
Tretåig hackspett
Ullticka</t>
        </is>
      </c>
      <c r="S528">
        <f>HYPERLINK("https://klasma.github.io/Logging_2283/artfynd/A 32218-2023 artfynd.xlsx", "A 32218-2023")</f>
        <v/>
      </c>
      <c r="T528">
        <f>HYPERLINK("https://klasma.github.io/Logging_2283/kartor/A 32218-2023 karta.png", "A 32218-2023")</f>
        <v/>
      </c>
      <c r="V528">
        <f>HYPERLINK("https://klasma.github.io/Logging_2283/klagomål/A 32218-2023 FSC-klagomål.docx", "A 32218-2023")</f>
        <v/>
      </c>
      <c r="W528">
        <f>HYPERLINK("https://klasma.github.io/Logging_2283/klagomålsmail/A 32218-2023 FSC-klagomål mail.docx", "A 32218-2023")</f>
        <v/>
      </c>
      <c r="X528">
        <f>HYPERLINK("https://klasma.github.io/Logging_2283/tillsyn/A 32218-2023 tillsynsbegäran.docx", "A 32218-2023")</f>
        <v/>
      </c>
      <c r="Y528">
        <f>HYPERLINK("https://klasma.github.io/Logging_2283/tillsynsmail/A 32218-2023 tillsynsbegäran mail.docx", "A 32218-2023")</f>
        <v/>
      </c>
      <c r="Z528">
        <f>HYPERLINK("https://klasma.github.io/Logging_2283/fåglar/A 32218-2023 prioriterade fågelarter.docx", "A 32218-2023")</f>
        <v/>
      </c>
    </row>
    <row r="529" ht="15" customHeight="1">
      <c r="A529" t="inlineStr">
        <is>
          <t>A 25954-2025</t>
        </is>
      </c>
      <c r="B529" s="1" t="n">
        <v>45804</v>
      </c>
      <c r="C529" s="1" t="n">
        <v>46185</v>
      </c>
      <c r="D529" t="inlineStr">
        <is>
          <t>VÄSTERNORRLANDS LÄN</t>
        </is>
      </c>
      <c r="E529" t="inlineStr">
        <is>
          <t>SOLLEFTEÅ</t>
        </is>
      </c>
      <c r="G529" t="n">
        <v>3.2</v>
      </c>
      <c r="H529" t="n">
        <v>1</v>
      </c>
      <c r="I529" t="n">
        <v>3</v>
      </c>
      <c r="J529" t="n">
        <v>0</v>
      </c>
      <c r="K529" t="n">
        <v>0</v>
      </c>
      <c r="L529" t="n">
        <v>0</v>
      </c>
      <c r="M529" t="n">
        <v>0</v>
      </c>
      <c r="N529" t="n">
        <v>0</v>
      </c>
      <c r="O529" t="n">
        <v>0</v>
      </c>
      <c r="P529" t="n">
        <v>0</v>
      </c>
      <c r="Q529" t="n">
        <v>4</v>
      </c>
      <c r="R529" s="2" t="inlineStr">
        <is>
          <t>Dvärghäxört
Springkorn
Svart trolldruva
Revlummer</t>
        </is>
      </c>
      <c r="S529">
        <f>HYPERLINK("https://klasma.github.io/Logging_2283/artfynd/A 25954-2025 artfynd.xlsx", "A 25954-2025")</f>
        <v/>
      </c>
      <c r="T529">
        <f>HYPERLINK("https://klasma.github.io/Logging_2283/kartor/A 25954-2025 karta.png", "A 25954-2025")</f>
        <v/>
      </c>
      <c r="V529">
        <f>HYPERLINK("https://klasma.github.io/Logging_2283/klagomål/A 25954-2025 FSC-klagomål.docx", "A 25954-2025")</f>
        <v/>
      </c>
      <c r="W529">
        <f>HYPERLINK("https://klasma.github.io/Logging_2283/klagomålsmail/A 25954-2025 FSC-klagomål mail.docx", "A 25954-2025")</f>
        <v/>
      </c>
      <c r="X529">
        <f>HYPERLINK("https://klasma.github.io/Logging_2283/tillsyn/A 25954-2025 tillsynsbegäran.docx", "A 25954-2025")</f>
        <v/>
      </c>
      <c r="Y529">
        <f>HYPERLINK("https://klasma.github.io/Logging_2283/tillsynsmail/A 25954-2025 tillsynsbegäran mail.docx", "A 25954-2025")</f>
        <v/>
      </c>
    </row>
    <row r="530" ht="15" customHeight="1">
      <c r="A530" t="inlineStr">
        <is>
          <t>A 22901-2026</t>
        </is>
      </c>
      <c r="B530" s="1" t="n">
        <v>46158</v>
      </c>
      <c r="C530" s="1" t="n">
        <v>46185</v>
      </c>
      <c r="D530" t="inlineStr">
        <is>
          <t>VÄSTERNORRLANDS LÄN</t>
        </is>
      </c>
      <c r="E530" t="inlineStr">
        <is>
          <t>SUNDSVALL</t>
        </is>
      </c>
      <c r="G530" t="n">
        <v>2.4</v>
      </c>
      <c r="H530" t="n">
        <v>1</v>
      </c>
      <c r="I530" t="n">
        <v>0</v>
      </c>
      <c r="J530" t="n">
        <v>0</v>
      </c>
      <c r="K530" t="n">
        <v>1</v>
      </c>
      <c r="L530" t="n">
        <v>3</v>
      </c>
      <c r="M530" t="n">
        <v>0</v>
      </c>
      <c r="N530" t="n">
        <v>0</v>
      </c>
      <c r="O530" t="n">
        <v>4</v>
      </c>
      <c r="P530" t="n">
        <v>4</v>
      </c>
      <c r="Q530" t="n">
        <v>4</v>
      </c>
      <c r="R530" s="2" t="inlineStr">
        <is>
          <t>Mikroskapania
Svämskapania
Timmerskapania
Liten hornflikmossa</t>
        </is>
      </c>
      <c r="S530">
        <f>HYPERLINK("https://klasma.github.io/Logging_2281/artfynd/A 22901-2026 artfynd.xlsx", "A 22901-2026")</f>
        <v/>
      </c>
      <c r="T530">
        <f>HYPERLINK("https://klasma.github.io/Logging_2281/kartor/A 22901-2026 karta.png", "A 22901-2026")</f>
        <v/>
      </c>
      <c r="V530">
        <f>HYPERLINK("https://klasma.github.io/Logging_2281/klagomål/A 22901-2026 FSC-klagomål.docx", "A 22901-2026")</f>
        <v/>
      </c>
      <c r="W530">
        <f>HYPERLINK("https://klasma.github.io/Logging_2281/klagomålsmail/A 22901-2026 FSC-klagomål mail.docx", "A 22901-2026")</f>
        <v/>
      </c>
      <c r="X530">
        <f>HYPERLINK("https://klasma.github.io/Logging_2281/tillsyn/A 22901-2026 tillsynsbegäran.docx", "A 22901-2026")</f>
        <v/>
      </c>
      <c r="Y530">
        <f>HYPERLINK("https://klasma.github.io/Logging_2281/tillsynsmail/A 22901-2026 tillsynsbegäran mail.docx", "A 22901-2026")</f>
        <v/>
      </c>
    </row>
    <row r="531" ht="15" customHeight="1">
      <c r="A531" t="inlineStr">
        <is>
          <t>A 22918-2026</t>
        </is>
      </c>
      <c r="B531" s="1" t="n">
        <v>46160.53174768519</v>
      </c>
      <c r="C531" s="1" t="n">
        <v>46185</v>
      </c>
      <c r="D531" t="inlineStr">
        <is>
          <t>VÄSTERNORRLANDS LÄN</t>
        </is>
      </c>
      <c r="E531" t="inlineStr">
        <is>
          <t>SOLLEFTEÅ</t>
        </is>
      </c>
      <c r="F531" t="inlineStr">
        <is>
          <t>SCA</t>
        </is>
      </c>
      <c r="G531" t="n">
        <v>10.9</v>
      </c>
      <c r="H531" t="n">
        <v>0</v>
      </c>
      <c r="I531" t="n">
        <v>1</v>
      </c>
      <c r="J531" t="n">
        <v>1</v>
      </c>
      <c r="K531" t="n">
        <v>2</v>
      </c>
      <c r="L531" t="n">
        <v>0</v>
      </c>
      <c r="M531" t="n">
        <v>0</v>
      </c>
      <c r="N531" t="n">
        <v>0</v>
      </c>
      <c r="O531" t="n">
        <v>3</v>
      </c>
      <c r="P531" t="n">
        <v>2</v>
      </c>
      <c r="Q531" t="n">
        <v>4</v>
      </c>
      <c r="R531" s="2" t="inlineStr">
        <is>
          <t>Finporing
Liten aspgelélav
Stiftgelélav
Stor aspticka</t>
        </is>
      </c>
      <c r="S531">
        <f>HYPERLINK("https://klasma.github.io/Logging_2283/artfynd/A 22918-2026 artfynd.xlsx", "A 22918-2026")</f>
        <v/>
      </c>
      <c r="T531">
        <f>HYPERLINK("https://klasma.github.io/Logging_2283/kartor/A 22918-2026 karta.png", "A 22918-2026")</f>
        <v/>
      </c>
      <c r="V531">
        <f>HYPERLINK("https://klasma.github.io/Logging_2283/klagomål/A 22918-2026 FSC-klagomål.docx", "A 22918-2026")</f>
        <v/>
      </c>
      <c r="W531">
        <f>HYPERLINK("https://klasma.github.io/Logging_2283/klagomålsmail/A 22918-2026 FSC-klagomål mail.docx", "A 22918-2026")</f>
        <v/>
      </c>
      <c r="X531">
        <f>HYPERLINK("https://klasma.github.io/Logging_2283/tillsyn/A 22918-2026 tillsynsbegäran.docx", "A 22918-2026")</f>
        <v/>
      </c>
      <c r="Y531">
        <f>HYPERLINK("https://klasma.github.io/Logging_2283/tillsynsmail/A 22918-2026 tillsynsbegäran mail.docx", "A 22918-2026")</f>
        <v/>
      </c>
    </row>
    <row r="532" ht="15" customHeight="1">
      <c r="A532" t="inlineStr">
        <is>
          <t>A 23904-2026</t>
        </is>
      </c>
      <c r="B532" s="1" t="n">
        <v>46167</v>
      </c>
      <c r="C532" s="1" t="n">
        <v>46185</v>
      </c>
      <c r="D532" t="inlineStr">
        <is>
          <t>VÄSTERNORRLANDS LÄN</t>
        </is>
      </c>
      <c r="E532" t="inlineStr">
        <is>
          <t>KRAMFORS</t>
        </is>
      </c>
      <c r="G532" t="n">
        <v>9.5</v>
      </c>
      <c r="H532" t="n">
        <v>1</v>
      </c>
      <c r="I532" t="n">
        <v>4</v>
      </c>
      <c r="J532" t="n">
        <v>0</v>
      </c>
      <c r="K532" t="n">
        <v>0</v>
      </c>
      <c r="L532" t="n">
        <v>0</v>
      </c>
      <c r="M532" t="n">
        <v>0</v>
      </c>
      <c r="N532" t="n">
        <v>0</v>
      </c>
      <c r="O532" t="n">
        <v>0</v>
      </c>
      <c r="P532" t="n">
        <v>0</v>
      </c>
      <c r="Q532" t="n">
        <v>4</v>
      </c>
      <c r="R532" s="2" t="inlineStr">
        <is>
          <t>Grön sköldmossa
Mörk husmossa
Skogshakmossa
Stubbspretmossa</t>
        </is>
      </c>
      <c r="S532">
        <f>HYPERLINK("https://klasma.github.io/Logging_2282/artfynd/A 23904-2026 artfynd.xlsx", "A 23904-2026")</f>
        <v/>
      </c>
      <c r="T532">
        <f>HYPERLINK("https://klasma.github.io/Logging_2282/kartor/A 23904-2026 karta.png", "A 23904-2026")</f>
        <v/>
      </c>
      <c r="V532">
        <f>HYPERLINK("https://klasma.github.io/Logging_2282/klagomål/A 23904-2026 FSC-klagomål.docx", "A 23904-2026")</f>
        <v/>
      </c>
      <c r="W532">
        <f>HYPERLINK("https://klasma.github.io/Logging_2282/klagomålsmail/A 23904-2026 FSC-klagomål mail.docx", "A 23904-2026")</f>
        <v/>
      </c>
      <c r="X532">
        <f>HYPERLINK("https://klasma.github.io/Logging_2282/tillsyn/A 23904-2026 tillsynsbegäran.docx", "A 23904-2026")</f>
        <v/>
      </c>
      <c r="Y532">
        <f>HYPERLINK("https://klasma.github.io/Logging_2282/tillsynsmail/A 23904-2026 tillsynsbegäran mail.docx", "A 23904-2026")</f>
        <v/>
      </c>
    </row>
    <row r="533" ht="15" customHeight="1">
      <c r="A533" t="inlineStr">
        <is>
          <t>A 25494-2026</t>
        </is>
      </c>
      <c r="B533" s="1" t="n">
        <v>46177.44885416667</v>
      </c>
      <c r="C533" s="1" t="n">
        <v>46185</v>
      </c>
      <c r="D533" t="inlineStr">
        <is>
          <t>VÄSTERNORRLANDS LÄN</t>
        </is>
      </c>
      <c r="E533" t="inlineStr">
        <is>
          <t>TIMRÅ</t>
        </is>
      </c>
      <c r="F533" t="inlineStr">
        <is>
          <t>SCA</t>
        </is>
      </c>
      <c r="G533" t="n">
        <v>2.4</v>
      </c>
      <c r="H533" t="n">
        <v>0</v>
      </c>
      <c r="I533" t="n">
        <v>0</v>
      </c>
      <c r="J533" t="n">
        <v>4</v>
      </c>
      <c r="K533" t="n">
        <v>0</v>
      </c>
      <c r="L533" t="n">
        <v>0</v>
      </c>
      <c r="M533" t="n">
        <v>0</v>
      </c>
      <c r="N533" t="n">
        <v>0</v>
      </c>
      <c r="O533" t="n">
        <v>4</v>
      </c>
      <c r="P533" t="n">
        <v>0</v>
      </c>
      <c r="Q533" t="n">
        <v>4</v>
      </c>
      <c r="R533" s="2" t="inlineStr">
        <is>
          <t>Gammelgransskål
Garnlav
Lunglav
Ullticka</t>
        </is>
      </c>
      <c r="S533">
        <f>HYPERLINK("https://klasma.github.io/Logging_2262/artfynd/A 25494-2026 artfynd.xlsx", "A 25494-2026")</f>
        <v/>
      </c>
      <c r="T533">
        <f>HYPERLINK("https://klasma.github.io/Logging_2262/kartor/A 25494-2026 karta.png", "A 25494-2026")</f>
        <v/>
      </c>
      <c r="V533">
        <f>HYPERLINK("https://klasma.github.io/Logging_2262/klagomål/A 25494-2026 FSC-klagomål.docx", "A 25494-2026")</f>
        <v/>
      </c>
      <c r="W533">
        <f>HYPERLINK("https://klasma.github.io/Logging_2262/klagomålsmail/A 25494-2026 FSC-klagomål mail.docx", "A 25494-2026")</f>
        <v/>
      </c>
      <c r="X533">
        <f>HYPERLINK("https://klasma.github.io/Logging_2262/tillsyn/A 25494-2026 tillsynsbegäran.docx", "A 25494-2026")</f>
        <v/>
      </c>
      <c r="Y533">
        <f>HYPERLINK("https://klasma.github.io/Logging_2262/tillsynsmail/A 25494-2026 tillsynsbegäran mail.docx", "A 25494-2026")</f>
        <v/>
      </c>
    </row>
    <row r="534" ht="15" customHeight="1">
      <c r="A534" t="inlineStr">
        <is>
          <t>A 20572-2025</t>
        </is>
      </c>
      <c r="B534" s="1" t="n">
        <v>45775.67054398148</v>
      </c>
      <c r="C534" s="1" t="n">
        <v>46185</v>
      </c>
      <c r="D534" t="inlineStr">
        <is>
          <t>VÄSTERNORRLANDS LÄN</t>
        </is>
      </c>
      <c r="E534" t="inlineStr">
        <is>
          <t>SOLLEFTEÅ</t>
        </is>
      </c>
      <c r="G534" t="n">
        <v>1.6</v>
      </c>
      <c r="H534" t="n">
        <v>4</v>
      </c>
      <c r="I534" t="n">
        <v>0</v>
      </c>
      <c r="J534" t="n">
        <v>2</v>
      </c>
      <c r="K534" t="n">
        <v>0</v>
      </c>
      <c r="L534" t="n">
        <v>0</v>
      </c>
      <c r="M534" t="n">
        <v>0</v>
      </c>
      <c r="N534" t="n">
        <v>0</v>
      </c>
      <c r="O534" t="n">
        <v>2</v>
      </c>
      <c r="P534" t="n">
        <v>0</v>
      </c>
      <c r="Q534" t="n">
        <v>4</v>
      </c>
      <c r="R534" s="2" t="inlineStr">
        <is>
          <t>Blå kärrhök
Spillkråka
Göktyta
Sångsvan</t>
        </is>
      </c>
      <c r="S534">
        <f>HYPERLINK("https://klasma.github.io/Logging_2283/artfynd/A 20572-2025 artfynd.xlsx", "A 20572-2025")</f>
        <v/>
      </c>
      <c r="T534">
        <f>HYPERLINK("https://klasma.github.io/Logging_2283/kartor/A 20572-2025 karta.png", "A 20572-2025")</f>
        <v/>
      </c>
      <c r="V534">
        <f>HYPERLINK("https://klasma.github.io/Logging_2283/klagomål/A 20572-2025 FSC-klagomål.docx", "A 20572-2025")</f>
        <v/>
      </c>
      <c r="W534">
        <f>HYPERLINK("https://klasma.github.io/Logging_2283/klagomålsmail/A 20572-2025 FSC-klagomål mail.docx", "A 20572-2025")</f>
        <v/>
      </c>
      <c r="X534">
        <f>HYPERLINK("https://klasma.github.io/Logging_2283/tillsyn/A 20572-2025 tillsynsbegäran.docx", "A 20572-2025")</f>
        <v/>
      </c>
      <c r="Y534">
        <f>HYPERLINK("https://klasma.github.io/Logging_2283/tillsynsmail/A 20572-2025 tillsynsbegäran mail.docx", "A 20572-2025")</f>
        <v/>
      </c>
      <c r="Z534">
        <f>HYPERLINK("https://klasma.github.io/Logging_2283/fåglar/A 20572-2025 prioriterade fågelarter.docx", "A 20572-2025")</f>
        <v/>
      </c>
    </row>
    <row r="535" ht="15" customHeight="1">
      <c r="A535" t="inlineStr">
        <is>
          <t>A 19968-2026</t>
        </is>
      </c>
      <c r="B535" s="1" t="n">
        <v>46136.42574074074</v>
      </c>
      <c r="C535" s="1" t="n">
        <v>46185</v>
      </c>
      <c r="D535" t="inlineStr">
        <is>
          <t>VÄSTERNORRLANDS LÄN</t>
        </is>
      </c>
      <c r="E535" t="inlineStr">
        <is>
          <t>SUNDSVALL</t>
        </is>
      </c>
      <c r="G535" t="n">
        <v>7.2</v>
      </c>
      <c r="H535" t="n">
        <v>3</v>
      </c>
      <c r="I535" t="n">
        <v>1</v>
      </c>
      <c r="J535" t="n">
        <v>0</v>
      </c>
      <c r="K535" t="n">
        <v>0</v>
      </c>
      <c r="L535" t="n">
        <v>0</v>
      </c>
      <c r="M535" t="n">
        <v>0</v>
      </c>
      <c r="N535" t="n">
        <v>0</v>
      </c>
      <c r="O535" t="n">
        <v>0</v>
      </c>
      <c r="P535" t="n">
        <v>0</v>
      </c>
      <c r="Q535" t="n">
        <v>4</v>
      </c>
      <c r="R535" s="2" t="inlineStr">
        <is>
          <t>Stor aspticka
Vanlig groda
Fläcknycklar
Nattviol</t>
        </is>
      </c>
      <c r="S535">
        <f>HYPERLINK("https://klasma.github.io/Logging_2281/artfynd/A 19968-2026 artfynd.xlsx", "A 19968-2026")</f>
        <v/>
      </c>
      <c r="T535">
        <f>HYPERLINK("https://klasma.github.io/Logging_2281/kartor/A 19968-2026 karta.png", "A 19968-2026")</f>
        <v/>
      </c>
      <c r="V535">
        <f>HYPERLINK("https://klasma.github.io/Logging_2281/klagomål/A 19968-2026 FSC-klagomål.docx", "A 19968-2026")</f>
        <v/>
      </c>
      <c r="W535">
        <f>HYPERLINK("https://klasma.github.io/Logging_2281/klagomålsmail/A 19968-2026 FSC-klagomål mail.docx", "A 19968-2026")</f>
        <v/>
      </c>
      <c r="X535">
        <f>HYPERLINK("https://klasma.github.io/Logging_2281/tillsyn/A 19968-2026 tillsynsbegäran.docx", "A 19968-2026")</f>
        <v/>
      </c>
      <c r="Y535">
        <f>HYPERLINK("https://klasma.github.io/Logging_2281/tillsynsmail/A 19968-2026 tillsynsbegäran mail.docx", "A 19968-2026")</f>
        <v/>
      </c>
    </row>
    <row r="536" ht="15" customHeight="1">
      <c r="A536" t="inlineStr">
        <is>
          <t>A 53436-2023</t>
        </is>
      </c>
      <c r="B536" s="1" t="n">
        <v>45229</v>
      </c>
      <c r="C536" s="1" t="n">
        <v>46185</v>
      </c>
      <c r="D536" t="inlineStr">
        <is>
          <t>VÄSTERNORRLANDS LÄN</t>
        </is>
      </c>
      <c r="E536" t="inlineStr">
        <is>
          <t>TIMRÅ</t>
        </is>
      </c>
      <c r="F536" t="inlineStr">
        <is>
          <t>SCA</t>
        </is>
      </c>
      <c r="G536" t="n">
        <v>4.2</v>
      </c>
      <c r="H536" t="n">
        <v>1</v>
      </c>
      <c r="I536" t="n">
        <v>2</v>
      </c>
      <c r="J536" t="n">
        <v>1</v>
      </c>
      <c r="K536" t="n">
        <v>0</v>
      </c>
      <c r="L536" t="n">
        <v>0</v>
      </c>
      <c r="M536" t="n">
        <v>0</v>
      </c>
      <c r="N536" t="n">
        <v>0</v>
      </c>
      <c r="O536" t="n">
        <v>1</v>
      </c>
      <c r="P536" t="n">
        <v>0</v>
      </c>
      <c r="Q536" t="n">
        <v>4</v>
      </c>
      <c r="R536" s="2" t="inlineStr">
        <is>
          <t>Ullticka
Strutbräken
Vårärt
Revlummer</t>
        </is>
      </c>
      <c r="S536">
        <f>HYPERLINK("https://klasma.github.io/Logging_2262/artfynd/A 53436-2023 artfynd.xlsx", "A 53436-2023")</f>
        <v/>
      </c>
      <c r="T536">
        <f>HYPERLINK("https://klasma.github.io/Logging_2262/kartor/A 53436-2023 karta.png", "A 53436-2023")</f>
        <v/>
      </c>
      <c r="V536">
        <f>HYPERLINK("https://klasma.github.io/Logging_2262/klagomål/A 53436-2023 FSC-klagomål.docx", "A 53436-2023")</f>
        <v/>
      </c>
      <c r="W536">
        <f>HYPERLINK("https://klasma.github.io/Logging_2262/klagomålsmail/A 53436-2023 FSC-klagomål mail.docx", "A 53436-2023")</f>
        <v/>
      </c>
      <c r="X536">
        <f>HYPERLINK("https://klasma.github.io/Logging_2262/tillsyn/A 53436-2023 tillsynsbegäran.docx", "A 53436-2023")</f>
        <v/>
      </c>
      <c r="Y536">
        <f>HYPERLINK("https://klasma.github.io/Logging_2262/tillsynsmail/A 53436-2023 tillsynsbegäran mail.docx", "A 53436-2023")</f>
        <v/>
      </c>
    </row>
    <row r="537" ht="15" customHeight="1">
      <c r="A537" t="inlineStr">
        <is>
          <t>A 24796-2024</t>
        </is>
      </c>
      <c r="B537" s="1" t="n">
        <v>45460</v>
      </c>
      <c r="C537" s="1" t="n">
        <v>46185</v>
      </c>
      <c r="D537" t="inlineStr">
        <is>
          <t>VÄSTERNORRLANDS LÄN</t>
        </is>
      </c>
      <c r="E537" t="inlineStr">
        <is>
          <t>ÅNGE</t>
        </is>
      </c>
      <c r="F537" t="inlineStr">
        <is>
          <t>SCA</t>
        </is>
      </c>
      <c r="G537" t="n">
        <v>6.7</v>
      </c>
      <c r="H537" t="n">
        <v>2</v>
      </c>
      <c r="I537" t="n">
        <v>2</v>
      </c>
      <c r="J537" t="n">
        <v>1</v>
      </c>
      <c r="K537" t="n">
        <v>0</v>
      </c>
      <c r="L537" t="n">
        <v>0</v>
      </c>
      <c r="M537" t="n">
        <v>0</v>
      </c>
      <c r="N537" t="n">
        <v>0</v>
      </c>
      <c r="O537" t="n">
        <v>1</v>
      </c>
      <c r="P537" t="n">
        <v>0</v>
      </c>
      <c r="Q537" t="n">
        <v>4</v>
      </c>
      <c r="R537" s="2" t="inlineStr">
        <is>
          <t>Doftskinn
Korallrot
Skinnlav
Kungsfågel</t>
        </is>
      </c>
      <c r="S537">
        <f>HYPERLINK("https://klasma.github.io/Logging_2260/artfynd/A 24796-2024 artfynd.xlsx", "A 24796-2024")</f>
        <v/>
      </c>
      <c r="T537">
        <f>HYPERLINK("https://klasma.github.io/Logging_2260/kartor/A 24796-2024 karta.png", "A 24796-2024")</f>
        <v/>
      </c>
      <c r="V537">
        <f>HYPERLINK("https://klasma.github.io/Logging_2260/klagomål/A 24796-2024 FSC-klagomål.docx", "A 24796-2024")</f>
        <v/>
      </c>
      <c r="W537">
        <f>HYPERLINK("https://klasma.github.io/Logging_2260/klagomålsmail/A 24796-2024 FSC-klagomål mail.docx", "A 24796-2024")</f>
        <v/>
      </c>
      <c r="X537">
        <f>HYPERLINK("https://klasma.github.io/Logging_2260/tillsyn/A 24796-2024 tillsynsbegäran.docx", "A 24796-2024")</f>
        <v/>
      </c>
      <c r="Y537">
        <f>HYPERLINK("https://klasma.github.io/Logging_2260/tillsynsmail/A 24796-2024 tillsynsbegäran mail.docx", "A 24796-2024")</f>
        <v/>
      </c>
      <c r="Z537">
        <f>HYPERLINK("https://klasma.github.io/Logging_2260/fåglar/A 24796-2024 prioriterade fågelarter.docx", "A 24796-2024")</f>
        <v/>
      </c>
    </row>
    <row r="538" ht="15" customHeight="1">
      <c r="A538" t="inlineStr">
        <is>
          <t>A 26338-2025</t>
        </is>
      </c>
      <c r="B538" s="1" t="n">
        <v>45805</v>
      </c>
      <c r="C538" s="1" t="n">
        <v>46185</v>
      </c>
      <c r="D538" t="inlineStr">
        <is>
          <t>VÄSTERNORRLANDS LÄN</t>
        </is>
      </c>
      <c r="E538" t="inlineStr">
        <is>
          <t>SOLLEFTEÅ</t>
        </is>
      </c>
      <c r="F538" t="inlineStr">
        <is>
          <t>SCA</t>
        </is>
      </c>
      <c r="G538" t="n">
        <v>2.7</v>
      </c>
      <c r="H538" t="n">
        <v>2</v>
      </c>
      <c r="I538" t="n">
        <v>0</v>
      </c>
      <c r="J538" t="n">
        <v>4</v>
      </c>
      <c r="K538" t="n">
        <v>0</v>
      </c>
      <c r="L538" t="n">
        <v>0</v>
      </c>
      <c r="M538" t="n">
        <v>0</v>
      </c>
      <c r="N538" t="n">
        <v>0</v>
      </c>
      <c r="O538" t="n">
        <v>4</v>
      </c>
      <c r="P538" t="n">
        <v>0</v>
      </c>
      <c r="Q538" t="n">
        <v>4</v>
      </c>
      <c r="R538" s="2" t="inlineStr">
        <is>
          <t>Lunglav
Motaggsvamp
Talltita
Tretåig hackspett</t>
        </is>
      </c>
      <c r="S538">
        <f>HYPERLINK("https://klasma.github.io/Logging_2283/artfynd/A 26338-2025 artfynd.xlsx", "A 26338-2025")</f>
        <v/>
      </c>
      <c r="T538">
        <f>HYPERLINK("https://klasma.github.io/Logging_2283/kartor/A 26338-2025 karta.png", "A 26338-2025")</f>
        <v/>
      </c>
      <c r="V538">
        <f>HYPERLINK("https://klasma.github.io/Logging_2283/klagomål/A 26338-2025 FSC-klagomål.docx", "A 26338-2025")</f>
        <v/>
      </c>
      <c r="W538">
        <f>HYPERLINK("https://klasma.github.io/Logging_2283/klagomålsmail/A 26338-2025 FSC-klagomål mail.docx", "A 26338-2025")</f>
        <v/>
      </c>
      <c r="X538">
        <f>HYPERLINK("https://klasma.github.io/Logging_2283/tillsyn/A 26338-2025 tillsynsbegäran.docx", "A 26338-2025")</f>
        <v/>
      </c>
      <c r="Y538">
        <f>HYPERLINK("https://klasma.github.io/Logging_2283/tillsynsmail/A 26338-2025 tillsynsbegäran mail.docx", "A 26338-2025")</f>
        <v/>
      </c>
      <c r="Z538">
        <f>HYPERLINK("https://klasma.github.io/Logging_2283/fåglar/A 26338-2025 prioriterade fågelarter.docx", "A 26338-2025")</f>
        <v/>
      </c>
    </row>
    <row r="539" ht="15" customHeight="1">
      <c r="A539" t="inlineStr">
        <is>
          <t>A 62632-2022</t>
        </is>
      </c>
      <c r="B539" s="1" t="n">
        <v>44925</v>
      </c>
      <c r="C539" s="1" t="n">
        <v>46185</v>
      </c>
      <c r="D539" t="inlineStr">
        <is>
          <t>VÄSTERNORRLANDS LÄN</t>
        </is>
      </c>
      <c r="E539" t="inlineStr">
        <is>
          <t>SOLLEFTEÅ</t>
        </is>
      </c>
      <c r="F539" t="inlineStr">
        <is>
          <t>Holmen skog AB</t>
        </is>
      </c>
      <c r="G539" t="n">
        <v>4.4</v>
      </c>
      <c r="H539" t="n">
        <v>1</v>
      </c>
      <c r="I539" t="n">
        <v>1</v>
      </c>
      <c r="J539" t="n">
        <v>2</v>
      </c>
      <c r="K539" t="n">
        <v>1</v>
      </c>
      <c r="L539" t="n">
        <v>0</v>
      </c>
      <c r="M539" t="n">
        <v>0</v>
      </c>
      <c r="N539" t="n">
        <v>0</v>
      </c>
      <c r="O539" t="n">
        <v>3</v>
      </c>
      <c r="P539" t="n">
        <v>1</v>
      </c>
      <c r="Q539" t="n">
        <v>4</v>
      </c>
      <c r="R539" s="2" t="inlineStr">
        <is>
          <t>Bitter taggsvamp
Blå taggsvamp
Orange taggsvamp
Plattlummer</t>
        </is>
      </c>
      <c r="S539">
        <f>HYPERLINK("https://klasma.github.io/Logging_2283/artfynd/A 62632-2022 artfynd.xlsx", "A 62632-2022")</f>
        <v/>
      </c>
      <c r="T539">
        <f>HYPERLINK("https://klasma.github.io/Logging_2283/kartor/A 62632-2022 karta.png", "A 62632-2022")</f>
        <v/>
      </c>
      <c r="V539">
        <f>HYPERLINK("https://klasma.github.io/Logging_2283/klagomål/A 62632-2022 FSC-klagomål.docx", "A 62632-2022")</f>
        <v/>
      </c>
      <c r="W539">
        <f>HYPERLINK("https://klasma.github.io/Logging_2283/klagomålsmail/A 62632-2022 FSC-klagomål mail.docx", "A 62632-2022")</f>
        <v/>
      </c>
      <c r="X539">
        <f>HYPERLINK("https://klasma.github.io/Logging_2283/tillsyn/A 62632-2022 tillsynsbegäran.docx", "A 62632-2022")</f>
        <v/>
      </c>
      <c r="Y539">
        <f>HYPERLINK("https://klasma.github.io/Logging_2283/tillsynsmail/A 62632-2022 tillsynsbegäran mail.docx", "A 62632-2022")</f>
        <v/>
      </c>
    </row>
    <row r="540" ht="15" customHeight="1">
      <c r="A540" t="inlineStr">
        <is>
          <t>A 25339-2026</t>
        </is>
      </c>
      <c r="B540" s="1" t="n">
        <v>46176</v>
      </c>
      <c r="C540" s="1" t="n">
        <v>46185</v>
      </c>
      <c r="D540" t="inlineStr">
        <is>
          <t>VÄSTERNORRLANDS LÄN</t>
        </is>
      </c>
      <c r="E540" t="inlineStr">
        <is>
          <t>HÄRNÖSAND</t>
        </is>
      </c>
      <c r="F540" t="inlineStr">
        <is>
          <t>SCA</t>
        </is>
      </c>
      <c r="G540" t="n">
        <v>0.3</v>
      </c>
      <c r="H540" t="n">
        <v>0</v>
      </c>
      <c r="I540" t="n">
        <v>1</v>
      </c>
      <c r="J540" t="n">
        <v>3</v>
      </c>
      <c r="K540" t="n">
        <v>0</v>
      </c>
      <c r="L540" t="n">
        <v>0</v>
      </c>
      <c r="M540" t="n">
        <v>0</v>
      </c>
      <c r="N540" t="n">
        <v>0</v>
      </c>
      <c r="O540" t="n">
        <v>3</v>
      </c>
      <c r="P540" t="n">
        <v>0</v>
      </c>
      <c r="Q540" t="n">
        <v>4</v>
      </c>
      <c r="R540" s="2" t="inlineStr">
        <is>
          <t>Gammelgransskål
Garnlav
Ullticka
Vedticka</t>
        </is>
      </c>
      <c r="S540">
        <f>HYPERLINK("https://klasma.github.io/Logging_2280/artfynd/A 25339-2026 artfynd.xlsx", "A 25339-2026")</f>
        <v/>
      </c>
      <c r="T540">
        <f>HYPERLINK("https://klasma.github.io/Logging_2280/kartor/A 25339-2026 karta.png", "A 25339-2026")</f>
        <v/>
      </c>
      <c r="V540">
        <f>HYPERLINK("https://klasma.github.io/Logging_2280/klagomål/A 25339-2026 FSC-klagomål.docx", "A 25339-2026")</f>
        <v/>
      </c>
      <c r="W540">
        <f>HYPERLINK("https://klasma.github.io/Logging_2280/klagomålsmail/A 25339-2026 FSC-klagomål mail.docx", "A 25339-2026")</f>
        <v/>
      </c>
      <c r="X540">
        <f>HYPERLINK("https://klasma.github.io/Logging_2280/tillsyn/A 25339-2026 tillsynsbegäran.docx", "A 25339-2026")</f>
        <v/>
      </c>
      <c r="Y540">
        <f>HYPERLINK("https://klasma.github.io/Logging_2280/tillsynsmail/A 25339-2026 tillsynsbegäran mail.docx", "A 25339-2026")</f>
        <v/>
      </c>
    </row>
    <row r="541" ht="15" customHeight="1">
      <c r="A541" t="inlineStr">
        <is>
          <t>A 22114-2025</t>
        </is>
      </c>
      <c r="B541" s="1" t="n">
        <v>45785.51076388889</v>
      </c>
      <c r="C541" s="1" t="n">
        <v>46185</v>
      </c>
      <c r="D541" t="inlineStr">
        <is>
          <t>VÄSTERNORRLANDS LÄN</t>
        </is>
      </c>
      <c r="E541" t="inlineStr">
        <is>
          <t>SUNDSVALL</t>
        </is>
      </c>
      <c r="F541" t="inlineStr">
        <is>
          <t>SCA</t>
        </is>
      </c>
      <c r="G541" t="n">
        <v>2.3</v>
      </c>
      <c r="H541" t="n">
        <v>0</v>
      </c>
      <c r="I541" t="n">
        <v>2</v>
      </c>
      <c r="J541" t="n">
        <v>2</v>
      </c>
      <c r="K541" t="n">
        <v>0</v>
      </c>
      <c r="L541" t="n">
        <v>0</v>
      </c>
      <c r="M541" t="n">
        <v>0</v>
      </c>
      <c r="N541" t="n">
        <v>0</v>
      </c>
      <c r="O541" t="n">
        <v>2</v>
      </c>
      <c r="P541" t="n">
        <v>0</v>
      </c>
      <c r="Q541" t="n">
        <v>4</v>
      </c>
      <c r="R541" s="2" t="inlineStr">
        <is>
          <t>Kortskaftad ärgspik
Lunglav
Luddlav
Skinnlav</t>
        </is>
      </c>
      <c r="S541">
        <f>HYPERLINK("https://klasma.github.io/Logging_2281/artfynd/A 22114-2025 artfynd.xlsx", "A 22114-2025")</f>
        <v/>
      </c>
      <c r="T541">
        <f>HYPERLINK("https://klasma.github.io/Logging_2281/kartor/A 22114-2025 karta.png", "A 22114-2025")</f>
        <v/>
      </c>
      <c r="V541">
        <f>HYPERLINK("https://klasma.github.io/Logging_2281/klagomål/A 22114-2025 FSC-klagomål.docx", "A 22114-2025")</f>
        <v/>
      </c>
      <c r="W541">
        <f>HYPERLINK("https://klasma.github.io/Logging_2281/klagomålsmail/A 22114-2025 FSC-klagomål mail.docx", "A 22114-2025")</f>
        <v/>
      </c>
      <c r="X541">
        <f>HYPERLINK("https://klasma.github.io/Logging_2281/tillsyn/A 22114-2025 tillsynsbegäran.docx", "A 22114-2025")</f>
        <v/>
      </c>
      <c r="Y541">
        <f>HYPERLINK("https://klasma.github.io/Logging_2281/tillsynsmail/A 22114-2025 tillsynsbegäran mail.docx", "A 22114-2025")</f>
        <v/>
      </c>
    </row>
    <row r="542" ht="15" customHeight="1">
      <c r="A542" t="inlineStr">
        <is>
          <t>A 33674-2025</t>
        </is>
      </c>
      <c r="B542" s="1" t="n">
        <v>45841.67770833334</v>
      </c>
      <c r="C542" s="1" t="n">
        <v>46185</v>
      </c>
      <c r="D542" t="inlineStr">
        <is>
          <t>VÄSTERNORRLANDS LÄN</t>
        </is>
      </c>
      <c r="E542" t="inlineStr">
        <is>
          <t>SOLLEFTEÅ</t>
        </is>
      </c>
      <c r="F542" t="inlineStr">
        <is>
          <t>SCA</t>
        </is>
      </c>
      <c r="G542" t="n">
        <v>1.2</v>
      </c>
      <c r="H542" t="n">
        <v>0</v>
      </c>
      <c r="I542" t="n">
        <v>2</v>
      </c>
      <c r="J542" t="n">
        <v>2</v>
      </c>
      <c r="K542" t="n">
        <v>0</v>
      </c>
      <c r="L542" t="n">
        <v>0</v>
      </c>
      <c r="M542" t="n">
        <v>0</v>
      </c>
      <c r="N542" t="n">
        <v>0</v>
      </c>
      <c r="O542" t="n">
        <v>2</v>
      </c>
      <c r="P542" t="n">
        <v>0</v>
      </c>
      <c r="Q542" t="n">
        <v>4</v>
      </c>
      <c r="R542" s="2" t="inlineStr">
        <is>
          <t>Garnlav
Lunglav
Skinnlav
Stuplav</t>
        </is>
      </c>
      <c r="S542">
        <f>HYPERLINK("https://klasma.github.io/Logging_2283/artfynd/A 33674-2025 artfynd.xlsx", "A 33674-2025")</f>
        <v/>
      </c>
      <c r="T542">
        <f>HYPERLINK("https://klasma.github.io/Logging_2283/kartor/A 33674-2025 karta.png", "A 33674-2025")</f>
        <v/>
      </c>
      <c r="V542">
        <f>HYPERLINK("https://klasma.github.io/Logging_2283/klagomål/A 33674-2025 FSC-klagomål.docx", "A 33674-2025")</f>
        <v/>
      </c>
      <c r="W542">
        <f>HYPERLINK("https://klasma.github.io/Logging_2283/klagomålsmail/A 33674-2025 FSC-klagomål mail.docx", "A 33674-2025")</f>
        <v/>
      </c>
      <c r="X542">
        <f>HYPERLINK("https://klasma.github.io/Logging_2283/tillsyn/A 33674-2025 tillsynsbegäran.docx", "A 33674-2025")</f>
        <v/>
      </c>
      <c r="Y542">
        <f>HYPERLINK("https://klasma.github.io/Logging_2283/tillsynsmail/A 33674-2025 tillsynsbegäran mail.docx", "A 33674-2025")</f>
        <v/>
      </c>
    </row>
    <row r="543" ht="15" customHeight="1">
      <c r="A543" t="inlineStr">
        <is>
          <t>A 9741-2026</t>
        </is>
      </c>
      <c r="B543" s="1" t="n">
        <v>46072</v>
      </c>
      <c r="C543" s="1" t="n">
        <v>46185</v>
      </c>
      <c r="D543" t="inlineStr">
        <is>
          <t>VÄSTERNORRLANDS LÄN</t>
        </is>
      </c>
      <c r="E543" t="inlineStr">
        <is>
          <t>SOLLEFTEÅ</t>
        </is>
      </c>
      <c r="G543" t="n">
        <v>4.6</v>
      </c>
      <c r="H543" t="n">
        <v>0</v>
      </c>
      <c r="I543" t="n">
        <v>3</v>
      </c>
      <c r="J543" t="n">
        <v>1</v>
      </c>
      <c r="K543" t="n">
        <v>0</v>
      </c>
      <c r="L543" t="n">
        <v>0</v>
      </c>
      <c r="M543" t="n">
        <v>0</v>
      </c>
      <c r="N543" t="n">
        <v>0</v>
      </c>
      <c r="O543" t="n">
        <v>1</v>
      </c>
      <c r="P543" t="n">
        <v>0</v>
      </c>
      <c r="Q543" t="n">
        <v>4</v>
      </c>
      <c r="R543" s="2" t="inlineStr">
        <is>
          <t>Lunglav
Bårdlav
Dvärgtufs
Skinnlav</t>
        </is>
      </c>
      <c r="S543">
        <f>HYPERLINK("https://klasma.github.io/Logging_2283/artfynd/A 9741-2026 artfynd.xlsx", "A 9741-2026")</f>
        <v/>
      </c>
      <c r="T543">
        <f>HYPERLINK("https://klasma.github.io/Logging_2283/kartor/A 9741-2026 karta.png", "A 9741-2026")</f>
        <v/>
      </c>
      <c r="V543">
        <f>HYPERLINK("https://klasma.github.io/Logging_2283/klagomål/A 9741-2026 FSC-klagomål.docx", "A 9741-2026")</f>
        <v/>
      </c>
      <c r="W543">
        <f>HYPERLINK("https://klasma.github.io/Logging_2283/klagomålsmail/A 9741-2026 FSC-klagomål mail.docx", "A 9741-2026")</f>
        <v/>
      </c>
      <c r="X543">
        <f>HYPERLINK("https://klasma.github.io/Logging_2283/tillsyn/A 9741-2026 tillsynsbegäran.docx", "A 9741-2026")</f>
        <v/>
      </c>
      <c r="Y543">
        <f>HYPERLINK("https://klasma.github.io/Logging_2283/tillsynsmail/A 9741-2026 tillsynsbegäran mail.docx", "A 9741-2026")</f>
        <v/>
      </c>
    </row>
    <row r="544" ht="15" customHeight="1">
      <c r="A544" t="inlineStr">
        <is>
          <t>A 25500-2025</t>
        </is>
      </c>
      <c r="B544" s="1" t="n">
        <v>45803</v>
      </c>
      <c r="C544" s="1" t="n">
        <v>46185</v>
      </c>
      <c r="D544" t="inlineStr">
        <is>
          <t>VÄSTERNORRLANDS LÄN</t>
        </is>
      </c>
      <c r="E544" t="inlineStr">
        <is>
          <t>SUNDSVALL</t>
        </is>
      </c>
      <c r="F544" t="inlineStr">
        <is>
          <t>SCA</t>
        </is>
      </c>
      <c r="G544" t="n">
        <v>1.6</v>
      </c>
      <c r="H544" t="n">
        <v>1</v>
      </c>
      <c r="I544" t="n">
        <v>1</v>
      </c>
      <c r="J544" t="n">
        <v>3</v>
      </c>
      <c r="K544" t="n">
        <v>0</v>
      </c>
      <c r="L544" t="n">
        <v>0</v>
      </c>
      <c r="M544" t="n">
        <v>0</v>
      </c>
      <c r="N544" t="n">
        <v>0</v>
      </c>
      <c r="O544" t="n">
        <v>3</v>
      </c>
      <c r="P544" t="n">
        <v>0</v>
      </c>
      <c r="Q544" t="n">
        <v>4</v>
      </c>
      <c r="R544" s="2" t="inlineStr">
        <is>
          <t>Garnlav
Lunglav
Tretåig hackspett
Skinnlav</t>
        </is>
      </c>
      <c r="S544">
        <f>HYPERLINK("https://klasma.github.io/Logging_2281/artfynd/A 25500-2025 artfynd.xlsx", "A 25500-2025")</f>
        <v/>
      </c>
      <c r="T544">
        <f>HYPERLINK("https://klasma.github.io/Logging_2281/kartor/A 25500-2025 karta.png", "A 25500-2025")</f>
        <v/>
      </c>
      <c r="V544">
        <f>HYPERLINK("https://klasma.github.io/Logging_2281/klagomål/A 25500-2025 FSC-klagomål.docx", "A 25500-2025")</f>
        <v/>
      </c>
      <c r="W544">
        <f>HYPERLINK("https://klasma.github.io/Logging_2281/klagomålsmail/A 25500-2025 FSC-klagomål mail.docx", "A 25500-2025")</f>
        <v/>
      </c>
      <c r="X544">
        <f>HYPERLINK("https://klasma.github.io/Logging_2281/tillsyn/A 25500-2025 tillsynsbegäran.docx", "A 25500-2025")</f>
        <v/>
      </c>
      <c r="Y544">
        <f>HYPERLINK("https://klasma.github.io/Logging_2281/tillsynsmail/A 25500-2025 tillsynsbegäran mail.docx", "A 25500-2025")</f>
        <v/>
      </c>
      <c r="Z544">
        <f>HYPERLINK("https://klasma.github.io/Logging_2281/fåglar/A 25500-2025 prioriterade fågelarter.docx", "A 25500-2025")</f>
        <v/>
      </c>
    </row>
    <row r="545" ht="15" customHeight="1">
      <c r="A545" t="inlineStr">
        <is>
          <t>A 58155-2025</t>
        </is>
      </c>
      <c r="B545" s="1" t="n">
        <v>45982</v>
      </c>
      <c r="C545" s="1" t="n">
        <v>46185</v>
      </c>
      <c r="D545" t="inlineStr">
        <is>
          <t>VÄSTERNORRLANDS LÄN</t>
        </is>
      </c>
      <c r="E545" t="inlineStr">
        <is>
          <t>SOLLEFTEÅ</t>
        </is>
      </c>
      <c r="G545" t="n">
        <v>16.1</v>
      </c>
      <c r="H545" t="n">
        <v>1</v>
      </c>
      <c r="I545" t="n">
        <v>1</v>
      </c>
      <c r="J545" t="n">
        <v>3</v>
      </c>
      <c r="K545" t="n">
        <v>0</v>
      </c>
      <c r="L545" t="n">
        <v>0</v>
      </c>
      <c r="M545" t="n">
        <v>0</v>
      </c>
      <c r="N545" t="n">
        <v>0</v>
      </c>
      <c r="O545" t="n">
        <v>3</v>
      </c>
      <c r="P545" t="n">
        <v>0</v>
      </c>
      <c r="Q545" t="n">
        <v>4</v>
      </c>
      <c r="R545" s="2" t="inlineStr">
        <is>
          <t>Garnlav
Järpe
Ullticka
Dropptaggsvamp</t>
        </is>
      </c>
      <c r="S545">
        <f>HYPERLINK("https://klasma.github.io/Logging_2283/artfynd/A 58155-2025 artfynd.xlsx", "A 58155-2025")</f>
        <v/>
      </c>
      <c r="T545">
        <f>HYPERLINK("https://klasma.github.io/Logging_2283/kartor/A 58155-2025 karta.png", "A 58155-2025")</f>
        <v/>
      </c>
      <c r="V545">
        <f>HYPERLINK("https://klasma.github.io/Logging_2283/klagomål/A 58155-2025 FSC-klagomål.docx", "A 58155-2025")</f>
        <v/>
      </c>
      <c r="W545">
        <f>HYPERLINK("https://klasma.github.io/Logging_2283/klagomålsmail/A 58155-2025 FSC-klagomål mail.docx", "A 58155-2025")</f>
        <v/>
      </c>
      <c r="X545">
        <f>HYPERLINK("https://klasma.github.io/Logging_2283/tillsyn/A 58155-2025 tillsynsbegäran.docx", "A 58155-2025")</f>
        <v/>
      </c>
      <c r="Y545">
        <f>HYPERLINK("https://klasma.github.io/Logging_2283/tillsynsmail/A 58155-2025 tillsynsbegäran mail.docx", "A 58155-2025")</f>
        <v/>
      </c>
      <c r="Z545">
        <f>HYPERLINK("https://klasma.github.io/Logging_2283/fåglar/A 58155-2025 prioriterade fågelarter.docx", "A 58155-2025")</f>
        <v/>
      </c>
    </row>
    <row r="546" ht="15" customHeight="1">
      <c r="A546" t="inlineStr">
        <is>
          <t>A 26504-2026</t>
        </is>
      </c>
      <c r="B546" s="1" t="n">
        <v>46183.56637731481</v>
      </c>
      <c r="C546" s="1" t="n">
        <v>46185</v>
      </c>
      <c r="D546" t="inlineStr">
        <is>
          <t>VÄSTERNORRLANDS LÄN</t>
        </is>
      </c>
      <c r="E546" t="inlineStr">
        <is>
          <t>HÄRNÖSAND</t>
        </is>
      </c>
      <c r="G546" t="n">
        <v>10.8</v>
      </c>
      <c r="H546" t="n">
        <v>0</v>
      </c>
      <c r="I546" t="n">
        <v>2</v>
      </c>
      <c r="J546" t="n">
        <v>2</v>
      </c>
      <c r="K546" t="n">
        <v>0</v>
      </c>
      <c r="L546" t="n">
        <v>0</v>
      </c>
      <c r="M546" t="n">
        <v>0</v>
      </c>
      <c r="N546" t="n">
        <v>0</v>
      </c>
      <c r="O546" t="n">
        <v>2</v>
      </c>
      <c r="P546" t="n">
        <v>0</v>
      </c>
      <c r="Q546" t="n">
        <v>4</v>
      </c>
      <c r="R546" s="2" t="inlineStr">
        <is>
          <t>Garnlav
Ullticka
Stor aspticka
Vedticka</t>
        </is>
      </c>
      <c r="S546">
        <f>HYPERLINK("https://klasma.github.io/Logging_2280/artfynd/A 26504-2026 artfynd.xlsx", "A 26504-2026")</f>
        <v/>
      </c>
      <c r="T546">
        <f>HYPERLINK("https://klasma.github.io/Logging_2280/kartor/A 26504-2026 karta.png", "A 26504-2026")</f>
        <v/>
      </c>
      <c r="V546">
        <f>HYPERLINK("https://klasma.github.io/Logging_2280/klagomål/A 26504-2026 FSC-klagomål.docx", "A 26504-2026")</f>
        <v/>
      </c>
      <c r="W546">
        <f>HYPERLINK("https://klasma.github.io/Logging_2280/klagomålsmail/A 26504-2026 FSC-klagomål mail.docx", "A 26504-2026")</f>
        <v/>
      </c>
      <c r="X546">
        <f>HYPERLINK("https://klasma.github.io/Logging_2280/tillsyn/A 26504-2026 tillsynsbegäran.docx", "A 26504-2026")</f>
        <v/>
      </c>
      <c r="Y546">
        <f>HYPERLINK("https://klasma.github.io/Logging_2280/tillsynsmail/A 26504-2026 tillsynsbegäran mail.docx", "A 26504-2026")</f>
        <v/>
      </c>
    </row>
    <row r="547" ht="15" customHeight="1">
      <c r="A547" t="inlineStr">
        <is>
          <t>A 24540-2023</t>
        </is>
      </c>
      <c r="B547" s="1" t="n">
        <v>45082</v>
      </c>
      <c r="C547" s="1" t="n">
        <v>46185</v>
      </c>
      <c r="D547" t="inlineStr">
        <is>
          <t>VÄSTERNORRLANDS LÄN</t>
        </is>
      </c>
      <c r="E547" t="inlineStr">
        <is>
          <t>HÄRNÖSAND</t>
        </is>
      </c>
      <c r="F547" t="inlineStr">
        <is>
          <t>SCA</t>
        </is>
      </c>
      <c r="G547" t="n">
        <v>5.2</v>
      </c>
      <c r="H547" t="n">
        <v>0</v>
      </c>
      <c r="I547" t="n">
        <v>2</v>
      </c>
      <c r="J547" t="n">
        <v>2</v>
      </c>
      <c r="K547" t="n">
        <v>0</v>
      </c>
      <c r="L547" t="n">
        <v>0</v>
      </c>
      <c r="M547" t="n">
        <v>0</v>
      </c>
      <c r="N547" t="n">
        <v>0</v>
      </c>
      <c r="O547" t="n">
        <v>2</v>
      </c>
      <c r="P547" t="n">
        <v>0</v>
      </c>
      <c r="Q547" t="n">
        <v>4</v>
      </c>
      <c r="R547" s="2" t="inlineStr">
        <is>
          <t>Garnlav
Violettgrå tagellav
Skinnlav
Vedticka</t>
        </is>
      </c>
      <c r="S547">
        <f>HYPERLINK("https://klasma.github.io/Logging_2280/artfynd/A 24540-2023 artfynd.xlsx", "A 24540-2023")</f>
        <v/>
      </c>
      <c r="T547">
        <f>HYPERLINK("https://klasma.github.io/Logging_2280/kartor/A 24540-2023 karta.png", "A 24540-2023")</f>
        <v/>
      </c>
      <c r="V547">
        <f>HYPERLINK("https://klasma.github.io/Logging_2280/klagomål/A 24540-2023 FSC-klagomål.docx", "A 24540-2023")</f>
        <v/>
      </c>
      <c r="W547">
        <f>HYPERLINK("https://klasma.github.io/Logging_2280/klagomålsmail/A 24540-2023 FSC-klagomål mail.docx", "A 24540-2023")</f>
        <v/>
      </c>
      <c r="X547">
        <f>HYPERLINK("https://klasma.github.io/Logging_2280/tillsyn/A 24540-2023 tillsynsbegäran.docx", "A 24540-2023")</f>
        <v/>
      </c>
      <c r="Y547">
        <f>HYPERLINK("https://klasma.github.io/Logging_2280/tillsynsmail/A 24540-2023 tillsynsbegäran mail.docx", "A 24540-2023")</f>
        <v/>
      </c>
    </row>
    <row r="548" ht="15" customHeight="1">
      <c r="A548" t="inlineStr">
        <is>
          <t>A 53898-2024</t>
        </is>
      </c>
      <c r="B548" s="1" t="n">
        <v>45615.69824074074</v>
      </c>
      <c r="C548" s="1" t="n">
        <v>46185</v>
      </c>
      <c r="D548" t="inlineStr">
        <is>
          <t>VÄSTERNORRLANDS LÄN</t>
        </is>
      </c>
      <c r="E548" t="inlineStr">
        <is>
          <t>SOLLEFTEÅ</t>
        </is>
      </c>
      <c r="F548" t="inlineStr">
        <is>
          <t>SCA</t>
        </is>
      </c>
      <c r="G548" t="n">
        <v>2</v>
      </c>
      <c r="H548" t="n">
        <v>0</v>
      </c>
      <c r="I548" t="n">
        <v>2</v>
      </c>
      <c r="J548" t="n">
        <v>2</v>
      </c>
      <c r="K548" t="n">
        <v>0</v>
      </c>
      <c r="L548" t="n">
        <v>0</v>
      </c>
      <c r="M548" t="n">
        <v>0</v>
      </c>
      <c r="N548" t="n">
        <v>0</v>
      </c>
      <c r="O548" t="n">
        <v>2</v>
      </c>
      <c r="P548" t="n">
        <v>0</v>
      </c>
      <c r="Q548" t="n">
        <v>4</v>
      </c>
      <c r="R548" s="2" t="inlineStr">
        <is>
          <t>Garnlav
Lunglav
Norrlandslav
Stuplav</t>
        </is>
      </c>
      <c r="S548">
        <f>HYPERLINK("https://klasma.github.io/Logging_2283/artfynd/A 53898-2024 artfynd.xlsx", "A 53898-2024")</f>
        <v/>
      </c>
      <c r="T548">
        <f>HYPERLINK("https://klasma.github.io/Logging_2283/kartor/A 53898-2024 karta.png", "A 53898-2024")</f>
        <v/>
      </c>
      <c r="V548">
        <f>HYPERLINK("https://klasma.github.io/Logging_2283/klagomål/A 53898-2024 FSC-klagomål.docx", "A 53898-2024")</f>
        <v/>
      </c>
      <c r="W548">
        <f>HYPERLINK("https://klasma.github.io/Logging_2283/klagomålsmail/A 53898-2024 FSC-klagomål mail.docx", "A 53898-2024")</f>
        <v/>
      </c>
      <c r="X548">
        <f>HYPERLINK("https://klasma.github.io/Logging_2283/tillsyn/A 53898-2024 tillsynsbegäran.docx", "A 53898-2024")</f>
        <v/>
      </c>
      <c r="Y548">
        <f>HYPERLINK("https://klasma.github.io/Logging_2283/tillsynsmail/A 53898-2024 tillsynsbegäran mail.docx", "A 53898-2024")</f>
        <v/>
      </c>
    </row>
    <row r="549" ht="15" customHeight="1">
      <c r="A549" t="inlineStr">
        <is>
          <t>A 8885-2024</t>
        </is>
      </c>
      <c r="B549" s="1" t="n">
        <v>45357</v>
      </c>
      <c r="C549" s="1" t="n">
        <v>46185</v>
      </c>
      <c r="D549" t="inlineStr">
        <is>
          <t>VÄSTERNORRLANDS LÄN</t>
        </is>
      </c>
      <c r="E549" t="inlineStr">
        <is>
          <t>SOLLEFTEÅ</t>
        </is>
      </c>
      <c r="F549" t="inlineStr">
        <is>
          <t>SCA</t>
        </is>
      </c>
      <c r="G549" t="n">
        <v>4.5</v>
      </c>
      <c r="H549" t="n">
        <v>1</v>
      </c>
      <c r="I549" t="n">
        <v>1</v>
      </c>
      <c r="J549" t="n">
        <v>3</v>
      </c>
      <c r="K549" t="n">
        <v>0</v>
      </c>
      <c r="L549" t="n">
        <v>0</v>
      </c>
      <c r="M549" t="n">
        <v>0</v>
      </c>
      <c r="N549" t="n">
        <v>0</v>
      </c>
      <c r="O549" t="n">
        <v>3</v>
      </c>
      <c r="P549" t="n">
        <v>0</v>
      </c>
      <c r="Q549" t="n">
        <v>4</v>
      </c>
      <c r="R549" s="2" t="inlineStr">
        <is>
          <t>Gammelgransskål
Granticka
Tretåig hackspett
Vedticka</t>
        </is>
      </c>
      <c r="S549">
        <f>HYPERLINK("https://klasma.github.io/Logging_2283/artfynd/A 8885-2024 artfynd.xlsx", "A 8885-2024")</f>
        <v/>
      </c>
      <c r="T549">
        <f>HYPERLINK("https://klasma.github.io/Logging_2283/kartor/A 8885-2024 karta.png", "A 8885-2024")</f>
        <v/>
      </c>
      <c r="V549">
        <f>HYPERLINK("https://klasma.github.io/Logging_2283/klagomål/A 8885-2024 FSC-klagomål.docx", "A 8885-2024")</f>
        <v/>
      </c>
      <c r="W549">
        <f>HYPERLINK("https://klasma.github.io/Logging_2283/klagomålsmail/A 8885-2024 FSC-klagomål mail.docx", "A 8885-2024")</f>
        <v/>
      </c>
      <c r="X549">
        <f>HYPERLINK("https://klasma.github.io/Logging_2283/tillsyn/A 8885-2024 tillsynsbegäran.docx", "A 8885-2024")</f>
        <v/>
      </c>
      <c r="Y549">
        <f>HYPERLINK("https://klasma.github.io/Logging_2283/tillsynsmail/A 8885-2024 tillsynsbegäran mail.docx", "A 8885-2024")</f>
        <v/>
      </c>
      <c r="Z549">
        <f>HYPERLINK("https://klasma.github.io/Logging_2283/fåglar/A 8885-2024 prioriterade fågelarter.docx", "A 8885-2024")</f>
        <v/>
      </c>
    </row>
    <row r="550" ht="15" customHeight="1">
      <c r="A550" t="inlineStr">
        <is>
          <t>A 55179-2024</t>
        </is>
      </c>
      <c r="B550" s="1" t="n">
        <v>45621.53204861111</v>
      </c>
      <c r="C550" s="1" t="n">
        <v>46185</v>
      </c>
      <c r="D550" t="inlineStr">
        <is>
          <t>VÄSTERNORRLANDS LÄN</t>
        </is>
      </c>
      <c r="E550" t="inlineStr">
        <is>
          <t>ÅNGE</t>
        </is>
      </c>
      <c r="F550" t="inlineStr">
        <is>
          <t>SCA</t>
        </is>
      </c>
      <c r="G550" t="n">
        <v>3</v>
      </c>
      <c r="H550" t="n">
        <v>2</v>
      </c>
      <c r="I550" t="n">
        <v>1</v>
      </c>
      <c r="J550" t="n">
        <v>1</v>
      </c>
      <c r="K550" t="n">
        <v>0</v>
      </c>
      <c r="L550" t="n">
        <v>0</v>
      </c>
      <c r="M550" t="n">
        <v>0</v>
      </c>
      <c r="N550" t="n">
        <v>0</v>
      </c>
      <c r="O550" t="n">
        <v>1</v>
      </c>
      <c r="P550" t="n">
        <v>0</v>
      </c>
      <c r="Q550" t="n">
        <v>4</v>
      </c>
      <c r="R550" s="2" t="inlineStr">
        <is>
          <t>Lunglav
Stuplav
Fläcknycklar
Blåsippa</t>
        </is>
      </c>
      <c r="S550">
        <f>HYPERLINK("https://klasma.github.io/Logging_2260/artfynd/A 55179-2024 artfynd.xlsx", "A 55179-2024")</f>
        <v/>
      </c>
      <c r="T550">
        <f>HYPERLINK("https://klasma.github.io/Logging_2260/kartor/A 55179-2024 karta.png", "A 55179-2024")</f>
        <v/>
      </c>
      <c r="V550">
        <f>HYPERLINK("https://klasma.github.io/Logging_2260/klagomål/A 55179-2024 FSC-klagomål.docx", "A 55179-2024")</f>
        <v/>
      </c>
      <c r="W550">
        <f>HYPERLINK("https://klasma.github.io/Logging_2260/klagomålsmail/A 55179-2024 FSC-klagomål mail.docx", "A 55179-2024")</f>
        <v/>
      </c>
      <c r="X550">
        <f>HYPERLINK("https://klasma.github.io/Logging_2260/tillsyn/A 55179-2024 tillsynsbegäran.docx", "A 55179-2024")</f>
        <v/>
      </c>
      <c r="Y550">
        <f>HYPERLINK("https://klasma.github.io/Logging_2260/tillsynsmail/A 55179-2024 tillsynsbegäran mail.docx", "A 55179-2024")</f>
        <v/>
      </c>
    </row>
    <row r="551" ht="15" customHeight="1">
      <c r="A551" t="inlineStr">
        <is>
          <t>A 47527-2024</t>
        </is>
      </c>
      <c r="B551" s="1" t="n">
        <v>45587.63574074074</v>
      </c>
      <c r="C551" s="1" t="n">
        <v>46185</v>
      </c>
      <c r="D551" t="inlineStr">
        <is>
          <t>VÄSTERNORRLANDS LÄN</t>
        </is>
      </c>
      <c r="E551" t="inlineStr">
        <is>
          <t>SOLLEFTEÅ</t>
        </is>
      </c>
      <c r="F551" t="inlineStr">
        <is>
          <t>SCA</t>
        </is>
      </c>
      <c r="G551" t="n">
        <v>3.6</v>
      </c>
      <c r="H551" t="n">
        <v>1</v>
      </c>
      <c r="I551" t="n">
        <v>1</v>
      </c>
      <c r="J551" t="n">
        <v>3</v>
      </c>
      <c r="K551" t="n">
        <v>0</v>
      </c>
      <c r="L551" t="n">
        <v>0</v>
      </c>
      <c r="M551" t="n">
        <v>0</v>
      </c>
      <c r="N551" t="n">
        <v>0</v>
      </c>
      <c r="O551" t="n">
        <v>3</v>
      </c>
      <c r="P551" t="n">
        <v>0</v>
      </c>
      <c r="Q551" t="n">
        <v>4</v>
      </c>
      <c r="R551" s="2" t="inlineStr">
        <is>
          <t>Garnlav
Lunglav
Ullticka
Lappranunkel</t>
        </is>
      </c>
      <c r="S551">
        <f>HYPERLINK("https://klasma.github.io/Logging_2283/artfynd/A 47527-2024 artfynd.xlsx", "A 47527-2024")</f>
        <v/>
      </c>
      <c r="T551">
        <f>HYPERLINK("https://klasma.github.io/Logging_2283/kartor/A 47527-2024 karta.png", "A 47527-2024")</f>
        <v/>
      </c>
      <c r="V551">
        <f>HYPERLINK("https://klasma.github.io/Logging_2283/klagomål/A 47527-2024 FSC-klagomål.docx", "A 47527-2024")</f>
        <v/>
      </c>
      <c r="W551">
        <f>HYPERLINK("https://klasma.github.io/Logging_2283/klagomålsmail/A 47527-2024 FSC-klagomål mail.docx", "A 47527-2024")</f>
        <v/>
      </c>
      <c r="X551">
        <f>HYPERLINK("https://klasma.github.io/Logging_2283/tillsyn/A 47527-2024 tillsynsbegäran.docx", "A 47527-2024")</f>
        <v/>
      </c>
      <c r="Y551">
        <f>HYPERLINK("https://klasma.github.io/Logging_2283/tillsynsmail/A 47527-2024 tillsynsbegäran mail.docx", "A 47527-2024")</f>
        <v/>
      </c>
    </row>
    <row r="552" ht="15" customHeight="1">
      <c r="A552" t="inlineStr">
        <is>
          <t>A 22663-2024</t>
        </is>
      </c>
      <c r="B552" s="1" t="n">
        <v>45447</v>
      </c>
      <c r="C552" s="1" t="n">
        <v>46185</v>
      </c>
      <c r="D552" t="inlineStr">
        <is>
          <t>VÄSTERNORRLANDS LÄN</t>
        </is>
      </c>
      <c r="E552" t="inlineStr">
        <is>
          <t>ÖRNSKÖLDSVIK</t>
        </is>
      </c>
      <c r="F552" t="inlineStr">
        <is>
          <t>SCA</t>
        </is>
      </c>
      <c r="G552" t="n">
        <v>1.9</v>
      </c>
      <c r="H552" t="n">
        <v>0</v>
      </c>
      <c r="I552" t="n">
        <v>1</v>
      </c>
      <c r="J552" t="n">
        <v>3</v>
      </c>
      <c r="K552" t="n">
        <v>0</v>
      </c>
      <c r="L552" t="n">
        <v>0</v>
      </c>
      <c r="M552" t="n">
        <v>0</v>
      </c>
      <c r="N552" t="n">
        <v>0</v>
      </c>
      <c r="O552" t="n">
        <v>3</v>
      </c>
      <c r="P552" t="n">
        <v>0</v>
      </c>
      <c r="Q552" t="n">
        <v>4</v>
      </c>
      <c r="R552" s="2" t="inlineStr">
        <is>
          <t>Garnlav
Lunglav
Ullticka
Korallblylav</t>
        </is>
      </c>
      <c r="S552">
        <f>HYPERLINK("https://klasma.github.io/Logging_2284/artfynd/A 22663-2024 artfynd.xlsx", "A 22663-2024")</f>
        <v/>
      </c>
      <c r="T552">
        <f>HYPERLINK("https://klasma.github.io/Logging_2284/kartor/A 22663-2024 karta.png", "A 22663-2024")</f>
        <v/>
      </c>
      <c r="V552">
        <f>HYPERLINK("https://klasma.github.io/Logging_2284/klagomål/A 22663-2024 FSC-klagomål.docx", "A 22663-2024")</f>
        <v/>
      </c>
      <c r="W552">
        <f>HYPERLINK("https://klasma.github.io/Logging_2284/klagomålsmail/A 22663-2024 FSC-klagomål mail.docx", "A 22663-2024")</f>
        <v/>
      </c>
      <c r="X552">
        <f>HYPERLINK("https://klasma.github.io/Logging_2284/tillsyn/A 22663-2024 tillsynsbegäran.docx", "A 22663-2024")</f>
        <v/>
      </c>
      <c r="Y552">
        <f>HYPERLINK("https://klasma.github.io/Logging_2284/tillsynsmail/A 22663-2024 tillsynsbegäran mail.docx", "A 22663-2024")</f>
        <v/>
      </c>
    </row>
    <row r="553" ht="15" customHeight="1">
      <c r="A553" t="inlineStr">
        <is>
          <t>A 14959-2023</t>
        </is>
      </c>
      <c r="B553" s="1" t="n">
        <v>45015</v>
      </c>
      <c r="C553" s="1" t="n">
        <v>46185</v>
      </c>
      <c r="D553" t="inlineStr">
        <is>
          <t>VÄSTERNORRLANDS LÄN</t>
        </is>
      </c>
      <c r="E553" t="inlineStr">
        <is>
          <t>ÖRNSKÖLDSVIK</t>
        </is>
      </c>
      <c r="F553" t="inlineStr">
        <is>
          <t>Holmen skog AB</t>
        </is>
      </c>
      <c r="G553" t="n">
        <v>8.4</v>
      </c>
      <c r="H553" t="n">
        <v>0</v>
      </c>
      <c r="I553" t="n">
        <v>3</v>
      </c>
      <c r="J553" t="n">
        <v>1</v>
      </c>
      <c r="K553" t="n">
        <v>0</v>
      </c>
      <c r="L553" t="n">
        <v>0</v>
      </c>
      <c r="M553" t="n">
        <v>0</v>
      </c>
      <c r="N553" t="n">
        <v>0</v>
      </c>
      <c r="O553" t="n">
        <v>1</v>
      </c>
      <c r="P553" t="n">
        <v>0</v>
      </c>
      <c r="Q553" t="n">
        <v>4</v>
      </c>
      <c r="R553" s="2" t="inlineStr">
        <is>
          <t>Lunglav
Korallblylav
Skinnlav
Stuplav</t>
        </is>
      </c>
      <c r="S553">
        <f>HYPERLINK("https://klasma.github.io/Logging_2284/artfynd/A 14959-2023 artfynd.xlsx", "A 14959-2023")</f>
        <v/>
      </c>
      <c r="T553">
        <f>HYPERLINK("https://klasma.github.io/Logging_2284/kartor/A 14959-2023 karta.png", "A 14959-2023")</f>
        <v/>
      </c>
      <c r="V553">
        <f>HYPERLINK("https://klasma.github.io/Logging_2284/klagomål/A 14959-2023 FSC-klagomål.docx", "A 14959-2023")</f>
        <v/>
      </c>
      <c r="W553">
        <f>HYPERLINK("https://klasma.github.io/Logging_2284/klagomålsmail/A 14959-2023 FSC-klagomål mail.docx", "A 14959-2023")</f>
        <v/>
      </c>
      <c r="X553">
        <f>HYPERLINK("https://klasma.github.io/Logging_2284/tillsyn/A 14959-2023 tillsynsbegäran.docx", "A 14959-2023")</f>
        <v/>
      </c>
      <c r="Y553">
        <f>HYPERLINK("https://klasma.github.io/Logging_2284/tillsynsmail/A 14959-2023 tillsynsbegäran mail.docx", "A 14959-2023")</f>
        <v/>
      </c>
    </row>
    <row r="554" ht="15" customHeight="1">
      <c r="A554" t="inlineStr">
        <is>
          <t>A 37270-2023</t>
        </is>
      </c>
      <c r="B554" s="1" t="n">
        <v>45155</v>
      </c>
      <c r="C554" s="1" t="n">
        <v>46185</v>
      </c>
      <c r="D554" t="inlineStr">
        <is>
          <t>VÄSTERNORRLANDS LÄN</t>
        </is>
      </c>
      <c r="E554" t="inlineStr">
        <is>
          <t>SOLLEFTEÅ</t>
        </is>
      </c>
      <c r="F554" t="inlineStr">
        <is>
          <t>SCA</t>
        </is>
      </c>
      <c r="G554" t="n">
        <v>2.3</v>
      </c>
      <c r="H554" t="n">
        <v>1</v>
      </c>
      <c r="I554" t="n">
        <v>1</v>
      </c>
      <c r="J554" t="n">
        <v>3</v>
      </c>
      <c r="K554" t="n">
        <v>0</v>
      </c>
      <c r="L554" t="n">
        <v>0</v>
      </c>
      <c r="M554" t="n">
        <v>0</v>
      </c>
      <c r="N554" t="n">
        <v>0</v>
      </c>
      <c r="O554" t="n">
        <v>3</v>
      </c>
      <c r="P554" t="n">
        <v>0</v>
      </c>
      <c r="Q554" t="n">
        <v>4</v>
      </c>
      <c r="R554" s="2" t="inlineStr">
        <is>
          <t>Orange taggsvamp
Tallticka
Tretåig hackspett
Dropptaggsvamp</t>
        </is>
      </c>
      <c r="S554">
        <f>HYPERLINK("https://klasma.github.io/Logging_2283/artfynd/A 37270-2023 artfynd.xlsx", "A 37270-2023")</f>
        <v/>
      </c>
      <c r="T554">
        <f>HYPERLINK("https://klasma.github.io/Logging_2283/kartor/A 37270-2023 karta.png", "A 37270-2023")</f>
        <v/>
      </c>
      <c r="V554">
        <f>HYPERLINK("https://klasma.github.io/Logging_2283/klagomål/A 37270-2023 FSC-klagomål.docx", "A 37270-2023")</f>
        <v/>
      </c>
      <c r="W554">
        <f>HYPERLINK("https://klasma.github.io/Logging_2283/klagomålsmail/A 37270-2023 FSC-klagomål mail.docx", "A 37270-2023")</f>
        <v/>
      </c>
      <c r="X554">
        <f>HYPERLINK("https://klasma.github.io/Logging_2283/tillsyn/A 37270-2023 tillsynsbegäran.docx", "A 37270-2023")</f>
        <v/>
      </c>
      <c r="Y554">
        <f>HYPERLINK("https://klasma.github.io/Logging_2283/tillsynsmail/A 37270-2023 tillsynsbegäran mail.docx", "A 37270-2023")</f>
        <v/>
      </c>
      <c r="Z554">
        <f>HYPERLINK("https://klasma.github.io/Logging_2283/fåglar/A 37270-2023 prioriterade fågelarter.docx", "A 37270-2023")</f>
        <v/>
      </c>
    </row>
    <row r="555" ht="15" customHeight="1">
      <c r="A555" t="inlineStr">
        <is>
          <t>A 13441-2025</t>
        </is>
      </c>
      <c r="B555" s="1" t="n">
        <v>45736</v>
      </c>
      <c r="C555" s="1" t="n">
        <v>46185</v>
      </c>
      <c r="D555" t="inlineStr">
        <is>
          <t>VÄSTERNORRLANDS LÄN</t>
        </is>
      </c>
      <c r="E555" t="inlineStr">
        <is>
          <t>SUNDSVALL</t>
        </is>
      </c>
      <c r="F555" t="inlineStr">
        <is>
          <t>SCA</t>
        </is>
      </c>
      <c r="G555" t="n">
        <v>0.8</v>
      </c>
      <c r="H555" t="n">
        <v>2</v>
      </c>
      <c r="I555" t="n">
        <v>2</v>
      </c>
      <c r="J555" t="n">
        <v>1</v>
      </c>
      <c r="K555" t="n">
        <v>1</v>
      </c>
      <c r="L555" t="n">
        <v>0</v>
      </c>
      <c r="M555" t="n">
        <v>0</v>
      </c>
      <c r="N555" t="n">
        <v>0</v>
      </c>
      <c r="O555" t="n">
        <v>2</v>
      </c>
      <c r="P555" t="n">
        <v>1</v>
      </c>
      <c r="Q555" t="n">
        <v>4</v>
      </c>
      <c r="R555" s="2" t="inlineStr">
        <is>
          <t>Knärot
Vedtrappmossa
Korallrot
Vedticka</t>
        </is>
      </c>
      <c r="S555">
        <f>HYPERLINK("https://klasma.github.io/Logging_2281/artfynd/A 13441-2025 artfynd.xlsx", "A 13441-2025")</f>
        <v/>
      </c>
      <c r="T555">
        <f>HYPERLINK("https://klasma.github.io/Logging_2281/kartor/A 13441-2025 karta.png", "A 13441-2025")</f>
        <v/>
      </c>
      <c r="U555">
        <f>HYPERLINK("https://klasma.github.io/Logging_2281/knärot/A 13441-2025 karta knärot.png", "A 13441-2025")</f>
        <v/>
      </c>
      <c r="V555">
        <f>HYPERLINK("https://klasma.github.io/Logging_2281/klagomål/A 13441-2025 FSC-klagomål.docx", "A 13441-2025")</f>
        <v/>
      </c>
      <c r="W555">
        <f>HYPERLINK("https://klasma.github.io/Logging_2281/klagomålsmail/A 13441-2025 FSC-klagomål mail.docx", "A 13441-2025")</f>
        <v/>
      </c>
      <c r="X555">
        <f>HYPERLINK("https://klasma.github.io/Logging_2281/tillsyn/A 13441-2025 tillsynsbegäran.docx", "A 13441-2025")</f>
        <v/>
      </c>
      <c r="Y555">
        <f>HYPERLINK("https://klasma.github.io/Logging_2281/tillsynsmail/A 13441-2025 tillsynsbegäran mail.docx", "A 13441-2025")</f>
        <v/>
      </c>
    </row>
    <row r="556" ht="15" customHeight="1">
      <c r="A556" t="inlineStr">
        <is>
          <t>A 57299-2022</t>
        </is>
      </c>
      <c r="B556" s="1" t="n">
        <v>44895.95090277777</v>
      </c>
      <c r="C556" s="1" t="n">
        <v>46185</v>
      </c>
      <c r="D556" t="inlineStr">
        <is>
          <t>VÄSTERNORRLANDS LÄN</t>
        </is>
      </c>
      <c r="E556" t="inlineStr">
        <is>
          <t>ÅNGE</t>
        </is>
      </c>
      <c r="F556" t="inlineStr">
        <is>
          <t>SCA</t>
        </is>
      </c>
      <c r="G556" t="n">
        <v>3.4</v>
      </c>
      <c r="H556" t="n">
        <v>0</v>
      </c>
      <c r="I556" t="n">
        <v>0</v>
      </c>
      <c r="J556" t="n">
        <v>4</v>
      </c>
      <c r="K556" t="n">
        <v>0</v>
      </c>
      <c r="L556" t="n">
        <v>0</v>
      </c>
      <c r="M556" t="n">
        <v>0</v>
      </c>
      <c r="N556" t="n">
        <v>0</v>
      </c>
      <c r="O556" t="n">
        <v>4</v>
      </c>
      <c r="P556" t="n">
        <v>0</v>
      </c>
      <c r="Q556" t="n">
        <v>4</v>
      </c>
      <c r="R556" s="2" t="inlineStr">
        <is>
          <t>Garnlav
Lunglav
Ullticka
Violmussling</t>
        </is>
      </c>
      <c r="S556">
        <f>HYPERLINK("https://klasma.github.io/Logging_2260/artfynd/A 57299-2022 artfynd.xlsx", "A 57299-2022")</f>
        <v/>
      </c>
      <c r="T556">
        <f>HYPERLINK("https://klasma.github.io/Logging_2260/kartor/A 57299-2022 karta.png", "A 57299-2022")</f>
        <v/>
      </c>
      <c r="V556">
        <f>HYPERLINK("https://klasma.github.io/Logging_2260/klagomål/A 57299-2022 FSC-klagomål.docx", "A 57299-2022")</f>
        <v/>
      </c>
      <c r="W556">
        <f>HYPERLINK("https://klasma.github.io/Logging_2260/klagomålsmail/A 57299-2022 FSC-klagomål mail.docx", "A 57299-2022")</f>
        <v/>
      </c>
      <c r="X556">
        <f>HYPERLINK("https://klasma.github.io/Logging_2260/tillsyn/A 57299-2022 tillsynsbegäran.docx", "A 57299-2022")</f>
        <v/>
      </c>
      <c r="Y556">
        <f>HYPERLINK("https://klasma.github.io/Logging_2260/tillsynsmail/A 57299-2022 tillsynsbegäran mail.docx", "A 57299-2022")</f>
        <v/>
      </c>
    </row>
    <row r="557" ht="15" customHeight="1">
      <c r="A557" t="inlineStr">
        <is>
          <t>A 57081-2024</t>
        </is>
      </c>
      <c r="B557" s="1" t="n">
        <v>45629</v>
      </c>
      <c r="C557" s="1" t="n">
        <v>46185</v>
      </c>
      <c r="D557" t="inlineStr">
        <is>
          <t>VÄSTERNORRLANDS LÄN</t>
        </is>
      </c>
      <c r="E557" t="inlineStr">
        <is>
          <t>SOLLEFTEÅ</t>
        </is>
      </c>
      <c r="F557" t="inlineStr">
        <is>
          <t>SCA</t>
        </is>
      </c>
      <c r="G557" t="n">
        <v>0.7</v>
      </c>
      <c r="H557" t="n">
        <v>1</v>
      </c>
      <c r="I557" t="n">
        <v>0</v>
      </c>
      <c r="J557" t="n">
        <v>4</v>
      </c>
      <c r="K557" t="n">
        <v>0</v>
      </c>
      <c r="L557" t="n">
        <v>0</v>
      </c>
      <c r="M557" t="n">
        <v>0</v>
      </c>
      <c r="N557" t="n">
        <v>0</v>
      </c>
      <c r="O557" t="n">
        <v>4</v>
      </c>
      <c r="P557" t="n">
        <v>0</v>
      </c>
      <c r="Q557" t="n">
        <v>4</v>
      </c>
      <c r="R557" s="2" t="inlineStr">
        <is>
          <t>Garnlav
Lunglav
Tretåig hackspett
Ullticka</t>
        </is>
      </c>
      <c r="S557">
        <f>HYPERLINK("https://klasma.github.io/Logging_2283/artfynd/A 57081-2024 artfynd.xlsx", "A 57081-2024")</f>
        <v/>
      </c>
      <c r="T557">
        <f>HYPERLINK("https://klasma.github.io/Logging_2283/kartor/A 57081-2024 karta.png", "A 57081-2024")</f>
        <v/>
      </c>
      <c r="V557">
        <f>HYPERLINK("https://klasma.github.io/Logging_2283/klagomål/A 57081-2024 FSC-klagomål.docx", "A 57081-2024")</f>
        <v/>
      </c>
      <c r="W557">
        <f>HYPERLINK("https://klasma.github.io/Logging_2283/klagomålsmail/A 57081-2024 FSC-klagomål mail.docx", "A 57081-2024")</f>
        <v/>
      </c>
      <c r="X557">
        <f>HYPERLINK("https://klasma.github.io/Logging_2283/tillsyn/A 57081-2024 tillsynsbegäran.docx", "A 57081-2024")</f>
        <v/>
      </c>
      <c r="Y557">
        <f>HYPERLINK("https://klasma.github.io/Logging_2283/tillsynsmail/A 57081-2024 tillsynsbegäran mail.docx", "A 57081-2024")</f>
        <v/>
      </c>
      <c r="Z557">
        <f>HYPERLINK("https://klasma.github.io/Logging_2283/fåglar/A 57081-2024 prioriterade fågelarter.docx", "A 57081-2024")</f>
        <v/>
      </c>
    </row>
    <row r="558" ht="15" customHeight="1">
      <c r="A558" t="inlineStr">
        <is>
          <t>A 12698-2024</t>
        </is>
      </c>
      <c r="B558" s="1" t="n">
        <v>45384</v>
      </c>
      <c r="C558" s="1" t="n">
        <v>46185</v>
      </c>
      <c r="D558" t="inlineStr">
        <is>
          <t>VÄSTERNORRLANDS LÄN</t>
        </is>
      </c>
      <c r="E558" t="inlineStr">
        <is>
          <t>ÖRNSKÖLDSVIK</t>
        </is>
      </c>
      <c r="F558" t="inlineStr">
        <is>
          <t>Holmen skog AB</t>
        </is>
      </c>
      <c r="G558" t="n">
        <v>7.3</v>
      </c>
      <c r="H558" t="n">
        <v>0</v>
      </c>
      <c r="I558" t="n">
        <v>0</v>
      </c>
      <c r="J558" t="n">
        <v>4</v>
      </c>
      <c r="K558" t="n">
        <v>0</v>
      </c>
      <c r="L558" t="n">
        <v>0</v>
      </c>
      <c r="M558" t="n">
        <v>0</v>
      </c>
      <c r="N558" t="n">
        <v>0</v>
      </c>
      <c r="O558" t="n">
        <v>4</v>
      </c>
      <c r="P558" t="n">
        <v>0</v>
      </c>
      <c r="Q558" t="n">
        <v>4</v>
      </c>
      <c r="R558" s="2" t="inlineStr">
        <is>
          <t>Garnlav
Kolflarnlav
Reliktbock
Tallticka</t>
        </is>
      </c>
      <c r="S558">
        <f>HYPERLINK("https://klasma.github.io/Logging_2284/artfynd/A 12698-2024 artfynd.xlsx", "A 12698-2024")</f>
        <v/>
      </c>
      <c r="T558">
        <f>HYPERLINK("https://klasma.github.io/Logging_2284/kartor/A 12698-2024 karta.png", "A 12698-2024")</f>
        <v/>
      </c>
      <c r="V558">
        <f>HYPERLINK("https://klasma.github.io/Logging_2284/klagomål/A 12698-2024 FSC-klagomål.docx", "A 12698-2024")</f>
        <v/>
      </c>
      <c r="W558">
        <f>HYPERLINK("https://klasma.github.io/Logging_2284/klagomålsmail/A 12698-2024 FSC-klagomål mail.docx", "A 12698-2024")</f>
        <v/>
      </c>
      <c r="X558">
        <f>HYPERLINK("https://klasma.github.io/Logging_2284/tillsyn/A 12698-2024 tillsynsbegäran.docx", "A 12698-2024")</f>
        <v/>
      </c>
      <c r="Y558">
        <f>HYPERLINK("https://klasma.github.io/Logging_2284/tillsynsmail/A 12698-2024 tillsynsbegäran mail.docx", "A 12698-2024")</f>
        <v/>
      </c>
    </row>
    <row r="559" ht="15" customHeight="1">
      <c r="A559" t="inlineStr">
        <is>
          <t>A 21594-2025</t>
        </is>
      </c>
      <c r="B559" s="1" t="n">
        <v>45783.34447916667</v>
      </c>
      <c r="C559" s="1" t="n">
        <v>46185</v>
      </c>
      <c r="D559" t="inlineStr">
        <is>
          <t>VÄSTERNORRLANDS LÄN</t>
        </is>
      </c>
      <c r="E559" t="inlineStr">
        <is>
          <t>SUNDSVALL</t>
        </is>
      </c>
      <c r="F559" t="inlineStr">
        <is>
          <t>Naturvårdsverket</t>
        </is>
      </c>
      <c r="G559" t="n">
        <v>3</v>
      </c>
      <c r="H559" t="n">
        <v>0</v>
      </c>
      <c r="I559" t="n">
        <v>0</v>
      </c>
      <c r="J559" t="n">
        <v>4</v>
      </c>
      <c r="K559" t="n">
        <v>0</v>
      </c>
      <c r="L559" t="n">
        <v>0</v>
      </c>
      <c r="M559" t="n">
        <v>0</v>
      </c>
      <c r="N559" t="n">
        <v>0</v>
      </c>
      <c r="O559" t="n">
        <v>4</v>
      </c>
      <c r="P559" t="n">
        <v>0</v>
      </c>
      <c r="Q559" t="n">
        <v>4</v>
      </c>
      <c r="R559" s="2" t="inlineStr">
        <is>
          <t>Blanksvart spiklav
Blågrå svartspik
Mörk kolflarnlav
Vedflamlav</t>
        </is>
      </c>
      <c r="S559">
        <f>HYPERLINK("https://klasma.github.io/Logging_2281/artfynd/A 21594-2025 artfynd.xlsx", "A 21594-2025")</f>
        <v/>
      </c>
      <c r="T559">
        <f>HYPERLINK("https://klasma.github.io/Logging_2281/kartor/A 21594-2025 karta.png", "A 21594-2025")</f>
        <v/>
      </c>
      <c r="V559">
        <f>HYPERLINK("https://klasma.github.io/Logging_2281/klagomål/A 21594-2025 FSC-klagomål.docx", "A 21594-2025")</f>
        <v/>
      </c>
      <c r="W559">
        <f>HYPERLINK("https://klasma.github.io/Logging_2281/klagomålsmail/A 21594-2025 FSC-klagomål mail.docx", "A 21594-2025")</f>
        <v/>
      </c>
      <c r="X559">
        <f>HYPERLINK("https://klasma.github.io/Logging_2281/tillsyn/A 21594-2025 tillsynsbegäran.docx", "A 21594-2025")</f>
        <v/>
      </c>
      <c r="Y559">
        <f>HYPERLINK("https://klasma.github.io/Logging_2281/tillsynsmail/A 21594-2025 tillsynsbegäran mail.docx", "A 21594-2025")</f>
        <v/>
      </c>
    </row>
    <row r="560" ht="15" customHeight="1">
      <c r="A560" t="inlineStr">
        <is>
          <t>A 21986-2025</t>
        </is>
      </c>
      <c r="B560" s="1" t="n">
        <v>45784.65700231482</v>
      </c>
      <c r="C560" s="1" t="n">
        <v>46185</v>
      </c>
      <c r="D560" t="inlineStr">
        <is>
          <t>VÄSTERNORRLANDS LÄN</t>
        </is>
      </c>
      <c r="E560" t="inlineStr">
        <is>
          <t>SUNDSVALL</t>
        </is>
      </c>
      <c r="F560" t="inlineStr">
        <is>
          <t>Naturvårdsverket</t>
        </is>
      </c>
      <c r="G560" t="n">
        <v>5.7</v>
      </c>
      <c r="H560" t="n">
        <v>0</v>
      </c>
      <c r="I560" t="n">
        <v>2</v>
      </c>
      <c r="J560" t="n">
        <v>1</v>
      </c>
      <c r="K560" t="n">
        <v>1</v>
      </c>
      <c r="L560" t="n">
        <v>0</v>
      </c>
      <c r="M560" t="n">
        <v>0</v>
      </c>
      <c r="N560" t="n">
        <v>0</v>
      </c>
      <c r="O560" t="n">
        <v>2</v>
      </c>
      <c r="P560" t="n">
        <v>1</v>
      </c>
      <c r="Q560" t="n">
        <v>4</v>
      </c>
      <c r="R560" s="2" t="inlineStr">
        <is>
          <t>Gräddporing
Blågrå svartspik
Barkticka
Mörk husmossa</t>
        </is>
      </c>
      <c r="S560">
        <f>HYPERLINK("https://klasma.github.io/Logging_2281/artfynd/A 21986-2025 artfynd.xlsx", "A 21986-2025")</f>
        <v/>
      </c>
      <c r="T560">
        <f>HYPERLINK("https://klasma.github.io/Logging_2281/kartor/A 21986-2025 karta.png", "A 21986-2025")</f>
        <v/>
      </c>
      <c r="V560">
        <f>HYPERLINK("https://klasma.github.io/Logging_2281/klagomål/A 21986-2025 FSC-klagomål.docx", "A 21986-2025")</f>
        <v/>
      </c>
      <c r="W560">
        <f>HYPERLINK("https://klasma.github.io/Logging_2281/klagomålsmail/A 21986-2025 FSC-klagomål mail.docx", "A 21986-2025")</f>
        <v/>
      </c>
      <c r="X560">
        <f>HYPERLINK("https://klasma.github.io/Logging_2281/tillsyn/A 21986-2025 tillsynsbegäran.docx", "A 21986-2025")</f>
        <v/>
      </c>
      <c r="Y560">
        <f>HYPERLINK("https://klasma.github.io/Logging_2281/tillsynsmail/A 21986-2025 tillsynsbegäran mail.docx", "A 21986-2025")</f>
        <v/>
      </c>
    </row>
    <row r="561" ht="15" customHeight="1">
      <c r="A561" t="inlineStr">
        <is>
          <t>A 22426-2025</t>
        </is>
      </c>
      <c r="B561" s="1" t="n">
        <v>45786</v>
      </c>
      <c r="C561" s="1" t="n">
        <v>46185</v>
      </c>
      <c r="D561" t="inlineStr">
        <is>
          <t>VÄSTERNORRLANDS LÄN</t>
        </is>
      </c>
      <c r="E561" t="inlineStr">
        <is>
          <t>TIMRÅ</t>
        </is>
      </c>
      <c r="F561" t="inlineStr">
        <is>
          <t>SCA</t>
        </is>
      </c>
      <c r="G561" t="n">
        <v>6.2</v>
      </c>
      <c r="H561" t="n">
        <v>1</v>
      </c>
      <c r="I561" t="n">
        <v>0</v>
      </c>
      <c r="J561" t="n">
        <v>3</v>
      </c>
      <c r="K561" t="n">
        <v>1</v>
      </c>
      <c r="L561" t="n">
        <v>0</v>
      </c>
      <c r="M561" t="n">
        <v>0</v>
      </c>
      <c r="N561" t="n">
        <v>0</v>
      </c>
      <c r="O561" t="n">
        <v>4</v>
      </c>
      <c r="P561" t="n">
        <v>1</v>
      </c>
      <c r="Q561" t="n">
        <v>4</v>
      </c>
      <c r="R561" s="2" t="inlineStr">
        <is>
          <t>Aspgelélav
Garnlav
Lunglav
Tretåig hackspett</t>
        </is>
      </c>
      <c r="S561">
        <f>HYPERLINK("https://klasma.github.io/Logging_2262/artfynd/A 22426-2025 artfynd.xlsx", "A 22426-2025")</f>
        <v/>
      </c>
      <c r="T561">
        <f>HYPERLINK("https://klasma.github.io/Logging_2262/kartor/A 22426-2025 karta.png", "A 22426-2025")</f>
        <v/>
      </c>
      <c r="V561">
        <f>HYPERLINK("https://klasma.github.io/Logging_2262/klagomål/A 22426-2025 FSC-klagomål.docx", "A 22426-2025")</f>
        <v/>
      </c>
      <c r="W561">
        <f>HYPERLINK("https://klasma.github.io/Logging_2262/klagomålsmail/A 22426-2025 FSC-klagomål mail.docx", "A 22426-2025")</f>
        <v/>
      </c>
      <c r="X561">
        <f>HYPERLINK("https://klasma.github.io/Logging_2262/tillsyn/A 22426-2025 tillsynsbegäran.docx", "A 22426-2025")</f>
        <v/>
      </c>
      <c r="Y561">
        <f>HYPERLINK("https://klasma.github.io/Logging_2262/tillsynsmail/A 22426-2025 tillsynsbegäran mail.docx", "A 22426-2025")</f>
        <v/>
      </c>
      <c r="Z561">
        <f>HYPERLINK("https://klasma.github.io/Logging_2262/fåglar/A 22426-2025 prioriterade fågelarter.docx", "A 22426-2025")</f>
        <v/>
      </c>
    </row>
    <row r="562" ht="15" customHeight="1">
      <c r="A562" t="inlineStr">
        <is>
          <t>A 9819-2024</t>
        </is>
      </c>
      <c r="B562" s="1" t="n">
        <v>45363</v>
      </c>
      <c r="C562" s="1" t="n">
        <v>46185</v>
      </c>
      <c r="D562" t="inlineStr">
        <is>
          <t>VÄSTERNORRLANDS LÄN</t>
        </is>
      </c>
      <c r="E562" t="inlineStr">
        <is>
          <t>SOLLEFTEÅ</t>
        </is>
      </c>
      <c r="F562" t="inlineStr">
        <is>
          <t>SCA</t>
        </is>
      </c>
      <c r="G562" t="n">
        <v>6.8</v>
      </c>
      <c r="H562" t="n">
        <v>1</v>
      </c>
      <c r="I562" t="n">
        <v>1</v>
      </c>
      <c r="J562" t="n">
        <v>2</v>
      </c>
      <c r="K562" t="n">
        <v>1</v>
      </c>
      <c r="L562" t="n">
        <v>0</v>
      </c>
      <c r="M562" t="n">
        <v>0</v>
      </c>
      <c r="N562" t="n">
        <v>0</v>
      </c>
      <c r="O562" t="n">
        <v>3</v>
      </c>
      <c r="P562" t="n">
        <v>1</v>
      </c>
      <c r="Q562" t="n">
        <v>4</v>
      </c>
      <c r="R562" s="2" t="inlineStr">
        <is>
          <t>Knärot
Motaggsvamp
Vitgrynig nållav
Dropptaggsvamp</t>
        </is>
      </c>
      <c r="S562">
        <f>HYPERLINK("https://klasma.github.io/Logging_2283/artfynd/A 9819-2024 artfynd.xlsx", "A 9819-2024")</f>
        <v/>
      </c>
      <c r="T562">
        <f>HYPERLINK("https://klasma.github.io/Logging_2283/kartor/A 9819-2024 karta.png", "A 9819-2024")</f>
        <v/>
      </c>
      <c r="U562">
        <f>HYPERLINK("https://klasma.github.io/Logging_2283/knärot/A 9819-2024 karta knärot.png", "A 9819-2024")</f>
        <v/>
      </c>
      <c r="V562">
        <f>HYPERLINK("https://klasma.github.io/Logging_2283/klagomål/A 9819-2024 FSC-klagomål.docx", "A 9819-2024")</f>
        <v/>
      </c>
      <c r="W562">
        <f>HYPERLINK("https://klasma.github.io/Logging_2283/klagomålsmail/A 9819-2024 FSC-klagomål mail.docx", "A 9819-2024")</f>
        <v/>
      </c>
      <c r="X562">
        <f>HYPERLINK("https://klasma.github.io/Logging_2283/tillsyn/A 9819-2024 tillsynsbegäran.docx", "A 9819-2024")</f>
        <v/>
      </c>
      <c r="Y562">
        <f>HYPERLINK("https://klasma.github.io/Logging_2283/tillsynsmail/A 9819-2024 tillsynsbegäran mail.docx", "A 9819-2024")</f>
        <v/>
      </c>
    </row>
    <row r="563" ht="15" customHeight="1">
      <c r="A563" t="inlineStr">
        <is>
          <t>A 23296-2025</t>
        </is>
      </c>
      <c r="B563" s="1" t="n">
        <v>45791.59416666667</v>
      </c>
      <c r="C563" s="1" t="n">
        <v>46185</v>
      </c>
      <c r="D563" t="inlineStr">
        <is>
          <t>VÄSTERNORRLANDS LÄN</t>
        </is>
      </c>
      <c r="E563" t="inlineStr">
        <is>
          <t>TIMRÅ</t>
        </is>
      </c>
      <c r="F563" t="inlineStr">
        <is>
          <t>SCA</t>
        </is>
      </c>
      <c r="G563" t="n">
        <v>2.7</v>
      </c>
      <c r="H563" t="n">
        <v>1</v>
      </c>
      <c r="I563" t="n">
        <v>1</v>
      </c>
      <c r="J563" t="n">
        <v>3</v>
      </c>
      <c r="K563" t="n">
        <v>0</v>
      </c>
      <c r="L563" t="n">
        <v>0</v>
      </c>
      <c r="M563" t="n">
        <v>0</v>
      </c>
      <c r="N563" t="n">
        <v>0</v>
      </c>
      <c r="O563" t="n">
        <v>3</v>
      </c>
      <c r="P563" t="n">
        <v>0</v>
      </c>
      <c r="Q563" t="n">
        <v>4</v>
      </c>
      <c r="R563" s="2" t="inlineStr">
        <is>
          <t>Garnlav
Gränsticka
Järpe
Norrlandslav</t>
        </is>
      </c>
      <c r="S563">
        <f>HYPERLINK("https://klasma.github.io/Logging_2262/artfynd/A 23296-2025 artfynd.xlsx", "A 23296-2025")</f>
        <v/>
      </c>
      <c r="T563">
        <f>HYPERLINK("https://klasma.github.io/Logging_2262/kartor/A 23296-2025 karta.png", "A 23296-2025")</f>
        <v/>
      </c>
      <c r="V563">
        <f>HYPERLINK("https://klasma.github.io/Logging_2262/klagomål/A 23296-2025 FSC-klagomål.docx", "A 23296-2025")</f>
        <v/>
      </c>
      <c r="W563">
        <f>HYPERLINK("https://klasma.github.io/Logging_2262/klagomålsmail/A 23296-2025 FSC-klagomål mail.docx", "A 23296-2025")</f>
        <v/>
      </c>
      <c r="X563">
        <f>HYPERLINK("https://klasma.github.io/Logging_2262/tillsyn/A 23296-2025 tillsynsbegäran.docx", "A 23296-2025")</f>
        <v/>
      </c>
      <c r="Y563">
        <f>HYPERLINK("https://klasma.github.io/Logging_2262/tillsynsmail/A 23296-2025 tillsynsbegäran mail.docx", "A 23296-2025")</f>
        <v/>
      </c>
      <c r="Z563">
        <f>HYPERLINK("https://klasma.github.io/Logging_2262/fåglar/A 23296-2025 prioriterade fågelarter.docx", "A 23296-2025")</f>
        <v/>
      </c>
    </row>
    <row r="564" ht="15" customHeight="1">
      <c r="A564" t="inlineStr">
        <is>
          <t>A 24016-2025</t>
        </is>
      </c>
      <c r="B564" s="1" t="n">
        <v>45796.44878472222</v>
      </c>
      <c r="C564" s="1" t="n">
        <v>46185</v>
      </c>
      <c r="D564" t="inlineStr">
        <is>
          <t>VÄSTERNORRLANDS LÄN</t>
        </is>
      </c>
      <c r="E564" t="inlineStr">
        <is>
          <t>SUNDSVALL</t>
        </is>
      </c>
      <c r="F564" t="inlineStr">
        <is>
          <t>Naturvårdsverket</t>
        </is>
      </c>
      <c r="G564" t="n">
        <v>4.1</v>
      </c>
      <c r="H564" t="n">
        <v>0</v>
      </c>
      <c r="I564" t="n">
        <v>0</v>
      </c>
      <c r="J564" t="n">
        <v>4</v>
      </c>
      <c r="K564" t="n">
        <v>0</v>
      </c>
      <c r="L564" t="n">
        <v>0</v>
      </c>
      <c r="M564" t="n">
        <v>0</v>
      </c>
      <c r="N564" t="n">
        <v>0</v>
      </c>
      <c r="O564" t="n">
        <v>4</v>
      </c>
      <c r="P564" t="n">
        <v>0</v>
      </c>
      <c r="Q564" t="n">
        <v>4</v>
      </c>
      <c r="R564" s="2" t="inlineStr">
        <is>
          <t>Garnlav
Kolflarnlav
Vedflamlav
Vedskivlav</t>
        </is>
      </c>
      <c r="S564">
        <f>HYPERLINK("https://klasma.github.io/Logging_2281/artfynd/A 24016-2025 artfynd.xlsx", "A 24016-2025")</f>
        <v/>
      </c>
      <c r="T564">
        <f>HYPERLINK("https://klasma.github.io/Logging_2281/kartor/A 24016-2025 karta.png", "A 24016-2025")</f>
        <v/>
      </c>
      <c r="V564">
        <f>HYPERLINK("https://klasma.github.io/Logging_2281/klagomål/A 24016-2025 FSC-klagomål.docx", "A 24016-2025")</f>
        <v/>
      </c>
      <c r="W564">
        <f>HYPERLINK("https://klasma.github.io/Logging_2281/klagomålsmail/A 24016-2025 FSC-klagomål mail.docx", "A 24016-2025")</f>
        <v/>
      </c>
      <c r="X564">
        <f>HYPERLINK("https://klasma.github.io/Logging_2281/tillsyn/A 24016-2025 tillsynsbegäran.docx", "A 24016-2025")</f>
        <v/>
      </c>
      <c r="Y564">
        <f>HYPERLINK("https://klasma.github.io/Logging_2281/tillsynsmail/A 24016-2025 tillsynsbegäran mail.docx", "A 24016-2025")</f>
        <v/>
      </c>
    </row>
    <row r="565" ht="15" customHeight="1">
      <c r="A565" t="inlineStr">
        <is>
          <t>A 49380-2021</t>
        </is>
      </c>
      <c r="B565" s="1" t="n">
        <v>44454</v>
      </c>
      <c r="C565" s="1" t="n">
        <v>46185</v>
      </c>
      <c r="D565" t="inlineStr">
        <is>
          <t>VÄSTERNORRLANDS LÄN</t>
        </is>
      </c>
      <c r="E565" t="inlineStr">
        <is>
          <t>SUNDSVALL</t>
        </is>
      </c>
      <c r="F565" t="inlineStr">
        <is>
          <t>Kommuner</t>
        </is>
      </c>
      <c r="G565" t="n">
        <v>4.5</v>
      </c>
      <c r="H565" t="n">
        <v>2</v>
      </c>
      <c r="I565" t="n">
        <v>1</v>
      </c>
      <c r="J565" t="n">
        <v>0</v>
      </c>
      <c r="K565" t="n">
        <v>0</v>
      </c>
      <c r="L565" t="n">
        <v>0</v>
      </c>
      <c r="M565" t="n">
        <v>0</v>
      </c>
      <c r="N565" t="n">
        <v>0</v>
      </c>
      <c r="O565" t="n">
        <v>0</v>
      </c>
      <c r="P565" t="n">
        <v>0</v>
      </c>
      <c r="Q565" t="n">
        <v>3</v>
      </c>
      <c r="R565" s="2" t="inlineStr">
        <is>
          <t>Tibast
Kungsfågel
Blåsippa</t>
        </is>
      </c>
      <c r="S565">
        <f>HYPERLINK("https://klasma.github.io/Logging_2281/artfynd/A 49380-2021 artfynd.xlsx", "A 49380-2021")</f>
        <v/>
      </c>
      <c r="T565">
        <f>HYPERLINK("https://klasma.github.io/Logging_2281/kartor/A 49380-2021 karta.png", "A 49380-2021")</f>
        <v/>
      </c>
      <c r="V565">
        <f>HYPERLINK("https://klasma.github.io/Logging_2281/klagomål/A 49380-2021 FSC-klagomål.docx", "A 49380-2021")</f>
        <v/>
      </c>
      <c r="W565">
        <f>HYPERLINK("https://klasma.github.io/Logging_2281/klagomålsmail/A 49380-2021 FSC-klagomål mail.docx", "A 49380-2021")</f>
        <v/>
      </c>
      <c r="X565">
        <f>HYPERLINK("https://klasma.github.io/Logging_2281/tillsyn/A 49380-2021 tillsynsbegäran.docx", "A 49380-2021")</f>
        <v/>
      </c>
      <c r="Y565">
        <f>HYPERLINK("https://klasma.github.io/Logging_2281/tillsynsmail/A 49380-2021 tillsynsbegäran mail.docx", "A 49380-2021")</f>
        <v/>
      </c>
      <c r="Z565">
        <f>HYPERLINK("https://klasma.github.io/Logging_2281/fåglar/A 49380-2021 prioriterade fågelarter.docx", "A 49380-2021")</f>
        <v/>
      </c>
    </row>
    <row r="566" ht="15" customHeight="1">
      <c r="A566" t="inlineStr">
        <is>
          <t>A 11299-2022</t>
        </is>
      </c>
      <c r="B566" s="1" t="n">
        <v>44629</v>
      </c>
      <c r="C566" s="1" t="n">
        <v>46185</v>
      </c>
      <c r="D566" t="inlineStr">
        <is>
          <t>VÄSTERNORRLANDS LÄN</t>
        </is>
      </c>
      <c r="E566" t="inlineStr">
        <is>
          <t>KRAMFORS</t>
        </is>
      </c>
      <c r="G566" t="n">
        <v>2.2</v>
      </c>
      <c r="H566" t="n">
        <v>2</v>
      </c>
      <c r="I566" t="n">
        <v>0</v>
      </c>
      <c r="J566" t="n">
        <v>2</v>
      </c>
      <c r="K566" t="n">
        <v>0</v>
      </c>
      <c r="L566" t="n">
        <v>0</v>
      </c>
      <c r="M566" t="n">
        <v>0</v>
      </c>
      <c r="N566" t="n">
        <v>0</v>
      </c>
      <c r="O566" t="n">
        <v>2</v>
      </c>
      <c r="P566" t="n">
        <v>0</v>
      </c>
      <c r="Q566" t="n">
        <v>3</v>
      </c>
      <c r="R566" s="2" t="inlineStr">
        <is>
          <t>Garnlav
Spillkråka
Tjäder</t>
        </is>
      </c>
      <c r="S566">
        <f>HYPERLINK("https://klasma.github.io/Logging_2282/artfynd/A 11299-2022 artfynd.xlsx", "A 11299-2022")</f>
        <v/>
      </c>
      <c r="T566">
        <f>HYPERLINK("https://klasma.github.io/Logging_2282/kartor/A 11299-2022 karta.png", "A 11299-2022")</f>
        <v/>
      </c>
      <c r="V566">
        <f>HYPERLINK("https://klasma.github.io/Logging_2282/klagomål/A 11299-2022 FSC-klagomål.docx", "A 11299-2022")</f>
        <v/>
      </c>
      <c r="W566">
        <f>HYPERLINK("https://klasma.github.io/Logging_2282/klagomålsmail/A 11299-2022 FSC-klagomål mail.docx", "A 11299-2022")</f>
        <v/>
      </c>
      <c r="X566">
        <f>HYPERLINK("https://klasma.github.io/Logging_2282/tillsyn/A 11299-2022 tillsynsbegäran.docx", "A 11299-2022")</f>
        <v/>
      </c>
      <c r="Y566">
        <f>HYPERLINK("https://klasma.github.io/Logging_2282/tillsynsmail/A 11299-2022 tillsynsbegäran mail.docx", "A 11299-2022")</f>
        <v/>
      </c>
      <c r="Z566">
        <f>HYPERLINK("https://klasma.github.io/Logging_2282/fåglar/A 11299-2022 prioriterade fågelarter.docx", "A 11299-2022")</f>
        <v/>
      </c>
    </row>
    <row r="567" ht="15" customHeight="1">
      <c r="A567" t="inlineStr">
        <is>
          <t>A 10317-2022</t>
        </is>
      </c>
      <c r="B567" s="1" t="n">
        <v>44622</v>
      </c>
      <c r="C567" s="1" t="n">
        <v>46185</v>
      </c>
      <c r="D567" t="inlineStr">
        <is>
          <t>VÄSTERNORRLANDS LÄN</t>
        </is>
      </c>
      <c r="E567" t="inlineStr">
        <is>
          <t>ÅNGE</t>
        </is>
      </c>
      <c r="F567" t="inlineStr">
        <is>
          <t>SCA</t>
        </is>
      </c>
      <c r="G567" t="n">
        <v>3</v>
      </c>
      <c r="H567" t="n">
        <v>2</v>
      </c>
      <c r="I567" t="n">
        <v>1</v>
      </c>
      <c r="J567" t="n">
        <v>1</v>
      </c>
      <c r="K567" t="n">
        <v>1</v>
      </c>
      <c r="L567" t="n">
        <v>0</v>
      </c>
      <c r="M567" t="n">
        <v>0</v>
      </c>
      <c r="N567" t="n">
        <v>0</v>
      </c>
      <c r="O567" t="n">
        <v>2</v>
      </c>
      <c r="P567" t="n">
        <v>1</v>
      </c>
      <c r="Q567" t="n">
        <v>3</v>
      </c>
      <c r="R567" s="2" t="inlineStr">
        <is>
          <t>Knärot
Granticka
Tvåblad</t>
        </is>
      </c>
      <c r="S567">
        <f>HYPERLINK("https://klasma.github.io/Logging_2260/artfynd/A 10317-2022 artfynd.xlsx", "A 10317-2022")</f>
        <v/>
      </c>
      <c r="T567">
        <f>HYPERLINK("https://klasma.github.io/Logging_2260/kartor/A 10317-2022 karta.png", "A 10317-2022")</f>
        <v/>
      </c>
      <c r="U567">
        <f>HYPERLINK("https://klasma.github.io/Logging_2260/knärot/A 10317-2022 karta knärot.png", "A 10317-2022")</f>
        <v/>
      </c>
      <c r="V567">
        <f>HYPERLINK("https://klasma.github.io/Logging_2260/klagomål/A 10317-2022 FSC-klagomål.docx", "A 10317-2022")</f>
        <v/>
      </c>
      <c r="W567">
        <f>HYPERLINK("https://klasma.github.io/Logging_2260/klagomålsmail/A 10317-2022 FSC-klagomål mail.docx", "A 10317-2022")</f>
        <v/>
      </c>
      <c r="X567">
        <f>HYPERLINK("https://klasma.github.io/Logging_2260/tillsyn/A 10317-2022 tillsynsbegäran.docx", "A 10317-2022")</f>
        <v/>
      </c>
      <c r="Y567">
        <f>HYPERLINK("https://klasma.github.io/Logging_2260/tillsynsmail/A 10317-2022 tillsynsbegäran mail.docx", "A 10317-2022")</f>
        <v/>
      </c>
    </row>
    <row r="568" ht="15" customHeight="1">
      <c r="A568" t="inlineStr">
        <is>
          <t>A 33614-2021</t>
        </is>
      </c>
      <c r="B568" s="1" t="n">
        <v>44377</v>
      </c>
      <c r="C568" s="1" t="n">
        <v>46185</v>
      </c>
      <c r="D568" t="inlineStr">
        <is>
          <t>VÄSTERNORRLANDS LÄN</t>
        </is>
      </c>
      <c r="E568" t="inlineStr">
        <is>
          <t>KRAMFORS</t>
        </is>
      </c>
      <c r="G568" t="n">
        <v>4.7</v>
      </c>
      <c r="H568" t="n">
        <v>2</v>
      </c>
      <c r="I568" t="n">
        <v>2</v>
      </c>
      <c r="J568" t="n">
        <v>0</v>
      </c>
      <c r="K568" t="n">
        <v>0</v>
      </c>
      <c r="L568" t="n">
        <v>0</v>
      </c>
      <c r="M568" t="n">
        <v>0</v>
      </c>
      <c r="N568" t="n">
        <v>0</v>
      </c>
      <c r="O568" t="n">
        <v>0</v>
      </c>
      <c r="P568" t="n">
        <v>0</v>
      </c>
      <c r="Q568" t="n">
        <v>3</v>
      </c>
      <c r="R568" s="2" t="inlineStr">
        <is>
          <t>Grön sköldmossa
Stubbspretmossa
Blåsippa</t>
        </is>
      </c>
      <c r="S568">
        <f>HYPERLINK("https://klasma.github.io/Logging_2282/artfynd/A 33614-2021 artfynd.xlsx", "A 33614-2021")</f>
        <v/>
      </c>
      <c r="T568">
        <f>HYPERLINK("https://klasma.github.io/Logging_2282/kartor/A 33614-2021 karta.png", "A 33614-2021")</f>
        <v/>
      </c>
      <c r="V568">
        <f>HYPERLINK("https://klasma.github.io/Logging_2282/klagomål/A 33614-2021 FSC-klagomål.docx", "A 33614-2021")</f>
        <v/>
      </c>
      <c r="W568">
        <f>HYPERLINK("https://klasma.github.io/Logging_2282/klagomålsmail/A 33614-2021 FSC-klagomål mail.docx", "A 33614-2021")</f>
        <v/>
      </c>
      <c r="X568">
        <f>HYPERLINK("https://klasma.github.io/Logging_2282/tillsyn/A 33614-2021 tillsynsbegäran.docx", "A 33614-2021")</f>
        <v/>
      </c>
      <c r="Y568">
        <f>HYPERLINK("https://klasma.github.io/Logging_2282/tillsynsmail/A 33614-2021 tillsynsbegäran mail.docx", "A 33614-2021")</f>
        <v/>
      </c>
    </row>
    <row r="569" ht="15" customHeight="1">
      <c r="A569" t="inlineStr">
        <is>
          <t>A 44599-2021</t>
        </is>
      </c>
      <c r="B569" s="1" t="n">
        <v>44435.94106481481</v>
      </c>
      <c r="C569" s="1" t="n">
        <v>46185</v>
      </c>
      <c r="D569" t="inlineStr">
        <is>
          <t>VÄSTERNORRLANDS LÄN</t>
        </is>
      </c>
      <c r="E569" t="inlineStr">
        <is>
          <t>SOLLEFTEÅ</t>
        </is>
      </c>
      <c r="F569" t="inlineStr">
        <is>
          <t>SCA</t>
        </is>
      </c>
      <c r="G569" t="n">
        <v>6.1</v>
      </c>
      <c r="H569" t="n">
        <v>0</v>
      </c>
      <c r="I569" t="n">
        <v>2</v>
      </c>
      <c r="J569" t="n">
        <v>1</v>
      </c>
      <c r="K569" t="n">
        <v>0</v>
      </c>
      <c r="L569" t="n">
        <v>0</v>
      </c>
      <c r="M569" t="n">
        <v>0</v>
      </c>
      <c r="N569" t="n">
        <v>0</v>
      </c>
      <c r="O569" t="n">
        <v>1</v>
      </c>
      <c r="P569" t="n">
        <v>0</v>
      </c>
      <c r="Q569" t="n">
        <v>3</v>
      </c>
      <c r="R569" s="2" t="inlineStr">
        <is>
          <t>Rosenticka
Strutbräken
Stuplav</t>
        </is>
      </c>
      <c r="S569">
        <f>HYPERLINK("https://klasma.github.io/Logging_2283/artfynd/A 44599-2021 artfynd.xlsx", "A 44599-2021")</f>
        <v/>
      </c>
      <c r="T569">
        <f>HYPERLINK("https://klasma.github.io/Logging_2283/kartor/A 44599-2021 karta.png", "A 44599-2021")</f>
        <v/>
      </c>
      <c r="V569">
        <f>HYPERLINK("https://klasma.github.io/Logging_2283/klagomål/A 44599-2021 FSC-klagomål.docx", "A 44599-2021")</f>
        <v/>
      </c>
      <c r="W569">
        <f>HYPERLINK("https://klasma.github.io/Logging_2283/klagomålsmail/A 44599-2021 FSC-klagomål mail.docx", "A 44599-2021")</f>
        <v/>
      </c>
      <c r="X569">
        <f>HYPERLINK("https://klasma.github.io/Logging_2283/tillsyn/A 44599-2021 tillsynsbegäran.docx", "A 44599-2021")</f>
        <v/>
      </c>
      <c r="Y569">
        <f>HYPERLINK("https://klasma.github.io/Logging_2283/tillsynsmail/A 44599-2021 tillsynsbegäran mail.docx", "A 44599-2021")</f>
        <v/>
      </c>
    </row>
    <row r="570" ht="15" customHeight="1">
      <c r="A570" t="inlineStr">
        <is>
          <t>A 31354-2021</t>
        </is>
      </c>
      <c r="B570" s="1" t="n">
        <v>44368.93938657407</v>
      </c>
      <c r="C570" s="1" t="n">
        <v>46185</v>
      </c>
      <c r="D570" t="inlineStr">
        <is>
          <t>VÄSTERNORRLANDS LÄN</t>
        </is>
      </c>
      <c r="E570" t="inlineStr">
        <is>
          <t>SOLLEFTEÅ</t>
        </is>
      </c>
      <c r="F570" t="inlineStr">
        <is>
          <t>SCA</t>
        </is>
      </c>
      <c r="G570" t="n">
        <v>1.5</v>
      </c>
      <c r="H570" t="n">
        <v>1</v>
      </c>
      <c r="I570" t="n">
        <v>1</v>
      </c>
      <c r="J570" t="n">
        <v>1</v>
      </c>
      <c r="K570" t="n">
        <v>1</v>
      </c>
      <c r="L570" t="n">
        <v>0</v>
      </c>
      <c r="M570" t="n">
        <v>0</v>
      </c>
      <c r="N570" t="n">
        <v>0</v>
      </c>
      <c r="O570" t="n">
        <v>2</v>
      </c>
      <c r="P570" t="n">
        <v>1</v>
      </c>
      <c r="Q570" t="n">
        <v>3</v>
      </c>
      <c r="R570" s="2" t="inlineStr">
        <is>
          <t>Knärot
Garnlav
Norrlandslav</t>
        </is>
      </c>
      <c r="S570">
        <f>HYPERLINK("https://klasma.github.io/Logging_2283/artfynd/A 31354-2021 artfynd.xlsx", "A 31354-2021")</f>
        <v/>
      </c>
      <c r="T570">
        <f>HYPERLINK("https://klasma.github.io/Logging_2283/kartor/A 31354-2021 karta.png", "A 31354-2021")</f>
        <v/>
      </c>
      <c r="U570">
        <f>HYPERLINK("https://klasma.github.io/Logging_2283/knärot/A 31354-2021 karta knärot.png", "A 31354-2021")</f>
        <v/>
      </c>
      <c r="V570">
        <f>HYPERLINK("https://klasma.github.io/Logging_2283/klagomål/A 31354-2021 FSC-klagomål.docx", "A 31354-2021")</f>
        <v/>
      </c>
      <c r="W570">
        <f>HYPERLINK("https://klasma.github.io/Logging_2283/klagomålsmail/A 31354-2021 FSC-klagomål mail.docx", "A 31354-2021")</f>
        <v/>
      </c>
      <c r="X570">
        <f>HYPERLINK("https://klasma.github.io/Logging_2283/tillsyn/A 31354-2021 tillsynsbegäran.docx", "A 31354-2021")</f>
        <v/>
      </c>
      <c r="Y570">
        <f>HYPERLINK("https://klasma.github.io/Logging_2283/tillsynsmail/A 31354-2021 tillsynsbegäran mail.docx", "A 31354-2021")</f>
        <v/>
      </c>
    </row>
    <row r="571" ht="15" customHeight="1">
      <c r="A571" t="inlineStr">
        <is>
          <t>A 18555-2022</t>
        </is>
      </c>
      <c r="B571" s="1" t="n">
        <v>44686</v>
      </c>
      <c r="C571" s="1" t="n">
        <v>46185</v>
      </c>
      <c r="D571" t="inlineStr">
        <is>
          <t>VÄSTERNORRLANDS LÄN</t>
        </is>
      </c>
      <c r="E571" t="inlineStr">
        <is>
          <t>HÄRNÖSAND</t>
        </is>
      </c>
      <c r="F571" t="inlineStr">
        <is>
          <t>SCA</t>
        </is>
      </c>
      <c r="G571" t="n">
        <v>4.5</v>
      </c>
      <c r="H571" t="n">
        <v>1</v>
      </c>
      <c r="I571" t="n">
        <v>0</v>
      </c>
      <c r="J571" t="n">
        <v>2</v>
      </c>
      <c r="K571" t="n">
        <v>1</v>
      </c>
      <c r="L571" t="n">
        <v>0</v>
      </c>
      <c r="M571" t="n">
        <v>0</v>
      </c>
      <c r="N571" t="n">
        <v>0</v>
      </c>
      <c r="O571" t="n">
        <v>3</v>
      </c>
      <c r="P571" t="n">
        <v>1</v>
      </c>
      <c r="Q571" t="n">
        <v>3</v>
      </c>
      <c r="R571" s="2" t="inlineStr">
        <is>
          <t>Knärot
Garnlav
Lunglav</t>
        </is>
      </c>
      <c r="S571">
        <f>HYPERLINK("https://klasma.github.io/Logging_2280/artfynd/A 18555-2022 artfynd.xlsx", "A 18555-2022")</f>
        <v/>
      </c>
      <c r="T571">
        <f>HYPERLINK("https://klasma.github.io/Logging_2280/kartor/A 18555-2022 karta.png", "A 18555-2022")</f>
        <v/>
      </c>
      <c r="U571">
        <f>HYPERLINK("https://klasma.github.io/Logging_2280/knärot/A 18555-2022 karta knärot.png", "A 18555-2022")</f>
        <v/>
      </c>
      <c r="V571">
        <f>HYPERLINK("https://klasma.github.io/Logging_2280/klagomål/A 18555-2022 FSC-klagomål.docx", "A 18555-2022")</f>
        <v/>
      </c>
      <c r="W571">
        <f>HYPERLINK("https://klasma.github.io/Logging_2280/klagomålsmail/A 18555-2022 FSC-klagomål mail.docx", "A 18555-2022")</f>
        <v/>
      </c>
      <c r="X571">
        <f>HYPERLINK("https://klasma.github.io/Logging_2280/tillsyn/A 18555-2022 tillsynsbegäran.docx", "A 18555-2022")</f>
        <v/>
      </c>
      <c r="Y571">
        <f>HYPERLINK("https://klasma.github.io/Logging_2280/tillsynsmail/A 18555-2022 tillsynsbegäran mail.docx", "A 18555-2022")</f>
        <v/>
      </c>
    </row>
    <row r="572" ht="15" customHeight="1">
      <c r="A572" t="inlineStr">
        <is>
          <t>A 42301-2022</t>
        </is>
      </c>
      <c r="B572" s="1" t="n">
        <v>44830.95461805556</v>
      </c>
      <c r="C572" s="1" t="n">
        <v>46185</v>
      </c>
      <c r="D572" t="inlineStr">
        <is>
          <t>VÄSTERNORRLANDS LÄN</t>
        </is>
      </c>
      <c r="E572" t="inlineStr">
        <is>
          <t>SOLLEFTEÅ</t>
        </is>
      </c>
      <c r="F572" t="inlineStr">
        <is>
          <t>SCA</t>
        </is>
      </c>
      <c r="G572" t="n">
        <v>0.8</v>
      </c>
      <c r="H572" t="n">
        <v>1</v>
      </c>
      <c r="I572" t="n">
        <v>0</v>
      </c>
      <c r="J572" t="n">
        <v>3</v>
      </c>
      <c r="K572" t="n">
        <v>0</v>
      </c>
      <c r="L572" t="n">
        <v>0</v>
      </c>
      <c r="M572" t="n">
        <v>0</v>
      </c>
      <c r="N572" t="n">
        <v>0</v>
      </c>
      <c r="O572" t="n">
        <v>3</v>
      </c>
      <c r="P572" t="n">
        <v>0</v>
      </c>
      <c r="Q572" t="n">
        <v>3</v>
      </c>
      <c r="R572" s="2" t="inlineStr">
        <is>
          <t>Gammelgransskål
Harticka
Tretåig hackspett</t>
        </is>
      </c>
      <c r="S572">
        <f>HYPERLINK("https://klasma.github.io/Logging_2283/artfynd/A 42301-2022 artfynd.xlsx", "A 42301-2022")</f>
        <v/>
      </c>
      <c r="T572">
        <f>HYPERLINK("https://klasma.github.io/Logging_2283/kartor/A 42301-2022 karta.png", "A 42301-2022")</f>
        <v/>
      </c>
      <c r="V572">
        <f>HYPERLINK("https://klasma.github.io/Logging_2283/klagomål/A 42301-2022 FSC-klagomål.docx", "A 42301-2022")</f>
        <v/>
      </c>
      <c r="W572">
        <f>HYPERLINK("https://klasma.github.io/Logging_2283/klagomålsmail/A 42301-2022 FSC-klagomål mail.docx", "A 42301-2022")</f>
        <v/>
      </c>
      <c r="X572">
        <f>HYPERLINK("https://klasma.github.io/Logging_2283/tillsyn/A 42301-2022 tillsynsbegäran.docx", "A 42301-2022")</f>
        <v/>
      </c>
      <c r="Y572">
        <f>HYPERLINK("https://klasma.github.io/Logging_2283/tillsynsmail/A 42301-2022 tillsynsbegäran mail.docx", "A 42301-2022")</f>
        <v/>
      </c>
      <c r="Z572">
        <f>HYPERLINK("https://klasma.github.io/Logging_2283/fåglar/A 42301-2022 prioriterade fågelarter.docx", "A 42301-2022")</f>
        <v/>
      </c>
    </row>
    <row r="573" ht="15" customHeight="1">
      <c r="A573" t="inlineStr">
        <is>
          <t>A 30410-2022</t>
        </is>
      </c>
      <c r="B573" s="1" t="n">
        <v>44761.38898148148</v>
      </c>
      <c r="C573" s="1" t="n">
        <v>46185</v>
      </c>
      <c r="D573" t="inlineStr">
        <is>
          <t>VÄSTERNORRLANDS LÄN</t>
        </is>
      </c>
      <c r="E573" t="inlineStr">
        <is>
          <t>ÖRNSKÖLDSVIK</t>
        </is>
      </c>
      <c r="F573" t="inlineStr">
        <is>
          <t>Holmen skog AB</t>
        </is>
      </c>
      <c r="G573" t="n">
        <v>0.8</v>
      </c>
      <c r="H573" t="n">
        <v>0</v>
      </c>
      <c r="I573" t="n">
        <v>0</v>
      </c>
      <c r="J573" t="n">
        <v>3</v>
      </c>
      <c r="K573" t="n">
        <v>0</v>
      </c>
      <c r="L573" t="n">
        <v>0</v>
      </c>
      <c r="M573" t="n">
        <v>0</v>
      </c>
      <c r="N573" t="n">
        <v>0</v>
      </c>
      <c r="O573" t="n">
        <v>3</v>
      </c>
      <c r="P573" t="n">
        <v>0</v>
      </c>
      <c r="Q573" t="n">
        <v>3</v>
      </c>
      <c r="R573" s="2" t="inlineStr">
        <is>
          <t>Garnlav
Granticka
Ullticka</t>
        </is>
      </c>
      <c r="S573">
        <f>HYPERLINK("https://klasma.github.io/Logging_2284/artfynd/A 30410-2022 artfynd.xlsx", "A 30410-2022")</f>
        <v/>
      </c>
      <c r="T573">
        <f>HYPERLINK("https://klasma.github.io/Logging_2284/kartor/A 30410-2022 karta.png", "A 30410-2022")</f>
        <v/>
      </c>
      <c r="V573">
        <f>HYPERLINK("https://klasma.github.io/Logging_2284/klagomål/A 30410-2022 FSC-klagomål.docx", "A 30410-2022")</f>
        <v/>
      </c>
      <c r="W573">
        <f>HYPERLINK("https://klasma.github.io/Logging_2284/klagomålsmail/A 30410-2022 FSC-klagomål mail.docx", "A 30410-2022")</f>
        <v/>
      </c>
      <c r="X573">
        <f>HYPERLINK("https://klasma.github.io/Logging_2284/tillsyn/A 30410-2022 tillsynsbegäran.docx", "A 30410-2022")</f>
        <v/>
      </c>
      <c r="Y573">
        <f>HYPERLINK("https://klasma.github.io/Logging_2284/tillsynsmail/A 30410-2022 tillsynsbegäran mail.docx", "A 30410-2022")</f>
        <v/>
      </c>
    </row>
    <row r="574" ht="15" customHeight="1">
      <c r="A574" t="inlineStr">
        <is>
          <t>A 16235-2022</t>
        </is>
      </c>
      <c r="B574" s="1" t="n">
        <v>44670</v>
      </c>
      <c r="C574" s="1" t="n">
        <v>46185</v>
      </c>
      <c r="D574" t="inlineStr">
        <is>
          <t>VÄSTERNORRLANDS LÄN</t>
        </is>
      </c>
      <c r="E574" t="inlineStr">
        <is>
          <t>ÖRNSKÖLDSVIK</t>
        </is>
      </c>
      <c r="F574" t="inlineStr">
        <is>
          <t>Holmen skog AB</t>
        </is>
      </c>
      <c r="G574" t="n">
        <v>12.9</v>
      </c>
      <c r="H574" t="n">
        <v>0</v>
      </c>
      <c r="I574" t="n">
        <v>0</v>
      </c>
      <c r="J574" t="n">
        <v>3</v>
      </c>
      <c r="K574" t="n">
        <v>0</v>
      </c>
      <c r="L574" t="n">
        <v>0</v>
      </c>
      <c r="M574" t="n">
        <v>0</v>
      </c>
      <c r="N574" t="n">
        <v>0</v>
      </c>
      <c r="O574" t="n">
        <v>3</v>
      </c>
      <c r="P574" t="n">
        <v>0</v>
      </c>
      <c r="Q574" t="n">
        <v>3</v>
      </c>
      <c r="R574" s="2" t="inlineStr">
        <is>
          <t>Dvärgbägarlav
Kolflarnlav
Tallticka</t>
        </is>
      </c>
      <c r="S574">
        <f>HYPERLINK("https://klasma.github.io/Logging_2284/artfynd/A 16235-2022 artfynd.xlsx", "A 16235-2022")</f>
        <v/>
      </c>
      <c r="T574">
        <f>HYPERLINK("https://klasma.github.io/Logging_2284/kartor/A 16235-2022 karta.png", "A 16235-2022")</f>
        <v/>
      </c>
      <c r="V574">
        <f>HYPERLINK("https://klasma.github.io/Logging_2284/klagomål/A 16235-2022 FSC-klagomål.docx", "A 16235-2022")</f>
        <v/>
      </c>
      <c r="W574">
        <f>HYPERLINK("https://klasma.github.io/Logging_2284/klagomålsmail/A 16235-2022 FSC-klagomål mail.docx", "A 16235-2022")</f>
        <v/>
      </c>
      <c r="X574">
        <f>HYPERLINK("https://klasma.github.io/Logging_2284/tillsyn/A 16235-2022 tillsynsbegäran.docx", "A 16235-2022")</f>
        <v/>
      </c>
      <c r="Y574">
        <f>HYPERLINK("https://klasma.github.io/Logging_2284/tillsynsmail/A 16235-2022 tillsynsbegäran mail.docx", "A 16235-2022")</f>
        <v/>
      </c>
    </row>
    <row r="575" ht="15" customHeight="1">
      <c r="A575" t="inlineStr">
        <is>
          <t>A 12288-2024</t>
        </is>
      </c>
      <c r="B575" s="1" t="n">
        <v>45378</v>
      </c>
      <c r="C575" s="1" t="n">
        <v>46185</v>
      </c>
      <c r="D575" t="inlineStr">
        <is>
          <t>VÄSTERNORRLANDS LÄN</t>
        </is>
      </c>
      <c r="E575" t="inlineStr">
        <is>
          <t>ÖRNSKÖLDSVIK</t>
        </is>
      </c>
      <c r="F575" t="inlineStr">
        <is>
          <t>Holmen skog AB</t>
        </is>
      </c>
      <c r="G575" t="n">
        <v>4.7</v>
      </c>
      <c r="H575" t="n">
        <v>0</v>
      </c>
      <c r="I575" t="n">
        <v>1</v>
      </c>
      <c r="J575" t="n">
        <v>2</v>
      </c>
      <c r="K575" t="n">
        <v>0</v>
      </c>
      <c r="L575" t="n">
        <v>0</v>
      </c>
      <c r="M575" t="n">
        <v>0</v>
      </c>
      <c r="N575" t="n">
        <v>0</v>
      </c>
      <c r="O575" t="n">
        <v>2</v>
      </c>
      <c r="P575" t="n">
        <v>0</v>
      </c>
      <c r="Q575" t="n">
        <v>3</v>
      </c>
      <c r="R575" s="2" t="inlineStr">
        <is>
          <t>Lunglav
Vedskivlav
Luddlav</t>
        </is>
      </c>
      <c r="S575">
        <f>HYPERLINK("https://klasma.github.io/Logging_2284/artfynd/A 12288-2024 artfynd.xlsx", "A 12288-2024")</f>
        <v/>
      </c>
      <c r="T575">
        <f>HYPERLINK("https://klasma.github.io/Logging_2284/kartor/A 12288-2024 karta.png", "A 12288-2024")</f>
        <v/>
      </c>
      <c r="V575">
        <f>HYPERLINK("https://klasma.github.io/Logging_2284/klagomål/A 12288-2024 FSC-klagomål.docx", "A 12288-2024")</f>
        <v/>
      </c>
      <c r="W575">
        <f>HYPERLINK("https://klasma.github.io/Logging_2284/klagomålsmail/A 12288-2024 FSC-klagomål mail.docx", "A 12288-2024")</f>
        <v/>
      </c>
      <c r="X575">
        <f>HYPERLINK("https://klasma.github.io/Logging_2284/tillsyn/A 12288-2024 tillsynsbegäran.docx", "A 12288-2024")</f>
        <v/>
      </c>
      <c r="Y575">
        <f>HYPERLINK("https://klasma.github.io/Logging_2284/tillsynsmail/A 12288-2024 tillsynsbegäran mail.docx", "A 12288-2024")</f>
        <v/>
      </c>
    </row>
    <row r="576" ht="15" customHeight="1">
      <c r="A576" t="inlineStr">
        <is>
          <t>A 26374-2023</t>
        </is>
      </c>
      <c r="B576" s="1" t="n">
        <v>45091.94403935185</v>
      </c>
      <c r="C576" s="1" t="n">
        <v>46185</v>
      </c>
      <c r="D576" t="inlineStr">
        <is>
          <t>VÄSTERNORRLANDS LÄN</t>
        </is>
      </c>
      <c r="E576" t="inlineStr">
        <is>
          <t>SOLLEFTEÅ</t>
        </is>
      </c>
      <c r="F576" t="inlineStr">
        <is>
          <t>SCA</t>
        </is>
      </c>
      <c r="G576" t="n">
        <v>0.9</v>
      </c>
      <c r="H576" t="n">
        <v>0</v>
      </c>
      <c r="I576" t="n">
        <v>0</v>
      </c>
      <c r="J576" t="n">
        <v>2</v>
      </c>
      <c r="K576" t="n">
        <v>1</v>
      </c>
      <c r="L576" t="n">
        <v>0</v>
      </c>
      <c r="M576" t="n">
        <v>0</v>
      </c>
      <c r="N576" t="n">
        <v>0</v>
      </c>
      <c r="O576" t="n">
        <v>3</v>
      </c>
      <c r="P576" t="n">
        <v>1</v>
      </c>
      <c r="Q576" t="n">
        <v>3</v>
      </c>
      <c r="R576" s="2" t="inlineStr">
        <is>
          <t>Blackticka
Granticka
Ullticka</t>
        </is>
      </c>
      <c r="S576">
        <f>HYPERLINK("https://klasma.github.io/Logging_2283/artfynd/A 26374-2023 artfynd.xlsx", "A 26374-2023")</f>
        <v/>
      </c>
      <c r="T576">
        <f>HYPERLINK("https://klasma.github.io/Logging_2283/kartor/A 26374-2023 karta.png", "A 26374-2023")</f>
        <v/>
      </c>
      <c r="V576">
        <f>HYPERLINK("https://klasma.github.io/Logging_2283/klagomål/A 26374-2023 FSC-klagomål.docx", "A 26374-2023")</f>
        <v/>
      </c>
      <c r="W576">
        <f>HYPERLINK("https://klasma.github.io/Logging_2283/klagomålsmail/A 26374-2023 FSC-klagomål mail.docx", "A 26374-2023")</f>
        <v/>
      </c>
      <c r="X576">
        <f>HYPERLINK("https://klasma.github.io/Logging_2283/tillsyn/A 26374-2023 tillsynsbegäran.docx", "A 26374-2023")</f>
        <v/>
      </c>
      <c r="Y576">
        <f>HYPERLINK("https://klasma.github.io/Logging_2283/tillsynsmail/A 26374-2023 tillsynsbegäran mail.docx", "A 26374-2023")</f>
        <v/>
      </c>
    </row>
    <row r="577" ht="15" customHeight="1">
      <c r="A577" t="inlineStr">
        <is>
          <t>A 47816-2022</t>
        </is>
      </c>
      <c r="B577" s="1" t="n">
        <v>44854</v>
      </c>
      <c r="C577" s="1" t="n">
        <v>46185</v>
      </c>
      <c r="D577" t="inlineStr">
        <is>
          <t>VÄSTERNORRLANDS LÄN</t>
        </is>
      </c>
      <c r="E577" t="inlineStr">
        <is>
          <t>TIMRÅ</t>
        </is>
      </c>
      <c r="F577" t="inlineStr">
        <is>
          <t>SCA</t>
        </is>
      </c>
      <c r="G577" t="n">
        <v>2.9</v>
      </c>
      <c r="H577" t="n">
        <v>0</v>
      </c>
      <c r="I577" t="n">
        <v>0</v>
      </c>
      <c r="J577" t="n">
        <v>3</v>
      </c>
      <c r="K577" t="n">
        <v>0</v>
      </c>
      <c r="L577" t="n">
        <v>0</v>
      </c>
      <c r="M577" t="n">
        <v>0</v>
      </c>
      <c r="N577" t="n">
        <v>0</v>
      </c>
      <c r="O577" t="n">
        <v>3</v>
      </c>
      <c r="P577" t="n">
        <v>0</v>
      </c>
      <c r="Q577" t="n">
        <v>3</v>
      </c>
      <c r="R577" s="2" t="inlineStr">
        <is>
          <t>Garnlav
Tallticka
Violettgrå tagellav</t>
        </is>
      </c>
      <c r="S577">
        <f>HYPERLINK("https://klasma.github.io/Logging_2262/artfynd/A 47816-2022 artfynd.xlsx", "A 47816-2022")</f>
        <v/>
      </c>
      <c r="T577">
        <f>HYPERLINK("https://klasma.github.io/Logging_2262/kartor/A 47816-2022 karta.png", "A 47816-2022")</f>
        <v/>
      </c>
      <c r="V577">
        <f>HYPERLINK("https://klasma.github.io/Logging_2262/klagomål/A 47816-2022 FSC-klagomål.docx", "A 47816-2022")</f>
        <v/>
      </c>
      <c r="W577">
        <f>HYPERLINK("https://klasma.github.io/Logging_2262/klagomålsmail/A 47816-2022 FSC-klagomål mail.docx", "A 47816-2022")</f>
        <v/>
      </c>
      <c r="X577">
        <f>HYPERLINK("https://klasma.github.io/Logging_2262/tillsyn/A 47816-2022 tillsynsbegäran.docx", "A 47816-2022")</f>
        <v/>
      </c>
      <c r="Y577">
        <f>HYPERLINK("https://klasma.github.io/Logging_2262/tillsynsmail/A 47816-2022 tillsynsbegäran mail.docx", "A 47816-2022")</f>
        <v/>
      </c>
    </row>
    <row r="578" ht="15" customHeight="1">
      <c r="A578" t="inlineStr">
        <is>
          <t>A 59046-2022</t>
        </is>
      </c>
      <c r="B578" s="1" t="n">
        <v>44903</v>
      </c>
      <c r="C578" s="1" t="n">
        <v>46185</v>
      </c>
      <c r="D578" t="inlineStr">
        <is>
          <t>VÄSTERNORRLANDS LÄN</t>
        </is>
      </c>
      <c r="E578" t="inlineStr">
        <is>
          <t>SOLLEFTEÅ</t>
        </is>
      </c>
      <c r="F578" t="inlineStr">
        <is>
          <t>SCA</t>
        </is>
      </c>
      <c r="G578" t="n">
        <v>10.3</v>
      </c>
      <c r="H578" t="n">
        <v>1</v>
      </c>
      <c r="I578" t="n">
        <v>0</v>
      </c>
      <c r="J578" t="n">
        <v>3</v>
      </c>
      <c r="K578" t="n">
        <v>0</v>
      </c>
      <c r="L578" t="n">
        <v>0</v>
      </c>
      <c r="M578" t="n">
        <v>0</v>
      </c>
      <c r="N578" t="n">
        <v>0</v>
      </c>
      <c r="O578" t="n">
        <v>3</v>
      </c>
      <c r="P578" t="n">
        <v>0</v>
      </c>
      <c r="Q578" t="n">
        <v>3</v>
      </c>
      <c r="R578" s="2" t="inlineStr">
        <is>
          <t>Lunglav
Orange taggsvamp
Tretåig hackspett</t>
        </is>
      </c>
      <c r="S578">
        <f>HYPERLINK("https://klasma.github.io/Logging_2283/artfynd/A 59046-2022 artfynd.xlsx", "A 59046-2022")</f>
        <v/>
      </c>
      <c r="T578">
        <f>HYPERLINK("https://klasma.github.io/Logging_2283/kartor/A 59046-2022 karta.png", "A 59046-2022")</f>
        <v/>
      </c>
      <c r="V578">
        <f>HYPERLINK("https://klasma.github.io/Logging_2283/klagomål/A 59046-2022 FSC-klagomål.docx", "A 59046-2022")</f>
        <v/>
      </c>
      <c r="W578">
        <f>HYPERLINK("https://klasma.github.io/Logging_2283/klagomålsmail/A 59046-2022 FSC-klagomål mail.docx", "A 59046-2022")</f>
        <v/>
      </c>
      <c r="X578">
        <f>HYPERLINK("https://klasma.github.io/Logging_2283/tillsyn/A 59046-2022 tillsynsbegäran.docx", "A 59046-2022")</f>
        <v/>
      </c>
      <c r="Y578">
        <f>HYPERLINK("https://klasma.github.io/Logging_2283/tillsynsmail/A 59046-2022 tillsynsbegäran mail.docx", "A 59046-2022")</f>
        <v/>
      </c>
      <c r="Z578">
        <f>HYPERLINK("https://klasma.github.io/Logging_2283/fåglar/A 59046-2022 prioriterade fågelarter.docx", "A 59046-2022")</f>
        <v/>
      </c>
    </row>
    <row r="579" ht="15" customHeight="1">
      <c r="A579" t="inlineStr">
        <is>
          <t>A 61481-2021</t>
        </is>
      </c>
      <c r="B579" s="1" t="n">
        <v>44500</v>
      </c>
      <c r="C579" s="1" t="n">
        <v>46185</v>
      </c>
      <c r="D579" t="inlineStr">
        <is>
          <t>VÄSTERNORRLANDS LÄN</t>
        </is>
      </c>
      <c r="E579" t="inlineStr">
        <is>
          <t>SOLLEFTEÅ</t>
        </is>
      </c>
      <c r="F579" t="inlineStr">
        <is>
          <t>SCA</t>
        </is>
      </c>
      <c r="G579" t="n">
        <v>6.8</v>
      </c>
      <c r="H579" t="n">
        <v>0</v>
      </c>
      <c r="I579" t="n">
        <v>1</v>
      </c>
      <c r="J579" t="n">
        <v>2</v>
      </c>
      <c r="K579" t="n">
        <v>0</v>
      </c>
      <c r="L579" t="n">
        <v>0</v>
      </c>
      <c r="M579" t="n">
        <v>0</v>
      </c>
      <c r="N579" t="n">
        <v>0</v>
      </c>
      <c r="O579" t="n">
        <v>2</v>
      </c>
      <c r="P579" t="n">
        <v>0</v>
      </c>
      <c r="Q579" t="n">
        <v>3</v>
      </c>
      <c r="R579" s="2" t="inlineStr">
        <is>
          <t>Lunglav
Skrovellav
Kambräken</t>
        </is>
      </c>
      <c r="S579">
        <f>HYPERLINK("https://klasma.github.io/Logging_2283/artfynd/A 61481-2021 artfynd.xlsx", "A 61481-2021")</f>
        <v/>
      </c>
      <c r="T579">
        <f>HYPERLINK("https://klasma.github.io/Logging_2283/kartor/A 61481-2021 karta.png", "A 61481-2021")</f>
        <v/>
      </c>
      <c r="V579">
        <f>HYPERLINK("https://klasma.github.io/Logging_2283/klagomål/A 61481-2021 FSC-klagomål.docx", "A 61481-2021")</f>
        <v/>
      </c>
      <c r="W579">
        <f>HYPERLINK("https://klasma.github.io/Logging_2283/klagomålsmail/A 61481-2021 FSC-klagomål mail.docx", "A 61481-2021")</f>
        <v/>
      </c>
      <c r="X579">
        <f>HYPERLINK("https://klasma.github.io/Logging_2283/tillsyn/A 61481-2021 tillsynsbegäran.docx", "A 61481-2021")</f>
        <v/>
      </c>
      <c r="Y579">
        <f>HYPERLINK("https://klasma.github.io/Logging_2283/tillsynsmail/A 61481-2021 tillsynsbegäran mail.docx", "A 61481-2021")</f>
        <v/>
      </c>
    </row>
    <row r="580" ht="15" customHeight="1">
      <c r="A580" t="inlineStr">
        <is>
          <t>A 29691-2024</t>
        </is>
      </c>
      <c r="B580" s="1" t="n">
        <v>45484.9446875</v>
      </c>
      <c r="C580" s="1" t="n">
        <v>46185</v>
      </c>
      <c r="D580" t="inlineStr">
        <is>
          <t>VÄSTERNORRLANDS LÄN</t>
        </is>
      </c>
      <c r="E580" t="inlineStr">
        <is>
          <t>ÅNGE</t>
        </is>
      </c>
      <c r="F580" t="inlineStr">
        <is>
          <t>SCA</t>
        </is>
      </c>
      <c r="G580" t="n">
        <v>6.8</v>
      </c>
      <c r="H580" t="n">
        <v>0</v>
      </c>
      <c r="I580" t="n">
        <v>1</v>
      </c>
      <c r="J580" t="n">
        <v>2</v>
      </c>
      <c r="K580" t="n">
        <v>0</v>
      </c>
      <c r="L580" t="n">
        <v>0</v>
      </c>
      <c r="M580" t="n">
        <v>0</v>
      </c>
      <c r="N580" t="n">
        <v>0</v>
      </c>
      <c r="O580" t="n">
        <v>2</v>
      </c>
      <c r="P580" t="n">
        <v>0</v>
      </c>
      <c r="Q580" t="n">
        <v>3</v>
      </c>
      <c r="R580" s="2" t="inlineStr">
        <is>
          <t>Lunglav
Rosenticka
Vedticka</t>
        </is>
      </c>
      <c r="S580">
        <f>HYPERLINK("https://klasma.github.io/Logging_2260/artfynd/A 29691-2024 artfynd.xlsx", "A 29691-2024")</f>
        <v/>
      </c>
      <c r="T580">
        <f>HYPERLINK("https://klasma.github.io/Logging_2260/kartor/A 29691-2024 karta.png", "A 29691-2024")</f>
        <v/>
      </c>
      <c r="V580">
        <f>HYPERLINK("https://klasma.github.io/Logging_2260/klagomål/A 29691-2024 FSC-klagomål.docx", "A 29691-2024")</f>
        <v/>
      </c>
      <c r="W580">
        <f>HYPERLINK("https://klasma.github.io/Logging_2260/klagomålsmail/A 29691-2024 FSC-klagomål mail.docx", "A 29691-2024")</f>
        <v/>
      </c>
      <c r="X580">
        <f>HYPERLINK("https://klasma.github.io/Logging_2260/tillsyn/A 29691-2024 tillsynsbegäran.docx", "A 29691-2024")</f>
        <v/>
      </c>
      <c r="Y580">
        <f>HYPERLINK("https://klasma.github.io/Logging_2260/tillsynsmail/A 29691-2024 tillsynsbegäran mail.docx", "A 29691-2024")</f>
        <v/>
      </c>
    </row>
    <row r="581" ht="15" customHeight="1">
      <c r="A581" t="inlineStr">
        <is>
          <t>A 25009-2025</t>
        </is>
      </c>
      <c r="B581" s="1" t="n">
        <v>45799.62792824074</v>
      </c>
      <c r="C581" s="1" t="n">
        <v>46185</v>
      </c>
      <c r="D581" t="inlineStr">
        <is>
          <t>VÄSTERNORRLANDS LÄN</t>
        </is>
      </c>
      <c r="E581" t="inlineStr">
        <is>
          <t>ÖRNSKÖLDSVIK</t>
        </is>
      </c>
      <c r="F581" t="inlineStr">
        <is>
          <t>Holmen skog AB</t>
        </is>
      </c>
      <c r="G581" t="n">
        <v>6.5</v>
      </c>
      <c r="H581" t="n">
        <v>0</v>
      </c>
      <c r="I581" t="n">
        <v>0</v>
      </c>
      <c r="J581" t="n">
        <v>3</v>
      </c>
      <c r="K581" t="n">
        <v>0</v>
      </c>
      <c r="L581" t="n">
        <v>0</v>
      </c>
      <c r="M581" t="n">
        <v>0</v>
      </c>
      <c r="N581" t="n">
        <v>0</v>
      </c>
      <c r="O581" t="n">
        <v>3</v>
      </c>
      <c r="P581" t="n">
        <v>0</v>
      </c>
      <c r="Q581" t="n">
        <v>3</v>
      </c>
      <c r="R581" s="2" t="inlineStr">
        <is>
          <t>Garnlav
Kolflarnlav
Mörk kolflarnlav</t>
        </is>
      </c>
      <c r="S581">
        <f>HYPERLINK("https://klasma.github.io/Logging_2284/artfynd/A 25009-2025 artfynd.xlsx", "A 25009-2025")</f>
        <v/>
      </c>
      <c r="T581">
        <f>HYPERLINK("https://klasma.github.io/Logging_2284/kartor/A 25009-2025 karta.png", "A 25009-2025")</f>
        <v/>
      </c>
      <c r="V581">
        <f>HYPERLINK("https://klasma.github.io/Logging_2284/klagomål/A 25009-2025 FSC-klagomål.docx", "A 25009-2025")</f>
        <v/>
      </c>
      <c r="W581">
        <f>HYPERLINK("https://klasma.github.io/Logging_2284/klagomålsmail/A 25009-2025 FSC-klagomål mail.docx", "A 25009-2025")</f>
        <v/>
      </c>
      <c r="X581">
        <f>HYPERLINK("https://klasma.github.io/Logging_2284/tillsyn/A 25009-2025 tillsynsbegäran.docx", "A 25009-2025")</f>
        <v/>
      </c>
      <c r="Y581">
        <f>HYPERLINK("https://klasma.github.io/Logging_2284/tillsynsmail/A 25009-2025 tillsynsbegäran mail.docx", "A 25009-2025")</f>
        <v/>
      </c>
    </row>
    <row r="582" ht="15" customHeight="1">
      <c r="A582" t="inlineStr">
        <is>
          <t>A 22996-2023</t>
        </is>
      </c>
      <c r="B582" s="1" t="n">
        <v>45072</v>
      </c>
      <c r="C582" s="1" t="n">
        <v>46185</v>
      </c>
      <c r="D582" t="inlineStr">
        <is>
          <t>VÄSTERNORRLANDS LÄN</t>
        </is>
      </c>
      <c r="E582" t="inlineStr">
        <is>
          <t>ÅNGE</t>
        </is>
      </c>
      <c r="F582" t="inlineStr">
        <is>
          <t>SCA</t>
        </is>
      </c>
      <c r="G582" t="n">
        <v>2.2</v>
      </c>
      <c r="H582" t="n">
        <v>1</v>
      </c>
      <c r="I582" t="n">
        <v>0</v>
      </c>
      <c r="J582" t="n">
        <v>2</v>
      </c>
      <c r="K582" t="n">
        <v>1</v>
      </c>
      <c r="L582" t="n">
        <v>0</v>
      </c>
      <c r="M582" t="n">
        <v>0</v>
      </c>
      <c r="N582" t="n">
        <v>0</v>
      </c>
      <c r="O582" t="n">
        <v>3</v>
      </c>
      <c r="P582" t="n">
        <v>1</v>
      </c>
      <c r="Q582" t="n">
        <v>3</v>
      </c>
      <c r="R582" s="2" t="inlineStr">
        <is>
          <t>Knärot
Garnlav
Vedtrappmossa</t>
        </is>
      </c>
      <c r="S582">
        <f>HYPERLINK("https://klasma.github.io/Logging_2260/artfynd/A 22996-2023 artfynd.xlsx", "A 22996-2023")</f>
        <v/>
      </c>
      <c r="T582">
        <f>HYPERLINK("https://klasma.github.io/Logging_2260/kartor/A 22996-2023 karta.png", "A 22996-2023")</f>
        <v/>
      </c>
      <c r="U582">
        <f>HYPERLINK("https://klasma.github.io/Logging_2260/knärot/A 22996-2023 karta knärot.png", "A 22996-2023")</f>
        <v/>
      </c>
      <c r="V582">
        <f>HYPERLINK("https://klasma.github.io/Logging_2260/klagomål/A 22996-2023 FSC-klagomål.docx", "A 22996-2023")</f>
        <v/>
      </c>
      <c r="W582">
        <f>HYPERLINK("https://klasma.github.io/Logging_2260/klagomålsmail/A 22996-2023 FSC-klagomål mail.docx", "A 22996-2023")</f>
        <v/>
      </c>
      <c r="X582">
        <f>HYPERLINK("https://klasma.github.io/Logging_2260/tillsyn/A 22996-2023 tillsynsbegäran.docx", "A 22996-2023")</f>
        <v/>
      </c>
      <c r="Y582">
        <f>HYPERLINK("https://klasma.github.io/Logging_2260/tillsynsmail/A 22996-2023 tillsynsbegäran mail.docx", "A 22996-2023")</f>
        <v/>
      </c>
    </row>
    <row r="583" ht="15" customHeight="1">
      <c r="A583" t="inlineStr">
        <is>
          <t>A 32487-2021</t>
        </is>
      </c>
      <c r="B583" s="1" t="n">
        <v>44371</v>
      </c>
      <c r="C583" s="1" t="n">
        <v>46185</v>
      </c>
      <c r="D583" t="inlineStr">
        <is>
          <t>VÄSTERNORRLANDS LÄN</t>
        </is>
      </c>
      <c r="E583" t="inlineStr">
        <is>
          <t>TIMRÅ</t>
        </is>
      </c>
      <c r="F583" t="inlineStr">
        <is>
          <t>Kyrkan</t>
        </is>
      </c>
      <c r="G583" t="n">
        <v>21</v>
      </c>
      <c r="H583" t="n">
        <v>1</v>
      </c>
      <c r="I583" t="n">
        <v>0</v>
      </c>
      <c r="J583" t="n">
        <v>3</v>
      </c>
      <c r="K583" t="n">
        <v>0</v>
      </c>
      <c r="L583" t="n">
        <v>0</v>
      </c>
      <c r="M583" t="n">
        <v>0</v>
      </c>
      <c r="N583" t="n">
        <v>0</v>
      </c>
      <c r="O583" t="n">
        <v>3</v>
      </c>
      <c r="P583" t="n">
        <v>0</v>
      </c>
      <c r="Q583" t="n">
        <v>3</v>
      </c>
      <c r="R583" s="2" t="inlineStr">
        <is>
          <t>Garnlav
Spillkråka
Vedskivlav</t>
        </is>
      </c>
      <c r="S583">
        <f>HYPERLINK("https://klasma.github.io/Logging_2262/artfynd/A 32487-2021 artfynd.xlsx", "A 32487-2021")</f>
        <v/>
      </c>
      <c r="T583">
        <f>HYPERLINK("https://klasma.github.io/Logging_2262/kartor/A 32487-2021 karta.png", "A 32487-2021")</f>
        <v/>
      </c>
      <c r="V583">
        <f>HYPERLINK("https://klasma.github.io/Logging_2262/klagomål/A 32487-2021 FSC-klagomål.docx", "A 32487-2021")</f>
        <v/>
      </c>
      <c r="W583">
        <f>HYPERLINK("https://klasma.github.io/Logging_2262/klagomålsmail/A 32487-2021 FSC-klagomål mail.docx", "A 32487-2021")</f>
        <v/>
      </c>
      <c r="X583">
        <f>HYPERLINK("https://klasma.github.io/Logging_2262/tillsyn/A 32487-2021 tillsynsbegäran.docx", "A 32487-2021")</f>
        <v/>
      </c>
      <c r="Y583">
        <f>HYPERLINK("https://klasma.github.io/Logging_2262/tillsynsmail/A 32487-2021 tillsynsbegäran mail.docx", "A 32487-2021")</f>
        <v/>
      </c>
      <c r="Z583">
        <f>HYPERLINK("https://klasma.github.io/Logging_2262/fåglar/A 32487-2021 prioriterade fågelarter.docx", "A 32487-2021")</f>
        <v/>
      </c>
    </row>
    <row r="584" ht="15" customHeight="1">
      <c r="A584" t="inlineStr">
        <is>
          <t>A 51212-2022</t>
        </is>
      </c>
      <c r="B584" s="1" t="n">
        <v>44868.62265046296</v>
      </c>
      <c r="C584" s="1" t="n">
        <v>46185</v>
      </c>
      <c r="D584" t="inlineStr">
        <is>
          <t>VÄSTERNORRLANDS LÄN</t>
        </is>
      </c>
      <c r="E584" t="inlineStr">
        <is>
          <t>SOLLEFTEÅ</t>
        </is>
      </c>
      <c r="F584" t="inlineStr">
        <is>
          <t>Holmen skog AB</t>
        </is>
      </c>
      <c r="G584" t="n">
        <v>18.3</v>
      </c>
      <c r="H584" t="n">
        <v>1</v>
      </c>
      <c r="I584" t="n">
        <v>1</v>
      </c>
      <c r="J584" t="n">
        <v>1</v>
      </c>
      <c r="K584" t="n">
        <v>1</v>
      </c>
      <c r="L584" t="n">
        <v>0</v>
      </c>
      <c r="M584" t="n">
        <v>0</v>
      </c>
      <c r="N584" t="n">
        <v>0</v>
      </c>
      <c r="O584" t="n">
        <v>2</v>
      </c>
      <c r="P584" t="n">
        <v>1</v>
      </c>
      <c r="Q584" t="n">
        <v>3</v>
      </c>
      <c r="R584" s="2" t="inlineStr">
        <is>
          <t>Doftticka
Lunglav
Stuplav</t>
        </is>
      </c>
      <c r="S584">
        <f>HYPERLINK("https://klasma.github.io/Logging_2283/artfynd/A 51212-2022 artfynd.xlsx", "A 51212-2022")</f>
        <v/>
      </c>
      <c r="T584">
        <f>HYPERLINK("https://klasma.github.io/Logging_2283/kartor/A 51212-2022 karta.png", "A 51212-2022")</f>
        <v/>
      </c>
      <c r="V584">
        <f>HYPERLINK("https://klasma.github.io/Logging_2283/klagomål/A 51212-2022 FSC-klagomål.docx", "A 51212-2022")</f>
        <v/>
      </c>
      <c r="W584">
        <f>HYPERLINK("https://klasma.github.io/Logging_2283/klagomålsmail/A 51212-2022 FSC-klagomål mail.docx", "A 51212-2022")</f>
        <v/>
      </c>
      <c r="X584">
        <f>HYPERLINK("https://klasma.github.io/Logging_2283/tillsyn/A 51212-2022 tillsynsbegäran.docx", "A 51212-2022")</f>
        <v/>
      </c>
      <c r="Y584">
        <f>HYPERLINK("https://klasma.github.io/Logging_2283/tillsynsmail/A 51212-2022 tillsynsbegäran mail.docx", "A 51212-2022")</f>
        <v/>
      </c>
    </row>
    <row r="585" ht="15" customHeight="1">
      <c r="A585" t="inlineStr">
        <is>
          <t>A 67478-2021</t>
        </is>
      </c>
      <c r="B585" s="1" t="n">
        <v>44524</v>
      </c>
      <c r="C585" s="1" t="n">
        <v>46185</v>
      </c>
      <c r="D585" t="inlineStr">
        <is>
          <t>VÄSTERNORRLANDS LÄN</t>
        </is>
      </c>
      <c r="E585" t="inlineStr">
        <is>
          <t>KRAMFORS</t>
        </is>
      </c>
      <c r="G585" t="n">
        <v>1.8</v>
      </c>
      <c r="H585" t="n">
        <v>0</v>
      </c>
      <c r="I585" t="n">
        <v>1</v>
      </c>
      <c r="J585" t="n">
        <v>1</v>
      </c>
      <c r="K585" t="n">
        <v>1</v>
      </c>
      <c r="L585" t="n">
        <v>0</v>
      </c>
      <c r="M585" t="n">
        <v>0</v>
      </c>
      <c r="N585" t="n">
        <v>0</v>
      </c>
      <c r="O585" t="n">
        <v>2</v>
      </c>
      <c r="P585" t="n">
        <v>1</v>
      </c>
      <c r="Q585" t="n">
        <v>3</v>
      </c>
      <c r="R585" s="2" t="inlineStr">
        <is>
          <t>Aspfjädermossa
Ullticka
Rävticka</t>
        </is>
      </c>
      <c r="S585">
        <f>HYPERLINK("https://klasma.github.io/Logging_2282/artfynd/A 67478-2021 artfynd.xlsx", "A 67478-2021")</f>
        <v/>
      </c>
      <c r="T585">
        <f>HYPERLINK("https://klasma.github.io/Logging_2282/kartor/A 67478-2021 karta.png", "A 67478-2021")</f>
        <v/>
      </c>
      <c r="V585">
        <f>HYPERLINK("https://klasma.github.io/Logging_2282/klagomål/A 67478-2021 FSC-klagomål.docx", "A 67478-2021")</f>
        <v/>
      </c>
      <c r="W585">
        <f>HYPERLINK("https://klasma.github.io/Logging_2282/klagomålsmail/A 67478-2021 FSC-klagomål mail.docx", "A 67478-2021")</f>
        <v/>
      </c>
      <c r="X585">
        <f>HYPERLINK("https://klasma.github.io/Logging_2282/tillsyn/A 67478-2021 tillsynsbegäran.docx", "A 67478-2021")</f>
        <v/>
      </c>
      <c r="Y585">
        <f>HYPERLINK("https://klasma.github.io/Logging_2282/tillsynsmail/A 67478-2021 tillsynsbegäran mail.docx", "A 67478-2021")</f>
        <v/>
      </c>
    </row>
    <row r="586" ht="15" customHeight="1">
      <c r="A586" t="inlineStr">
        <is>
          <t>A 28274-2023</t>
        </is>
      </c>
      <c r="B586" s="1" t="n">
        <v>45099</v>
      </c>
      <c r="C586" s="1" t="n">
        <v>46185</v>
      </c>
      <c r="D586" t="inlineStr">
        <is>
          <t>VÄSTERNORRLANDS LÄN</t>
        </is>
      </c>
      <c r="E586" t="inlineStr">
        <is>
          <t>ÅNGE</t>
        </is>
      </c>
      <c r="G586" t="n">
        <v>19.2</v>
      </c>
      <c r="H586" t="n">
        <v>1</v>
      </c>
      <c r="I586" t="n">
        <v>1</v>
      </c>
      <c r="J586" t="n">
        <v>1</v>
      </c>
      <c r="K586" t="n">
        <v>1</v>
      </c>
      <c r="L586" t="n">
        <v>0</v>
      </c>
      <c r="M586" t="n">
        <v>0</v>
      </c>
      <c r="N586" t="n">
        <v>0</v>
      </c>
      <c r="O586" t="n">
        <v>2</v>
      </c>
      <c r="P586" t="n">
        <v>1</v>
      </c>
      <c r="Q586" t="n">
        <v>3</v>
      </c>
      <c r="R586" s="2" t="inlineStr">
        <is>
          <t>Knärot
Lunglav
Grönpyrola</t>
        </is>
      </c>
      <c r="S586">
        <f>HYPERLINK("https://klasma.github.io/Logging_2260/artfynd/A 28274-2023 artfynd.xlsx", "A 28274-2023")</f>
        <v/>
      </c>
      <c r="T586">
        <f>HYPERLINK("https://klasma.github.io/Logging_2260/kartor/A 28274-2023 karta.png", "A 28274-2023")</f>
        <v/>
      </c>
      <c r="U586">
        <f>HYPERLINK("https://klasma.github.io/Logging_2260/knärot/A 28274-2023 karta knärot.png", "A 28274-2023")</f>
        <v/>
      </c>
      <c r="V586">
        <f>HYPERLINK("https://klasma.github.io/Logging_2260/klagomål/A 28274-2023 FSC-klagomål.docx", "A 28274-2023")</f>
        <v/>
      </c>
      <c r="W586">
        <f>HYPERLINK("https://klasma.github.io/Logging_2260/klagomålsmail/A 28274-2023 FSC-klagomål mail.docx", "A 28274-2023")</f>
        <v/>
      </c>
      <c r="X586">
        <f>HYPERLINK("https://klasma.github.io/Logging_2260/tillsyn/A 28274-2023 tillsynsbegäran.docx", "A 28274-2023")</f>
        <v/>
      </c>
      <c r="Y586">
        <f>HYPERLINK("https://klasma.github.io/Logging_2260/tillsynsmail/A 28274-2023 tillsynsbegäran mail.docx", "A 28274-2023")</f>
        <v/>
      </c>
    </row>
    <row r="587" ht="15" customHeight="1">
      <c r="A587" t="inlineStr">
        <is>
          <t>A 26679-2025</t>
        </is>
      </c>
      <c r="B587" s="1" t="n">
        <v>45810</v>
      </c>
      <c r="C587" s="1" t="n">
        <v>46185</v>
      </c>
      <c r="D587" t="inlineStr">
        <is>
          <t>VÄSTERNORRLANDS LÄN</t>
        </is>
      </c>
      <c r="E587" t="inlineStr">
        <is>
          <t>ÅNGE</t>
        </is>
      </c>
      <c r="F587" t="inlineStr">
        <is>
          <t>SCA</t>
        </is>
      </c>
      <c r="G587" t="n">
        <v>5.9</v>
      </c>
      <c r="H587" t="n">
        <v>0</v>
      </c>
      <c r="I587" t="n">
        <v>1</v>
      </c>
      <c r="J587" t="n">
        <v>2</v>
      </c>
      <c r="K587" t="n">
        <v>0</v>
      </c>
      <c r="L587" t="n">
        <v>0</v>
      </c>
      <c r="M587" t="n">
        <v>0</v>
      </c>
      <c r="N587" t="n">
        <v>0</v>
      </c>
      <c r="O587" t="n">
        <v>2</v>
      </c>
      <c r="P587" t="n">
        <v>0</v>
      </c>
      <c r="Q587" t="n">
        <v>3</v>
      </c>
      <c r="R587" s="2" t="inlineStr">
        <is>
          <t>Garnlav
Lunglav
Rödgul trumpetsvamp</t>
        </is>
      </c>
      <c r="S587">
        <f>HYPERLINK("https://klasma.github.io/Logging_2260/artfynd/A 26679-2025 artfynd.xlsx", "A 26679-2025")</f>
        <v/>
      </c>
      <c r="T587">
        <f>HYPERLINK("https://klasma.github.io/Logging_2260/kartor/A 26679-2025 karta.png", "A 26679-2025")</f>
        <v/>
      </c>
      <c r="V587">
        <f>HYPERLINK("https://klasma.github.io/Logging_2260/klagomål/A 26679-2025 FSC-klagomål.docx", "A 26679-2025")</f>
        <v/>
      </c>
      <c r="W587">
        <f>HYPERLINK("https://klasma.github.io/Logging_2260/klagomålsmail/A 26679-2025 FSC-klagomål mail.docx", "A 26679-2025")</f>
        <v/>
      </c>
      <c r="X587">
        <f>HYPERLINK("https://klasma.github.io/Logging_2260/tillsyn/A 26679-2025 tillsynsbegäran.docx", "A 26679-2025")</f>
        <v/>
      </c>
      <c r="Y587">
        <f>HYPERLINK("https://klasma.github.io/Logging_2260/tillsynsmail/A 26679-2025 tillsynsbegäran mail.docx", "A 26679-2025")</f>
        <v/>
      </c>
    </row>
    <row r="588" ht="15" customHeight="1">
      <c r="A588" t="inlineStr">
        <is>
          <t>A 32256-2024</t>
        </is>
      </c>
      <c r="B588" s="1" t="n">
        <v>45511</v>
      </c>
      <c r="C588" s="1" t="n">
        <v>46185</v>
      </c>
      <c r="D588" t="inlineStr">
        <is>
          <t>VÄSTERNORRLANDS LÄN</t>
        </is>
      </c>
      <c r="E588" t="inlineStr">
        <is>
          <t>SOLLEFTEÅ</t>
        </is>
      </c>
      <c r="F588" t="inlineStr">
        <is>
          <t>SCA</t>
        </is>
      </c>
      <c r="G588" t="n">
        <v>3.9</v>
      </c>
      <c r="H588" t="n">
        <v>1</v>
      </c>
      <c r="I588" t="n">
        <v>1</v>
      </c>
      <c r="J588" t="n">
        <v>2</v>
      </c>
      <c r="K588" t="n">
        <v>0</v>
      </c>
      <c r="L588" t="n">
        <v>0</v>
      </c>
      <c r="M588" t="n">
        <v>0</v>
      </c>
      <c r="N588" t="n">
        <v>0</v>
      </c>
      <c r="O588" t="n">
        <v>2</v>
      </c>
      <c r="P588" t="n">
        <v>0</v>
      </c>
      <c r="Q588" t="n">
        <v>3</v>
      </c>
      <c r="R588" s="2" t="inlineStr">
        <is>
          <t>Tretåig hackspett
Vedtrappmossa
Fjällig taggsvamp s.str.</t>
        </is>
      </c>
      <c r="S588">
        <f>HYPERLINK("https://klasma.github.io/Logging_2283/artfynd/A 32256-2024 artfynd.xlsx", "A 32256-2024")</f>
        <v/>
      </c>
      <c r="T588">
        <f>HYPERLINK("https://klasma.github.io/Logging_2283/kartor/A 32256-2024 karta.png", "A 32256-2024")</f>
        <v/>
      </c>
      <c r="V588">
        <f>HYPERLINK("https://klasma.github.io/Logging_2283/klagomål/A 32256-2024 FSC-klagomål.docx", "A 32256-2024")</f>
        <v/>
      </c>
      <c r="W588">
        <f>HYPERLINK("https://klasma.github.io/Logging_2283/klagomålsmail/A 32256-2024 FSC-klagomål mail.docx", "A 32256-2024")</f>
        <v/>
      </c>
      <c r="X588">
        <f>HYPERLINK("https://klasma.github.io/Logging_2283/tillsyn/A 32256-2024 tillsynsbegäran.docx", "A 32256-2024")</f>
        <v/>
      </c>
      <c r="Y588">
        <f>HYPERLINK("https://klasma.github.io/Logging_2283/tillsynsmail/A 32256-2024 tillsynsbegäran mail.docx", "A 32256-2024")</f>
        <v/>
      </c>
      <c r="Z588">
        <f>HYPERLINK("https://klasma.github.io/Logging_2283/fåglar/A 32256-2024 prioriterade fågelarter.docx", "A 32256-2024")</f>
        <v/>
      </c>
    </row>
    <row r="589" ht="15" customHeight="1">
      <c r="A589" t="inlineStr">
        <is>
          <t>A 27307-2025</t>
        </is>
      </c>
      <c r="B589" s="1" t="n">
        <v>45812.57344907407</v>
      </c>
      <c r="C589" s="1" t="n">
        <v>46185</v>
      </c>
      <c r="D589" t="inlineStr">
        <is>
          <t>VÄSTERNORRLANDS LÄN</t>
        </is>
      </c>
      <c r="E589" t="inlineStr">
        <is>
          <t>TIMRÅ</t>
        </is>
      </c>
      <c r="F589" t="inlineStr">
        <is>
          <t>SCA</t>
        </is>
      </c>
      <c r="G589" t="n">
        <v>1.9</v>
      </c>
      <c r="H589" t="n">
        <v>0</v>
      </c>
      <c r="I589" t="n">
        <v>1</v>
      </c>
      <c r="J589" t="n">
        <v>2</v>
      </c>
      <c r="K589" t="n">
        <v>0</v>
      </c>
      <c r="L589" t="n">
        <v>0</v>
      </c>
      <c r="M589" t="n">
        <v>0</v>
      </c>
      <c r="N589" t="n">
        <v>0</v>
      </c>
      <c r="O589" t="n">
        <v>2</v>
      </c>
      <c r="P589" t="n">
        <v>0</v>
      </c>
      <c r="Q589" t="n">
        <v>3</v>
      </c>
      <c r="R589" s="2" t="inlineStr">
        <is>
          <t>Lunglav
Skrovellav
Stuplav</t>
        </is>
      </c>
      <c r="S589">
        <f>HYPERLINK("https://klasma.github.io/Logging_2262/artfynd/A 27307-2025 artfynd.xlsx", "A 27307-2025")</f>
        <v/>
      </c>
      <c r="T589">
        <f>HYPERLINK("https://klasma.github.io/Logging_2262/kartor/A 27307-2025 karta.png", "A 27307-2025")</f>
        <v/>
      </c>
      <c r="V589">
        <f>HYPERLINK("https://klasma.github.io/Logging_2262/klagomål/A 27307-2025 FSC-klagomål.docx", "A 27307-2025")</f>
        <v/>
      </c>
      <c r="W589">
        <f>HYPERLINK("https://klasma.github.io/Logging_2262/klagomålsmail/A 27307-2025 FSC-klagomål mail.docx", "A 27307-2025")</f>
        <v/>
      </c>
      <c r="X589">
        <f>HYPERLINK("https://klasma.github.io/Logging_2262/tillsyn/A 27307-2025 tillsynsbegäran.docx", "A 27307-2025")</f>
        <v/>
      </c>
      <c r="Y589">
        <f>HYPERLINK("https://klasma.github.io/Logging_2262/tillsynsmail/A 27307-2025 tillsynsbegäran mail.docx", "A 27307-2025")</f>
        <v/>
      </c>
    </row>
    <row r="590" ht="15" customHeight="1">
      <c r="A590" t="inlineStr">
        <is>
          <t>A 11351-2022</t>
        </is>
      </c>
      <c r="B590" s="1" t="n">
        <v>44630</v>
      </c>
      <c r="C590" s="1" t="n">
        <v>46185</v>
      </c>
      <c r="D590" t="inlineStr">
        <is>
          <t>VÄSTERNORRLANDS LÄN</t>
        </is>
      </c>
      <c r="E590" t="inlineStr">
        <is>
          <t>SUNDSVALL</t>
        </is>
      </c>
      <c r="G590" t="n">
        <v>12.1</v>
      </c>
      <c r="H590" t="n">
        <v>1</v>
      </c>
      <c r="I590" t="n">
        <v>1</v>
      </c>
      <c r="J590" t="n">
        <v>1</v>
      </c>
      <c r="K590" t="n">
        <v>1</v>
      </c>
      <c r="L590" t="n">
        <v>0</v>
      </c>
      <c r="M590" t="n">
        <v>0</v>
      </c>
      <c r="N590" t="n">
        <v>0</v>
      </c>
      <c r="O590" t="n">
        <v>2</v>
      </c>
      <c r="P590" t="n">
        <v>1</v>
      </c>
      <c r="Q590" t="n">
        <v>3</v>
      </c>
      <c r="R590" s="2" t="inlineStr">
        <is>
          <t>Knärot
Vedskivlav
Kornig nållav</t>
        </is>
      </c>
      <c r="S590">
        <f>HYPERLINK("https://klasma.github.io/Logging_2281/artfynd/A 11351-2022 artfynd.xlsx", "A 11351-2022")</f>
        <v/>
      </c>
      <c r="T590">
        <f>HYPERLINK("https://klasma.github.io/Logging_2281/kartor/A 11351-2022 karta.png", "A 11351-2022")</f>
        <v/>
      </c>
      <c r="U590">
        <f>HYPERLINK("https://klasma.github.io/Logging_2281/knärot/A 11351-2022 karta knärot.png", "A 11351-2022")</f>
        <v/>
      </c>
      <c r="V590">
        <f>HYPERLINK("https://klasma.github.io/Logging_2281/klagomål/A 11351-2022 FSC-klagomål.docx", "A 11351-2022")</f>
        <v/>
      </c>
      <c r="W590">
        <f>HYPERLINK("https://klasma.github.io/Logging_2281/klagomålsmail/A 11351-2022 FSC-klagomål mail.docx", "A 11351-2022")</f>
        <v/>
      </c>
      <c r="X590">
        <f>HYPERLINK("https://klasma.github.io/Logging_2281/tillsyn/A 11351-2022 tillsynsbegäran.docx", "A 11351-2022")</f>
        <v/>
      </c>
      <c r="Y590">
        <f>HYPERLINK("https://klasma.github.io/Logging_2281/tillsynsmail/A 11351-2022 tillsynsbegäran mail.docx", "A 11351-2022")</f>
        <v/>
      </c>
    </row>
    <row r="591" ht="15" customHeight="1">
      <c r="A591" t="inlineStr">
        <is>
          <t>A 27337-2025</t>
        </is>
      </c>
      <c r="B591" s="1" t="n">
        <v>45812.6150462963</v>
      </c>
      <c r="C591" s="1" t="n">
        <v>46185</v>
      </c>
      <c r="D591" t="inlineStr">
        <is>
          <t>VÄSTERNORRLANDS LÄN</t>
        </is>
      </c>
      <c r="E591" t="inlineStr">
        <is>
          <t>TIMRÅ</t>
        </is>
      </c>
      <c r="F591" t="inlineStr">
        <is>
          <t>SCA</t>
        </is>
      </c>
      <c r="G591" t="n">
        <v>1.3</v>
      </c>
      <c r="H591" t="n">
        <v>0</v>
      </c>
      <c r="I591" t="n">
        <v>1</v>
      </c>
      <c r="J591" t="n">
        <v>2</v>
      </c>
      <c r="K591" t="n">
        <v>0</v>
      </c>
      <c r="L591" t="n">
        <v>0</v>
      </c>
      <c r="M591" t="n">
        <v>0</v>
      </c>
      <c r="N591" t="n">
        <v>0</v>
      </c>
      <c r="O591" t="n">
        <v>2</v>
      </c>
      <c r="P591" t="n">
        <v>0</v>
      </c>
      <c r="Q591" t="n">
        <v>3</v>
      </c>
      <c r="R591" s="2" t="inlineStr">
        <is>
          <t>Granticka
Ullticka
Vedticka</t>
        </is>
      </c>
      <c r="S591">
        <f>HYPERLINK("https://klasma.github.io/Logging_2262/artfynd/A 27337-2025 artfynd.xlsx", "A 27337-2025")</f>
        <v/>
      </c>
      <c r="T591">
        <f>HYPERLINK("https://klasma.github.io/Logging_2262/kartor/A 27337-2025 karta.png", "A 27337-2025")</f>
        <v/>
      </c>
      <c r="V591">
        <f>HYPERLINK("https://klasma.github.io/Logging_2262/klagomål/A 27337-2025 FSC-klagomål.docx", "A 27337-2025")</f>
        <v/>
      </c>
      <c r="W591">
        <f>HYPERLINK("https://klasma.github.io/Logging_2262/klagomålsmail/A 27337-2025 FSC-klagomål mail.docx", "A 27337-2025")</f>
        <v/>
      </c>
      <c r="X591">
        <f>HYPERLINK("https://klasma.github.io/Logging_2262/tillsyn/A 27337-2025 tillsynsbegäran.docx", "A 27337-2025")</f>
        <v/>
      </c>
      <c r="Y591">
        <f>HYPERLINK("https://klasma.github.io/Logging_2262/tillsynsmail/A 27337-2025 tillsynsbegäran mail.docx", "A 27337-2025")</f>
        <v/>
      </c>
    </row>
    <row r="592" ht="15" customHeight="1">
      <c r="A592" t="inlineStr">
        <is>
          <t>A 16307-2025</t>
        </is>
      </c>
      <c r="B592" s="1" t="n">
        <v>45751.34686342593</v>
      </c>
      <c r="C592" s="1" t="n">
        <v>46185</v>
      </c>
      <c r="D592" t="inlineStr">
        <is>
          <t>VÄSTERNORRLANDS LÄN</t>
        </is>
      </c>
      <c r="E592" t="inlineStr">
        <is>
          <t>ÅNGE</t>
        </is>
      </c>
      <c r="F592" t="inlineStr">
        <is>
          <t>SCA</t>
        </is>
      </c>
      <c r="G592" t="n">
        <v>12.3</v>
      </c>
      <c r="H592" t="n">
        <v>1</v>
      </c>
      <c r="I592" t="n">
        <v>2</v>
      </c>
      <c r="J592" t="n">
        <v>0</v>
      </c>
      <c r="K592" t="n">
        <v>0</v>
      </c>
      <c r="L592" t="n">
        <v>0</v>
      </c>
      <c r="M592" t="n">
        <v>0</v>
      </c>
      <c r="N592" t="n">
        <v>0</v>
      </c>
      <c r="O592" t="n">
        <v>0</v>
      </c>
      <c r="P592" t="n">
        <v>0</v>
      </c>
      <c r="Q592" t="n">
        <v>3</v>
      </c>
      <c r="R592" s="2" t="inlineStr">
        <is>
          <t>Stor aspticka
Vårärt
Blåsippa</t>
        </is>
      </c>
      <c r="S592">
        <f>HYPERLINK("https://klasma.github.io/Logging_2260/artfynd/A 16307-2025 artfynd.xlsx", "A 16307-2025")</f>
        <v/>
      </c>
      <c r="T592">
        <f>HYPERLINK("https://klasma.github.io/Logging_2260/kartor/A 16307-2025 karta.png", "A 16307-2025")</f>
        <v/>
      </c>
      <c r="V592">
        <f>HYPERLINK("https://klasma.github.io/Logging_2260/klagomål/A 16307-2025 FSC-klagomål.docx", "A 16307-2025")</f>
        <v/>
      </c>
      <c r="W592">
        <f>HYPERLINK("https://klasma.github.io/Logging_2260/klagomålsmail/A 16307-2025 FSC-klagomål mail.docx", "A 16307-2025")</f>
        <v/>
      </c>
      <c r="X592">
        <f>HYPERLINK("https://klasma.github.io/Logging_2260/tillsyn/A 16307-2025 tillsynsbegäran.docx", "A 16307-2025")</f>
        <v/>
      </c>
      <c r="Y592">
        <f>HYPERLINK("https://klasma.github.io/Logging_2260/tillsynsmail/A 16307-2025 tillsynsbegäran mail.docx", "A 16307-2025")</f>
        <v/>
      </c>
    </row>
    <row r="593" ht="15" customHeight="1">
      <c r="A593" t="inlineStr">
        <is>
          <t>A 28158-2025</t>
        </is>
      </c>
      <c r="B593" s="1" t="n">
        <v>45818.36548611111</v>
      </c>
      <c r="C593" s="1" t="n">
        <v>46185</v>
      </c>
      <c r="D593" t="inlineStr">
        <is>
          <t>VÄSTERNORRLANDS LÄN</t>
        </is>
      </c>
      <c r="E593" t="inlineStr">
        <is>
          <t>KRAMFORS</t>
        </is>
      </c>
      <c r="F593" t="inlineStr">
        <is>
          <t>SCA</t>
        </is>
      </c>
      <c r="G593" t="n">
        <v>2.9</v>
      </c>
      <c r="H593" t="n">
        <v>0</v>
      </c>
      <c r="I593" t="n">
        <v>1</v>
      </c>
      <c r="J593" t="n">
        <v>2</v>
      </c>
      <c r="K593" t="n">
        <v>0</v>
      </c>
      <c r="L593" t="n">
        <v>0</v>
      </c>
      <c r="M593" t="n">
        <v>0</v>
      </c>
      <c r="N593" t="n">
        <v>0</v>
      </c>
      <c r="O593" t="n">
        <v>2</v>
      </c>
      <c r="P593" t="n">
        <v>0</v>
      </c>
      <c r="Q593" t="n">
        <v>3</v>
      </c>
      <c r="R593" s="2" t="inlineStr">
        <is>
          <t>Lunglav
Ullticka
Vedticka</t>
        </is>
      </c>
      <c r="S593">
        <f>HYPERLINK("https://klasma.github.io/Logging_2282/artfynd/A 28158-2025 artfynd.xlsx", "A 28158-2025")</f>
        <v/>
      </c>
      <c r="T593">
        <f>HYPERLINK("https://klasma.github.io/Logging_2282/kartor/A 28158-2025 karta.png", "A 28158-2025")</f>
        <v/>
      </c>
      <c r="V593">
        <f>HYPERLINK("https://klasma.github.io/Logging_2282/klagomål/A 28158-2025 FSC-klagomål.docx", "A 28158-2025")</f>
        <v/>
      </c>
      <c r="W593">
        <f>HYPERLINK("https://klasma.github.io/Logging_2282/klagomålsmail/A 28158-2025 FSC-klagomål mail.docx", "A 28158-2025")</f>
        <v/>
      </c>
      <c r="X593">
        <f>HYPERLINK("https://klasma.github.io/Logging_2282/tillsyn/A 28158-2025 tillsynsbegäran.docx", "A 28158-2025")</f>
        <v/>
      </c>
      <c r="Y593">
        <f>HYPERLINK("https://klasma.github.io/Logging_2282/tillsynsmail/A 28158-2025 tillsynsbegäran mail.docx", "A 28158-2025")</f>
        <v/>
      </c>
    </row>
    <row r="594" ht="15" customHeight="1">
      <c r="A594" t="inlineStr">
        <is>
          <t>A 28698-2025</t>
        </is>
      </c>
      <c r="B594" s="1" t="n">
        <v>45819.925625</v>
      </c>
      <c r="C594" s="1" t="n">
        <v>46185</v>
      </c>
      <c r="D594" t="inlineStr">
        <is>
          <t>VÄSTERNORRLANDS LÄN</t>
        </is>
      </c>
      <c r="E594" t="inlineStr">
        <is>
          <t>SOLLEFTEÅ</t>
        </is>
      </c>
      <c r="G594" t="n">
        <v>1.5</v>
      </c>
      <c r="H594" t="n">
        <v>0</v>
      </c>
      <c r="I594" t="n">
        <v>1</v>
      </c>
      <c r="J594" t="n">
        <v>2</v>
      </c>
      <c r="K594" t="n">
        <v>0</v>
      </c>
      <c r="L594" t="n">
        <v>0</v>
      </c>
      <c r="M594" t="n">
        <v>0</v>
      </c>
      <c r="N594" t="n">
        <v>0</v>
      </c>
      <c r="O594" t="n">
        <v>2</v>
      </c>
      <c r="P594" t="n">
        <v>0</v>
      </c>
      <c r="Q594" t="n">
        <v>3</v>
      </c>
      <c r="R594" s="2" t="inlineStr">
        <is>
          <t>Garnlav
Rosenticka
Dropptaggsvamp</t>
        </is>
      </c>
      <c r="S594">
        <f>HYPERLINK("https://klasma.github.io/Logging_2283/artfynd/A 28698-2025 artfynd.xlsx", "A 28698-2025")</f>
        <v/>
      </c>
      <c r="T594">
        <f>HYPERLINK("https://klasma.github.io/Logging_2283/kartor/A 28698-2025 karta.png", "A 28698-2025")</f>
        <v/>
      </c>
      <c r="V594">
        <f>HYPERLINK("https://klasma.github.io/Logging_2283/klagomål/A 28698-2025 FSC-klagomål.docx", "A 28698-2025")</f>
        <v/>
      </c>
      <c r="W594">
        <f>HYPERLINK("https://klasma.github.io/Logging_2283/klagomålsmail/A 28698-2025 FSC-klagomål mail.docx", "A 28698-2025")</f>
        <v/>
      </c>
      <c r="X594">
        <f>HYPERLINK("https://klasma.github.io/Logging_2283/tillsyn/A 28698-2025 tillsynsbegäran.docx", "A 28698-2025")</f>
        <v/>
      </c>
      <c r="Y594">
        <f>HYPERLINK("https://klasma.github.io/Logging_2283/tillsynsmail/A 28698-2025 tillsynsbegäran mail.docx", "A 28698-2025")</f>
        <v/>
      </c>
    </row>
    <row r="595" ht="15" customHeight="1">
      <c r="A595" t="inlineStr">
        <is>
          <t>A 39925-2025</t>
        </is>
      </c>
      <c r="B595" s="1" t="n">
        <v>45891.6775</v>
      </c>
      <c r="C595" s="1" t="n">
        <v>46185</v>
      </c>
      <c r="D595" t="inlineStr">
        <is>
          <t>VÄSTERNORRLANDS LÄN</t>
        </is>
      </c>
      <c r="E595" t="inlineStr">
        <is>
          <t>SUNDSVALL</t>
        </is>
      </c>
      <c r="F595" t="inlineStr">
        <is>
          <t>SCA</t>
        </is>
      </c>
      <c r="G595" t="n">
        <v>6.2</v>
      </c>
      <c r="H595" t="n">
        <v>1</v>
      </c>
      <c r="I595" t="n">
        <v>0</v>
      </c>
      <c r="J595" t="n">
        <v>3</v>
      </c>
      <c r="K595" t="n">
        <v>0</v>
      </c>
      <c r="L595" t="n">
        <v>0</v>
      </c>
      <c r="M595" t="n">
        <v>0</v>
      </c>
      <c r="N595" t="n">
        <v>0</v>
      </c>
      <c r="O595" t="n">
        <v>3</v>
      </c>
      <c r="P595" t="n">
        <v>0</v>
      </c>
      <c r="Q595" t="n">
        <v>3</v>
      </c>
      <c r="R595" s="2" t="inlineStr">
        <is>
          <t>Garnlav
Lunglav
Spillkråka</t>
        </is>
      </c>
      <c r="S595">
        <f>HYPERLINK("https://klasma.github.io/Logging_2281/artfynd/A 39925-2025 artfynd.xlsx", "A 39925-2025")</f>
        <v/>
      </c>
      <c r="T595">
        <f>HYPERLINK("https://klasma.github.io/Logging_2281/kartor/A 39925-2025 karta.png", "A 39925-2025")</f>
        <v/>
      </c>
      <c r="V595">
        <f>HYPERLINK("https://klasma.github.io/Logging_2281/klagomål/A 39925-2025 FSC-klagomål.docx", "A 39925-2025")</f>
        <v/>
      </c>
      <c r="W595">
        <f>HYPERLINK("https://klasma.github.io/Logging_2281/klagomålsmail/A 39925-2025 FSC-klagomål mail.docx", "A 39925-2025")</f>
        <v/>
      </c>
      <c r="X595">
        <f>HYPERLINK("https://klasma.github.io/Logging_2281/tillsyn/A 39925-2025 tillsynsbegäran.docx", "A 39925-2025")</f>
        <v/>
      </c>
      <c r="Y595">
        <f>HYPERLINK("https://klasma.github.io/Logging_2281/tillsynsmail/A 39925-2025 tillsynsbegäran mail.docx", "A 39925-2025")</f>
        <v/>
      </c>
      <c r="Z595">
        <f>HYPERLINK("https://klasma.github.io/Logging_2281/fåglar/A 39925-2025 prioriterade fågelarter.docx", "A 39925-2025")</f>
        <v/>
      </c>
    </row>
    <row r="596" ht="15" customHeight="1">
      <c r="A596" t="inlineStr">
        <is>
          <t>A 47567-2024</t>
        </is>
      </c>
      <c r="B596" s="1" t="n">
        <v>45587</v>
      </c>
      <c r="C596" s="1" t="n">
        <v>46185</v>
      </c>
      <c r="D596" t="inlineStr">
        <is>
          <t>VÄSTERNORRLANDS LÄN</t>
        </is>
      </c>
      <c r="E596" t="inlineStr">
        <is>
          <t>ÖRNSKÖLDSVIK</t>
        </is>
      </c>
      <c r="F596" t="inlineStr">
        <is>
          <t>SCA</t>
        </is>
      </c>
      <c r="G596" t="n">
        <v>8.4</v>
      </c>
      <c r="H596" t="n">
        <v>1</v>
      </c>
      <c r="I596" t="n">
        <v>0</v>
      </c>
      <c r="J596" t="n">
        <v>3</v>
      </c>
      <c r="K596" t="n">
        <v>0</v>
      </c>
      <c r="L596" t="n">
        <v>0</v>
      </c>
      <c r="M596" t="n">
        <v>0</v>
      </c>
      <c r="N596" t="n">
        <v>0</v>
      </c>
      <c r="O596" t="n">
        <v>3</v>
      </c>
      <c r="P596" t="n">
        <v>0</v>
      </c>
      <c r="Q596" t="n">
        <v>3</v>
      </c>
      <c r="R596" s="2" t="inlineStr">
        <is>
          <t>Gammelgransskål
Granticka
Tretåig hackspett</t>
        </is>
      </c>
      <c r="S596">
        <f>HYPERLINK("https://klasma.github.io/Logging_2284/artfynd/A 47567-2024 artfynd.xlsx", "A 47567-2024")</f>
        <v/>
      </c>
      <c r="T596">
        <f>HYPERLINK("https://klasma.github.io/Logging_2284/kartor/A 47567-2024 karta.png", "A 47567-2024")</f>
        <v/>
      </c>
      <c r="V596">
        <f>HYPERLINK("https://klasma.github.io/Logging_2284/klagomål/A 47567-2024 FSC-klagomål.docx", "A 47567-2024")</f>
        <v/>
      </c>
      <c r="W596">
        <f>HYPERLINK("https://klasma.github.io/Logging_2284/klagomålsmail/A 47567-2024 FSC-klagomål mail.docx", "A 47567-2024")</f>
        <v/>
      </c>
      <c r="X596">
        <f>HYPERLINK("https://klasma.github.io/Logging_2284/tillsyn/A 47567-2024 tillsynsbegäran.docx", "A 47567-2024")</f>
        <v/>
      </c>
      <c r="Y596">
        <f>HYPERLINK("https://klasma.github.io/Logging_2284/tillsynsmail/A 47567-2024 tillsynsbegäran mail.docx", "A 47567-2024")</f>
        <v/>
      </c>
      <c r="Z596">
        <f>HYPERLINK("https://klasma.github.io/Logging_2284/fåglar/A 47567-2024 prioriterade fågelarter.docx", "A 47567-2024")</f>
        <v/>
      </c>
    </row>
    <row r="597" ht="15" customHeight="1">
      <c r="A597" t="inlineStr">
        <is>
          <t>A 60864-2023</t>
        </is>
      </c>
      <c r="B597" s="1" t="n">
        <v>45260</v>
      </c>
      <c r="C597" s="1" t="n">
        <v>46185</v>
      </c>
      <c r="D597" t="inlineStr">
        <is>
          <t>VÄSTERNORRLANDS LÄN</t>
        </is>
      </c>
      <c r="E597" t="inlineStr">
        <is>
          <t>SUNDSVALL</t>
        </is>
      </c>
      <c r="F597" t="inlineStr">
        <is>
          <t>SCA</t>
        </is>
      </c>
      <c r="G597" t="n">
        <v>0.9</v>
      </c>
      <c r="H597" t="n">
        <v>1</v>
      </c>
      <c r="I597" t="n">
        <v>2</v>
      </c>
      <c r="J597" t="n">
        <v>1</v>
      </c>
      <c r="K597" t="n">
        <v>0</v>
      </c>
      <c r="L597" t="n">
        <v>0</v>
      </c>
      <c r="M597" t="n">
        <v>0</v>
      </c>
      <c r="N597" t="n">
        <v>0</v>
      </c>
      <c r="O597" t="n">
        <v>1</v>
      </c>
      <c r="P597" t="n">
        <v>0</v>
      </c>
      <c r="Q597" t="n">
        <v>3</v>
      </c>
      <c r="R597" s="2" t="inlineStr">
        <is>
          <t>Tretåig hackspett
Dropptaggsvamp
Vedticka</t>
        </is>
      </c>
      <c r="S597">
        <f>HYPERLINK("https://klasma.github.io/Logging_2281/artfynd/A 60864-2023 artfynd.xlsx", "A 60864-2023")</f>
        <v/>
      </c>
      <c r="T597">
        <f>HYPERLINK("https://klasma.github.io/Logging_2281/kartor/A 60864-2023 karta.png", "A 60864-2023")</f>
        <v/>
      </c>
      <c r="V597">
        <f>HYPERLINK("https://klasma.github.io/Logging_2281/klagomål/A 60864-2023 FSC-klagomål.docx", "A 60864-2023")</f>
        <v/>
      </c>
      <c r="W597">
        <f>HYPERLINK("https://klasma.github.io/Logging_2281/klagomålsmail/A 60864-2023 FSC-klagomål mail.docx", "A 60864-2023")</f>
        <v/>
      </c>
      <c r="X597">
        <f>HYPERLINK("https://klasma.github.io/Logging_2281/tillsyn/A 60864-2023 tillsynsbegäran.docx", "A 60864-2023")</f>
        <v/>
      </c>
      <c r="Y597">
        <f>HYPERLINK("https://klasma.github.io/Logging_2281/tillsynsmail/A 60864-2023 tillsynsbegäran mail.docx", "A 60864-2023")</f>
        <v/>
      </c>
      <c r="Z597">
        <f>HYPERLINK("https://klasma.github.io/Logging_2281/fåglar/A 60864-2023 prioriterade fågelarter.docx", "A 60864-2023")</f>
        <v/>
      </c>
    </row>
    <row r="598" ht="15" customHeight="1">
      <c r="A598" t="inlineStr">
        <is>
          <t>A 39179-2024</t>
        </is>
      </c>
      <c r="B598" s="1" t="n">
        <v>45548.65703703704</v>
      </c>
      <c r="C598" s="1" t="n">
        <v>46185</v>
      </c>
      <c r="D598" t="inlineStr">
        <is>
          <t>VÄSTERNORRLANDS LÄN</t>
        </is>
      </c>
      <c r="E598" t="inlineStr">
        <is>
          <t>ÅNGE</t>
        </is>
      </c>
      <c r="F598" t="inlineStr">
        <is>
          <t>SCA</t>
        </is>
      </c>
      <c r="G598" t="n">
        <v>4.2</v>
      </c>
      <c r="H598" t="n">
        <v>1</v>
      </c>
      <c r="I598" t="n">
        <v>2</v>
      </c>
      <c r="J598" t="n">
        <v>1</v>
      </c>
      <c r="K598" t="n">
        <v>0</v>
      </c>
      <c r="L598" t="n">
        <v>0</v>
      </c>
      <c r="M598" t="n">
        <v>0</v>
      </c>
      <c r="N598" t="n">
        <v>0</v>
      </c>
      <c r="O598" t="n">
        <v>1</v>
      </c>
      <c r="P598" t="n">
        <v>0</v>
      </c>
      <c r="Q598" t="n">
        <v>3</v>
      </c>
      <c r="R598" s="2" t="inlineStr">
        <is>
          <t>Rosenticka
Fjällig taggsvamp s.str.
Spindelblomster</t>
        </is>
      </c>
      <c r="S598">
        <f>HYPERLINK("https://klasma.github.io/Logging_2260/artfynd/A 39179-2024 artfynd.xlsx", "A 39179-2024")</f>
        <v/>
      </c>
      <c r="T598">
        <f>HYPERLINK("https://klasma.github.io/Logging_2260/kartor/A 39179-2024 karta.png", "A 39179-2024")</f>
        <v/>
      </c>
      <c r="V598">
        <f>HYPERLINK("https://klasma.github.io/Logging_2260/klagomål/A 39179-2024 FSC-klagomål.docx", "A 39179-2024")</f>
        <v/>
      </c>
      <c r="W598">
        <f>HYPERLINK("https://klasma.github.io/Logging_2260/klagomålsmail/A 39179-2024 FSC-klagomål mail.docx", "A 39179-2024")</f>
        <v/>
      </c>
      <c r="X598">
        <f>HYPERLINK("https://klasma.github.io/Logging_2260/tillsyn/A 39179-2024 tillsynsbegäran.docx", "A 39179-2024")</f>
        <v/>
      </c>
      <c r="Y598">
        <f>HYPERLINK("https://klasma.github.io/Logging_2260/tillsynsmail/A 39179-2024 tillsynsbegäran mail.docx", "A 39179-2024")</f>
        <v/>
      </c>
    </row>
    <row r="599" ht="15" customHeight="1">
      <c r="A599" t="inlineStr">
        <is>
          <t>A 39708-2024</t>
        </is>
      </c>
      <c r="B599" s="1" t="n">
        <v>45552.59408564815</v>
      </c>
      <c r="C599" s="1" t="n">
        <v>46185</v>
      </c>
      <c r="D599" t="inlineStr">
        <is>
          <t>VÄSTERNORRLANDS LÄN</t>
        </is>
      </c>
      <c r="E599" t="inlineStr">
        <is>
          <t>ÅNGE</t>
        </is>
      </c>
      <c r="F599" t="inlineStr">
        <is>
          <t>SCA</t>
        </is>
      </c>
      <c r="G599" t="n">
        <v>6.2</v>
      </c>
      <c r="H599" t="n">
        <v>0</v>
      </c>
      <c r="I599" t="n">
        <v>0</v>
      </c>
      <c r="J599" t="n">
        <v>3</v>
      </c>
      <c r="K599" t="n">
        <v>0</v>
      </c>
      <c r="L599" t="n">
        <v>0</v>
      </c>
      <c r="M599" t="n">
        <v>0</v>
      </c>
      <c r="N599" t="n">
        <v>0</v>
      </c>
      <c r="O599" t="n">
        <v>3</v>
      </c>
      <c r="P599" t="n">
        <v>0</v>
      </c>
      <c r="Q599" t="n">
        <v>3</v>
      </c>
      <c r="R599" s="2" t="inlineStr">
        <is>
          <t>Granticka
Ullticka
Vitgrynig nållav</t>
        </is>
      </c>
      <c r="S599">
        <f>HYPERLINK("https://klasma.github.io/Logging_2260/artfynd/A 39708-2024 artfynd.xlsx", "A 39708-2024")</f>
        <v/>
      </c>
      <c r="T599">
        <f>HYPERLINK("https://klasma.github.io/Logging_2260/kartor/A 39708-2024 karta.png", "A 39708-2024")</f>
        <v/>
      </c>
      <c r="V599">
        <f>HYPERLINK("https://klasma.github.io/Logging_2260/klagomål/A 39708-2024 FSC-klagomål.docx", "A 39708-2024")</f>
        <v/>
      </c>
      <c r="W599">
        <f>HYPERLINK("https://klasma.github.io/Logging_2260/klagomålsmail/A 39708-2024 FSC-klagomål mail.docx", "A 39708-2024")</f>
        <v/>
      </c>
      <c r="X599">
        <f>HYPERLINK("https://klasma.github.io/Logging_2260/tillsyn/A 39708-2024 tillsynsbegäran.docx", "A 39708-2024")</f>
        <v/>
      </c>
      <c r="Y599">
        <f>HYPERLINK("https://klasma.github.io/Logging_2260/tillsynsmail/A 39708-2024 tillsynsbegäran mail.docx", "A 39708-2024")</f>
        <v/>
      </c>
    </row>
    <row r="600" ht="15" customHeight="1">
      <c r="A600" t="inlineStr">
        <is>
          <t>A 31212-2025</t>
        </is>
      </c>
      <c r="B600" s="1" t="n">
        <v>45832.71978009259</v>
      </c>
      <c r="C600" s="1" t="n">
        <v>46185</v>
      </c>
      <c r="D600" t="inlineStr">
        <is>
          <t>VÄSTERNORRLANDS LÄN</t>
        </is>
      </c>
      <c r="E600" t="inlineStr">
        <is>
          <t>ÅNGE</t>
        </is>
      </c>
      <c r="F600" t="inlineStr">
        <is>
          <t>SCA</t>
        </is>
      </c>
      <c r="G600" t="n">
        <v>1.6</v>
      </c>
      <c r="H600" t="n">
        <v>0</v>
      </c>
      <c r="I600" t="n">
        <v>2</v>
      </c>
      <c r="J600" t="n">
        <v>1</v>
      </c>
      <c r="K600" t="n">
        <v>0</v>
      </c>
      <c r="L600" t="n">
        <v>0</v>
      </c>
      <c r="M600" t="n">
        <v>0</v>
      </c>
      <c r="N600" t="n">
        <v>0</v>
      </c>
      <c r="O600" t="n">
        <v>1</v>
      </c>
      <c r="P600" t="n">
        <v>0</v>
      </c>
      <c r="Q600" t="n">
        <v>3</v>
      </c>
      <c r="R600" s="2" t="inlineStr">
        <is>
          <t>Ullticka
Barkticka
Korallblylav</t>
        </is>
      </c>
      <c r="S600">
        <f>HYPERLINK("https://klasma.github.io/Logging_2260/artfynd/A 31212-2025 artfynd.xlsx", "A 31212-2025")</f>
        <v/>
      </c>
      <c r="T600">
        <f>HYPERLINK("https://klasma.github.io/Logging_2260/kartor/A 31212-2025 karta.png", "A 31212-2025")</f>
        <v/>
      </c>
      <c r="V600">
        <f>HYPERLINK("https://klasma.github.io/Logging_2260/klagomål/A 31212-2025 FSC-klagomål.docx", "A 31212-2025")</f>
        <v/>
      </c>
      <c r="W600">
        <f>HYPERLINK("https://klasma.github.io/Logging_2260/klagomålsmail/A 31212-2025 FSC-klagomål mail.docx", "A 31212-2025")</f>
        <v/>
      </c>
      <c r="X600">
        <f>HYPERLINK("https://klasma.github.io/Logging_2260/tillsyn/A 31212-2025 tillsynsbegäran.docx", "A 31212-2025")</f>
        <v/>
      </c>
      <c r="Y600">
        <f>HYPERLINK("https://klasma.github.io/Logging_2260/tillsynsmail/A 31212-2025 tillsynsbegäran mail.docx", "A 31212-2025")</f>
        <v/>
      </c>
    </row>
    <row r="601" ht="15" customHeight="1">
      <c r="A601" t="inlineStr">
        <is>
          <t>A 41868-2025</t>
        </is>
      </c>
      <c r="B601" s="1" t="n">
        <v>45903.34429398148</v>
      </c>
      <c r="C601" s="1" t="n">
        <v>46185</v>
      </c>
      <c r="D601" t="inlineStr">
        <is>
          <t>VÄSTERNORRLANDS LÄN</t>
        </is>
      </c>
      <c r="E601" t="inlineStr">
        <is>
          <t>ÅNGE</t>
        </is>
      </c>
      <c r="F601" t="inlineStr">
        <is>
          <t>SCA</t>
        </is>
      </c>
      <c r="G601" t="n">
        <v>5.4</v>
      </c>
      <c r="H601" t="n">
        <v>2</v>
      </c>
      <c r="I601" t="n">
        <v>1</v>
      </c>
      <c r="J601" t="n">
        <v>1</v>
      </c>
      <c r="K601" t="n">
        <v>0</v>
      </c>
      <c r="L601" t="n">
        <v>0</v>
      </c>
      <c r="M601" t="n">
        <v>0</v>
      </c>
      <c r="N601" t="n">
        <v>0</v>
      </c>
      <c r="O601" t="n">
        <v>1</v>
      </c>
      <c r="P601" t="n">
        <v>0</v>
      </c>
      <c r="Q601" t="n">
        <v>3</v>
      </c>
      <c r="R601" s="2" t="inlineStr">
        <is>
          <t>Garnlav
Spindelblomster
Revlummer</t>
        </is>
      </c>
      <c r="S601">
        <f>HYPERLINK("https://klasma.github.io/Logging_2260/artfynd/A 41868-2025 artfynd.xlsx", "A 41868-2025")</f>
        <v/>
      </c>
      <c r="T601">
        <f>HYPERLINK("https://klasma.github.io/Logging_2260/kartor/A 41868-2025 karta.png", "A 41868-2025")</f>
        <v/>
      </c>
      <c r="V601">
        <f>HYPERLINK("https://klasma.github.io/Logging_2260/klagomål/A 41868-2025 FSC-klagomål.docx", "A 41868-2025")</f>
        <v/>
      </c>
      <c r="W601">
        <f>HYPERLINK("https://klasma.github.io/Logging_2260/klagomålsmail/A 41868-2025 FSC-klagomål mail.docx", "A 41868-2025")</f>
        <v/>
      </c>
      <c r="X601">
        <f>HYPERLINK("https://klasma.github.io/Logging_2260/tillsyn/A 41868-2025 tillsynsbegäran.docx", "A 41868-2025")</f>
        <v/>
      </c>
      <c r="Y601">
        <f>HYPERLINK("https://klasma.github.io/Logging_2260/tillsynsmail/A 41868-2025 tillsynsbegäran mail.docx", "A 41868-2025")</f>
        <v/>
      </c>
    </row>
    <row r="602" ht="15" customHeight="1">
      <c r="A602" t="inlineStr">
        <is>
          <t>A 43319-2025</t>
        </is>
      </c>
      <c r="B602" s="1" t="n">
        <v>45910.65681712963</v>
      </c>
      <c r="C602" s="1" t="n">
        <v>46185</v>
      </c>
      <c r="D602" t="inlineStr">
        <is>
          <t>VÄSTERNORRLANDS LÄN</t>
        </is>
      </c>
      <c r="E602" t="inlineStr">
        <is>
          <t>ÅNGE</t>
        </is>
      </c>
      <c r="F602" t="inlineStr">
        <is>
          <t>SCA</t>
        </is>
      </c>
      <c r="G602" t="n">
        <v>6.6</v>
      </c>
      <c r="H602" t="n">
        <v>0</v>
      </c>
      <c r="I602" t="n">
        <v>1</v>
      </c>
      <c r="J602" t="n">
        <v>2</v>
      </c>
      <c r="K602" t="n">
        <v>0</v>
      </c>
      <c r="L602" t="n">
        <v>0</v>
      </c>
      <c r="M602" t="n">
        <v>0</v>
      </c>
      <c r="N602" t="n">
        <v>0</v>
      </c>
      <c r="O602" t="n">
        <v>2</v>
      </c>
      <c r="P602" t="n">
        <v>0</v>
      </c>
      <c r="Q602" t="n">
        <v>3</v>
      </c>
      <c r="R602" s="2" t="inlineStr">
        <is>
          <t>Ullticka
Violettgrå tagellav
Korallblylav</t>
        </is>
      </c>
      <c r="S602">
        <f>HYPERLINK("https://klasma.github.io/Logging_2260/artfynd/A 43319-2025 artfynd.xlsx", "A 43319-2025")</f>
        <v/>
      </c>
      <c r="T602">
        <f>HYPERLINK("https://klasma.github.io/Logging_2260/kartor/A 43319-2025 karta.png", "A 43319-2025")</f>
        <v/>
      </c>
      <c r="V602">
        <f>HYPERLINK("https://klasma.github.io/Logging_2260/klagomål/A 43319-2025 FSC-klagomål.docx", "A 43319-2025")</f>
        <v/>
      </c>
      <c r="W602">
        <f>HYPERLINK("https://klasma.github.io/Logging_2260/klagomålsmail/A 43319-2025 FSC-klagomål mail.docx", "A 43319-2025")</f>
        <v/>
      </c>
      <c r="X602">
        <f>HYPERLINK("https://klasma.github.io/Logging_2260/tillsyn/A 43319-2025 tillsynsbegäran.docx", "A 43319-2025")</f>
        <v/>
      </c>
      <c r="Y602">
        <f>HYPERLINK("https://klasma.github.io/Logging_2260/tillsynsmail/A 43319-2025 tillsynsbegäran mail.docx", "A 43319-2025")</f>
        <v/>
      </c>
    </row>
    <row r="603" ht="15" customHeight="1">
      <c r="A603" t="inlineStr">
        <is>
          <t>A 32364-2025</t>
        </is>
      </c>
      <c r="B603" s="1" t="n">
        <v>45837.6565625</v>
      </c>
      <c r="C603" s="1" t="n">
        <v>46185</v>
      </c>
      <c r="D603" t="inlineStr">
        <is>
          <t>VÄSTERNORRLANDS LÄN</t>
        </is>
      </c>
      <c r="E603" t="inlineStr">
        <is>
          <t>TIMRÅ</t>
        </is>
      </c>
      <c r="F603" t="inlineStr">
        <is>
          <t>SCA</t>
        </is>
      </c>
      <c r="G603" t="n">
        <v>4.1</v>
      </c>
      <c r="H603" t="n">
        <v>0</v>
      </c>
      <c r="I603" t="n">
        <v>0</v>
      </c>
      <c r="J603" t="n">
        <v>3</v>
      </c>
      <c r="K603" t="n">
        <v>0</v>
      </c>
      <c r="L603" t="n">
        <v>0</v>
      </c>
      <c r="M603" t="n">
        <v>0</v>
      </c>
      <c r="N603" t="n">
        <v>0</v>
      </c>
      <c r="O603" t="n">
        <v>3</v>
      </c>
      <c r="P603" t="n">
        <v>0</v>
      </c>
      <c r="Q603" t="n">
        <v>3</v>
      </c>
      <c r="R603" s="2" t="inlineStr">
        <is>
          <t>Doftskinn
Gammelgransskål
Garnlav</t>
        </is>
      </c>
      <c r="S603">
        <f>HYPERLINK("https://klasma.github.io/Logging_2262/artfynd/A 32364-2025 artfynd.xlsx", "A 32364-2025")</f>
        <v/>
      </c>
      <c r="T603">
        <f>HYPERLINK("https://klasma.github.io/Logging_2262/kartor/A 32364-2025 karta.png", "A 32364-2025")</f>
        <v/>
      </c>
      <c r="V603">
        <f>HYPERLINK("https://klasma.github.io/Logging_2262/klagomål/A 32364-2025 FSC-klagomål.docx", "A 32364-2025")</f>
        <v/>
      </c>
      <c r="W603">
        <f>HYPERLINK("https://klasma.github.io/Logging_2262/klagomålsmail/A 32364-2025 FSC-klagomål mail.docx", "A 32364-2025")</f>
        <v/>
      </c>
      <c r="X603">
        <f>HYPERLINK("https://klasma.github.io/Logging_2262/tillsyn/A 32364-2025 tillsynsbegäran.docx", "A 32364-2025")</f>
        <v/>
      </c>
      <c r="Y603">
        <f>HYPERLINK("https://klasma.github.io/Logging_2262/tillsynsmail/A 32364-2025 tillsynsbegäran mail.docx", "A 32364-2025")</f>
        <v/>
      </c>
    </row>
    <row r="604" ht="15" customHeight="1">
      <c r="A604" t="inlineStr">
        <is>
          <t>A 43279-2025</t>
        </is>
      </c>
      <c r="B604" s="1" t="n">
        <v>45910.59446759259</v>
      </c>
      <c r="C604" s="1" t="n">
        <v>46185</v>
      </c>
      <c r="D604" t="inlineStr">
        <is>
          <t>VÄSTERNORRLANDS LÄN</t>
        </is>
      </c>
      <c r="E604" t="inlineStr">
        <is>
          <t>SOLLEFTEÅ</t>
        </is>
      </c>
      <c r="F604" t="inlineStr">
        <is>
          <t>SCA</t>
        </is>
      </c>
      <c r="G604" t="n">
        <v>1.7</v>
      </c>
      <c r="H604" t="n">
        <v>0</v>
      </c>
      <c r="I604" t="n">
        <v>1</v>
      </c>
      <c r="J604" t="n">
        <v>2</v>
      </c>
      <c r="K604" t="n">
        <v>0</v>
      </c>
      <c r="L604" t="n">
        <v>0</v>
      </c>
      <c r="M604" t="n">
        <v>0</v>
      </c>
      <c r="N604" t="n">
        <v>0</v>
      </c>
      <c r="O604" t="n">
        <v>2</v>
      </c>
      <c r="P604" t="n">
        <v>0</v>
      </c>
      <c r="Q604" t="n">
        <v>3</v>
      </c>
      <c r="R604" s="2" t="inlineStr">
        <is>
          <t>Garnlav
Orange taggsvamp
Dropptaggsvamp</t>
        </is>
      </c>
      <c r="S604">
        <f>HYPERLINK("https://klasma.github.io/Logging_2283/artfynd/A 43279-2025 artfynd.xlsx", "A 43279-2025")</f>
        <v/>
      </c>
      <c r="T604">
        <f>HYPERLINK("https://klasma.github.io/Logging_2283/kartor/A 43279-2025 karta.png", "A 43279-2025")</f>
        <v/>
      </c>
      <c r="V604">
        <f>HYPERLINK("https://klasma.github.io/Logging_2283/klagomål/A 43279-2025 FSC-klagomål.docx", "A 43279-2025")</f>
        <v/>
      </c>
      <c r="W604">
        <f>HYPERLINK("https://klasma.github.io/Logging_2283/klagomålsmail/A 43279-2025 FSC-klagomål mail.docx", "A 43279-2025")</f>
        <v/>
      </c>
      <c r="X604">
        <f>HYPERLINK("https://klasma.github.io/Logging_2283/tillsyn/A 43279-2025 tillsynsbegäran.docx", "A 43279-2025")</f>
        <v/>
      </c>
      <c r="Y604">
        <f>HYPERLINK("https://klasma.github.io/Logging_2283/tillsynsmail/A 43279-2025 tillsynsbegäran mail.docx", "A 43279-2025")</f>
        <v/>
      </c>
    </row>
    <row r="605" ht="15" customHeight="1">
      <c r="A605" t="inlineStr">
        <is>
          <t>A 33759-2025</t>
        </is>
      </c>
      <c r="B605" s="1" t="n">
        <v>45842.38101851852</v>
      </c>
      <c r="C605" s="1" t="n">
        <v>46185</v>
      </c>
      <c r="D605" t="inlineStr">
        <is>
          <t>VÄSTERNORRLANDS LÄN</t>
        </is>
      </c>
      <c r="E605" t="inlineStr">
        <is>
          <t>ÖRNSKÖLDSVIK</t>
        </is>
      </c>
      <c r="F605" t="inlineStr">
        <is>
          <t>Holmen skog AB</t>
        </is>
      </c>
      <c r="G605" t="n">
        <v>23.1</v>
      </c>
      <c r="H605" t="n">
        <v>0</v>
      </c>
      <c r="I605" t="n">
        <v>1</v>
      </c>
      <c r="J605" t="n">
        <v>2</v>
      </c>
      <c r="K605" t="n">
        <v>0</v>
      </c>
      <c r="L605" t="n">
        <v>0</v>
      </c>
      <c r="M605" t="n">
        <v>0</v>
      </c>
      <c r="N605" t="n">
        <v>0</v>
      </c>
      <c r="O605" t="n">
        <v>2</v>
      </c>
      <c r="P605" t="n">
        <v>0</v>
      </c>
      <c r="Q605" t="n">
        <v>3</v>
      </c>
      <c r="R605" s="2" t="inlineStr">
        <is>
          <t>Kolflarnlav
Lunglav
Stuplav</t>
        </is>
      </c>
      <c r="S605">
        <f>HYPERLINK("https://klasma.github.io/Logging_2284/artfynd/A 33759-2025 artfynd.xlsx", "A 33759-2025")</f>
        <v/>
      </c>
      <c r="T605">
        <f>HYPERLINK("https://klasma.github.io/Logging_2284/kartor/A 33759-2025 karta.png", "A 33759-2025")</f>
        <v/>
      </c>
      <c r="V605">
        <f>HYPERLINK("https://klasma.github.io/Logging_2284/klagomål/A 33759-2025 FSC-klagomål.docx", "A 33759-2025")</f>
        <v/>
      </c>
      <c r="W605">
        <f>HYPERLINK("https://klasma.github.io/Logging_2284/klagomålsmail/A 33759-2025 FSC-klagomål mail.docx", "A 33759-2025")</f>
        <v/>
      </c>
      <c r="X605">
        <f>HYPERLINK("https://klasma.github.io/Logging_2284/tillsyn/A 33759-2025 tillsynsbegäran.docx", "A 33759-2025")</f>
        <v/>
      </c>
      <c r="Y605">
        <f>HYPERLINK("https://klasma.github.io/Logging_2284/tillsynsmail/A 33759-2025 tillsynsbegäran mail.docx", "A 33759-2025")</f>
        <v/>
      </c>
    </row>
    <row r="606" ht="15" customHeight="1">
      <c r="A606" t="inlineStr">
        <is>
          <t>A 33806-2025</t>
        </is>
      </c>
      <c r="B606" s="1" t="n">
        <v>45842.44865740741</v>
      </c>
      <c r="C606" s="1" t="n">
        <v>46185</v>
      </c>
      <c r="D606" t="inlineStr">
        <is>
          <t>VÄSTERNORRLANDS LÄN</t>
        </is>
      </c>
      <c r="E606" t="inlineStr">
        <is>
          <t>ÅNGE</t>
        </is>
      </c>
      <c r="F606" t="inlineStr">
        <is>
          <t>SCA</t>
        </is>
      </c>
      <c r="G606" t="n">
        <v>24.6</v>
      </c>
      <c r="H606" t="n">
        <v>3</v>
      </c>
      <c r="I606" t="n">
        <v>1</v>
      </c>
      <c r="J606" t="n">
        <v>0</v>
      </c>
      <c r="K606" t="n">
        <v>1</v>
      </c>
      <c r="L606" t="n">
        <v>0</v>
      </c>
      <c r="M606" t="n">
        <v>0</v>
      </c>
      <c r="N606" t="n">
        <v>0</v>
      </c>
      <c r="O606" t="n">
        <v>1</v>
      </c>
      <c r="P606" t="n">
        <v>1</v>
      </c>
      <c r="Q606" t="n">
        <v>3</v>
      </c>
      <c r="R606" s="2" t="inlineStr">
        <is>
          <t>Knärot
Grönkulla
Nattviol</t>
        </is>
      </c>
      <c r="S606">
        <f>HYPERLINK("https://klasma.github.io/Logging_2260/artfynd/A 33806-2025 artfynd.xlsx", "A 33806-2025")</f>
        <v/>
      </c>
      <c r="T606">
        <f>HYPERLINK("https://klasma.github.io/Logging_2260/kartor/A 33806-2025 karta.png", "A 33806-2025")</f>
        <v/>
      </c>
      <c r="U606">
        <f>HYPERLINK("https://klasma.github.io/Logging_2260/knärot/A 33806-2025 karta knärot.png", "A 33806-2025")</f>
        <v/>
      </c>
      <c r="V606">
        <f>HYPERLINK("https://klasma.github.io/Logging_2260/klagomål/A 33806-2025 FSC-klagomål.docx", "A 33806-2025")</f>
        <v/>
      </c>
      <c r="W606">
        <f>HYPERLINK("https://klasma.github.io/Logging_2260/klagomålsmail/A 33806-2025 FSC-klagomål mail.docx", "A 33806-2025")</f>
        <v/>
      </c>
      <c r="X606">
        <f>HYPERLINK("https://klasma.github.io/Logging_2260/tillsyn/A 33806-2025 tillsynsbegäran.docx", "A 33806-2025")</f>
        <v/>
      </c>
      <c r="Y606">
        <f>HYPERLINK("https://klasma.github.io/Logging_2260/tillsynsmail/A 33806-2025 tillsynsbegäran mail.docx", "A 33806-2025")</f>
        <v/>
      </c>
    </row>
    <row r="607" ht="15" customHeight="1">
      <c r="A607" t="inlineStr">
        <is>
          <t>A 20841-2024</t>
        </is>
      </c>
      <c r="B607" s="1" t="n">
        <v>45439</v>
      </c>
      <c r="C607" s="1" t="n">
        <v>46185</v>
      </c>
      <c r="D607" t="inlineStr">
        <is>
          <t>VÄSTERNORRLANDS LÄN</t>
        </is>
      </c>
      <c r="E607" t="inlineStr">
        <is>
          <t>ÖRNSKÖLDSVIK</t>
        </is>
      </c>
      <c r="F607" t="inlineStr">
        <is>
          <t>Holmen skog AB</t>
        </is>
      </c>
      <c r="G607" t="n">
        <v>5.9</v>
      </c>
      <c r="H607" t="n">
        <v>0</v>
      </c>
      <c r="I607" t="n">
        <v>0</v>
      </c>
      <c r="J607" t="n">
        <v>3</v>
      </c>
      <c r="K607" t="n">
        <v>0</v>
      </c>
      <c r="L607" t="n">
        <v>0</v>
      </c>
      <c r="M607" t="n">
        <v>0</v>
      </c>
      <c r="N607" t="n">
        <v>0</v>
      </c>
      <c r="O607" t="n">
        <v>3</v>
      </c>
      <c r="P607" t="n">
        <v>0</v>
      </c>
      <c r="Q607" t="n">
        <v>3</v>
      </c>
      <c r="R607" s="2" t="inlineStr">
        <is>
          <t>Granticka
Lunglav
Tallticka</t>
        </is>
      </c>
      <c r="S607">
        <f>HYPERLINK("https://klasma.github.io/Logging_2284/artfynd/A 20841-2024 artfynd.xlsx", "A 20841-2024")</f>
        <v/>
      </c>
      <c r="T607">
        <f>HYPERLINK("https://klasma.github.io/Logging_2284/kartor/A 20841-2024 karta.png", "A 20841-2024")</f>
        <v/>
      </c>
      <c r="V607">
        <f>HYPERLINK("https://klasma.github.io/Logging_2284/klagomål/A 20841-2024 FSC-klagomål.docx", "A 20841-2024")</f>
        <v/>
      </c>
      <c r="W607">
        <f>HYPERLINK("https://klasma.github.io/Logging_2284/klagomålsmail/A 20841-2024 FSC-klagomål mail.docx", "A 20841-2024")</f>
        <v/>
      </c>
      <c r="X607">
        <f>HYPERLINK("https://klasma.github.io/Logging_2284/tillsyn/A 20841-2024 tillsynsbegäran.docx", "A 20841-2024")</f>
        <v/>
      </c>
      <c r="Y607">
        <f>HYPERLINK("https://klasma.github.io/Logging_2284/tillsynsmail/A 20841-2024 tillsynsbegäran mail.docx", "A 20841-2024")</f>
        <v/>
      </c>
    </row>
    <row r="608" ht="15" customHeight="1">
      <c r="A608" t="inlineStr">
        <is>
          <t>A 43880-2025</t>
        </is>
      </c>
      <c r="B608" s="1" t="n">
        <v>45912</v>
      </c>
      <c r="C608" s="1" t="n">
        <v>46185</v>
      </c>
      <c r="D608" t="inlineStr">
        <is>
          <t>VÄSTERNORRLANDS LÄN</t>
        </is>
      </c>
      <c r="E608" t="inlineStr">
        <is>
          <t>ÅNGE</t>
        </is>
      </c>
      <c r="F608" t="inlineStr">
        <is>
          <t>SCA</t>
        </is>
      </c>
      <c r="G608" t="n">
        <v>3.5</v>
      </c>
      <c r="H608" t="n">
        <v>1</v>
      </c>
      <c r="I608" t="n">
        <v>0</v>
      </c>
      <c r="J608" t="n">
        <v>3</v>
      </c>
      <c r="K608" t="n">
        <v>0</v>
      </c>
      <c r="L608" t="n">
        <v>0</v>
      </c>
      <c r="M608" t="n">
        <v>0</v>
      </c>
      <c r="N608" t="n">
        <v>0</v>
      </c>
      <c r="O608" t="n">
        <v>3</v>
      </c>
      <c r="P608" t="n">
        <v>0</v>
      </c>
      <c r="Q608" t="n">
        <v>3</v>
      </c>
      <c r="R608" s="2" t="inlineStr">
        <is>
          <t>Granticka
Tretåig hackspett
Vitgrynig nållav</t>
        </is>
      </c>
      <c r="S608">
        <f>HYPERLINK("https://klasma.github.io/Logging_2260/artfynd/A 43880-2025 artfynd.xlsx", "A 43880-2025")</f>
        <v/>
      </c>
      <c r="T608">
        <f>HYPERLINK("https://klasma.github.io/Logging_2260/kartor/A 43880-2025 karta.png", "A 43880-2025")</f>
        <v/>
      </c>
      <c r="V608">
        <f>HYPERLINK("https://klasma.github.io/Logging_2260/klagomål/A 43880-2025 FSC-klagomål.docx", "A 43880-2025")</f>
        <v/>
      </c>
      <c r="W608">
        <f>HYPERLINK("https://klasma.github.io/Logging_2260/klagomålsmail/A 43880-2025 FSC-klagomål mail.docx", "A 43880-2025")</f>
        <v/>
      </c>
      <c r="X608">
        <f>HYPERLINK("https://klasma.github.io/Logging_2260/tillsyn/A 43880-2025 tillsynsbegäran.docx", "A 43880-2025")</f>
        <v/>
      </c>
      <c r="Y608">
        <f>HYPERLINK("https://klasma.github.io/Logging_2260/tillsynsmail/A 43880-2025 tillsynsbegäran mail.docx", "A 43880-2025")</f>
        <v/>
      </c>
      <c r="Z608">
        <f>HYPERLINK("https://klasma.github.io/Logging_2260/fåglar/A 43880-2025 prioriterade fågelarter.docx", "A 43880-2025")</f>
        <v/>
      </c>
    </row>
    <row r="609" ht="15" customHeight="1">
      <c r="A609" t="inlineStr">
        <is>
          <t>A 22566-2022</t>
        </is>
      </c>
      <c r="B609" s="1" t="n">
        <v>44713.93861111111</v>
      </c>
      <c r="C609" s="1" t="n">
        <v>46185</v>
      </c>
      <c r="D609" t="inlineStr">
        <is>
          <t>VÄSTERNORRLANDS LÄN</t>
        </is>
      </c>
      <c r="E609" t="inlineStr">
        <is>
          <t>SUNDSVALL</t>
        </is>
      </c>
      <c r="F609" t="inlineStr">
        <is>
          <t>SCA</t>
        </is>
      </c>
      <c r="G609" t="n">
        <v>5.1</v>
      </c>
      <c r="H609" t="n">
        <v>2</v>
      </c>
      <c r="I609" t="n">
        <v>0</v>
      </c>
      <c r="J609" t="n">
        <v>2</v>
      </c>
      <c r="K609" t="n">
        <v>1</v>
      </c>
      <c r="L609" t="n">
        <v>0</v>
      </c>
      <c r="M609" t="n">
        <v>0</v>
      </c>
      <c r="N609" t="n">
        <v>0</v>
      </c>
      <c r="O609" t="n">
        <v>3</v>
      </c>
      <c r="P609" t="n">
        <v>1</v>
      </c>
      <c r="Q609" t="n">
        <v>3</v>
      </c>
      <c r="R609" s="2" t="inlineStr">
        <is>
          <t>Knärot
Lunglav
Tretåig hackspett</t>
        </is>
      </c>
      <c r="S609">
        <f>HYPERLINK("https://klasma.github.io/Logging_2281/artfynd/A 22566-2022 artfynd.xlsx", "A 22566-2022")</f>
        <v/>
      </c>
      <c r="T609">
        <f>HYPERLINK("https://klasma.github.io/Logging_2281/kartor/A 22566-2022 karta.png", "A 22566-2022")</f>
        <v/>
      </c>
      <c r="U609">
        <f>HYPERLINK("https://klasma.github.io/Logging_2281/knärot/A 22566-2022 karta knärot.png", "A 22566-2022")</f>
        <v/>
      </c>
      <c r="V609">
        <f>HYPERLINK("https://klasma.github.io/Logging_2281/klagomål/A 22566-2022 FSC-klagomål.docx", "A 22566-2022")</f>
        <v/>
      </c>
      <c r="W609">
        <f>HYPERLINK("https://klasma.github.io/Logging_2281/klagomålsmail/A 22566-2022 FSC-klagomål mail.docx", "A 22566-2022")</f>
        <v/>
      </c>
      <c r="X609">
        <f>HYPERLINK("https://klasma.github.io/Logging_2281/tillsyn/A 22566-2022 tillsynsbegäran.docx", "A 22566-2022")</f>
        <v/>
      </c>
      <c r="Y609">
        <f>HYPERLINK("https://klasma.github.io/Logging_2281/tillsynsmail/A 22566-2022 tillsynsbegäran mail.docx", "A 22566-2022")</f>
        <v/>
      </c>
      <c r="Z609">
        <f>HYPERLINK("https://klasma.github.io/Logging_2281/fåglar/A 22566-2022 prioriterade fågelarter.docx", "A 22566-2022")</f>
        <v/>
      </c>
    </row>
    <row r="610" ht="15" customHeight="1">
      <c r="A610" t="inlineStr">
        <is>
          <t>A 53852-2024</t>
        </is>
      </c>
      <c r="B610" s="1" t="n">
        <v>45615.63590277778</v>
      </c>
      <c r="C610" s="1" t="n">
        <v>46185</v>
      </c>
      <c r="D610" t="inlineStr">
        <is>
          <t>VÄSTERNORRLANDS LÄN</t>
        </is>
      </c>
      <c r="E610" t="inlineStr">
        <is>
          <t>SOLLEFTEÅ</t>
        </is>
      </c>
      <c r="F610" t="inlineStr">
        <is>
          <t>SCA</t>
        </is>
      </c>
      <c r="G610" t="n">
        <v>0.7</v>
      </c>
      <c r="H610" t="n">
        <v>1</v>
      </c>
      <c r="I610" t="n">
        <v>2</v>
      </c>
      <c r="J610" t="n">
        <v>1</v>
      </c>
      <c r="K610" t="n">
        <v>0</v>
      </c>
      <c r="L610" t="n">
        <v>0</v>
      </c>
      <c r="M610" t="n">
        <v>0</v>
      </c>
      <c r="N610" t="n">
        <v>0</v>
      </c>
      <c r="O610" t="n">
        <v>1</v>
      </c>
      <c r="P610" t="n">
        <v>0</v>
      </c>
      <c r="Q610" t="n">
        <v>3</v>
      </c>
      <c r="R610" s="2" t="inlineStr">
        <is>
          <t>Garnlav
Korallrot
Ögonpyrola</t>
        </is>
      </c>
      <c r="S610">
        <f>HYPERLINK("https://klasma.github.io/Logging_2283/artfynd/A 53852-2024 artfynd.xlsx", "A 53852-2024")</f>
        <v/>
      </c>
      <c r="T610">
        <f>HYPERLINK("https://klasma.github.io/Logging_2283/kartor/A 53852-2024 karta.png", "A 53852-2024")</f>
        <v/>
      </c>
      <c r="V610">
        <f>HYPERLINK("https://klasma.github.io/Logging_2283/klagomål/A 53852-2024 FSC-klagomål.docx", "A 53852-2024")</f>
        <v/>
      </c>
      <c r="W610">
        <f>HYPERLINK("https://klasma.github.io/Logging_2283/klagomålsmail/A 53852-2024 FSC-klagomål mail.docx", "A 53852-2024")</f>
        <v/>
      </c>
      <c r="X610">
        <f>HYPERLINK("https://klasma.github.io/Logging_2283/tillsyn/A 53852-2024 tillsynsbegäran.docx", "A 53852-2024")</f>
        <v/>
      </c>
      <c r="Y610">
        <f>HYPERLINK("https://klasma.github.io/Logging_2283/tillsynsmail/A 53852-2024 tillsynsbegäran mail.docx", "A 53852-2024")</f>
        <v/>
      </c>
    </row>
    <row r="611" ht="15" customHeight="1">
      <c r="A611" t="inlineStr">
        <is>
          <t>A 43251-2025</t>
        </is>
      </c>
      <c r="B611" s="1" t="n">
        <v>45910.55276620371</v>
      </c>
      <c r="C611" s="1" t="n">
        <v>46185</v>
      </c>
      <c r="D611" t="inlineStr">
        <is>
          <t>VÄSTERNORRLANDS LÄN</t>
        </is>
      </c>
      <c r="E611" t="inlineStr">
        <is>
          <t>HÄRNÖSAND</t>
        </is>
      </c>
      <c r="F611" t="inlineStr">
        <is>
          <t>SCA</t>
        </is>
      </c>
      <c r="G611" t="n">
        <v>4</v>
      </c>
      <c r="H611" t="n">
        <v>0</v>
      </c>
      <c r="I611" t="n">
        <v>0</v>
      </c>
      <c r="J611" t="n">
        <v>3</v>
      </c>
      <c r="K611" t="n">
        <v>0</v>
      </c>
      <c r="L611" t="n">
        <v>0</v>
      </c>
      <c r="M611" t="n">
        <v>0</v>
      </c>
      <c r="N611" t="n">
        <v>0</v>
      </c>
      <c r="O611" t="n">
        <v>3</v>
      </c>
      <c r="P611" t="n">
        <v>0</v>
      </c>
      <c r="Q611" t="n">
        <v>3</v>
      </c>
      <c r="R611" s="2" t="inlineStr">
        <is>
          <t>Gammelgransskål
Garnlav
Granticka</t>
        </is>
      </c>
      <c r="S611">
        <f>HYPERLINK("https://klasma.github.io/Logging_2280/artfynd/A 43251-2025 artfynd.xlsx", "A 43251-2025")</f>
        <v/>
      </c>
      <c r="T611">
        <f>HYPERLINK("https://klasma.github.io/Logging_2280/kartor/A 43251-2025 karta.png", "A 43251-2025")</f>
        <v/>
      </c>
      <c r="V611">
        <f>HYPERLINK("https://klasma.github.io/Logging_2280/klagomål/A 43251-2025 FSC-klagomål.docx", "A 43251-2025")</f>
        <v/>
      </c>
      <c r="W611">
        <f>HYPERLINK("https://klasma.github.io/Logging_2280/klagomålsmail/A 43251-2025 FSC-klagomål mail.docx", "A 43251-2025")</f>
        <v/>
      </c>
      <c r="X611">
        <f>HYPERLINK("https://klasma.github.io/Logging_2280/tillsyn/A 43251-2025 tillsynsbegäran.docx", "A 43251-2025")</f>
        <v/>
      </c>
      <c r="Y611">
        <f>HYPERLINK("https://klasma.github.io/Logging_2280/tillsynsmail/A 43251-2025 tillsynsbegäran mail.docx", "A 43251-2025")</f>
        <v/>
      </c>
    </row>
    <row r="612" ht="15" customHeight="1">
      <c r="A612" t="inlineStr">
        <is>
          <t>A 37184-2025</t>
        </is>
      </c>
      <c r="B612" s="1" t="n">
        <v>45875.63591435185</v>
      </c>
      <c r="C612" s="1" t="n">
        <v>46185</v>
      </c>
      <c r="D612" t="inlineStr">
        <is>
          <t>VÄSTERNORRLANDS LÄN</t>
        </is>
      </c>
      <c r="E612" t="inlineStr">
        <is>
          <t>ÅNGE</t>
        </is>
      </c>
      <c r="F612" t="inlineStr">
        <is>
          <t>SCA</t>
        </is>
      </c>
      <c r="G612" t="n">
        <v>2.5</v>
      </c>
      <c r="H612" t="n">
        <v>0</v>
      </c>
      <c r="I612" t="n">
        <v>0</v>
      </c>
      <c r="J612" t="n">
        <v>3</v>
      </c>
      <c r="K612" t="n">
        <v>0</v>
      </c>
      <c r="L612" t="n">
        <v>0</v>
      </c>
      <c r="M612" t="n">
        <v>0</v>
      </c>
      <c r="N612" t="n">
        <v>0</v>
      </c>
      <c r="O612" t="n">
        <v>3</v>
      </c>
      <c r="P612" t="n">
        <v>0</v>
      </c>
      <c r="Q612" t="n">
        <v>3</v>
      </c>
      <c r="R612" s="2" t="inlineStr">
        <is>
          <t>Granticka
Lunglav
Rosenticka</t>
        </is>
      </c>
      <c r="S612">
        <f>HYPERLINK("https://klasma.github.io/Logging_2260/artfynd/A 37184-2025 artfynd.xlsx", "A 37184-2025")</f>
        <v/>
      </c>
      <c r="T612">
        <f>HYPERLINK("https://klasma.github.io/Logging_2260/kartor/A 37184-2025 karta.png", "A 37184-2025")</f>
        <v/>
      </c>
      <c r="V612">
        <f>HYPERLINK("https://klasma.github.io/Logging_2260/klagomål/A 37184-2025 FSC-klagomål.docx", "A 37184-2025")</f>
        <v/>
      </c>
      <c r="W612">
        <f>HYPERLINK("https://klasma.github.io/Logging_2260/klagomålsmail/A 37184-2025 FSC-klagomål mail.docx", "A 37184-2025")</f>
        <v/>
      </c>
      <c r="X612">
        <f>HYPERLINK("https://klasma.github.io/Logging_2260/tillsyn/A 37184-2025 tillsynsbegäran.docx", "A 37184-2025")</f>
        <v/>
      </c>
      <c r="Y612">
        <f>HYPERLINK("https://klasma.github.io/Logging_2260/tillsynsmail/A 37184-2025 tillsynsbegäran mail.docx", "A 37184-2025")</f>
        <v/>
      </c>
    </row>
    <row r="613" ht="15" customHeight="1">
      <c r="A613" t="inlineStr">
        <is>
          <t>A 50259-2025</t>
        </is>
      </c>
      <c r="B613" s="1" t="n">
        <v>45944.34498842592</v>
      </c>
      <c r="C613" s="1" t="n">
        <v>46185</v>
      </c>
      <c r="D613" t="inlineStr">
        <is>
          <t>VÄSTERNORRLANDS LÄN</t>
        </is>
      </c>
      <c r="E613" t="inlineStr">
        <is>
          <t>ÅNGE</t>
        </is>
      </c>
      <c r="F613" t="inlineStr">
        <is>
          <t>SCA</t>
        </is>
      </c>
      <c r="G613" t="n">
        <v>1.7</v>
      </c>
      <c r="H613" t="n">
        <v>1</v>
      </c>
      <c r="I613" t="n">
        <v>1</v>
      </c>
      <c r="J613" t="n">
        <v>1</v>
      </c>
      <c r="K613" t="n">
        <v>0</v>
      </c>
      <c r="L613" t="n">
        <v>0</v>
      </c>
      <c r="M613" t="n">
        <v>0</v>
      </c>
      <c r="N613" t="n">
        <v>0</v>
      </c>
      <c r="O613" t="n">
        <v>1</v>
      </c>
      <c r="P613" t="n">
        <v>0</v>
      </c>
      <c r="Q613" t="n">
        <v>3</v>
      </c>
      <c r="R613" s="2" t="inlineStr">
        <is>
          <t>Lunglav
Bollvitmossa
Fläcknycklar</t>
        </is>
      </c>
      <c r="S613">
        <f>HYPERLINK("https://klasma.github.io/Logging_2260/artfynd/A 50259-2025 artfynd.xlsx", "A 50259-2025")</f>
        <v/>
      </c>
      <c r="T613">
        <f>HYPERLINK("https://klasma.github.io/Logging_2260/kartor/A 50259-2025 karta.png", "A 50259-2025")</f>
        <v/>
      </c>
      <c r="V613">
        <f>HYPERLINK("https://klasma.github.io/Logging_2260/klagomål/A 50259-2025 FSC-klagomål.docx", "A 50259-2025")</f>
        <v/>
      </c>
      <c r="W613">
        <f>HYPERLINK("https://klasma.github.io/Logging_2260/klagomålsmail/A 50259-2025 FSC-klagomål mail.docx", "A 50259-2025")</f>
        <v/>
      </c>
      <c r="X613">
        <f>HYPERLINK("https://klasma.github.io/Logging_2260/tillsyn/A 50259-2025 tillsynsbegäran.docx", "A 50259-2025")</f>
        <v/>
      </c>
      <c r="Y613">
        <f>HYPERLINK("https://klasma.github.io/Logging_2260/tillsynsmail/A 50259-2025 tillsynsbegäran mail.docx", "A 50259-2025")</f>
        <v/>
      </c>
    </row>
    <row r="614" ht="15" customHeight="1">
      <c r="A614" t="inlineStr">
        <is>
          <t>A 61676-2025</t>
        </is>
      </c>
      <c r="B614" s="1" t="n">
        <v>46002</v>
      </c>
      <c r="C614" s="1" t="n">
        <v>46185</v>
      </c>
      <c r="D614" t="inlineStr">
        <is>
          <t>VÄSTERNORRLANDS LÄN</t>
        </is>
      </c>
      <c r="E614" t="inlineStr">
        <is>
          <t>SOLLEFTEÅ</t>
        </is>
      </c>
      <c r="G614" t="n">
        <v>2.9</v>
      </c>
      <c r="H614" t="n">
        <v>1</v>
      </c>
      <c r="I614" t="n">
        <v>0</v>
      </c>
      <c r="J614" t="n">
        <v>3</v>
      </c>
      <c r="K614" t="n">
        <v>0</v>
      </c>
      <c r="L614" t="n">
        <v>0</v>
      </c>
      <c r="M614" t="n">
        <v>0</v>
      </c>
      <c r="N614" t="n">
        <v>0</v>
      </c>
      <c r="O614" t="n">
        <v>3</v>
      </c>
      <c r="P614" t="n">
        <v>0</v>
      </c>
      <c r="Q614" t="n">
        <v>3</v>
      </c>
      <c r="R614" s="2" t="inlineStr">
        <is>
          <t>Garnlav
Mörk kolflarnlav
Tretåig hackspett</t>
        </is>
      </c>
      <c r="S614">
        <f>HYPERLINK("https://klasma.github.io/Logging_2283/artfynd/A 61676-2025 artfynd.xlsx", "A 61676-2025")</f>
        <v/>
      </c>
      <c r="T614">
        <f>HYPERLINK("https://klasma.github.io/Logging_2283/kartor/A 61676-2025 karta.png", "A 61676-2025")</f>
        <v/>
      </c>
      <c r="V614">
        <f>HYPERLINK("https://klasma.github.io/Logging_2283/klagomål/A 61676-2025 FSC-klagomål.docx", "A 61676-2025")</f>
        <v/>
      </c>
      <c r="W614">
        <f>HYPERLINK("https://klasma.github.io/Logging_2283/klagomålsmail/A 61676-2025 FSC-klagomål mail.docx", "A 61676-2025")</f>
        <v/>
      </c>
      <c r="X614">
        <f>HYPERLINK("https://klasma.github.io/Logging_2283/tillsyn/A 61676-2025 tillsynsbegäran.docx", "A 61676-2025")</f>
        <v/>
      </c>
      <c r="Y614">
        <f>HYPERLINK("https://klasma.github.io/Logging_2283/tillsynsmail/A 61676-2025 tillsynsbegäran mail.docx", "A 61676-2025")</f>
        <v/>
      </c>
      <c r="Z614">
        <f>HYPERLINK("https://klasma.github.io/Logging_2283/fåglar/A 61676-2025 prioriterade fågelarter.docx", "A 61676-2025")</f>
        <v/>
      </c>
    </row>
    <row r="615" ht="15" customHeight="1">
      <c r="A615" t="inlineStr">
        <is>
          <t>A 4524-2026</t>
        </is>
      </c>
      <c r="B615" s="1" t="n">
        <v>46046.63605324074</v>
      </c>
      <c r="C615" s="1" t="n">
        <v>46185</v>
      </c>
      <c r="D615" t="inlineStr">
        <is>
          <t>VÄSTERNORRLANDS LÄN</t>
        </is>
      </c>
      <c r="E615" t="inlineStr">
        <is>
          <t>KRAMFORS</t>
        </is>
      </c>
      <c r="G615" t="n">
        <v>5.1</v>
      </c>
      <c r="H615" t="n">
        <v>1</v>
      </c>
      <c r="I615" t="n">
        <v>0</v>
      </c>
      <c r="J615" t="n">
        <v>3</v>
      </c>
      <c r="K615" t="n">
        <v>0</v>
      </c>
      <c r="L615" t="n">
        <v>0</v>
      </c>
      <c r="M615" t="n">
        <v>0</v>
      </c>
      <c r="N615" t="n">
        <v>0</v>
      </c>
      <c r="O615" t="n">
        <v>3</v>
      </c>
      <c r="P615" t="n">
        <v>0</v>
      </c>
      <c r="Q615" t="n">
        <v>3</v>
      </c>
      <c r="R615" s="2" t="inlineStr">
        <is>
          <t>Garnlav
Spillkråka
Ullticka</t>
        </is>
      </c>
      <c r="S615">
        <f>HYPERLINK("https://klasma.github.io/Logging_2282/artfynd/A 4524-2026 artfynd.xlsx", "A 4524-2026")</f>
        <v/>
      </c>
      <c r="T615">
        <f>HYPERLINK("https://klasma.github.io/Logging_2282/kartor/A 4524-2026 karta.png", "A 4524-2026")</f>
        <v/>
      </c>
      <c r="V615">
        <f>HYPERLINK("https://klasma.github.io/Logging_2282/klagomål/A 4524-2026 FSC-klagomål.docx", "A 4524-2026")</f>
        <v/>
      </c>
      <c r="W615">
        <f>HYPERLINK("https://klasma.github.io/Logging_2282/klagomålsmail/A 4524-2026 FSC-klagomål mail.docx", "A 4524-2026")</f>
        <v/>
      </c>
      <c r="X615">
        <f>HYPERLINK("https://klasma.github.io/Logging_2282/tillsyn/A 4524-2026 tillsynsbegäran.docx", "A 4524-2026")</f>
        <v/>
      </c>
      <c r="Y615">
        <f>HYPERLINK("https://klasma.github.io/Logging_2282/tillsynsmail/A 4524-2026 tillsynsbegäran mail.docx", "A 4524-2026")</f>
        <v/>
      </c>
      <c r="Z615">
        <f>HYPERLINK("https://klasma.github.io/Logging_2282/fåglar/A 4524-2026 prioriterade fågelarter.docx", "A 4524-2026")</f>
        <v/>
      </c>
    </row>
    <row r="616" ht="15" customHeight="1">
      <c r="A616" t="inlineStr">
        <is>
          <t>A 51372-2025</t>
        </is>
      </c>
      <c r="B616" s="1" t="n">
        <v>45950.44846064815</v>
      </c>
      <c r="C616" s="1" t="n">
        <v>46185</v>
      </c>
      <c r="D616" t="inlineStr">
        <is>
          <t>VÄSTERNORRLANDS LÄN</t>
        </is>
      </c>
      <c r="E616" t="inlineStr">
        <is>
          <t>SOLLEFTEÅ</t>
        </is>
      </c>
      <c r="F616" t="inlineStr">
        <is>
          <t>SCA</t>
        </is>
      </c>
      <c r="G616" t="n">
        <v>1.5</v>
      </c>
      <c r="H616" t="n">
        <v>0</v>
      </c>
      <c r="I616" t="n">
        <v>1</v>
      </c>
      <c r="J616" t="n">
        <v>2</v>
      </c>
      <c r="K616" t="n">
        <v>0</v>
      </c>
      <c r="L616" t="n">
        <v>0</v>
      </c>
      <c r="M616" t="n">
        <v>0</v>
      </c>
      <c r="N616" t="n">
        <v>0</v>
      </c>
      <c r="O616" t="n">
        <v>2</v>
      </c>
      <c r="P616" t="n">
        <v>0</v>
      </c>
      <c r="Q616" t="n">
        <v>3</v>
      </c>
      <c r="R616" s="2" t="inlineStr">
        <is>
          <t>Lunglav
Ullticka
Stuplav</t>
        </is>
      </c>
      <c r="S616">
        <f>HYPERLINK("https://klasma.github.io/Logging_2283/artfynd/A 51372-2025 artfynd.xlsx", "A 51372-2025")</f>
        <v/>
      </c>
      <c r="T616">
        <f>HYPERLINK("https://klasma.github.io/Logging_2283/kartor/A 51372-2025 karta.png", "A 51372-2025")</f>
        <v/>
      </c>
      <c r="V616">
        <f>HYPERLINK("https://klasma.github.io/Logging_2283/klagomål/A 51372-2025 FSC-klagomål.docx", "A 51372-2025")</f>
        <v/>
      </c>
      <c r="W616">
        <f>HYPERLINK("https://klasma.github.io/Logging_2283/klagomålsmail/A 51372-2025 FSC-klagomål mail.docx", "A 51372-2025")</f>
        <v/>
      </c>
      <c r="X616">
        <f>HYPERLINK("https://klasma.github.io/Logging_2283/tillsyn/A 51372-2025 tillsynsbegäran.docx", "A 51372-2025")</f>
        <v/>
      </c>
      <c r="Y616">
        <f>HYPERLINK("https://klasma.github.io/Logging_2283/tillsynsmail/A 51372-2025 tillsynsbegäran mail.docx", "A 51372-2025")</f>
        <v/>
      </c>
    </row>
    <row r="617" ht="15" customHeight="1">
      <c r="A617" t="inlineStr">
        <is>
          <t>A 56916-2025</t>
        </is>
      </c>
      <c r="B617" s="1" t="n">
        <v>45978</v>
      </c>
      <c r="C617" s="1" t="n">
        <v>46185</v>
      </c>
      <c r="D617" t="inlineStr">
        <is>
          <t>VÄSTERNORRLANDS LÄN</t>
        </is>
      </c>
      <c r="E617" t="inlineStr">
        <is>
          <t>TIMRÅ</t>
        </is>
      </c>
      <c r="G617" t="n">
        <v>1.3</v>
      </c>
      <c r="H617" t="n">
        <v>1</v>
      </c>
      <c r="I617" t="n">
        <v>0</v>
      </c>
      <c r="J617" t="n">
        <v>2</v>
      </c>
      <c r="K617" t="n">
        <v>1</v>
      </c>
      <c r="L617" t="n">
        <v>0</v>
      </c>
      <c r="M617" t="n">
        <v>0</v>
      </c>
      <c r="N617" t="n">
        <v>0</v>
      </c>
      <c r="O617" t="n">
        <v>3</v>
      </c>
      <c r="P617" t="n">
        <v>1</v>
      </c>
      <c r="Q617" t="n">
        <v>3</v>
      </c>
      <c r="R617" s="2" t="inlineStr">
        <is>
          <t>Vågticka
Mindre hackspett
Rödprick</t>
        </is>
      </c>
      <c r="S617">
        <f>HYPERLINK("https://klasma.github.io/Logging_2262/artfynd/A 56916-2025 artfynd.xlsx", "A 56916-2025")</f>
        <v/>
      </c>
      <c r="T617">
        <f>HYPERLINK("https://klasma.github.io/Logging_2262/kartor/A 56916-2025 karta.png", "A 56916-2025")</f>
        <v/>
      </c>
      <c r="V617">
        <f>HYPERLINK("https://klasma.github.io/Logging_2262/klagomål/A 56916-2025 FSC-klagomål.docx", "A 56916-2025")</f>
        <v/>
      </c>
      <c r="W617">
        <f>HYPERLINK("https://klasma.github.io/Logging_2262/klagomålsmail/A 56916-2025 FSC-klagomål mail.docx", "A 56916-2025")</f>
        <v/>
      </c>
      <c r="X617">
        <f>HYPERLINK("https://klasma.github.io/Logging_2262/tillsyn/A 56916-2025 tillsynsbegäran.docx", "A 56916-2025")</f>
        <v/>
      </c>
      <c r="Y617">
        <f>HYPERLINK("https://klasma.github.io/Logging_2262/tillsynsmail/A 56916-2025 tillsynsbegäran mail.docx", "A 56916-2025")</f>
        <v/>
      </c>
      <c r="Z617">
        <f>HYPERLINK("https://klasma.github.io/Logging_2262/fåglar/A 56916-2025 prioriterade fågelarter.docx", "A 56916-2025")</f>
        <v/>
      </c>
    </row>
    <row r="618" ht="15" customHeight="1">
      <c r="A618" t="inlineStr">
        <is>
          <t>A 24757-2024</t>
        </is>
      </c>
      <c r="B618" s="1" t="n">
        <v>45460.67375</v>
      </c>
      <c r="C618" s="1" t="n">
        <v>46185</v>
      </c>
      <c r="D618" t="inlineStr">
        <is>
          <t>VÄSTERNORRLANDS LÄN</t>
        </is>
      </c>
      <c r="E618" t="inlineStr">
        <is>
          <t>SOLLEFTEÅ</t>
        </is>
      </c>
      <c r="G618" t="n">
        <v>1.4</v>
      </c>
      <c r="H618" t="n">
        <v>1</v>
      </c>
      <c r="I618" t="n">
        <v>0</v>
      </c>
      <c r="J618" t="n">
        <v>2</v>
      </c>
      <c r="K618" t="n">
        <v>0</v>
      </c>
      <c r="L618" t="n">
        <v>0</v>
      </c>
      <c r="M618" t="n">
        <v>0</v>
      </c>
      <c r="N618" t="n">
        <v>0</v>
      </c>
      <c r="O618" t="n">
        <v>2</v>
      </c>
      <c r="P618" t="n">
        <v>0</v>
      </c>
      <c r="Q618" t="n">
        <v>3</v>
      </c>
      <c r="R618" s="2" t="inlineStr">
        <is>
          <t>Harticka
Lunglav
Revlummer</t>
        </is>
      </c>
      <c r="S618">
        <f>HYPERLINK("https://klasma.github.io/Logging_2283/artfynd/A 24757-2024 artfynd.xlsx", "A 24757-2024")</f>
        <v/>
      </c>
      <c r="T618">
        <f>HYPERLINK("https://klasma.github.io/Logging_2283/kartor/A 24757-2024 karta.png", "A 24757-2024")</f>
        <v/>
      </c>
      <c r="V618">
        <f>HYPERLINK("https://klasma.github.io/Logging_2283/klagomål/A 24757-2024 FSC-klagomål.docx", "A 24757-2024")</f>
        <v/>
      </c>
      <c r="W618">
        <f>HYPERLINK("https://klasma.github.io/Logging_2283/klagomålsmail/A 24757-2024 FSC-klagomål mail.docx", "A 24757-2024")</f>
        <v/>
      </c>
      <c r="X618">
        <f>HYPERLINK("https://klasma.github.io/Logging_2283/tillsyn/A 24757-2024 tillsynsbegäran.docx", "A 24757-2024")</f>
        <v/>
      </c>
      <c r="Y618">
        <f>HYPERLINK("https://klasma.github.io/Logging_2283/tillsynsmail/A 24757-2024 tillsynsbegäran mail.docx", "A 24757-2024")</f>
        <v/>
      </c>
    </row>
    <row r="619" ht="15" customHeight="1">
      <c r="A619" t="inlineStr">
        <is>
          <t>A 52937-2025</t>
        </is>
      </c>
      <c r="B619" s="1" t="n">
        <v>45957.63583333333</v>
      </c>
      <c r="C619" s="1" t="n">
        <v>46185</v>
      </c>
      <c r="D619" t="inlineStr">
        <is>
          <t>VÄSTERNORRLANDS LÄN</t>
        </is>
      </c>
      <c r="E619" t="inlineStr">
        <is>
          <t>KRAMFORS</t>
        </is>
      </c>
      <c r="F619" t="inlineStr">
        <is>
          <t>SCA</t>
        </is>
      </c>
      <c r="G619" t="n">
        <v>1.5</v>
      </c>
      <c r="H619" t="n">
        <v>0</v>
      </c>
      <c r="I619" t="n">
        <v>0</v>
      </c>
      <c r="J619" t="n">
        <v>3</v>
      </c>
      <c r="K619" t="n">
        <v>0</v>
      </c>
      <c r="L619" t="n">
        <v>0</v>
      </c>
      <c r="M619" t="n">
        <v>0</v>
      </c>
      <c r="N619" t="n">
        <v>0</v>
      </c>
      <c r="O619" t="n">
        <v>3</v>
      </c>
      <c r="P619" t="n">
        <v>0</v>
      </c>
      <c r="Q619" t="n">
        <v>3</v>
      </c>
      <c r="R619" s="2" t="inlineStr">
        <is>
          <t>Garnlav
Kortskaftad ärgspik
Vedflamlav</t>
        </is>
      </c>
      <c r="S619">
        <f>HYPERLINK("https://klasma.github.io/Logging_2282/artfynd/A 52937-2025 artfynd.xlsx", "A 52937-2025")</f>
        <v/>
      </c>
      <c r="T619">
        <f>HYPERLINK("https://klasma.github.io/Logging_2282/kartor/A 52937-2025 karta.png", "A 52937-2025")</f>
        <v/>
      </c>
      <c r="V619">
        <f>HYPERLINK("https://klasma.github.io/Logging_2282/klagomål/A 52937-2025 FSC-klagomål.docx", "A 52937-2025")</f>
        <v/>
      </c>
      <c r="W619">
        <f>HYPERLINK("https://klasma.github.io/Logging_2282/klagomålsmail/A 52937-2025 FSC-klagomål mail.docx", "A 52937-2025")</f>
        <v/>
      </c>
      <c r="X619">
        <f>HYPERLINK("https://klasma.github.io/Logging_2282/tillsyn/A 52937-2025 tillsynsbegäran.docx", "A 52937-2025")</f>
        <v/>
      </c>
      <c r="Y619">
        <f>HYPERLINK("https://klasma.github.io/Logging_2282/tillsynsmail/A 52937-2025 tillsynsbegäran mail.docx", "A 52937-2025")</f>
        <v/>
      </c>
    </row>
    <row r="620" ht="15" customHeight="1">
      <c r="A620" t="inlineStr">
        <is>
          <t>A 53710-2025</t>
        </is>
      </c>
      <c r="B620" s="1" t="n">
        <v>45960.6153125</v>
      </c>
      <c r="C620" s="1" t="n">
        <v>46185</v>
      </c>
      <c r="D620" t="inlineStr">
        <is>
          <t>VÄSTERNORRLANDS LÄN</t>
        </is>
      </c>
      <c r="E620" t="inlineStr">
        <is>
          <t>ÅNGE</t>
        </is>
      </c>
      <c r="F620" t="inlineStr">
        <is>
          <t>SCA</t>
        </is>
      </c>
      <c r="G620" t="n">
        <v>7.9</v>
      </c>
      <c r="H620" t="n">
        <v>1</v>
      </c>
      <c r="I620" t="n">
        <v>0</v>
      </c>
      <c r="J620" t="n">
        <v>3</v>
      </c>
      <c r="K620" t="n">
        <v>0</v>
      </c>
      <c r="L620" t="n">
        <v>0</v>
      </c>
      <c r="M620" t="n">
        <v>0</v>
      </c>
      <c r="N620" t="n">
        <v>0</v>
      </c>
      <c r="O620" t="n">
        <v>3</v>
      </c>
      <c r="P620" t="n">
        <v>0</v>
      </c>
      <c r="Q620" t="n">
        <v>3</v>
      </c>
      <c r="R620" s="2" t="inlineStr">
        <is>
          <t>Kolflarnlav
Spillkråka
Vedskivlav</t>
        </is>
      </c>
      <c r="S620">
        <f>HYPERLINK("https://klasma.github.io/Logging_2260/artfynd/A 53710-2025 artfynd.xlsx", "A 53710-2025")</f>
        <v/>
      </c>
      <c r="T620">
        <f>HYPERLINK("https://klasma.github.io/Logging_2260/kartor/A 53710-2025 karta.png", "A 53710-2025")</f>
        <v/>
      </c>
      <c r="V620">
        <f>HYPERLINK("https://klasma.github.io/Logging_2260/klagomål/A 53710-2025 FSC-klagomål.docx", "A 53710-2025")</f>
        <v/>
      </c>
      <c r="W620">
        <f>HYPERLINK("https://klasma.github.io/Logging_2260/klagomålsmail/A 53710-2025 FSC-klagomål mail.docx", "A 53710-2025")</f>
        <v/>
      </c>
      <c r="X620">
        <f>HYPERLINK("https://klasma.github.io/Logging_2260/tillsyn/A 53710-2025 tillsynsbegäran.docx", "A 53710-2025")</f>
        <v/>
      </c>
      <c r="Y620">
        <f>HYPERLINK("https://klasma.github.io/Logging_2260/tillsynsmail/A 53710-2025 tillsynsbegäran mail.docx", "A 53710-2025")</f>
        <v/>
      </c>
      <c r="Z620">
        <f>HYPERLINK("https://klasma.github.io/Logging_2260/fåglar/A 53710-2025 prioriterade fågelarter.docx", "A 53710-2025")</f>
        <v/>
      </c>
    </row>
    <row r="621" ht="15" customHeight="1">
      <c r="A621" t="inlineStr">
        <is>
          <t>A 8077-2025</t>
        </is>
      </c>
      <c r="B621" s="1" t="n">
        <v>45707.65659722222</v>
      </c>
      <c r="C621" s="1" t="n">
        <v>46185</v>
      </c>
      <c r="D621" t="inlineStr">
        <is>
          <t>VÄSTERNORRLANDS LÄN</t>
        </is>
      </c>
      <c r="E621" t="inlineStr">
        <is>
          <t>SOLLEFTEÅ</t>
        </is>
      </c>
      <c r="F621" t="inlineStr">
        <is>
          <t>SCA</t>
        </is>
      </c>
      <c r="G621" t="n">
        <v>2.7</v>
      </c>
      <c r="H621" t="n">
        <v>3</v>
      </c>
      <c r="I621" t="n">
        <v>0</v>
      </c>
      <c r="J621" t="n">
        <v>2</v>
      </c>
      <c r="K621" t="n">
        <v>0</v>
      </c>
      <c r="L621" t="n">
        <v>0</v>
      </c>
      <c r="M621" t="n">
        <v>0</v>
      </c>
      <c r="N621" t="n">
        <v>0</v>
      </c>
      <c r="O621" t="n">
        <v>2</v>
      </c>
      <c r="P621" t="n">
        <v>0</v>
      </c>
      <c r="Q621" t="n">
        <v>3</v>
      </c>
      <c r="R621" s="2" t="inlineStr">
        <is>
          <t>Spillkråka
Tretåig hackspett
Tjäder</t>
        </is>
      </c>
      <c r="S621">
        <f>HYPERLINK("https://klasma.github.io/Logging_2283/artfynd/A 8077-2025 artfynd.xlsx", "A 8077-2025")</f>
        <v/>
      </c>
      <c r="T621">
        <f>HYPERLINK("https://klasma.github.io/Logging_2283/kartor/A 8077-2025 karta.png", "A 8077-2025")</f>
        <v/>
      </c>
      <c r="V621">
        <f>HYPERLINK("https://klasma.github.io/Logging_2283/klagomål/A 8077-2025 FSC-klagomål.docx", "A 8077-2025")</f>
        <v/>
      </c>
      <c r="W621">
        <f>HYPERLINK("https://klasma.github.io/Logging_2283/klagomålsmail/A 8077-2025 FSC-klagomål mail.docx", "A 8077-2025")</f>
        <v/>
      </c>
      <c r="X621">
        <f>HYPERLINK("https://klasma.github.io/Logging_2283/tillsyn/A 8077-2025 tillsynsbegäran.docx", "A 8077-2025")</f>
        <v/>
      </c>
      <c r="Y621">
        <f>HYPERLINK("https://klasma.github.io/Logging_2283/tillsynsmail/A 8077-2025 tillsynsbegäran mail.docx", "A 8077-2025")</f>
        <v/>
      </c>
      <c r="Z621">
        <f>HYPERLINK("https://klasma.github.io/Logging_2283/fåglar/A 8077-2025 prioriterade fågelarter.docx", "A 8077-2025")</f>
        <v/>
      </c>
    </row>
    <row r="622" ht="15" customHeight="1">
      <c r="A622" t="inlineStr">
        <is>
          <t>A 54254-2025</t>
        </is>
      </c>
      <c r="B622" s="1" t="n">
        <v>45964.65668981482</v>
      </c>
      <c r="C622" s="1" t="n">
        <v>46185</v>
      </c>
      <c r="D622" t="inlineStr">
        <is>
          <t>VÄSTERNORRLANDS LÄN</t>
        </is>
      </c>
      <c r="E622" t="inlineStr">
        <is>
          <t>SOLLEFTEÅ</t>
        </is>
      </c>
      <c r="F622" t="inlineStr">
        <is>
          <t>SCA</t>
        </is>
      </c>
      <c r="G622" t="n">
        <v>2.2</v>
      </c>
      <c r="H622" t="n">
        <v>0</v>
      </c>
      <c r="I622" t="n">
        <v>2</v>
      </c>
      <c r="J622" t="n">
        <v>1</v>
      </c>
      <c r="K622" t="n">
        <v>0</v>
      </c>
      <c r="L622" t="n">
        <v>0</v>
      </c>
      <c r="M622" t="n">
        <v>0</v>
      </c>
      <c r="N622" t="n">
        <v>0</v>
      </c>
      <c r="O622" t="n">
        <v>1</v>
      </c>
      <c r="P622" t="n">
        <v>0</v>
      </c>
      <c r="Q622" t="n">
        <v>3</v>
      </c>
      <c r="R622" s="2" t="inlineStr">
        <is>
          <t>Garnlav
Norrlandslav
Skarp dropptaggsvamp</t>
        </is>
      </c>
      <c r="S622">
        <f>HYPERLINK("https://klasma.github.io/Logging_2283/artfynd/A 54254-2025 artfynd.xlsx", "A 54254-2025")</f>
        <v/>
      </c>
      <c r="T622">
        <f>HYPERLINK("https://klasma.github.io/Logging_2283/kartor/A 54254-2025 karta.png", "A 54254-2025")</f>
        <v/>
      </c>
      <c r="V622">
        <f>HYPERLINK("https://klasma.github.io/Logging_2283/klagomål/A 54254-2025 FSC-klagomål.docx", "A 54254-2025")</f>
        <v/>
      </c>
      <c r="W622">
        <f>HYPERLINK("https://klasma.github.io/Logging_2283/klagomålsmail/A 54254-2025 FSC-klagomål mail.docx", "A 54254-2025")</f>
        <v/>
      </c>
      <c r="X622">
        <f>HYPERLINK("https://klasma.github.io/Logging_2283/tillsyn/A 54254-2025 tillsynsbegäran.docx", "A 54254-2025")</f>
        <v/>
      </c>
      <c r="Y622">
        <f>HYPERLINK("https://klasma.github.io/Logging_2283/tillsynsmail/A 54254-2025 tillsynsbegäran mail.docx", "A 54254-2025")</f>
        <v/>
      </c>
    </row>
    <row r="623" ht="15" customHeight="1">
      <c r="A623" t="inlineStr">
        <is>
          <t>A 19225-2025</t>
        </is>
      </c>
      <c r="B623" s="1" t="n">
        <v>45769.44872685185</v>
      </c>
      <c r="C623" s="1" t="n">
        <v>46185</v>
      </c>
      <c r="D623" t="inlineStr">
        <is>
          <t>VÄSTERNORRLANDS LÄN</t>
        </is>
      </c>
      <c r="E623" t="inlineStr">
        <is>
          <t>SUNDSVALL</t>
        </is>
      </c>
      <c r="F623" t="inlineStr">
        <is>
          <t>SCA</t>
        </is>
      </c>
      <c r="G623" t="n">
        <v>3.2</v>
      </c>
      <c r="H623" t="n">
        <v>3</v>
      </c>
      <c r="I623" t="n">
        <v>0</v>
      </c>
      <c r="J623" t="n">
        <v>1</v>
      </c>
      <c r="K623" t="n">
        <v>1</v>
      </c>
      <c r="L623" t="n">
        <v>0</v>
      </c>
      <c r="M623" t="n">
        <v>0</v>
      </c>
      <c r="N623" t="n">
        <v>0</v>
      </c>
      <c r="O623" t="n">
        <v>2</v>
      </c>
      <c r="P623" t="n">
        <v>1</v>
      </c>
      <c r="Q623" t="n">
        <v>3</v>
      </c>
      <c r="R623" s="2" t="inlineStr">
        <is>
          <t>Knärot
Tretåig hackspett
Fläcknycklar</t>
        </is>
      </c>
      <c r="S623">
        <f>HYPERLINK("https://klasma.github.io/Logging_2281/artfynd/A 19225-2025 artfynd.xlsx", "A 19225-2025")</f>
        <v/>
      </c>
      <c r="T623">
        <f>HYPERLINK("https://klasma.github.io/Logging_2281/kartor/A 19225-2025 karta.png", "A 19225-2025")</f>
        <v/>
      </c>
      <c r="U623">
        <f>HYPERLINK("https://klasma.github.io/Logging_2281/knärot/A 19225-2025 karta knärot.png", "A 19225-2025")</f>
        <v/>
      </c>
      <c r="V623">
        <f>HYPERLINK("https://klasma.github.io/Logging_2281/klagomål/A 19225-2025 FSC-klagomål.docx", "A 19225-2025")</f>
        <v/>
      </c>
      <c r="W623">
        <f>HYPERLINK("https://klasma.github.io/Logging_2281/klagomålsmail/A 19225-2025 FSC-klagomål mail.docx", "A 19225-2025")</f>
        <v/>
      </c>
      <c r="X623">
        <f>HYPERLINK("https://klasma.github.io/Logging_2281/tillsyn/A 19225-2025 tillsynsbegäran.docx", "A 19225-2025")</f>
        <v/>
      </c>
      <c r="Y623">
        <f>HYPERLINK("https://klasma.github.io/Logging_2281/tillsynsmail/A 19225-2025 tillsynsbegäran mail.docx", "A 19225-2025")</f>
        <v/>
      </c>
      <c r="Z623">
        <f>HYPERLINK("https://klasma.github.io/Logging_2281/fåglar/A 19225-2025 prioriterade fågelarter.docx", "A 19225-2025")</f>
        <v/>
      </c>
    </row>
    <row r="624" ht="15" customHeight="1">
      <c r="A624" t="inlineStr">
        <is>
          <t>A 55125-2025</t>
        </is>
      </c>
      <c r="B624" s="1" t="n">
        <v>45968.40688657408</v>
      </c>
      <c r="C624" s="1" t="n">
        <v>46185</v>
      </c>
      <c r="D624" t="inlineStr">
        <is>
          <t>VÄSTERNORRLANDS LÄN</t>
        </is>
      </c>
      <c r="E624" t="inlineStr">
        <is>
          <t>SOLLEFTEÅ</t>
        </is>
      </c>
      <c r="F624" t="inlineStr">
        <is>
          <t>SCA</t>
        </is>
      </c>
      <c r="G624" t="n">
        <v>6.1</v>
      </c>
      <c r="H624" t="n">
        <v>2</v>
      </c>
      <c r="I624" t="n">
        <v>0</v>
      </c>
      <c r="J624" t="n">
        <v>3</v>
      </c>
      <c r="K624" t="n">
        <v>0</v>
      </c>
      <c r="L624" t="n">
        <v>0</v>
      </c>
      <c r="M624" t="n">
        <v>0</v>
      </c>
      <c r="N624" t="n">
        <v>0</v>
      </c>
      <c r="O624" t="n">
        <v>3</v>
      </c>
      <c r="P624" t="n">
        <v>0</v>
      </c>
      <c r="Q624" t="n">
        <v>3</v>
      </c>
      <c r="R624" s="2" t="inlineStr">
        <is>
          <t>Harticka
Talltita
Tretåig hackspett</t>
        </is>
      </c>
      <c r="S624">
        <f>HYPERLINK("https://klasma.github.io/Logging_2283/artfynd/A 55125-2025 artfynd.xlsx", "A 55125-2025")</f>
        <v/>
      </c>
      <c r="T624">
        <f>HYPERLINK("https://klasma.github.io/Logging_2283/kartor/A 55125-2025 karta.png", "A 55125-2025")</f>
        <v/>
      </c>
      <c r="V624">
        <f>HYPERLINK("https://klasma.github.io/Logging_2283/klagomål/A 55125-2025 FSC-klagomål.docx", "A 55125-2025")</f>
        <v/>
      </c>
      <c r="W624">
        <f>HYPERLINK("https://klasma.github.io/Logging_2283/klagomålsmail/A 55125-2025 FSC-klagomål mail.docx", "A 55125-2025")</f>
        <v/>
      </c>
      <c r="X624">
        <f>HYPERLINK("https://klasma.github.io/Logging_2283/tillsyn/A 55125-2025 tillsynsbegäran.docx", "A 55125-2025")</f>
        <v/>
      </c>
      <c r="Y624">
        <f>HYPERLINK("https://klasma.github.io/Logging_2283/tillsynsmail/A 55125-2025 tillsynsbegäran mail.docx", "A 55125-2025")</f>
        <v/>
      </c>
      <c r="Z624">
        <f>HYPERLINK("https://klasma.github.io/Logging_2283/fåglar/A 55125-2025 prioriterade fågelarter.docx", "A 55125-2025")</f>
        <v/>
      </c>
    </row>
    <row r="625" ht="15" customHeight="1">
      <c r="A625" t="inlineStr">
        <is>
          <t>A 32487-2021</t>
        </is>
      </c>
      <c r="B625" s="1" t="n">
        <v>44371</v>
      </c>
      <c r="C625" s="1" t="n">
        <v>46185</v>
      </c>
      <c r="D625" t="inlineStr">
        <is>
          <t>VÄSTERNORRLANDS LÄN</t>
        </is>
      </c>
      <c r="E625" t="inlineStr">
        <is>
          <t>TIMRÅ</t>
        </is>
      </c>
      <c r="F625" t="inlineStr">
        <is>
          <t>Kyrkan</t>
        </is>
      </c>
      <c r="G625" t="n">
        <v>21</v>
      </c>
      <c r="H625" t="n">
        <v>1</v>
      </c>
      <c r="I625" t="n">
        <v>0</v>
      </c>
      <c r="J625" t="n">
        <v>3</v>
      </c>
      <c r="K625" t="n">
        <v>0</v>
      </c>
      <c r="L625" t="n">
        <v>0</v>
      </c>
      <c r="M625" t="n">
        <v>0</v>
      </c>
      <c r="N625" t="n">
        <v>0</v>
      </c>
      <c r="O625" t="n">
        <v>3</v>
      </c>
      <c r="P625" t="n">
        <v>0</v>
      </c>
      <c r="Q625" t="n">
        <v>3</v>
      </c>
      <c r="R625" s="2" t="inlineStr">
        <is>
          <t>Garnlav
Spillkråka
Vedskivlav</t>
        </is>
      </c>
      <c r="S625">
        <f>HYPERLINK("https://klasma.github.io/Logging_2262/artfynd/A 32487-2021 artfynd.xlsx", "A 32487-2021")</f>
        <v/>
      </c>
      <c r="T625">
        <f>HYPERLINK("https://klasma.github.io/Logging_2262/kartor/A 32487-2021 karta.png", "A 32487-2021")</f>
        <v/>
      </c>
      <c r="V625">
        <f>HYPERLINK("https://klasma.github.io/Logging_2262/klagomål/A 32487-2021 FSC-klagomål.docx", "A 32487-2021")</f>
        <v/>
      </c>
      <c r="W625">
        <f>HYPERLINK("https://klasma.github.io/Logging_2262/klagomålsmail/A 32487-2021 FSC-klagomål mail.docx", "A 32487-2021")</f>
        <v/>
      </c>
      <c r="X625">
        <f>HYPERLINK("https://klasma.github.io/Logging_2262/tillsyn/A 32487-2021 tillsynsbegäran.docx", "A 32487-2021")</f>
        <v/>
      </c>
      <c r="Y625">
        <f>HYPERLINK("https://klasma.github.io/Logging_2262/tillsynsmail/A 32487-2021 tillsynsbegäran mail.docx", "A 32487-2021")</f>
        <v/>
      </c>
      <c r="Z625">
        <f>HYPERLINK("https://klasma.github.io/Logging_2262/fåglar/A 32487-2021 prioriterade fågelarter.docx", "A 32487-2021")</f>
        <v/>
      </c>
    </row>
    <row r="626" ht="15" customHeight="1">
      <c r="A626" t="inlineStr">
        <is>
          <t>A 47129-2025</t>
        </is>
      </c>
      <c r="B626" s="1" t="n">
        <v>45929</v>
      </c>
      <c r="C626" s="1" t="n">
        <v>46185</v>
      </c>
      <c r="D626" t="inlineStr">
        <is>
          <t>VÄSTERNORRLANDS LÄN</t>
        </is>
      </c>
      <c r="E626" t="inlineStr">
        <is>
          <t>SUNDSVALL</t>
        </is>
      </c>
      <c r="G626" t="n">
        <v>4.2</v>
      </c>
      <c r="H626" t="n">
        <v>2</v>
      </c>
      <c r="I626" t="n">
        <v>1</v>
      </c>
      <c r="J626" t="n">
        <v>2</v>
      </c>
      <c r="K626" t="n">
        <v>0</v>
      </c>
      <c r="L626" t="n">
        <v>0</v>
      </c>
      <c r="M626" t="n">
        <v>0</v>
      </c>
      <c r="N626" t="n">
        <v>0</v>
      </c>
      <c r="O626" t="n">
        <v>2</v>
      </c>
      <c r="P626" t="n">
        <v>0</v>
      </c>
      <c r="Q626" t="n">
        <v>3</v>
      </c>
      <c r="R626" s="2" t="inlineStr">
        <is>
          <t>Järpe
Tretåig hackspett
Grönpyrola</t>
        </is>
      </c>
      <c r="S626">
        <f>HYPERLINK("https://klasma.github.io/Logging_2281/artfynd/A 47129-2025 artfynd.xlsx", "A 47129-2025")</f>
        <v/>
      </c>
      <c r="T626">
        <f>HYPERLINK("https://klasma.github.io/Logging_2281/kartor/A 47129-2025 karta.png", "A 47129-2025")</f>
        <v/>
      </c>
      <c r="U626">
        <f>HYPERLINK("https://klasma.github.io/Logging_2281/knärot/A 47129-2025 karta knärot.png", "A 47129-2025")</f>
        <v/>
      </c>
      <c r="V626">
        <f>HYPERLINK("https://klasma.github.io/Logging_2281/klagomål/A 47129-2025 FSC-klagomål.docx", "A 47129-2025")</f>
        <v/>
      </c>
      <c r="W626">
        <f>HYPERLINK("https://klasma.github.io/Logging_2281/klagomålsmail/A 47129-2025 FSC-klagomål mail.docx", "A 47129-2025")</f>
        <v/>
      </c>
      <c r="X626">
        <f>HYPERLINK("https://klasma.github.io/Logging_2281/tillsyn/A 47129-2025 tillsynsbegäran.docx", "A 47129-2025")</f>
        <v/>
      </c>
      <c r="Y626">
        <f>HYPERLINK("https://klasma.github.io/Logging_2281/tillsynsmail/A 47129-2025 tillsynsbegäran mail.docx", "A 47129-2025")</f>
        <v/>
      </c>
      <c r="Z626">
        <f>HYPERLINK("https://klasma.github.io/Logging_2281/fåglar/A 47129-2025 prioriterade fågelarter.docx", "A 47129-2025")</f>
        <v/>
      </c>
    </row>
    <row r="627" ht="15" customHeight="1">
      <c r="A627" t="inlineStr">
        <is>
          <t>A 56783-2025</t>
        </is>
      </c>
      <c r="B627" s="1" t="n">
        <v>45978.40695601852</v>
      </c>
      <c r="C627" s="1" t="n">
        <v>46185</v>
      </c>
      <c r="D627" t="inlineStr">
        <is>
          <t>VÄSTERNORRLANDS LÄN</t>
        </is>
      </c>
      <c r="E627" t="inlineStr">
        <is>
          <t>SOLLEFTEÅ</t>
        </is>
      </c>
      <c r="F627" t="inlineStr">
        <is>
          <t>SCA</t>
        </is>
      </c>
      <c r="G627" t="n">
        <v>2.5</v>
      </c>
      <c r="H627" t="n">
        <v>0</v>
      </c>
      <c r="I627" t="n">
        <v>0</v>
      </c>
      <c r="J627" t="n">
        <v>3</v>
      </c>
      <c r="K627" t="n">
        <v>0</v>
      </c>
      <c r="L627" t="n">
        <v>0</v>
      </c>
      <c r="M627" t="n">
        <v>0</v>
      </c>
      <c r="N627" t="n">
        <v>0</v>
      </c>
      <c r="O627" t="n">
        <v>3</v>
      </c>
      <c r="P627" t="n">
        <v>0</v>
      </c>
      <c r="Q627" t="n">
        <v>3</v>
      </c>
      <c r="R627" s="2" t="inlineStr">
        <is>
          <t>Kolflarnlav
Lunglav
Orange taggsvamp</t>
        </is>
      </c>
      <c r="S627">
        <f>HYPERLINK("https://klasma.github.io/Logging_2283/artfynd/A 56783-2025 artfynd.xlsx", "A 56783-2025")</f>
        <v/>
      </c>
      <c r="T627">
        <f>HYPERLINK("https://klasma.github.io/Logging_2283/kartor/A 56783-2025 karta.png", "A 56783-2025")</f>
        <v/>
      </c>
      <c r="V627">
        <f>HYPERLINK("https://klasma.github.io/Logging_2283/klagomål/A 56783-2025 FSC-klagomål.docx", "A 56783-2025")</f>
        <v/>
      </c>
      <c r="W627">
        <f>HYPERLINK("https://klasma.github.io/Logging_2283/klagomålsmail/A 56783-2025 FSC-klagomål mail.docx", "A 56783-2025")</f>
        <v/>
      </c>
      <c r="X627">
        <f>HYPERLINK("https://klasma.github.io/Logging_2283/tillsyn/A 56783-2025 tillsynsbegäran.docx", "A 56783-2025")</f>
        <v/>
      </c>
      <c r="Y627">
        <f>HYPERLINK("https://klasma.github.io/Logging_2283/tillsynsmail/A 56783-2025 tillsynsbegäran mail.docx", "A 56783-2025")</f>
        <v/>
      </c>
    </row>
    <row r="628" ht="15" customHeight="1">
      <c r="A628" t="inlineStr">
        <is>
          <t>A 18826-2025</t>
        </is>
      </c>
      <c r="B628" s="1" t="n">
        <v>45764.38604166666</v>
      </c>
      <c r="C628" s="1" t="n">
        <v>46185</v>
      </c>
      <c r="D628" t="inlineStr">
        <is>
          <t>VÄSTERNORRLANDS LÄN</t>
        </is>
      </c>
      <c r="E628" t="inlineStr">
        <is>
          <t>SUNDSVALL</t>
        </is>
      </c>
      <c r="F628" t="inlineStr">
        <is>
          <t>Naturvårdsverket</t>
        </is>
      </c>
      <c r="G628" t="n">
        <v>3.5</v>
      </c>
      <c r="H628" t="n">
        <v>0</v>
      </c>
      <c r="I628" t="n">
        <v>0</v>
      </c>
      <c r="J628" t="n">
        <v>3</v>
      </c>
      <c r="K628" t="n">
        <v>0</v>
      </c>
      <c r="L628" t="n">
        <v>0</v>
      </c>
      <c r="M628" t="n">
        <v>0</v>
      </c>
      <c r="N628" t="n">
        <v>0</v>
      </c>
      <c r="O628" t="n">
        <v>3</v>
      </c>
      <c r="P628" t="n">
        <v>0</v>
      </c>
      <c r="Q628" t="n">
        <v>3</v>
      </c>
      <c r="R628" s="2" t="inlineStr">
        <is>
          <t>Garnlav
Kolflarnlav
Vedskivlav</t>
        </is>
      </c>
      <c r="S628">
        <f>HYPERLINK("https://klasma.github.io/Logging_2281/artfynd/A 18826-2025 artfynd.xlsx", "A 18826-2025")</f>
        <v/>
      </c>
      <c r="T628">
        <f>HYPERLINK("https://klasma.github.io/Logging_2281/kartor/A 18826-2025 karta.png", "A 18826-2025")</f>
        <v/>
      </c>
      <c r="V628">
        <f>HYPERLINK("https://klasma.github.io/Logging_2281/klagomål/A 18826-2025 FSC-klagomål.docx", "A 18826-2025")</f>
        <v/>
      </c>
      <c r="W628">
        <f>HYPERLINK("https://klasma.github.io/Logging_2281/klagomålsmail/A 18826-2025 FSC-klagomål mail.docx", "A 18826-2025")</f>
        <v/>
      </c>
      <c r="X628">
        <f>HYPERLINK("https://klasma.github.io/Logging_2281/tillsyn/A 18826-2025 tillsynsbegäran.docx", "A 18826-2025")</f>
        <v/>
      </c>
      <c r="Y628">
        <f>HYPERLINK("https://klasma.github.io/Logging_2281/tillsynsmail/A 18826-2025 tillsynsbegäran mail.docx", "A 18826-2025")</f>
        <v/>
      </c>
    </row>
    <row r="629" ht="15" customHeight="1">
      <c r="A629" t="inlineStr">
        <is>
          <t>A 16182-2023</t>
        </is>
      </c>
      <c r="B629" s="1" t="n">
        <v>45027</v>
      </c>
      <c r="C629" s="1" t="n">
        <v>46185</v>
      </c>
      <c r="D629" t="inlineStr">
        <is>
          <t>VÄSTERNORRLANDS LÄN</t>
        </is>
      </c>
      <c r="E629" t="inlineStr">
        <is>
          <t>HÄRNÖSAND</t>
        </is>
      </c>
      <c r="G629" t="n">
        <v>16.4</v>
      </c>
      <c r="H629" t="n">
        <v>0</v>
      </c>
      <c r="I629" t="n">
        <v>0</v>
      </c>
      <c r="J629" t="n">
        <v>3</v>
      </c>
      <c r="K629" t="n">
        <v>0</v>
      </c>
      <c r="L629" t="n">
        <v>0</v>
      </c>
      <c r="M629" t="n">
        <v>0</v>
      </c>
      <c r="N629" t="n">
        <v>0</v>
      </c>
      <c r="O629" t="n">
        <v>3</v>
      </c>
      <c r="P629" t="n">
        <v>0</v>
      </c>
      <c r="Q629" t="n">
        <v>3</v>
      </c>
      <c r="R629" s="2" t="inlineStr">
        <is>
          <t>Garnlav
Lunglav
Violettgrå tagellav</t>
        </is>
      </c>
      <c r="S629">
        <f>HYPERLINK("https://klasma.github.io/Logging_2280/artfynd/A 16182-2023 artfynd.xlsx", "A 16182-2023")</f>
        <v/>
      </c>
      <c r="T629">
        <f>HYPERLINK("https://klasma.github.io/Logging_2280/kartor/A 16182-2023 karta.png", "A 16182-2023")</f>
        <v/>
      </c>
      <c r="V629">
        <f>HYPERLINK("https://klasma.github.io/Logging_2280/klagomål/A 16182-2023 FSC-klagomål.docx", "A 16182-2023")</f>
        <v/>
      </c>
      <c r="W629">
        <f>HYPERLINK("https://klasma.github.io/Logging_2280/klagomålsmail/A 16182-2023 FSC-klagomål mail.docx", "A 16182-2023")</f>
        <v/>
      </c>
      <c r="X629">
        <f>HYPERLINK("https://klasma.github.io/Logging_2280/tillsyn/A 16182-2023 tillsynsbegäran.docx", "A 16182-2023")</f>
        <v/>
      </c>
      <c r="Y629">
        <f>HYPERLINK("https://klasma.github.io/Logging_2280/tillsynsmail/A 16182-2023 tillsynsbegäran mail.docx", "A 16182-2023")</f>
        <v/>
      </c>
    </row>
    <row r="630" ht="15" customHeight="1">
      <c r="A630" t="inlineStr">
        <is>
          <t>A 50838-2023</t>
        </is>
      </c>
      <c r="B630" s="1" t="n">
        <v>45217</v>
      </c>
      <c r="C630" s="1" t="n">
        <v>46185</v>
      </c>
      <c r="D630" t="inlineStr">
        <is>
          <t>VÄSTERNORRLANDS LÄN</t>
        </is>
      </c>
      <c r="E630" t="inlineStr">
        <is>
          <t>SOLLEFTEÅ</t>
        </is>
      </c>
      <c r="F630" t="inlineStr">
        <is>
          <t>SCA</t>
        </is>
      </c>
      <c r="G630" t="n">
        <v>2.1</v>
      </c>
      <c r="H630" t="n">
        <v>2</v>
      </c>
      <c r="I630" t="n">
        <v>0</v>
      </c>
      <c r="J630" t="n">
        <v>1</v>
      </c>
      <c r="K630" t="n">
        <v>2</v>
      </c>
      <c r="L630" t="n">
        <v>0</v>
      </c>
      <c r="M630" t="n">
        <v>0</v>
      </c>
      <c r="N630" t="n">
        <v>0</v>
      </c>
      <c r="O630" t="n">
        <v>3</v>
      </c>
      <c r="P630" t="n">
        <v>2</v>
      </c>
      <c r="Q630" t="n">
        <v>3</v>
      </c>
      <c r="R630" s="2" t="inlineStr">
        <is>
          <t>Doftticka
Knärot
Lunglav</t>
        </is>
      </c>
      <c r="S630">
        <f>HYPERLINK("https://klasma.github.io/Logging_2283/artfynd/A 50838-2023 artfynd.xlsx", "A 50838-2023")</f>
        <v/>
      </c>
      <c r="T630">
        <f>HYPERLINK("https://klasma.github.io/Logging_2283/kartor/A 50838-2023 karta.png", "A 50838-2023")</f>
        <v/>
      </c>
      <c r="U630">
        <f>HYPERLINK("https://klasma.github.io/Logging_2283/knärot/A 50838-2023 karta knärot.png", "A 50838-2023")</f>
        <v/>
      </c>
      <c r="V630">
        <f>HYPERLINK("https://klasma.github.io/Logging_2283/klagomål/A 50838-2023 FSC-klagomål.docx", "A 50838-2023")</f>
        <v/>
      </c>
      <c r="W630">
        <f>HYPERLINK("https://klasma.github.io/Logging_2283/klagomålsmail/A 50838-2023 FSC-klagomål mail.docx", "A 50838-2023")</f>
        <v/>
      </c>
      <c r="X630">
        <f>HYPERLINK("https://klasma.github.io/Logging_2283/tillsyn/A 50838-2023 tillsynsbegäran.docx", "A 50838-2023")</f>
        <v/>
      </c>
      <c r="Y630">
        <f>HYPERLINK("https://klasma.github.io/Logging_2283/tillsynsmail/A 50838-2023 tillsynsbegäran mail.docx", "A 50838-2023")</f>
        <v/>
      </c>
    </row>
    <row r="631" ht="15" customHeight="1">
      <c r="A631" t="inlineStr">
        <is>
          <t>A 61936-2025</t>
        </is>
      </c>
      <c r="B631" s="1" t="n">
        <v>46003.55268518518</v>
      </c>
      <c r="C631" s="1" t="n">
        <v>46185</v>
      </c>
      <c r="D631" t="inlineStr">
        <is>
          <t>VÄSTERNORRLANDS LÄN</t>
        </is>
      </c>
      <c r="E631" t="inlineStr">
        <is>
          <t>HÄRNÖSAND</t>
        </is>
      </c>
      <c r="F631" t="inlineStr">
        <is>
          <t>SCA</t>
        </is>
      </c>
      <c r="G631" t="n">
        <v>5.1</v>
      </c>
      <c r="H631" t="n">
        <v>1</v>
      </c>
      <c r="I631" t="n">
        <v>0</v>
      </c>
      <c r="J631" t="n">
        <v>2</v>
      </c>
      <c r="K631" t="n">
        <v>1</v>
      </c>
      <c r="L631" t="n">
        <v>0</v>
      </c>
      <c r="M631" t="n">
        <v>0</v>
      </c>
      <c r="N631" t="n">
        <v>0</v>
      </c>
      <c r="O631" t="n">
        <v>3</v>
      </c>
      <c r="P631" t="n">
        <v>1</v>
      </c>
      <c r="Q631" t="n">
        <v>3</v>
      </c>
      <c r="R631" s="2" t="inlineStr">
        <is>
          <t>Rynkskinn
Gammelgransskål
Tretåig hackspett</t>
        </is>
      </c>
      <c r="S631">
        <f>HYPERLINK("https://klasma.github.io/Logging_2280/artfynd/A 61936-2025 artfynd.xlsx", "A 61936-2025")</f>
        <v/>
      </c>
      <c r="T631">
        <f>HYPERLINK("https://klasma.github.io/Logging_2280/kartor/A 61936-2025 karta.png", "A 61936-2025")</f>
        <v/>
      </c>
      <c r="V631">
        <f>HYPERLINK("https://klasma.github.io/Logging_2280/klagomål/A 61936-2025 FSC-klagomål.docx", "A 61936-2025")</f>
        <v/>
      </c>
      <c r="W631">
        <f>HYPERLINK("https://klasma.github.io/Logging_2280/klagomålsmail/A 61936-2025 FSC-klagomål mail.docx", "A 61936-2025")</f>
        <v/>
      </c>
      <c r="X631">
        <f>HYPERLINK("https://klasma.github.io/Logging_2280/tillsyn/A 61936-2025 tillsynsbegäran.docx", "A 61936-2025")</f>
        <v/>
      </c>
      <c r="Y631">
        <f>HYPERLINK("https://klasma.github.io/Logging_2280/tillsynsmail/A 61936-2025 tillsynsbegäran mail.docx", "A 61936-2025")</f>
        <v/>
      </c>
      <c r="Z631">
        <f>HYPERLINK("https://klasma.github.io/Logging_2280/fåglar/A 61936-2025 prioriterade fågelarter.docx", "A 61936-2025")</f>
        <v/>
      </c>
    </row>
    <row r="632" ht="15" customHeight="1">
      <c r="A632" t="inlineStr">
        <is>
          <t>A 54621-2023</t>
        </is>
      </c>
      <c r="B632" s="1" t="n">
        <v>45233</v>
      </c>
      <c r="C632" s="1" t="n">
        <v>46185</v>
      </c>
      <c r="D632" t="inlineStr">
        <is>
          <t>VÄSTERNORRLANDS LÄN</t>
        </is>
      </c>
      <c r="E632" t="inlineStr">
        <is>
          <t>SUNDSVALL</t>
        </is>
      </c>
      <c r="F632" t="inlineStr">
        <is>
          <t>Naturvårdsverket</t>
        </is>
      </c>
      <c r="G632" t="n">
        <v>3.9</v>
      </c>
      <c r="H632" t="n">
        <v>0</v>
      </c>
      <c r="I632" t="n">
        <v>0</v>
      </c>
      <c r="J632" t="n">
        <v>3</v>
      </c>
      <c r="K632" t="n">
        <v>0</v>
      </c>
      <c r="L632" t="n">
        <v>0</v>
      </c>
      <c r="M632" t="n">
        <v>0</v>
      </c>
      <c r="N632" t="n">
        <v>0</v>
      </c>
      <c r="O632" t="n">
        <v>3</v>
      </c>
      <c r="P632" t="n">
        <v>0</v>
      </c>
      <c r="Q632" t="n">
        <v>3</v>
      </c>
      <c r="R632" s="2" t="inlineStr">
        <is>
          <t>Kolflarnlav
Tallticka
Ullticka</t>
        </is>
      </c>
      <c r="S632">
        <f>HYPERLINK("https://klasma.github.io/Logging_2281/artfynd/A 54621-2023 artfynd.xlsx", "A 54621-2023")</f>
        <v/>
      </c>
      <c r="T632">
        <f>HYPERLINK("https://klasma.github.io/Logging_2281/kartor/A 54621-2023 karta.png", "A 54621-2023")</f>
        <v/>
      </c>
      <c r="V632">
        <f>HYPERLINK("https://klasma.github.io/Logging_2281/klagomål/A 54621-2023 FSC-klagomål.docx", "A 54621-2023")</f>
        <v/>
      </c>
      <c r="W632">
        <f>HYPERLINK("https://klasma.github.io/Logging_2281/klagomålsmail/A 54621-2023 FSC-klagomål mail.docx", "A 54621-2023")</f>
        <v/>
      </c>
      <c r="X632">
        <f>HYPERLINK("https://klasma.github.io/Logging_2281/tillsyn/A 54621-2023 tillsynsbegäran.docx", "A 54621-2023")</f>
        <v/>
      </c>
      <c r="Y632">
        <f>HYPERLINK("https://klasma.github.io/Logging_2281/tillsynsmail/A 54621-2023 tillsynsbegäran mail.docx", "A 54621-2023")</f>
        <v/>
      </c>
    </row>
    <row r="633" ht="15" customHeight="1">
      <c r="A633" t="inlineStr">
        <is>
          <t>A 52865-2025</t>
        </is>
      </c>
      <c r="B633" s="1" t="n">
        <v>45957</v>
      </c>
      <c r="C633" s="1" t="n">
        <v>46185</v>
      </c>
      <c r="D633" t="inlineStr">
        <is>
          <t>VÄSTERNORRLANDS LÄN</t>
        </is>
      </c>
      <c r="E633" t="inlineStr">
        <is>
          <t>HÄRNÖSAND</t>
        </is>
      </c>
      <c r="F633" t="inlineStr">
        <is>
          <t>SCA</t>
        </is>
      </c>
      <c r="G633" t="n">
        <v>2.6</v>
      </c>
      <c r="H633" t="n">
        <v>0</v>
      </c>
      <c r="I633" t="n">
        <v>1</v>
      </c>
      <c r="J633" t="n">
        <v>2</v>
      </c>
      <c r="K633" t="n">
        <v>0</v>
      </c>
      <c r="L633" t="n">
        <v>0</v>
      </c>
      <c r="M633" t="n">
        <v>0</v>
      </c>
      <c r="N633" t="n">
        <v>0</v>
      </c>
      <c r="O633" t="n">
        <v>2</v>
      </c>
      <c r="P633" t="n">
        <v>0</v>
      </c>
      <c r="Q633" t="n">
        <v>3</v>
      </c>
      <c r="R633" s="2" t="inlineStr">
        <is>
          <t>Garnlav
Violettgrå tagellav
Nästlav</t>
        </is>
      </c>
      <c r="S633">
        <f>HYPERLINK("https://klasma.github.io/Logging_2280/artfynd/A 52865-2025 artfynd.xlsx", "A 52865-2025")</f>
        <v/>
      </c>
      <c r="T633">
        <f>HYPERLINK("https://klasma.github.io/Logging_2280/kartor/A 52865-2025 karta.png", "A 52865-2025")</f>
        <v/>
      </c>
      <c r="V633">
        <f>HYPERLINK("https://klasma.github.io/Logging_2280/klagomål/A 52865-2025 FSC-klagomål.docx", "A 52865-2025")</f>
        <v/>
      </c>
      <c r="W633">
        <f>HYPERLINK("https://klasma.github.io/Logging_2280/klagomålsmail/A 52865-2025 FSC-klagomål mail.docx", "A 52865-2025")</f>
        <v/>
      </c>
      <c r="X633">
        <f>HYPERLINK("https://klasma.github.io/Logging_2280/tillsyn/A 52865-2025 tillsynsbegäran.docx", "A 52865-2025")</f>
        <v/>
      </c>
      <c r="Y633">
        <f>HYPERLINK("https://klasma.github.io/Logging_2280/tillsynsmail/A 52865-2025 tillsynsbegäran mail.docx", "A 52865-2025")</f>
        <v/>
      </c>
    </row>
    <row r="634" ht="15" customHeight="1">
      <c r="A634" t="inlineStr">
        <is>
          <t>A 45122-2021</t>
        </is>
      </c>
      <c r="B634" s="1" t="n">
        <v>44439</v>
      </c>
      <c r="C634" s="1" t="n">
        <v>46185</v>
      </c>
      <c r="D634" t="inlineStr">
        <is>
          <t>VÄSTERNORRLANDS LÄN</t>
        </is>
      </c>
      <c r="E634" t="inlineStr">
        <is>
          <t>ÅNGE</t>
        </is>
      </c>
      <c r="G634" t="n">
        <v>20.3</v>
      </c>
      <c r="H634" t="n">
        <v>0</v>
      </c>
      <c r="I634" t="n">
        <v>2</v>
      </c>
      <c r="J634" t="n">
        <v>1</v>
      </c>
      <c r="K634" t="n">
        <v>0</v>
      </c>
      <c r="L634" t="n">
        <v>0</v>
      </c>
      <c r="M634" t="n">
        <v>0</v>
      </c>
      <c r="N634" t="n">
        <v>0</v>
      </c>
      <c r="O634" t="n">
        <v>1</v>
      </c>
      <c r="P634" t="n">
        <v>0</v>
      </c>
      <c r="Q634" t="n">
        <v>3</v>
      </c>
      <c r="R634" s="2" t="inlineStr">
        <is>
          <t>Reliktbock
Cixidia
Skinnlav</t>
        </is>
      </c>
      <c r="S634">
        <f>HYPERLINK("https://klasma.github.io/Logging_2260/artfynd/A 45122-2021 artfynd.xlsx", "A 45122-2021")</f>
        <v/>
      </c>
      <c r="T634">
        <f>HYPERLINK("https://klasma.github.io/Logging_2260/kartor/A 45122-2021 karta.png", "A 45122-2021")</f>
        <v/>
      </c>
      <c r="V634">
        <f>HYPERLINK("https://klasma.github.io/Logging_2260/klagomål/A 45122-2021 FSC-klagomål.docx", "A 45122-2021")</f>
        <v/>
      </c>
      <c r="W634">
        <f>HYPERLINK("https://klasma.github.io/Logging_2260/klagomålsmail/A 45122-2021 FSC-klagomål mail.docx", "A 45122-2021")</f>
        <v/>
      </c>
      <c r="X634">
        <f>HYPERLINK("https://klasma.github.io/Logging_2260/tillsyn/A 45122-2021 tillsynsbegäran.docx", "A 45122-2021")</f>
        <v/>
      </c>
      <c r="Y634">
        <f>HYPERLINK("https://klasma.github.io/Logging_2260/tillsynsmail/A 45122-2021 tillsynsbegäran mail.docx", "A 45122-2021")</f>
        <v/>
      </c>
    </row>
    <row r="635" ht="15" customHeight="1">
      <c r="A635" t="inlineStr">
        <is>
          <t>A 55550-2024</t>
        </is>
      </c>
      <c r="B635" s="1" t="n">
        <v>45622</v>
      </c>
      <c r="C635" s="1" t="n">
        <v>46185</v>
      </c>
      <c r="D635" t="inlineStr">
        <is>
          <t>VÄSTERNORRLANDS LÄN</t>
        </is>
      </c>
      <c r="E635" t="inlineStr">
        <is>
          <t>SUNDSVALL</t>
        </is>
      </c>
      <c r="F635" t="inlineStr">
        <is>
          <t>SCA</t>
        </is>
      </c>
      <c r="G635" t="n">
        <v>4.4</v>
      </c>
      <c r="H635" t="n">
        <v>2</v>
      </c>
      <c r="I635" t="n">
        <v>1</v>
      </c>
      <c r="J635" t="n">
        <v>1</v>
      </c>
      <c r="K635" t="n">
        <v>1</v>
      </c>
      <c r="L635" t="n">
        <v>0</v>
      </c>
      <c r="M635" t="n">
        <v>0</v>
      </c>
      <c r="N635" t="n">
        <v>0</v>
      </c>
      <c r="O635" t="n">
        <v>2</v>
      </c>
      <c r="P635" t="n">
        <v>1</v>
      </c>
      <c r="Q635" t="n">
        <v>3</v>
      </c>
      <c r="R635" s="2" t="inlineStr">
        <is>
          <t>Knärot
Tretåig hackspett
Vedticka</t>
        </is>
      </c>
      <c r="S635">
        <f>HYPERLINK("https://klasma.github.io/Logging_2281/artfynd/A 55550-2024 artfynd.xlsx", "A 55550-2024")</f>
        <v/>
      </c>
      <c r="T635">
        <f>HYPERLINK("https://klasma.github.io/Logging_2281/kartor/A 55550-2024 karta.png", "A 55550-2024")</f>
        <v/>
      </c>
      <c r="U635">
        <f>HYPERLINK("https://klasma.github.io/Logging_2281/knärot/A 55550-2024 karta knärot.png", "A 55550-2024")</f>
        <v/>
      </c>
      <c r="V635">
        <f>HYPERLINK("https://klasma.github.io/Logging_2281/klagomål/A 55550-2024 FSC-klagomål.docx", "A 55550-2024")</f>
        <v/>
      </c>
      <c r="W635">
        <f>HYPERLINK("https://klasma.github.io/Logging_2281/klagomålsmail/A 55550-2024 FSC-klagomål mail.docx", "A 55550-2024")</f>
        <v/>
      </c>
      <c r="X635">
        <f>HYPERLINK("https://klasma.github.io/Logging_2281/tillsyn/A 55550-2024 tillsynsbegäran.docx", "A 55550-2024")</f>
        <v/>
      </c>
      <c r="Y635">
        <f>HYPERLINK("https://klasma.github.io/Logging_2281/tillsynsmail/A 55550-2024 tillsynsbegäran mail.docx", "A 55550-2024")</f>
        <v/>
      </c>
      <c r="Z635">
        <f>HYPERLINK("https://klasma.github.io/Logging_2281/fåglar/A 55550-2024 prioriterade fågelarter.docx", "A 55550-2024")</f>
        <v/>
      </c>
    </row>
    <row r="636" ht="15" customHeight="1">
      <c r="A636" t="inlineStr">
        <is>
          <t>A 10977-2026</t>
        </is>
      </c>
      <c r="B636" s="1" t="n">
        <v>46079</v>
      </c>
      <c r="C636" s="1" t="n">
        <v>46185</v>
      </c>
      <c r="D636" t="inlineStr">
        <is>
          <t>VÄSTERNORRLANDS LÄN</t>
        </is>
      </c>
      <c r="E636" t="inlineStr">
        <is>
          <t>SUNDSVALL</t>
        </is>
      </c>
      <c r="G636" t="n">
        <v>11.7</v>
      </c>
      <c r="H636" t="n">
        <v>2</v>
      </c>
      <c r="I636" t="n">
        <v>2</v>
      </c>
      <c r="J636" t="n">
        <v>0</v>
      </c>
      <c r="K636" t="n">
        <v>0</v>
      </c>
      <c r="L636" t="n">
        <v>0</v>
      </c>
      <c r="M636" t="n">
        <v>0</v>
      </c>
      <c r="N636" t="n">
        <v>0</v>
      </c>
      <c r="O636" t="n">
        <v>0</v>
      </c>
      <c r="P636" t="n">
        <v>0</v>
      </c>
      <c r="Q636" t="n">
        <v>3</v>
      </c>
      <c r="R636" s="2" t="inlineStr">
        <is>
          <t>Grönkulla
Vårärt
Nattviol</t>
        </is>
      </c>
      <c r="S636">
        <f>HYPERLINK("https://klasma.github.io/Logging_2281/artfynd/A 10977-2026 artfynd.xlsx", "A 10977-2026")</f>
        <v/>
      </c>
      <c r="T636">
        <f>HYPERLINK("https://klasma.github.io/Logging_2281/kartor/A 10977-2026 karta.png", "A 10977-2026")</f>
        <v/>
      </c>
      <c r="V636">
        <f>HYPERLINK("https://klasma.github.io/Logging_2281/klagomål/A 10977-2026 FSC-klagomål.docx", "A 10977-2026")</f>
        <v/>
      </c>
      <c r="W636">
        <f>HYPERLINK("https://klasma.github.io/Logging_2281/klagomålsmail/A 10977-2026 FSC-klagomål mail.docx", "A 10977-2026")</f>
        <v/>
      </c>
      <c r="X636">
        <f>HYPERLINK("https://klasma.github.io/Logging_2281/tillsyn/A 10977-2026 tillsynsbegäran.docx", "A 10977-2026")</f>
        <v/>
      </c>
      <c r="Y636">
        <f>HYPERLINK("https://klasma.github.io/Logging_2281/tillsynsmail/A 10977-2026 tillsynsbegäran mail.docx", "A 10977-2026")</f>
        <v/>
      </c>
    </row>
    <row r="637" ht="15" customHeight="1">
      <c r="A637" t="inlineStr">
        <is>
          <t>A 10157-2024</t>
        </is>
      </c>
      <c r="B637" s="1" t="n">
        <v>45364</v>
      </c>
      <c r="C637" s="1" t="n">
        <v>46185</v>
      </c>
      <c r="D637" t="inlineStr">
        <is>
          <t>VÄSTERNORRLANDS LÄN</t>
        </is>
      </c>
      <c r="E637" t="inlineStr">
        <is>
          <t>ÖRNSKÖLDSVIK</t>
        </is>
      </c>
      <c r="F637" t="inlineStr">
        <is>
          <t>Holmen skog AB</t>
        </is>
      </c>
      <c r="G637" t="n">
        <v>3.1</v>
      </c>
      <c r="H637" t="n">
        <v>0</v>
      </c>
      <c r="I637" t="n">
        <v>1</v>
      </c>
      <c r="J637" t="n">
        <v>2</v>
      </c>
      <c r="K637" t="n">
        <v>0</v>
      </c>
      <c r="L637" t="n">
        <v>0</v>
      </c>
      <c r="M637" t="n">
        <v>0</v>
      </c>
      <c r="N637" t="n">
        <v>0</v>
      </c>
      <c r="O637" t="n">
        <v>2</v>
      </c>
      <c r="P637" t="n">
        <v>0</v>
      </c>
      <c r="Q637" t="n">
        <v>3</v>
      </c>
      <c r="R637" s="2" t="inlineStr">
        <is>
          <t>Lunglav
Ullticka
Bårdlav</t>
        </is>
      </c>
      <c r="S637">
        <f>HYPERLINK("https://klasma.github.io/Logging_2284/artfynd/A 10157-2024 artfynd.xlsx", "A 10157-2024")</f>
        <v/>
      </c>
      <c r="T637">
        <f>HYPERLINK("https://klasma.github.io/Logging_2284/kartor/A 10157-2024 karta.png", "A 10157-2024")</f>
        <v/>
      </c>
      <c r="V637">
        <f>HYPERLINK("https://klasma.github.io/Logging_2284/klagomål/A 10157-2024 FSC-klagomål.docx", "A 10157-2024")</f>
        <v/>
      </c>
      <c r="W637">
        <f>HYPERLINK("https://klasma.github.io/Logging_2284/klagomålsmail/A 10157-2024 FSC-klagomål mail.docx", "A 10157-2024")</f>
        <v/>
      </c>
      <c r="X637">
        <f>HYPERLINK("https://klasma.github.io/Logging_2284/tillsyn/A 10157-2024 tillsynsbegäran.docx", "A 10157-2024")</f>
        <v/>
      </c>
      <c r="Y637">
        <f>HYPERLINK("https://klasma.github.io/Logging_2284/tillsynsmail/A 10157-2024 tillsynsbegäran mail.docx", "A 10157-2024")</f>
        <v/>
      </c>
    </row>
    <row r="638" ht="15" customHeight="1">
      <c r="A638" t="inlineStr">
        <is>
          <t>A 5069-2024</t>
        </is>
      </c>
      <c r="B638" s="1" t="n">
        <v>45329</v>
      </c>
      <c r="C638" s="1" t="n">
        <v>46185</v>
      </c>
      <c r="D638" t="inlineStr">
        <is>
          <t>VÄSTERNORRLANDS LÄN</t>
        </is>
      </c>
      <c r="E638" t="inlineStr">
        <is>
          <t>TIMRÅ</t>
        </is>
      </c>
      <c r="F638" t="inlineStr">
        <is>
          <t>SCA</t>
        </is>
      </c>
      <c r="G638" t="n">
        <v>3.4</v>
      </c>
      <c r="H638" t="n">
        <v>1</v>
      </c>
      <c r="I638" t="n">
        <v>2</v>
      </c>
      <c r="J638" t="n">
        <v>1</v>
      </c>
      <c r="K638" t="n">
        <v>0</v>
      </c>
      <c r="L638" t="n">
        <v>0</v>
      </c>
      <c r="M638" t="n">
        <v>0</v>
      </c>
      <c r="N638" t="n">
        <v>0</v>
      </c>
      <c r="O638" t="n">
        <v>1</v>
      </c>
      <c r="P638" t="n">
        <v>0</v>
      </c>
      <c r="Q638" t="n">
        <v>3</v>
      </c>
      <c r="R638" s="2" t="inlineStr">
        <is>
          <t>Garnlav
Korallrot
Vedticka</t>
        </is>
      </c>
      <c r="S638">
        <f>HYPERLINK("https://klasma.github.io/Logging_2262/artfynd/A 5069-2024 artfynd.xlsx", "A 5069-2024")</f>
        <v/>
      </c>
      <c r="T638">
        <f>HYPERLINK("https://klasma.github.io/Logging_2262/kartor/A 5069-2024 karta.png", "A 5069-2024")</f>
        <v/>
      </c>
      <c r="V638">
        <f>HYPERLINK("https://klasma.github.io/Logging_2262/klagomål/A 5069-2024 FSC-klagomål.docx", "A 5069-2024")</f>
        <v/>
      </c>
      <c r="W638">
        <f>HYPERLINK("https://klasma.github.io/Logging_2262/klagomålsmail/A 5069-2024 FSC-klagomål mail.docx", "A 5069-2024")</f>
        <v/>
      </c>
      <c r="X638">
        <f>HYPERLINK("https://klasma.github.io/Logging_2262/tillsyn/A 5069-2024 tillsynsbegäran.docx", "A 5069-2024")</f>
        <v/>
      </c>
      <c r="Y638">
        <f>HYPERLINK("https://klasma.github.io/Logging_2262/tillsynsmail/A 5069-2024 tillsynsbegäran mail.docx", "A 5069-2024")</f>
        <v/>
      </c>
    </row>
    <row r="639" ht="15" customHeight="1">
      <c r="A639" t="inlineStr">
        <is>
          <t>A 21590-2026</t>
        </is>
      </c>
      <c r="B639" s="1" t="n">
        <v>46149.34553240741</v>
      </c>
      <c r="C639" s="1" t="n">
        <v>46185</v>
      </c>
      <c r="D639" t="inlineStr">
        <is>
          <t>VÄSTERNORRLANDS LÄN</t>
        </is>
      </c>
      <c r="E639" t="inlineStr">
        <is>
          <t>SOLLEFTEÅ</t>
        </is>
      </c>
      <c r="F639" t="inlineStr">
        <is>
          <t>SCA</t>
        </is>
      </c>
      <c r="G639" t="n">
        <v>2</v>
      </c>
      <c r="H639" t="n">
        <v>1</v>
      </c>
      <c r="I639" t="n">
        <v>1</v>
      </c>
      <c r="J639" t="n">
        <v>2</v>
      </c>
      <c r="K639" t="n">
        <v>0</v>
      </c>
      <c r="L639" t="n">
        <v>0</v>
      </c>
      <c r="M639" t="n">
        <v>0</v>
      </c>
      <c r="N639" t="n">
        <v>0</v>
      </c>
      <c r="O639" t="n">
        <v>2</v>
      </c>
      <c r="P639" t="n">
        <v>0</v>
      </c>
      <c r="Q639" t="n">
        <v>3</v>
      </c>
      <c r="R639" s="2" t="inlineStr">
        <is>
          <t>Gammelgransskål
Tretåig hackspett
Bollvitmossa</t>
        </is>
      </c>
      <c r="S639">
        <f>HYPERLINK("https://klasma.github.io/Logging_2283/artfynd/A 21590-2026 artfynd.xlsx", "A 21590-2026")</f>
        <v/>
      </c>
      <c r="T639">
        <f>HYPERLINK("https://klasma.github.io/Logging_2283/kartor/A 21590-2026 karta.png", "A 21590-2026")</f>
        <v/>
      </c>
      <c r="V639">
        <f>HYPERLINK("https://klasma.github.io/Logging_2283/klagomål/A 21590-2026 FSC-klagomål.docx", "A 21590-2026")</f>
        <v/>
      </c>
      <c r="W639">
        <f>HYPERLINK("https://klasma.github.io/Logging_2283/klagomålsmail/A 21590-2026 FSC-klagomål mail.docx", "A 21590-2026")</f>
        <v/>
      </c>
      <c r="X639">
        <f>HYPERLINK("https://klasma.github.io/Logging_2283/tillsyn/A 21590-2026 tillsynsbegäran.docx", "A 21590-2026")</f>
        <v/>
      </c>
      <c r="Y639">
        <f>HYPERLINK("https://klasma.github.io/Logging_2283/tillsynsmail/A 21590-2026 tillsynsbegäran mail.docx", "A 21590-2026")</f>
        <v/>
      </c>
      <c r="Z639">
        <f>HYPERLINK("https://klasma.github.io/Logging_2283/fåglar/A 21590-2026 prioriterade fågelarter.docx", "A 21590-2026")</f>
        <v/>
      </c>
    </row>
    <row r="640" ht="15" customHeight="1">
      <c r="A640" t="inlineStr">
        <is>
          <t>A 21436-2026</t>
        </is>
      </c>
      <c r="B640" s="1" t="n">
        <v>46148.40678240741</v>
      </c>
      <c r="C640" s="1" t="n">
        <v>46185</v>
      </c>
      <c r="D640" t="inlineStr">
        <is>
          <t>VÄSTERNORRLANDS LÄN</t>
        </is>
      </c>
      <c r="E640" t="inlineStr">
        <is>
          <t>TIMRÅ</t>
        </is>
      </c>
      <c r="F640" t="inlineStr">
        <is>
          <t>SCA</t>
        </is>
      </c>
      <c r="G640" t="n">
        <v>1</v>
      </c>
      <c r="H640" t="n">
        <v>0</v>
      </c>
      <c r="I640" t="n">
        <v>1</v>
      </c>
      <c r="J640" t="n">
        <v>2</v>
      </c>
      <c r="K640" t="n">
        <v>0</v>
      </c>
      <c r="L640" t="n">
        <v>0</v>
      </c>
      <c r="M640" t="n">
        <v>0</v>
      </c>
      <c r="N640" t="n">
        <v>0</v>
      </c>
      <c r="O640" t="n">
        <v>2</v>
      </c>
      <c r="P640" t="n">
        <v>0</v>
      </c>
      <c r="Q640" t="n">
        <v>3</v>
      </c>
      <c r="R640" s="2" t="inlineStr">
        <is>
          <t>Garnlav
Ullticka
Korallblylav</t>
        </is>
      </c>
      <c r="S640">
        <f>HYPERLINK("https://klasma.github.io/Logging_2262/artfynd/A 21436-2026 artfynd.xlsx", "A 21436-2026")</f>
        <v/>
      </c>
      <c r="T640">
        <f>HYPERLINK("https://klasma.github.io/Logging_2262/kartor/A 21436-2026 karta.png", "A 21436-2026")</f>
        <v/>
      </c>
      <c r="V640">
        <f>HYPERLINK("https://klasma.github.io/Logging_2262/klagomål/A 21436-2026 FSC-klagomål.docx", "A 21436-2026")</f>
        <v/>
      </c>
      <c r="W640">
        <f>HYPERLINK("https://klasma.github.io/Logging_2262/klagomålsmail/A 21436-2026 FSC-klagomål mail.docx", "A 21436-2026")</f>
        <v/>
      </c>
      <c r="X640">
        <f>HYPERLINK("https://klasma.github.io/Logging_2262/tillsyn/A 21436-2026 tillsynsbegäran.docx", "A 21436-2026")</f>
        <v/>
      </c>
      <c r="Y640">
        <f>HYPERLINK("https://klasma.github.io/Logging_2262/tillsynsmail/A 21436-2026 tillsynsbegäran mail.docx", "A 21436-2026")</f>
        <v/>
      </c>
    </row>
    <row r="641" ht="15" customHeight="1">
      <c r="A641" t="inlineStr">
        <is>
          <t>A 20781-2023</t>
        </is>
      </c>
      <c r="B641" s="1" t="n">
        <v>45058</v>
      </c>
      <c r="C641" s="1" t="n">
        <v>46185</v>
      </c>
      <c r="D641" t="inlineStr">
        <is>
          <t>VÄSTERNORRLANDS LÄN</t>
        </is>
      </c>
      <c r="E641" t="inlineStr">
        <is>
          <t>SOLLEFTEÅ</t>
        </is>
      </c>
      <c r="F641" t="inlineStr">
        <is>
          <t>Kyrkan</t>
        </is>
      </c>
      <c r="G641" t="n">
        <v>11.1</v>
      </c>
      <c r="H641" t="n">
        <v>1</v>
      </c>
      <c r="I641" t="n">
        <v>0</v>
      </c>
      <c r="J641" t="n">
        <v>2</v>
      </c>
      <c r="K641" t="n">
        <v>1</v>
      </c>
      <c r="L641" t="n">
        <v>0</v>
      </c>
      <c r="M641" t="n">
        <v>0</v>
      </c>
      <c r="N641" t="n">
        <v>0</v>
      </c>
      <c r="O641" t="n">
        <v>3</v>
      </c>
      <c r="P641" t="n">
        <v>1</v>
      </c>
      <c r="Q641" t="n">
        <v>3</v>
      </c>
      <c r="R641" s="2" t="inlineStr">
        <is>
          <t>Knärot
Garnlav
Ullticka</t>
        </is>
      </c>
      <c r="S641">
        <f>HYPERLINK("https://klasma.github.io/Logging_2283/artfynd/A 20781-2023 artfynd.xlsx", "A 20781-2023")</f>
        <v/>
      </c>
      <c r="T641">
        <f>HYPERLINK("https://klasma.github.io/Logging_2283/kartor/A 20781-2023 karta.png", "A 20781-2023")</f>
        <v/>
      </c>
      <c r="U641">
        <f>HYPERLINK("https://klasma.github.io/Logging_2283/knärot/A 20781-2023 karta knärot.png", "A 20781-2023")</f>
        <v/>
      </c>
      <c r="V641">
        <f>HYPERLINK("https://klasma.github.io/Logging_2283/klagomål/A 20781-2023 FSC-klagomål.docx", "A 20781-2023")</f>
        <v/>
      </c>
      <c r="W641">
        <f>HYPERLINK("https://klasma.github.io/Logging_2283/klagomålsmail/A 20781-2023 FSC-klagomål mail.docx", "A 20781-2023")</f>
        <v/>
      </c>
      <c r="X641">
        <f>HYPERLINK("https://klasma.github.io/Logging_2283/tillsyn/A 20781-2023 tillsynsbegäran.docx", "A 20781-2023")</f>
        <v/>
      </c>
      <c r="Y641">
        <f>HYPERLINK("https://klasma.github.io/Logging_2283/tillsynsmail/A 20781-2023 tillsynsbegäran mail.docx", "A 20781-2023")</f>
        <v/>
      </c>
    </row>
    <row r="642" ht="15" customHeight="1">
      <c r="A642" t="inlineStr">
        <is>
          <t>A 36127-2025</t>
        </is>
      </c>
      <c r="B642" s="1" t="n">
        <v>45866</v>
      </c>
      <c r="C642" s="1" t="n">
        <v>46185</v>
      </c>
      <c r="D642" t="inlineStr">
        <is>
          <t>VÄSTERNORRLANDS LÄN</t>
        </is>
      </c>
      <c r="E642" t="inlineStr">
        <is>
          <t>TIMRÅ</t>
        </is>
      </c>
      <c r="F642" t="inlineStr">
        <is>
          <t>SCA</t>
        </is>
      </c>
      <c r="G642" t="n">
        <v>1</v>
      </c>
      <c r="H642" t="n">
        <v>1</v>
      </c>
      <c r="I642" t="n">
        <v>0</v>
      </c>
      <c r="J642" t="n">
        <v>2</v>
      </c>
      <c r="K642" t="n">
        <v>1</v>
      </c>
      <c r="L642" t="n">
        <v>0</v>
      </c>
      <c r="M642" t="n">
        <v>0</v>
      </c>
      <c r="N642" t="n">
        <v>0</v>
      </c>
      <c r="O642" t="n">
        <v>3</v>
      </c>
      <c r="P642" t="n">
        <v>1</v>
      </c>
      <c r="Q642" t="n">
        <v>3</v>
      </c>
      <c r="R642" s="2" t="inlineStr">
        <is>
          <t>Knärot
Rosenticka
Violettgrå tagellav</t>
        </is>
      </c>
      <c r="S642">
        <f>HYPERLINK("https://klasma.github.io/Logging_2262/artfynd/A 36127-2025 artfynd.xlsx", "A 36127-2025")</f>
        <v/>
      </c>
      <c r="T642">
        <f>HYPERLINK("https://klasma.github.io/Logging_2262/kartor/A 36127-2025 karta.png", "A 36127-2025")</f>
        <v/>
      </c>
      <c r="U642">
        <f>HYPERLINK("https://klasma.github.io/Logging_2262/knärot/A 36127-2025 karta knärot.png", "A 36127-2025")</f>
        <v/>
      </c>
      <c r="V642">
        <f>HYPERLINK("https://klasma.github.io/Logging_2262/klagomål/A 36127-2025 FSC-klagomål.docx", "A 36127-2025")</f>
        <v/>
      </c>
      <c r="W642">
        <f>HYPERLINK("https://klasma.github.io/Logging_2262/klagomålsmail/A 36127-2025 FSC-klagomål mail.docx", "A 36127-2025")</f>
        <v/>
      </c>
      <c r="X642">
        <f>HYPERLINK("https://klasma.github.io/Logging_2262/tillsyn/A 36127-2025 tillsynsbegäran.docx", "A 36127-2025")</f>
        <v/>
      </c>
      <c r="Y642">
        <f>HYPERLINK("https://klasma.github.io/Logging_2262/tillsynsmail/A 36127-2025 tillsynsbegäran mail.docx", "A 36127-2025")</f>
        <v/>
      </c>
    </row>
    <row r="643" ht="15" customHeight="1">
      <c r="A643" t="inlineStr">
        <is>
          <t>A 36160-2025</t>
        </is>
      </c>
      <c r="B643" s="1" t="n">
        <v>45867</v>
      </c>
      <c r="C643" s="1" t="n">
        <v>46185</v>
      </c>
      <c r="D643" t="inlineStr">
        <is>
          <t>VÄSTERNORRLANDS LÄN</t>
        </is>
      </c>
      <c r="E643" t="inlineStr">
        <is>
          <t>TIMRÅ</t>
        </is>
      </c>
      <c r="F643" t="inlineStr">
        <is>
          <t>SCA</t>
        </is>
      </c>
      <c r="G643" t="n">
        <v>2.5</v>
      </c>
      <c r="H643" t="n">
        <v>0</v>
      </c>
      <c r="I643" t="n">
        <v>0</v>
      </c>
      <c r="J643" t="n">
        <v>3</v>
      </c>
      <c r="K643" t="n">
        <v>0</v>
      </c>
      <c r="L643" t="n">
        <v>0</v>
      </c>
      <c r="M643" t="n">
        <v>0</v>
      </c>
      <c r="N643" t="n">
        <v>0</v>
      </c>
      <c r="O643" t="n">
        <v>3</v>
      </c>
      <c r="P643" t="n">
        <v>0</v>
      </c>
      <c r="Q643" t="n">
        <v>3</v>
      </c>
      <c r="R643" s="2" t="inlineStr">
        <is>
          <t>Garnlav
Rosenticka
Ullticka</t>
        </is>
      </c>
      <c r="S643">
        <f>HYPERLINK("https://klasma.github.io/Logging_2262/artfynd/A 36160-2025 artfynd.xlsx", "A 36160-2025")</f>
        <v/>
      </c>
      <c r="T643">
        <f>HYPERLINK("https://klasma.github.io/Logging_2262/kartor/A 36160-2025 karta.png", "A 36160-2025")</f>
        <v/>
      </c>
      <c r="V643">
        <f>HYPERLINK("https://klasma.github.io/Logging_2262/klagomål/A 36160-2025 FSC-klagomål.docx", "A 36160-2025")</f>
        <v/>
      </c>
      <c r="W643">
        <f>HYPERLINK("https://klasma.github.io/Logging_2262/klagomålsmail/A 36160-2025 FSC-klagomål mail.docx", "A 36160-2025")</f>
        <v/>
      </c>
      <c r="X643">
        <f>HYPERLINK("https://klasma.github.io/Logging_2262/tillsyn/A 36160-2025 tillsynsbegäran.docx", "A 36160-2025")</f>
        <v/>
      </c>
      <c r="Y643">
        <f>HYPERLINK("https://klasma.github.io/Logging_2262/tillsynsmail/A 36160-2025 tillsynsbegäran mail.docx", "A 36160-2025")</f>
        <v/>
      </c>
    </row>
    <row r="644" ht="15" customHeight="1">
      <c r="A644" t="inlineStr">
        <is>
          <t>A 27734-2023</t>
        </is>
      </c>
      <c r="B644" s="1" t="n">
        <v>45098.37017361111</v>
      </c>
      <c r="C644" s="1" t="n">
        <v>46185</v>
      </c>
      <c r="D644" t="inlineStr">
        <is>
          <t>VÄSTERNORRLANDS LÄN</t>
        </is>
      </c>
      <c r="E644" t="inlineStr">
        <is>
          <t>SUNDSVALL</t>
        </is>
      </c>
      <c r="G644" t="n">
        <v>0.8</v>
      </c>
      <c r="H644" t="n">
        <v>3</v>
      </c>
      <c r="I644" t="n">
        <v>0</v>
      </c>
      <c r="J644" t="n">
        <v>1</v>
      </c>
      <c r="K644" t="n">
        <v>0</v>
      </c>
      <c r="L644" t="n">
        <v>1</v>
      </c>
      <c r="M644" t="n">
        <v>0</v>
      </c>
      <c r="N644" t="n">
        <v>0</v>
      </c>
      <c r="O644" t="n">
        <v>2</v>
      </c>
      <c r="P644" t="n">
        <v>1</v>
      </c>
      <c r="Q644" t="n">
        <v>3</v>
      </c>
      <c r="R644" s="2" t="inlineStr">
        <is>
          <t>Grönfink
Björktrast
Skogsduva</t>
        </is>
      </c>
      <c r="S644">
        <f>HYPERLINK("https://klasma.github.io/Logging_2281/artfynd/A 27734-2023 artfynd.xlsx", "A 27734-2023")</f>
        <v/>
      </c>
      <c r="T644">
        <f>HYPERLINK("https://klasma.github.io/Logging_2281/kartor/A 27734-2023 karta.png", "A 27734-2023")</f>
        <v/>
      </c>
      <c r="V644">
        <f>HYPERLINK("https://klasma.github.io/Logging_2281/klagomål/A 27734-2023 FSC-klagomål.docx", "A 27734-2023")</f>
        <v/>
      </c>
      <c r="W644">
        <f>HYPERLINK("https://klasma.github.io/Logging_2281/klagomålsmail/A 27734-2023 FSC-klagomål mail.docx", "A 27734-2023")</f>
        <v/>
      </c>
      <c r="X644">
        <f>HYPERLINK("https://klasma.github.io/Logging_2281/tillsyn/A 27734-2023 tillsynsbegäran.docx", "A 27734-2023")</f>
        <v/>
      </c>
      <c r="Y644">
        <f>HYPERLINK("https://klasma.github.io/Logging_2281/tillsynsmail/A 27734-2023 tillsynsbegäran mail.docx", "A 27734-2023")</f>
        <v/>
      </c>
      <c r="Z644">
        <f>HYPERLINK("https://klasma.github.io/Logging_2281/fåglar/A 27734-2023 prioriterade fågelarter.docx", "A 27734-2023")</f>
        <v/>
      </c>
    </row>
    <row r="645" ht="15" customHeight="1">
      <c r="A645" t="inlineStr">
        <is>
          <t>A 24782-2024</t>
        </is>
      </c>
      <c r="B645" s="1" t="n">
        <v>45460.80252314815</v>
      </c>
      <c r="C645" s="1" t="n">
        <v>46185</v>
      </c>
      <c r="D645" t="inlineStr">
        <is>
          <t>VÄSTERNORRLANDS LÄN</t>
        </is>
      </c>
      <c r="E645" t="inlineStr">
        <is>
          <t>SUNDSVALL</t>
        </is>
      </c>
      <c r="F645" t="inlineStr">
        <is>
          <t>Kommuner</t>
        </is>
      </c>
      <c r="G645" t="n">
        <v>2.6</v>
      </c>
      <c r="H645" t="n">
        <v>3</v>
      </c>
      <c r="I645" t="n">
        <v>0</v>
      </c>
      <c r="J645" t="n">
        <v>3</v>
      </c>
      <c r="K645" t="n">
        <v>0</v>
      </c>
      <c r="L645" t="n">
        <v>0</v>
      </c>
      <c r="M645" t="n">
        <v>0</v>
      </c>
      <c r="N645" t="n">
        <v>0</v>
      </c>
      <c r="O645" t="n">
        <v>3</v>
      </c>
      <c r="P645" t="n">
        <v>0</v>
      </c>
      <c r="Q645" t="n">
        <v>3</v>
      </c>
      <c r="R645" s="2" t="inlineStr">
        <is>
          <t>Grönsångare
Talltita
Tretåig hackspett</t>
        </is>
      </c>
      <c r="S645">
        <f>HYPERLINK("https://klasma.github.io/Logging_2281/artfynd/A 24782-2024 artfynd.xlsx", "A 24782-2024")</f>
        <v/>
      </c>
      <c r="T645">
        <f>HYPERLINK("https://klasma.github.io/Logging_2281/kartor/A 24782-2024 karta.png", "A 24782-2024")</f>
        <v/>
      </c>
      <c r="V645">
        <f>HYPERLINK("https://klasma.github.io/Logging_2281/klagomål/A 24782-2024 FSC-klagomål.docx", "A 24782-2024")</f>
        <v/>
      </c>
      <c r="W645">
        <f>HYPERLINK("https://klasma.github.io/Logging_2281/klagomålsmail/A 24782-2024 FSC-klagomål mail.docx", "A 24782-2024")</f>
        <v/>
      </c>
      <c r="X645">
        <f>HYPERLINK("https://klasma.github.io/Logging_2281/tillsyn/A 24782-2024 tillsynsbegäran.docx", "A 24782-2024")</f>
        <v/>
      </c>
      <c r="Y645">
        <f>HYPERLINK("https://klasma.github.io/Logging_2281/tillsynsmail/A 24782-2024 tillsynsbegäran mail.docx", "A 24782-2024")</f>
        <v/>
      </c>
      <c r="Z645">
        <f>HYPERLINK("https://klasma.github.io/Logging_2281/fåglar/A 24782-2024 prioriterade fågelarter.docx", "A 24782-2024")</f>
        <v/>
      </c>
    </row>
    <row r="646" ht="15" customHeight="1">
      <c r="A646" t="inlineStr">
        <is>
          <t>A 24795-2024</t>
        </is>
      </c>
      <c r="B646" s="1" t="n">
        <v>45460.95252314815</v>
      </c>
      <c r="C646" s="1" t="n">
        <v>46185</v>
      </c>
      <c r="D646" t="inlineStr">
        <is>
          <t>VÄSTERNORRLANDS LÄN</t>
        </is>
      </c>
      <c r="E646" t="inlineStr">
        <is>
          <t>ÅNGE</t>
        </is>
      </c>
      <c r="F646" t="inlineStr">
        <is>
          <t>SCA</t>
        </is>
      </c>
      <c r="G646" t="n">
        <v>2.2</v>
      </c>
      <c r="H646" t="n">
        <v>1</v>
      </c>
      <c r="I646" t="n">
        <v>2</v>
      </c>
      <c r="J646" t="n">
        <v>1</v>
      </c>
      <c r="K646" t="n">
        <v>0</v>
      </c>
      <c r="L646" t="n">
        <v>0</v>
      </c>
      <c r="M646" t="n">
        <v>0</v>
      </c>
      <c r="N646" t="n">
        <v>0</v>
      </c>
      <c r="O646" t="n">
        <v>1</v>
      </c>
      <c r="P646" t="n">
        <v>0</v>
      </c>
      <c r="Q646" t="n">
        <v>3</v>
      </c>
      <c r="R646" s="2" t="inlineStr">
        <is>
          <t>Lunglav
Plattlummer
Skinnlav</t>
        </is>
      </c>
      <c r="S646">
        <f>HYPERLINK("https://klasma.github.io/Logging_2260/artfynd/A 24795-2024 artfynd.xlsx", "A 24795-2024")</f>
        <v/>
      </c>
      <c r="T646">
        <f>HYPERLINK("https://klasma.github.io/Logging_2260/kartor/A 24795-2024 karta.png", "A 24795-2024")</f>
        <v/>
      </c>
      <c r="V646">
        <f>HYPERLINK("https://klasma.github.io/Logging_2260/klagomål/A 24795-2024 FSC-klagomål.docx", "A 24795-2024")</f>
        <v/>
      </c>
      <c r="W646">
        <f>HYPERLINK("https://klasma.github.io/Logging_2260/klagomålsmail/A 24795-2024 FSC-klagomål mail.docx", "A 24795-2024")</f>
        <v/>
      </c>
      <c r="X646">
        <f>HYPERLINK("https://klasma.github.io/Logging_2260/tillsyn/A 24795-2024 tillsynsbegäran.docx", "A 24795-2024")</f>
        <v/>
      </c>
      <c r="Y646">
        <f>HYPERLINK("https://klasma.github.io/Logging_2260/tillsynsmail/A 24795-2024 tillsynsbegäran mail.docx", "A 24795-2024")</f>
        <v/>
      </c>
    </row>
    <row r="647" ht="15" customHeight="1">
      <c r="A647" t="inlineStr">
        <is>
          <t>A 25522-2025</t>
        </is>
      </c>
      <c r="B647" s="1" t="n">
        <v>45803.38619212963</v>
      </c>
      <c r="C647" s="1" t="n">
        <v>46185</v>
      </c>
      <c r="D647" t="inlineStr">
        <is>
          <t>VÄSTERNORRLANDS LÄN</t>
        </is>
      </c>
      <c r="E647" t="inlineStr">
        <is>
          <t>SOLLEFTEÅ</t>
        </is>
      </c>
      <c r="F647" t="inlineStr">
        <is>
          <t>SCA</t>
        </is>
      </c>
      <c r="G647" t="n">
        <v>0.8</v>
      </c>
      <c r="H647" t="n">
        <v>1</v>
      </c>
      <c r="I647" t="n">
        <v>0</v>
      </c>
      <c r="J647" t="n">
        <v>3</v>
      </c>
      <c r="K647" t="n">
        <v>0</v>
      </c>
      <c r="L647" t="n">
        <v>0</v>
      </c>
      <c r="M647" t="n">
        <v>0</v>
      </c>
      <c r="N647" t="n">
        <v>0</v>
      </c>
      <c r="O647" t="n">
        <v>3</v>
      </c>
      <c r="P647" t="n">
        <v>0</v>
      </c>
      <c r="Q647" t="n">
        <v>3</v>
      </c>
      <c r="R647" s="2" t="inlineStr">
        <is>
          <t>Garnlav
Granticka
Tretåig hackspett</t>
        </is>
      </c>
      <c r="S647">
        <f>HYPERLINK("https://klasma.github.io/Logging_2283/artfynd/A 25522-2025 artfynd.xlsx", "A 25522-2025")</f>
        <v/>
      </c>
      <c r="T647">
        <f>HYPERLINK("https://klasma.github.io/Logging_2283/kartor/A 25522-2025 karta.png", "A 25522-2025")</f>
        <v/>
      </c>
      <c r="V647">
        <f>HYPERLINK("https://klasma.github.io/Logging_2283/klagomål/A 25522-2025 FSC-klagomål.docx", "A 25522-2025")</f>
        <v/>
      </c>
      <c r="W647">
        <f>HYPERLINK("https://klasma.github.io/Logging_2283/klagomålsmail/A 25522-2025 FSC-klagomål mail.docx", "A 25522-2025")</f>
        <v/>
      </c>
      <c r="X647">
        <f>HYPERLINK("https://klasma.github.io/Logging_2283/tillsyn/A 25522-2025 tillsynsbegäran.docx", "A 25522-2025")</f>
        <v/>
      </c>
      <c r="Y647">
        <f>HYPERLINK("https://klasma.github.io/Logging_2283/tillsynsmail/A 25522-2025 tillsynsbegäran mail.docx", "A 25522-2025")</f>
        <v/>
      </c>
      <c r="Z647">
        <f>HYPERLINK("https://klasma.github.io/Logging_2283/fåglar/A 25522-2025 prioriterade fågelarter.docx", "A 25522-2025")</f>
        <v/>
      </c>
    </row>
    <row r="648" ht="15" customHeight="1">
      <c r="A648" t="inlineStr">
        <is>
          <t>A 48017-2024</t>
        </is>
      </c>
      <c r="B648" s="1" t="n">
        <v>45589.46935185185</v>
      </c>
      <c r="C648" s="1" t="n">
        <v>46185</v>
      </c>
      <c r="D648" t="inlineStr">
        <is>
          <t>VÄSTERNORRLANDS LÄN</t>
        </is>
      </c>
      <c r="E648" t="inlineStr">
        <is>
          <t>SOLLEFTEÅ</t>
        </is>
      </c>
      <c r="F648" t="inlineStr">
        <is>
          <t>SCA</t>
        </is>
      </c>
      <c r="G648" t="n">
        <v>1.4</v>
      </c>
      <c r="H648" t="n">
        <v>0</v>
      </c>
      <c r="I648" t="n">
        <v>1</v>
      </c>
      <c r="J648" t="n">
        <v>2</v>
      </c>
      <c r="K648" t="n">
        <v>0</v>
      </c>
      <c r="L648" t="n">
        <v>0</v>
      </c>
      <c r="M648" t="n">
        <v>0</v>
      </c>
      <c r="N648" t="n">
        <v>0</v>
      </c>
      <c r="O648" t="n">
        <v>2</v>
      </c>
      <c r="P648" t="n">
        <v>0</v>
      </c>
      <c r="Q648" t="n">
        <v>3</v>
      </c>
      <c r="R648" s="2" t="inlineStr">
        <is>
          <t>Garnlav
Kolflarnlav
Dropptaggsvamp</t>
        </is>
      </c>
      <c r="S648">
        <f>HYPERLINK("https://klasma.github.io/Logging_2283/artfynd/A 48017-2024 artfynd.xlsx", "A 48017-2024")</f>
        <v/>
      </c>
      <c r="T648">
        <f>HYPERLINK("https://klasma.github.io/Logging_2283/kartor/A 48017-2024 karta.png", "A 48017-2024")</f>
        <v/>
      </c>
      <c r="V648">
        <f>HYPERLINK("https://klasma.github.io/Logging_2283/klagomål/A 48017-2024 FSC-klagomål.docx", "A 48017-2024")</f>
        <v/>
      </c>
      <c r="W648">
        <f>HYPERLINK("https://klasma.github.io/Logging_2283/klagomålsmail/A 48017-2024 FSC-klagomål mail.docx", "A 48017-2024")</f>
        <v/>
      </c>
      <c r="X648">
        <f>HYPERLINK("https://klasma.github.io/Logging_2283/tillsyn/A 48017-2024 tillsynsbegäran.docx", "A 48017-2024")</f>
        <v/>
      </c>
      <c r="Y648">
        <f>HYPERLINK("https://klasma.github.io/Logging_2283/tillsynsmail/A 48017-2024 tillsynsbegäran mail.docx", "A 48017-2024")</f>
        <v/>
      </c>
    </row>
    <row r="649" ht="15" customHeight="1">
      <c r="A649" t="inlineStr">
        <is>
          <t>A 25919-2025</t>
        </is>
      </c>
      <c r="B649" s="1" t="n">
        <v>45804</v>
      </c>
      <c r="C649" s="1" t="n">
        <v>46185</v>
      </c>
      <c r="D649" t="inlineStr">
        <is>
          <t>VÄSTERNORRLANDS LÄN</t>
        </is>
      </c>
      <c r="E649" t="inlineStr">
        <is>
          <t>SOLLEFTEÅ</t>
        </is>
      </c>
      <c r="G649" t="n">
        <v>8.5</v>
      </c>
      <c r="H649" t="n">
        <v>0</v>
      </c>
      <c r="I649" t="n">
        <v>2</v>
      </c>
      <c r="J649" t="n">
        <v>1</v>
      </c>
      <c r="K649" t="n">
        <v>0</v>
      </c>
      <c r="L649" t="n">
        <v>0</v>
      </c>
      <c r="M649" t="n">
        <v>0</v>
      </c>
      <c r="N649" t="n">
        <v>0</v>
      </c>
      <c r="O649" t="n">
        <v>1</v>
      </c>
      <c r="P649" t="n">
        <v>0</v>
      </c>
      <c r="Q649" t="n">
        <v>3</v>
      </c>
      <c r="R649" s="2" t="inlineStr">
        <is>
          <t>Granticka
Svart trolldruva
Vårärt</t>
        </is>
      </c>
      <c r="S649">
        <f>HYPERLINK("https://klasma.github.io/Logging_2283/artfynd/A 25919-2025 artfynd.xlsx", "A 25919-2025")</f>
        <v/>
      </c>
      <c r="T649">
        <f>HYPERLINK("https://klasma.github.io/Logging_2283/kartor/A 25919-2025 karta.png", "A 25919-2025")</f>
        <v/>
      </c>
      <c r="V649">
        <f>HYPERLINK("https://klasma.github.io/Logging_2283/klagomål/A 25919-2025 FSC-klagomål.docx", "A 25919-2025")</f>
        <v/>
      </c>
      <c r="W649">
        <f>HYPERLINK("https://klasma.github.io/Logging_2283/klagomålsmail/A 25919-2025 FSC-klagomål mail.docx", "A 25919-2025")</f>
        <v/>
      </c>
      <c r="X649">
        <f>HYPERLINK("https://klasma.github.io/Logging_2283/tillsyn/A 25919-2025 tillsynsbegäran.docx", "A 25919-2025")</f>
        <v/>
      </c>
      <c r="Y649">
        <f>HYPERLINK("https://klasma.github.io/Logging_2283/tillsynsmail/A 25919-2025 tillsynsbegäran mail.docx", "A 25919-2025")</f>
        <v/>
      </c>
    </row>
    <row r="650" ht="15" customHeight="1">
      <c r="A650" t="inlineStr">
        <is>
          <t>A 23462-2026</t>
        </is>
      </c>
      <c r="B650" s="1" t="n">
        <v>46163.40699074074</v>
      </c>
      <c r="C650" s="1" t="n">
        <v>46185</v>
      </c>
      <c r="D650" t="inlineStr">
        <is>
          <t>VÄSTERNORRLANDS LÄN</t>
        </is>
      </c>
      <c r="E650" t="inlineStr">
        <is>
          <t>SOLLEFTEÅ</t>
        </is>
      </c>
      <c r="F650" t="inlineStr">
        <is>
          <t>SCA</t>
        </is>
      </c>
      <c r="G650" t="n">
        <v>2.4</v>
      </c>
      <c r="H650" t="n">
        <v>0</v>
      </c>
      <c r="I650" t="n">
        <v>0</v>
      </c>
      <c r="J650" t="n">
        <v>3</v>
      </c>
      <c r="K650" t="n">
        <v>0</v>
      </c>
      <c r="L650" t="n">
        <v>0</v>
      </c>
      <c r="M650" t="n">
        <v>0</v>
      </c>
      <c r="N650" t="n">
        <v>0</v>
      </c>
      <c r="O650" t="n">
        <v>3</v>
      </c>
      <c r="P650" t="n">
        <v>0</v>
      </c>
      <c r="Q650" t="n">
        <v>3</v>
      </c>
      <c r="R650" s="2" t="inlineStr">
        <is>
          <t>Gammelgransskål
Garnlav
Vitgrynig nållav</t>
        </is>
      </c>
      <c r="S650">
        <f>HYPERLINK("https://klasma.github.io/Logging_2283/artfynd/A 23462-2026 artfynd.xlsx", "A 23462-2026")</f>
        <v/>
      </c>
      <c r="T650">
        <f>HYPERLINK("https://klasma.github.io/Logging_2283/kartor/A 23462-2026 karta.png", "A 23462-2026")</f>
        <v/>
      </c>
      <c r="V650">
        <f>HYPERLINK("https://klasma.github.io/Logging_2283/klagomål/A 23462-2026 FSC-klagomål.docx", "A 23462-2026")</f>
        <v/>
      </c>
      <c r="W650">
        <f>HYPERLINK("https://klasma.github.io/Logging_2283/klagomålsmail/A 23462-2026 FSC-klagomål mail.docx", "A 23462-2026")</f>
        <v/>
      </c>
      <c r="X650">
        <f>HYPERLINK("https://klasma.github.io/Logging_2283/tillsyn/A 23462-2026 tillsynsbegäran.docx", "A 23462-2026")</f>
        <v/>
      </c>
      <c r="Y650">
        <f>HYPERLINK("https://klasma.github.io/Logging_2283/tillsynsmail/A 23462-2026 tillsynsbegäran mail.docx", "A 23462-2026")</f>
        <v/>
      </c>
    </row>
    <row r="651" ht="15" customHeight="1">
      <c r="A651" t="inlineStr">
        <is>
          <t>A 14820-2024</t>
        </is>
      </c>
      <c r="B651" s="1" t="n">
        <v>45397</v>
      </c>
      <c r="C651" s="1" t="n">
        <v>46185</v>
      </c>
      <c r="D651" t="inlineStr">
        <is>
          <t>VÄSTERNORRLANDS LÄN</t>
        </is>
      </c>
      <c r="E651" t="inlineStr">
        <is>
          <t>SUNDSVALL</t>
        </is>
      </c>
      <c r="F651" t="inlineStr">
        <is>
          <t>SCA</t>
        </is>
      </c>
      <c r="G651" t="n">
        <v>13.1</v>
      </c>
      <c r="H651" t="n">
        <v>0</v>
      </c>
      <c r="I651" t="n">
        <v>1</v>
      </c>
      <c r="J651" t="n">
        <v>2</v>
      </c>
      <c r="K651" t="n">
        <v>0</v>
      </c>
      <c r="L651" t="n">
        <v>0</v>
      </c>
      <c r="M651" t="n">
        <v>0</v>
      </c>
      <c r="N651" t="n">
        <v>0</v>
      </c>
      <c r="O651" t="n">
        <v>2</v>
      </c>
      <c r="P651" t="n">
        <v>0</v>
      </c>
      <c r="Q651" t="n">
        <v>3</v>
      </c>
      <c r="R651" s="2" t="inlineStr">
        <is>
          <t>Garnlav
Lunglav
Luddlav</t>
        </is>
      </c>
      <c r="S651">
        <f>HYPERLINK("https://klasma.github.io/Logging_2281/artfynd/A 14820-2024 artfynd.xlsx", "A 14820-2024")</f>
        <v/>
      </c>
      <c r="T651">
        <f>HYPERLINK("https://klasma.github.io/Logging_2281/kartor/A 14820-2024 karta.png", "A 14820-2024")</f>
        <v/>
      </c>
      <c r="V651">
        <f>HYPERLINK("https://klasma.github.io/Logging_2281/klagomål/A 14820-2024 FSC-klagomål.docx", "A 14820-2024")</f>
        <v/>
      </c>
      <c r="W651">
        <f>HYPERLINK("https://klasma.github.io/Logging_2281/klagomålsmail/A 14820-2024 FSC-klagomål mail.docx", "A 14820-2024")</f>
        <v/>
      </c>
      <c r="X651">
        <f>HYPERLINK("https://klasma.github.io/Logging_2281/tillsyn/A 14820-2024 tillsynsbegäran.docx", "A 14820-2024")</f>
        <v/>
      </c>
      <c r="Y651">
        <f>HYPERLINK("https://klasma.github.io/Logging_2281/tillsynsmail/A 14820-2024 tillsynsbegäran mail.docx", "A 14820-2024")</f>
        <v/>
      </c>
    </row>
    <row r="652" ht="15" customHeight="1">
      <c r="A652" t="inlineStr">
        <is>
          <t>A 5121-2025</t>
        </is>
      </c>
      <c r="B652" s="1" t="n">
        <v>45691</v>
      </c>
      <c r="C652" s="1" t="n">
        <v>46185</v>
      </c>
      <c r="D652" t="inlineStr">
        <is>
          <t>VÄSTERNORRLANDS LÄN</t>
        </is>
      </c>
      <c r="E652" t="inlineStr">
        <is>
          <t>SOLLEFTEÅ</t>
        </is>
      </c>
      <c r="G652" t="n">
        <v>3.4</v>
      </c>
      <c r="H652" t="n">
        <v>1</v>
      </c>
      <c r="I652" t="n">
        <v>0</v>
      </c>
      <c r="J652" t="n">
        <v>3</v>
      </c>
      <c r="K652" t="n">
        <v>0</v>
      </c>
      <c r="L652" t="n">
        <v>0</v>
      </c>
      <c r="M652" t="n">
        <v>0</v>
      </c>
      <c r="N652" t="n">
        <v>0</v>
      </c>
      <c r="O652" t="n">
        <v>3</v>
      </c>
      <c r="P652" t="n">
        <v>0</v>
      </c>
      <c r="Q652" t="n">
        <v>3</v>
      </c>
      <c r="R652" s="2" t="inlineStr">
        <is>
          <t>Granticka
Tretåig hackspett
Ullticka</t>
        </is>
      </c>
      <c r="S652">
        <f>HYPERLINK("https://klasma.github.io/Logging_2283/artfynd/A 5121-2025 artfynd.xlsx", "A 5121-2025")</f>
        <v/>
      </c>
      <c r="T652">
        <f>HYPERLINK("https://klasma.github.io/Logging_2283/kartor/A 5121-2025 karta.png", "A 5121-2025")</f>
        <v/>
      </c>
      <c r="V652">
        <f>HYPERLINK("https://klasma.github.io/Logging_2283/klagomål/A 5121-2025 FSC-klagomål.docx", "A 5121-2025")</f>
        <v/>
      </c>
      <c r="W652">
        <f>HYPERLINK("https://klasma.github.io/Logging_2283/klagomålsmail/A 5121-2025 FSC-klagomål mail.docx", "A 5121-2025")</f>
        <v/>
      </c>
      <c r="X652">
        <f>HYPERLINK("https://klasma.github.io/Logging_2283/tillsyn/A 5121-2025 tillsynsbegäran.docx", "A 5121-2025")</f>
        <v/>
      </c>
      <c r="Y652">
        <f>HYPERLINK("https://klasma.github.io/Logging_2283/tillsynsmail/A 5121-2025 tillsynsbegäran mail.docx", "A 5121-2025")</f>
        <v/>
      </c>
      <c r="Z652">
        <f>HYPERLINK("https://klasma.github.io/Logging_2283/fåglar/A 5121-2025 prioriterade fågelarter.docx", "A 5121-2025")</f>
        <v/>
      </c>
    </row>
    <row r="653" ht="15" customHeight="1">
      <c r="A653" t="inlineStr">
        <is>
          <t>A 14955-2025</t>
        </is>
      </c>
      <c r="B653" s="1" t="n">
        <v>45743</v>
      </c>
      <c r="C653" s="1" t="n">
        <v>46185</v>
      </c>
      <c r="D653" t="inlineStr">
        <is>
          <t>VÄSTERNORRLANDS LÄN</t>
        </is>
      </c>
      <c r="E653" t="inlineStr">
        <is>
          <t>TIMRÅ</t>
        </is>
      </c>
      <c r="G653" t="n">
        <v>0.8</v>
      </c>
      <c r="H653" t="n">
        <v>1</v>
      </c>
      <c r="I653" t="n">
        <v>0</v>
      </c>
      <c r="J653" t="n">
        <v>1</v>
      </c>
      <c r="K653" t="n">
        <v>1</v>
      </c>
      <c r="L653" t="n">
        <v>0</v>
      </c>
      <c r="M653" t="n">
        <v>0</v>
      </c>
      <c r="N653" t="n">
        <v>0</v>
      </c>
      <c r="O653" t="n">
        <v>2</v>
      </c>
      <c r="P653" t="n">
        <v>1</v>
      </c>
      <c r="Q653" t="n">
        <v>3</v>
      </c>
      <c r="R653" s="2" t="inlineStr">
        <is>
          <t>Rynkskinn
Ullticka
Nattviol</t>
        </is>
      </c>
      <c r="S653">
        <f>HYPERLINK("https://klasma.github.io/Logging_2262/artfynd/A 14955-2025 artfynd.xlsx", "A 14955-2025")</f>
        <v/>
      </c>
      <c r="T653">
        <f>HYPERLINK("https://klasma.github.io/Logging_2262/kartor/A 14955-2025 karta.png", "A 14955-2025")</f>
        <v/>
      </c>
      <c r="V653">
        <f>HYPERLINK("https://klasma.github.io/Logging_2262/klagomål/A 14955-2025 FSC-klagomål.docx", "A 14955-2025")</f>
        <v/>
      </c>
      <c r="W653">
        <f>HYPERLINK("https://klasma.github.io/Logging_2262/klagomålsmail/A 14955-2025 FSC-klagomål mail.docx", "A 14955-2025")</f>
        <v/>
      </c>
      <c r="X653">
        <f>HYPERLINK("https://klasma.github.io/Logging_2262/tillsyn/A 14955-2025 tillsynsbegäran.docx", "A 14955-2025")</f>
        <v/>
      </c>
      <c r="Y653">
        <f>HYPERLINK("https://klasma.github.io/Logging_2262/tillsynsmail/A 14955-2025 tillsynsbegäran mail.docx", "A 14955-2025")</f>
        <v/>
      </c>
    </row>
    <row r="654" ht="15" customHeight="1">
      <c r="A654" t="inlineStr">
        <is>
          <t>A 30287-2023</t>
        </is>
      </c>
      <c r="B654" s="1" t="n">
        <v>45110</v>
      </c>
      <c r="C654" s="1" t="n">
        <v>46185</v>
      </c>
      <c r="D654" t="inlineStr">
        <is>
          <t>VÄSTERNORRLANDS LÄN</t>
        </is>
      </c>
      <c r="E654" t="inlineStr">
        <is>
          <t>SUNDSVALL</t>
        </is>
      </c>
      <c r="G654" t="n">
        <v>2.2</v>
      </c>
      <c r="H654" t="n">
        <v>3</v>
      </c>
      <c r="I654" t="n">
        <v>0</v>
      </c>
      <c r="J654" t="n">
        <v>1</v>
      </c>
      <c r="K654" t="n">
        <v>0</v>
      </c>
      <c r="L654" t="n">
        <v>1</v>
      </c>
      <c r="M654" t="n">
        <v>0</v>
      </c>
      <c r="N654" t="n">
        <v>0</v>
      </c>
      <c r="O654" t="n">
        <v>2</v>
      </c>
      <c r="P654" t="n">
        <v>1</v>
      </c>
      <c r="Q654" t="n">
        <v>3</v>
      </c>
      <c r="R654" s="2" t="inlineStr">
        <is>
          <t>Grönfink
Duvhök
Kungsfågel</t>
        </is>
      </c>
      <c r="S654">
        <f>HYPERLINK("https://klasma.github.io/Logging_2281/artfynd/A 30287-2023 artfynd.xlsx", "A 30287-2023")</f>
        <v/>
      </c>
      <c r="T654">
        <f>HYPERLINK("https://klasma.github.io/Logging_2281/kartor/A 30287-2023 karta.png", "A 30287-2023")</f>
        <v/>
      </c>
      <c r="V654">
        <f>HYPERLINK("https://klasma.github.io/Logging_2281/klagomål/A 30287-2023 FSC-klagomål.docx", "A 30287-2023")</f>
        <v/>
      </c>
      <c r="W654">
        <f>HYPERLINK("https://klasma.github.io/Logging_2281/klagomålsmail/A 30287-2023 FSC-klagomål mail.docx", "A 30287-2023")</f>
        <v/>
      </c>
      <c r="X654">
        <f>HYPERLINK("https://klasma.github.io/Logging_2281/tillsyn/A 30287-2023 tillsynsbegäran.docx", "A 30287-2023")</f>
        <v/>
      </c>
      <c r="Y654">
        <f>HYPERLINK("https://klasma.github.io/Logging_2281/tillsynsmail/A 30287-2023 tillsynsbegäran mail.docx", "A 30287-2023")</f>
        <v/>
      </c>
      <c r="Z654">
        <f>HYPERLINK("https://klasma.github.io/Logging_2281/fåglar/A 30287-2023 prioriterade fågelarter.docx", "A 30287-2023")</f>
        <v/>
      </c>
    </row>
    <row r="655" ht="15" customHeight="1">
      <c r="A655" t="inlineStr">
        <is>
          <t>A 24998-2026</t>
        </is>
      </c>
      <c r="B655" s="1" t="n">
        <v>46174.61515046296</v>
      </c>
      <c r="C655" s="1" t="n">
        <v>46185</v>
      </c>
      <c r="D655" t="inlineStr">
        <is>
          <t>VÄSTERNORRLANDS LÄN</t>
        </is>
      </c>
      <c r="E655" t="inlineStr">
        <is>
          <t>SOLLEFTEÅ</t>
        </is>
      </c>
      <c r="F655" t="inlineStr">
        <is>
          <t>SCA</t>
        </is>
      </c>
      <c r="G655" t="n">
        <v>32.5</v>
      </c>
      <c r="H655" t="n">
        <v>0</v>
      </c>
      <c r="I655" t="n">
        <v>2</v>
      </c>
      <c r="J655" t="n">
        <v>1</v>
      </c>
      <c r="K655" t="n">
        <v>0</v>
      </c>
      <c r="L655" t="n">
        <v>0</v>
      </c>
      <c r="M655" t="n">
        <v>0</v>
      </c>
      <c r="N655" t="n">
        <v>0</v>
      </c>
      <c r="O655" t="n">
        <v>1</v>
      </c>
      <c r="P655" t="n">
        <v>0</v>
      </c>
      <c r="Q655" t="n">
        <v>3</v>
      </c>
      <c r="R655" s="2" t="inlineStr">
        <is>
          <t>Lunglav
Dvärgtufs
Korallblylav</t>
        </is>
      </c>
      <c r="S655">
        <f>HYPERLINK("https://klasma.github.io/Logging_2283/artfynd/A 24998-2026 artfynd.xlsx", "A 24998-2026")</f>
        <v/>
      </c>
      <c r="T655">
        <f>HYPERLINK("https://klasma.github.io/Logging_2283/kartor/A 24998-2026 karta.png", "A 24998-2026")</f>
        <v/>
      </c>
      <c r="V655">
        <f>HYPERLINK("https://klasma.github.io/Logging_2283/klagomål/A 24998-2026 FSC-klagomål.docx", "A 24998-2026")</f>
        <v/>
      </c>
      <c r="W655">
        <f>HYPERLINK("https://klasma.github.io/Logging_2283/klagomålsmail/A 24998-2026 FSC-klagomål mail.docx", "A 24998-2026")</f>
        <v/>
      </c>
      <c r="X655">
        <f>HYPERLINK("https://klasma.github.io/Logging_2283/tillsyn/A 24998-2026 tillsynsbegäran.docx", "A 24998-2026")</f>
        <v/>
      </c>
      <c r="Y655">
        <f>HYPERLINK("https://klasma.github.io/Logging_2283/tillsynsmail/A 24998-2026 tillsynsbegäran mail.docx", "A 24998-2026")</f>
        <v/>
      </c>
    </row>
    <row r="656" ht="15" customHeight="1">
      <c r="A656" t="inlineStr">
        <is>
          <t>A 49675-2024</t>
        </is>
      </c>
      <c r="B656" s="1" t="n">
        <v>45596.66052083333</v>
      </c>
      <c r="C656" s="1" t="n">
        <v>46185</v>
      </c>
      <c r="D656" t="inlineStr">
        <is>
          <t>VÄSTERNORRLANDS LÄN</t>
        </is>
      </c>
      <c r="E656" t="inlineStr">
        <is>
          <t>HÄRNÖSAND</t>
        </is>
      </c>
      <c r="F656" t="inlineStr">
        <is>
          <t>SCA</t>
        </is>
      </c>
      <c r="G656" t="n">
        <v>7.2</v>
      </c>
      <c r="H656" t="n">
        <v>0</v>
      </c>
      <c r="I656" t="n">
        <v>0</v>
      </c>
      <c r="J656" t="n">
        <v>2</v>
      </c>
      <c r="K656" t="n">
        <v>1</v>
      </c>
      <c r="L656" t="n">
        <v>0</v>
      </c>
      <c r="M656" t="n">
        <v>0</v>
      </c>
      <c r="N656" t="n">
        <v>0</v>
      </c>
      <c r="O656" t="n">
        <v>3</v>
      </c>
      <c r="P656" t="n">
        <v>1</v>
      </c>
      <c r="Q656" t="n">
        <v>3</v>
      </c>
      <c r="R656" s="2" t="inlineStr">
        <is>
          <t>Lappticka
Garnlav
Rosenticka</t>
        </is>
      </c>
      <c r="S656">
        <f>HYPERLINK("https://klasma.github.io/Logging_2280/artfynd/A 49675-2024 artfynd.xlsx", "A 49675-2024")</f>
        <v/>
      </c>
      <c r="T656">
        <f>HYPERLINK("https://klasma.github.io/Logging_2280/kartor/A 49675-2024 karta.png", "A 49675-2024")</f>
        <v/>
      </c>
      <c r="V656">
        <f>HYPERLINK("https://klasma.github.io/Logging_2280/klagomål/A 49675-2024 FSC-klagomål.docx", "A 49675-2024")</f>
        <v/>
      </c>
      <c r="W656">
        <f>HYPERLINK("https://klasma.github.io/Logging_2280/klagomålsmail/A 49675-2024 FSC-klagomål mail.docx", "A 49675-2024")</f>
        <v/>
      </c>
      <c r="X656">
        <f>HYPERLINK("https://klasma.github.io/Logging_2280/tillsyn/A 49675-2024 tillsynsbegäran.docx", "A 49675-2024")</f>
        <v/>
      </c>
      <c r="Y656">
        <f>HYPERLINK("https://klasma.github.io/Logging_2280/tillsynsmail/A 49675-2024 tillsynsbegäran mail.docx", "A 49675-2024")</f>
        <v/>
      </c>
    </row>
    <row r="657" ht="15" customHeight="1">
      <c r="A657" t="inlineStr">
        <is>
          <t>A 20315-2026</t>
        </is>
      </c>
      <c r="B657" s="1" t="n">
        <v>46136</v>
      </c>
      <c r="C657" s="1" t="n">
        <v>46185</v>
      </c>
      <c r="D657" t="inlineStr">
        <is>
          <t>VÄSTERNORRLANDS LÄN</t>
        </is>
      </c>
      <c r="E657" t="inlineStr">
        <is>
          <t>KRAMFORS</t>
        </is>
      </c>
      <c r="G657" t="n">
        <v>1.2</v>
      </c>
      <c r="H657" t="n">
        <v>2</v>
      </c>
      <c r="I657" t="n">
        <v>0</v>
      </c>
      <c r="J657" t="n">
        <v>2</v>
      </c>
      <c r="K657" t="n">
        <v>0</v>
      </c>
      <c r="L657" t="n">
        <v>0</v>
      </c>
      <c r="M657" t="n">
        <v>0</v>
      </c>
      <c r="N657" t="n">
        <v>0</v>
      </c>
      <c r="O657" t="n">
        <v>2</v>
      </c>
      <c r="P657" t="n">
        <v>0</v>
      </c>
      <c r="Q657" t="n">
        <v>3</v>
      </c>
      <c r="R657" s="2" t="inlineStr">
        <is>
          <t>Garnlav
Spillkråka
Blåsippa</t>
        </is>
      </c>
      <c r="S657">
        <f>HYPERLINK("https://klasma.github.io/Logging_2282/artfynd/A 20315-2026 artfynd.xlsx", "A 20315-2026")</f>
        <v/>
      </c>
      <c r="T657">
        <f>HYPERLINK("https://klasma.github.io/Logging_2282/kartor/A 20315-2026 karta.png", "A 20315-2026")</f>
        <v/>
      </c>
      <c r="V657">
        <f>HYPERLINK("https://klasma.github.io/Logging_2282/klagomål/A 20315-2026 FSC-klagomål.docx", "A 20315-2026")</f>
        <v/>
      </c>
      <c r="W657">
        <f>HYPERLINK("https://klasma.github.io/Logging_2282/klagomålsmail/A 20315-2026 FSC-klagomål mail.docx", "A 20315-2026")</f>
        <v/>
      </c>
      <c r="X657">
        <f>HYPERLINK("https://klasma.github.io/Logging_2282/tillsyn/A 20315-2026 tillsynsbegäran.docx", "A 20315-2026")</f>
        <v/>
      </c>
      <c r="Y657">
        <f>HYPERLINK("https://klasma.github.io/Logging_2282/tillsynsmail/A 20315-2026 tillsynsbegäran mail.docx", "A 20315-2026")</f>
        <v/>
      </c>
      <c r="Z657">
        <f>HYPERLINK("https://klasma.github.io/Logging_2282/fåglar/A 20315-2026 prioriterade fågelarter.docx", "A 20315-2026")</f>
        <v/>
      </c>
    </row>
    <row r="658" ht="15" customHeight="1">
      <c r="A658" t="inlineStr">
        <is>
          <t>A 61670-2025</t>
        </is>
      </c>
      <c r="B658" s="1" t="n">
        <v>46002.47004629629</v>
      </c>
      <c r="C658" s="1" t="n">
        <v>46185</v>
      </c>
      <c r="D658" t="inlineStr">
        <is>
          <t>VÄSTERNORRLANDS LÄN</t>
        </is>
      </c>
      <c r="E658" t="inlineStr">
        <is>
          <t>SOLLEFTEÅ</t>
        </is>
      </c>
      <c r="G658" t="n">
        <v>4.5</v>
      </c>
      <c r="H658" t="n">
        <v>0</v>
      </c>
      <c r="I658" t="n">
        <v>1</v>
      </c>
      <c r="J658" t="n">
        <v>2</v>
      </c>
      <c r="K658" t="n">
        <v>0</v>
      </c>
      <c r="L658" t="n">
        <v>0</v>
      </c>
      <c r="M658" t="n">
        <v>0</v>
      </c>
      <c r="N658" t="n">
        <v>0</v>
      </c>
      <c r="O658" t="n">
        <v>2</v>
      </c>
      <c r="P658" t="n">
        <v>0</v>
      </c>
      <c r="Q658" t="n">
        <v>3</v>
      </c>
      <c r="R658" s="2" t="inlineStr">
        <is>
          <t>Garnlav
Rosenticka
Vedticka</t>
        </is>
      </c>
      <c r="S658">
        <f>HYPERLINK("https://klasma.github.io/Logging_2283/artfynd/A 61670-2025 artfynd.xlsx", "A 61670-2025")</f>
        <v/>
      </c>
      <c r="T658">
        <f>HYPERLINK("https://klasma.github.io/Logging_2283/kartor/A 61670-2025 karta.png", "A 61670-2025")</f>
        <v/>
      </c>
      <c r="V658">
        <f>HYPERLINK("https://klasma.github.io/Logging_2283/klagomål/A 61670-2025 FSC-klagomål.docx", "A 61670-2025")</f>
        <v/>
      </c>
      <c r="W658">
        <f>HYPERLINK("https://klasma.github.io/Logging_2283/klagomålsmail/A 61670-2025 FSC-klagomål mail.docx", "A 61670-2025")</f>
        <v/>
      </c>
      <c r="X658">
        <f>HYPERLINK("https://klasma.github.io/Logging_2283/tillsyn/A 61670-2025 tillsynsbegäran.docx", "A 61670-2025")</f>
        <v/>
      </c>
      <c r="Y658">
        <f>HYPERLINK("https://klasma.github.io/Logging_2283/tillsynsmail/A 61670-2025 tillsynsbegäran mail.docx", "A 61670-2025")</f>
        <v/>
      </c>
    </row>
    <row r="659" ht="15" customHeight="1">
      <c r="A659" t="inlineStr">
        <is>
          <t>A 38053-2024</t>
        </is>
      </c>
      <c r="B659" s="1" t="n">
        <v>45544.71903935185</v>
      </c>
      <c r="C659" s="1" t="n">
        <v>46185</v>
      </c>
      <c r="D659" t="inlineStr">
        <is>
          <t>VÄSTERNORRLANDS LÄN</t>
        </is>
      </c>
      <c r="E659" t="inlineStr">
        <is>
          <t>SOLLEFTEÅ</t>
        </is>
      </c>
      <c r="F659" t="inlineStr">
        <is>
          <t>SCA</t>
        </is>
      </c>
      <c r="G659" t="n">
        <v>2.5</v>
      </c>
      <c r="H659" t="n">
        <v>1</v>
      </c>
      <c r="I659" t="n">
        <v>0</v>
      </c>
      <c r="J659" t="n">
        <v>2</v>
      </c>
      <c r="K659" t="n">
        <v>1</v>
      </c>
      <c r="L659" t="n">
        <v>0</v>
      </c>
      <c r="M659" t="n">
        <v>0</v>
      </c>
      <c r="N659" t="n">
        <v>0</v>
      </c>
      <c r="O659" t="n">
        <v>3</v>
      </c>
      <c r="P659" t="n">
        <v>1</v>
      </c>
      <c r="Q659" t="n">
        <v>3</v>
      </c>
      <c r="R659" s="2" t="inlineStr">
        <is>
          <t>Knärot
Lunglav
Ullticka</t>
        </is>
      </c>
      <c r="S659">
        <f>HYPERLINK("https://klasma.github.io/Logging_2283/artfynd/A 38053-2024 artfynd.xlsx", "A 38053-2024")</f>
        <v/>
      </c>
      <c r="T659">
        <f>HYPERLINK("https://klasma.github.io/Logging_2283/kartor/A 38053-2024 karta.png", "A 38053-2024")</f>
        <v/>
      </c>
      <c r="U659">
        <f>HYPERLINK("https://klasma.github.io/Logging_2283/knärot/A 38053-2024 karta knärot.png", "A 38053-2024")</f>
        <v/>
      </c>
      <c r="V659">
        <f>HYPERLINK("https://klasma.github.io/Logging_2283/klagomål/A 38053-2024 FSC-klagomål.docx", "A 38053-2024")</f>
        <v/>
      </c>
      <c r="W659">
        <f>HYPERLINK("https://klasma.github.io/Logging_2283/klagomålsmail/A 38053-2024 FSC-klagomål mail.docx", "A 38053-2024")</f>
        <v/>
      </c>
      <c r="X659">
        <f>HYPERLINK("https://klasma.github.io/Logging_2283/tillsyn/A 38053-2024 tillsynsbegäran.docx", "A 38053-2024")</f>
        <v/>
      </c>
      <c r="Y659">
        <f>HYPERLINK("https://klasma.github.io/Logging_2283/tillsynsmail/A 38053-2024 tillsynsbegäran mail.docx", "A 38053-2024")</f>
        <v/>
      </c>
    </row>
    <row r="660" ht="15" customHeight="1">
      <c r="A660" t="inlineStr">
        <is>
          <t>A 7533-2023</t>
        </is>
      </c>
      <c r="B660" s="1" t="n">
        <v>44971</v>
      </c>
      <c r="C660" s="1" t="n">
        <v>46185</v>
      </c>
      <c r="D660" t="inlineStr">
        <is>
          <t>VÄSTERNORRLANDS LÄN</t>
        </is>
      </c>
      <c r="E660" t="inlineStr">
        <is>
          <t>ÅNGE</t>
        </is>
      </c>
      <c r="F660" t="inlineStr">
        <is>
          <t>SCA</t>
        </is>
      </c>
      <c r="G660" t="n">
        <v>15.7</v>
      </c>
      <c r="H660" t="n">
        <v>2</v>
      </c>
      <c r="I660" t="n">
        <v>0</v>
      </c>
      <c r="J660" t="n">
        <v>1</v>
      </c>
      <c r="K660" t="n">
        <v>1</v>
      </c>
      <c r="L660" t="n">
        <v>0</v>
      </c>
      <c r="M660" t="n">
        <v>0</v>
      </c>
      <c r="N660" t="n">
        <v>0</v>
      </c>
      <c r="O660" t="n">
        <v>2</v>
      </c>
      <c r="P660" t="n">
        <v>1</v>
      </c>
      <c r="Q660" t="n">
        <v>3</v>
      </c>
      <c r="R660" s="2" t="inlineStr">
        <is>
          <t>Doftticka
Lunglav
Blåsippa</t>
        </is>
      </c>
      <c r="S660">
        <f>HYPERLINK("https://klasma.github.io/Logging_2260/artfynd/A 7533-2023 artfynd.xlsx", "A 7533-2023")</f>
        <v/>
      </c>
      <c r="T660">
        <f>HYPERLINK("https://klasma.github.io/Logging_2260/kartor/A 7533-2023 karta.png", "A 7533-2023")</f>
        <v/>
      </c>
      <c r="V660">
        <f>HYPERLINK("https://klasma.github.io/Logging_2260/klagomål/A 7533-2023 FSC-klagomål.docx", "A 7533-2023")</f>
        <v/>
      </c>
      <c r="W660">
        <f>HYPERLINK("https://klasma.github.io/Logging_2260/klagomålsmail/A 7533-2023 FSC-klagomål mail.docx", "A 7533-2023")</f>
        <v/>
      </c>
      <c r="X660">
        <f>HYPERLINK("https://klasma.github.io/Logging_2260/tillsyn/A 7533-2023 tillsynsbegäran.docx", "A 7533-2023")</f>
        <v/>
      </c>
      <c r="Y660">
        <f>HYPERLINK("https://klasma.github.io/Logging_2260/tillsynsmail/A 7533-2023 tillsynsbegäran mail.docx", "A 7533-2023")</f>
        <v/>
      </c>
    </row>
    <row r="661" ht="15" customHeight="1">
      <c r="A661" t="inlineStr">
        <is>
          <t>A 24392-2025</t>
        </is>
      </c>
      <c r="B661" s="1" t="n">
        <v>45797</v>
      </c>
      <c r="C661" s="1" t="n">
        <v>46185</v>
      </c>
      <c r="D661" t="inlineStr">
        <is>
          <t>VÄSTERNORRLANDS LÄN</t>
        </is>
      </c>
      <c r="E661" t="inlineStr">
        <is>
          <t>SUNDSVALL</t>
        </is>
      </c>
      <c r="F661" t="inlineStr">
        <is>
          <t>SCA</t>
        </is>
      </c>
      <c r="G661" t="n">
        <v>8.800000000000001</v>
      </c>
      <c r="H661" t="n">
        <v>3</v>
      </c>
      <c r="I661" t="n">
        <v>0</v>
      </c>
      <c r="J661" t="n">
        <v>2</v>
      </c>
      <c r="K661" t="n">
        <v>0</v>
      </c>
      <c r="L661" t="n">
        <v>0</v>
      </c>
      <c r="M661" t="n">
        <v>0</v>
      </c>
      <c r="N661" t="n">
        <v>0</v>
      </c>
      <c r="O661" t="n">
        <v>2</v>
      </c>
      <c r="P661" t="n">
        <v>0</v>
      </c>
      <c r="Q661" t="n">
        <v>3</v>
      </c>
      <c r="R661" s="2" t="inlineStr">
        <is>
          <t>Spillkråka
Tretåig hackspett
Tjäder</t>
        </is>
      </c>
      <c r="S661">
        <f>HYPERLINK("https://klasma.github.io/Logging_2281/artfynd/A 24392-2025 artfynd.xlsx", "A 24392-2025")</f>
        <v/>
      </c>
      <c r="T661">
        <f>HYPERLINK("https://klasma.github.io/Logging_2281/kartor/A 24392-2025 karta.png", "A 24392-2025")</f>
        <v/>
      </c>
      <c r="V661">
        <f>HYPERLINK("https://klasma.github.io/Logging_2281/klagomål/A 24392-2025 FSC-klagomål.docx", "A 24392-2025")</f>
        <v/>
      </c>
      <c r="W661">
        <f>HYPERLINK("https://klasma.github.io/Logging_2281/klagomålsmail/A 24392-2025 FSC-klagomål mail.docx", "A 24392-2025")</f>
        <v/>
      </c>
      <c r="X661">
        <f>HYPERLINK("https://klasma.github.io/Logging_2281/tillsyn/A 24392-2025 tillsynsbegäran.docx", "A 24392-2025")</f>
        <v/>
      </c>
      <c r="Y661">
        <f>HYPERLINK("https://klasma.github.io/Logging_2281/tillsynsmail/A 24392-2025 tillsynsbegäran mail.docx", "A 24392-2025")</f>
        <v/>
      </c>
      <c r="Z661">
        <f>HYPERLINK("https://klasma.github.io/Logging_2281/fåglar/A 24392-2025 prioriterade fågelarter.docx", "A 24392-2025")</f>
        <v/>
      </c>
    </row>
    <row r="662" ht="15" customHeight="1">
      <c r="A662" t="inlineStr">
        <is>
          <t>A 26471-2026</t>
        </is>
      </c>
      <c r="B662" s="1" t="n">
        <v>46183.51085648148</v>
      </c>
      <c r="C662" s="1" t="n">
        <v>46185</v>
      </c>
      <c r="D662" t="inlineStr">
        <is>
          <t>VÄSTERNORRLANDS LÄN</t>
        </is>
      </c>
      <c r="E662" t="inlineStr">
        <is>
          <t>TIMRÅ</t>
        </is>
      </c>
      <c r="F662" t="inlineStr">
        <is>
          <t>SCA</t>
        </is>
      </c>
      <c r="G662" t="n">
        <v>4.2</v>
      </c>
      <c r="H662" t="n">
        <v>0</v>
      </c>
      <c r="I662" t="n">
        <v>0</v>
      </c>
      <c r="J662" t="n">
        <v>3</v>
      </c>
      <c r="K662" t="n">
        <v>0</v>
      </c>
      <c r="L662" t="n">
        <v>0</v>
      </c>
      <c r="M662" t="n">
        <v>0</v>
      </c>
      <c r="N662" t="n">
        <v>0</v>
      </c>
      <c r="O662" t="n">
        <v>3</v>
      </c>
      <c r="P662" t="n">
        <v>0</v>
      </c>
      <c r="Q662" t="n">
        <v>3</v>
      </c>
      <c r="R662" s="2" t="inlineStr">
        <is>
          <t>Garnlav
Lunglav
Violettgrå tagellav</t>
        </is>
      </c>
      <c r="S662">
        <f>HYPERLINK("https://klasma.github.io/Logging_2262/artfynd/A 26471-2026 artfynd.xlsx", "A 26471-2026")</f>
        <v/>
      </c>
      <c r="T662">
        <f>HYPERLINK("https://klasma.github.io/Logging_2262/kartor/A 26471-2026 karta.png", "A 26471-2026")</f>
        <v/>
      </c>
      <c r="V662">
        <f>HYPERLINK("https://klasma.github.io/Logging_2262/klagomål/A 26471-2026 FSC-klagomål.docx", "A 26471-2026")</f>
        <v/>
      </c>
      <c r="W662">
        <f>HYPERLINK("https://klasma.github.io/Logging_2262/klagomålsmail/A 26471-2026 FSC-klagomål mail.docx", "A 26471-2026")</f>
        <v/>
      </c>
      <c r="X662">
        <f>HYPERLINK("https://klasma.github.io/Logging_2262/tillsyn/A 26471-2026 tillsynsbegäran.docx", "A 26471-2026")</f>
        <v/>
      </c>
      <c r="Y662">
        <f>HYPERLINK("https://klasma.github.io/Logging_2262/tillsynsmail/A 26471-2026 tillsynsbegäran mail.docx", "A 26471-2026")</f>
        <v/>
      </c>
    </row>
    <row r="663" ht="15" customHeight="1">
      <c r="A663" t="inlineStr">
        <is>
          <t>A 54624-2024</t>
        </is>
      </c>
      <c r="B663" s="1" t="n">
        <v>45617</v>
      </c>
      <c r="C663" s="1" t="n">
        <v>46185</v>
      </c>
      <c r="D663" t="inlineStr">
        <is>
          <t>VÄSTERNORRLANDS LÄN</t>
        </is>
      </c>
      <c r="E663" t="inlineStr">
        <is>
          <t>SOLLEFTEÅ</t>
        </is>
      </c>
      <c r="G663" t="n">
        <v>11.5</v>
      </c>
      <c r="H663" t="n">
        <v>0</v>
      </c>
      <c r="I663" t="n">
        <v>2</v>
      </c>
      <c r="J663" t="n">
        <v>1</v>
      </c>
      <c r="K663" t="n">
        <v>0</v>
      </c>
      <c r="L663" t="n">
        <v>0</v>
      </c>
      <c r="M663" t="n">
        <v>0</v>
      </c>
      <c r="N663" t="n">
        <v>0</v>
      </c>
      <c r="O663" t="n">
        <v>1</v>
      </c>
      <c r="P663" t="n">
        <v>0</v>
      </c>
      <c r="Q663" t="n">
        <v>3</v>
      </c>
      <c r="R663" s="2" t="inlineStr">
        <is>
          <t>Ullticka
Stuplav
Vedticka</t>
        </is>
      </c>
      <c r="S663">
        <f>HYPERLINK("https://klasma.github.io/Logging_2283/artfynd/A 54624-2024 artfynd.xlsx", "A 54624-2024")</f>
        <v/>
      </c>
      <c r="T663">
        <f>HYPERLINK("https://klasma.github.io/Logging_2283/kartor/A 54624-2024 karta.png", "A 54624-2024")</f>
        <v/>
      </c>
      <c r="V663">
        <f>HYPERLINK("https://klasma.github.io/Logging_2283/klagomål/A 54624-2024 FSC-klagomål.docx", "A 54624-2024")</f>
        <v/>
      </c>
      <c r="W663">
        <f>HYPERLINK("https://klasma.github.io/Logging_2283/klagomålsmail/A 54624-2024 FSC-klagomål mail.docx", "A 54624-2024")</f>
        <v/>
      </c>
      <c r="X663">
        <f>HYPERLINK("https://klasma.github.io/Logging_2283/tillsyn/A 54624-2024 tillsynsbegäran.docx", "A 54624-2024")</f>
        <v/>
      </c>
      <c r="Y663">
        <f>HYPERLINK("https://klasma.github.io/Logging_2283/tillsynsmail/A 54624-2024 tillsynsbegäran mail.docx", "A 54624-2024")</f>
        <v/>
      </c>
    </row>
    <row r="664" ht="15" customHeight="1">
      <c r="A664" t="inlineStr">
        <is>
          <t>A 6235-2023</t>
        </is>
      </c>
      <c r="B664" s="1" t="n">
        <v>44964</v>
      </c>
      <c r="C664" s="1" t="n">
        <v>46185</v>
      </c>
      <c r="D664" t="inlineStr">
        <is>
          <t>VÄSTERNORRLANDS LÄN</t>
        </is>
      </c>
      <c r="E664" t="inlineStr">
        <is>
          <t>SOLLEFTEÅ</t>
        </is>
      </c>
      <c r="F664" t="inlineStr">
        <is>
          <t>SCA</t>
        </is>
      </c>
      <c r="G664" t="n">
        <v>0.6</v>
      </c>
      <c r="H664" t="n">
        <v>2</v>
      </c>
      <c r="I664" t="n">
        <v>0</v>
      </c>
      <c r="J664" t="n">
        <v>2</v>
      </c>
      <c r="K664" t="n">
        <v>0</v>
      </c>
      <c r="L664" t="n">
        <v>0</v>
      </c>
      <c r="M664" t="n">
        <v>0</v>
      </c>
      <c r="N664" t="n">
        <v>0</v>
      </c>
      <c r="O664" t="n">
        <v>2</v>
      </c>
      <c r="P664" t="n">
        <v>0</v>
      </c>
      <c r="Q664" t="n">
        <v>3</v>
      </c>
      <c r="R664" s="2" t="inlineStr">
        <is>
          <t>Harticka
Tretåig hackspett
Tjäder</t>
        </is>
      </c>
      <c r="S664">
        <f>HYPERLINK("https://klasma.github.io/Logging_2283/artfynd/A 6235-2023 artfynd.xlsx", "A 6235-2023")</f>
        <v/>
      </c>
      <c r="T664">
        <f>HYPERLINK("https://klasma.github.io/Logging_2283/kartor/A 6235-2023 karta.png", "A 6235-2023")</f>
        <v/>
      </c>
      <c r="V664">
        <f>HYPERLINK("https://klasma.github.io/Logging_2283/klagomål/A 6235-2023 FSC-klagomål.docx", "A 6235-2023")</f>
        <v/>
      </c>
      <c r="W664">
        <f>HYPERLINK("https://klasma.github.io/Logging_2283/klagomålsmail/A 6235-2023 FSC-klagomål mail.docx", "A 6235-2023")</f>
        <v/>
      </c>
      <c r="X664">
        <f>HYPERLINK("https://klasma.github.io/Logging_2283/tillsyn/A 6235-2023 tillsynsbegäran.docx", "A 6235-2023")</f>
        <v/>
      </c>
      <c r="Y664">
        <f>HYPERLINK("https://klasma.github.io/Logging_2283/tillsynsmail/A 6235-2023 tillsynsbegäran mail.docx", "A 6235-2023")</f>
        <v/>
      </c>
      <c r="Z664">
        <f>HYPERLINK("https://klasma.github.io/Logging_2283/fåglar/A 6235-2023 prioriterade fågelarter.docx", "A 6235-2023")</f>
        <v/>
      </c>
    </row>
    <row r="665" ht="15" customHeight="1">
      <c r="A665" t="inlineStr">
        <is>
          <t>A 64904-2023</t>
        </is>
      </c>
      <c r="B665" s="1" t="n">
        <v>45282</v>
      </c>
      <c r="C665" s="1" t="n">
        <v>46185</v>
      </c>
      <c r="D665" t="inlineStr">
        <is>
          <t>VÄSTERNORRLANDS LÄN</t>
        </is>
      </c>
      <c r="E665" t="inlineStr">
        <is>
          <t>KRAMFORS</t>
        </is>
      </c>
      <c r="G665" t="n">
        <v>1.1</v>
      </c>
      <c r="H665" t="n">
        <v>0</v>
      </c>
      <c r="I665" t="n">
        <v>2</v>
      </c>
      <c r="J665" t="n">
        <v>1</v>
      </c>
      <c r="K665" t="n">
        <v>0</v>
      </c>
      <c r="L665" t="n">
        <v>0</v>
      </c>
      <c r="M665" t="n">
        <v>0</v>
      </c>
      <c r="N665" t="n">
        <v>0</v>
      </c>
      <c r="O665" t="n">
        <v>1</v>
      </c>
      <c r="P665" t="n">
        <v>0</v>
      </c>
      <c r="Q665" t="n">
        <v>3</v>
      </c>
      <c r="R665" s="2" t="inlineStr">
        <is>
          <t>Ullticka
Strutbräken
Vågbandad barkbock</t>
        </is>
      </c>
      <c r="S665">
        <f>HYPERLINK("https://klasma.github.io/Logging_2282/artfynd/A 64904-2023 artfynd.xlsx", "A 64904-2023")</f>
        <v/>
      </c>
      <c r="T665">
        <f>HYPERLINK("https://klasma.github.io/Logging_2282/kartor/A 64904-2023 karta.png", "A 64904-2023")</f>
        <v/>
      </c>
      <c r="V665">
        <f>HYPERLINK("https://klasma.github.io/Logging_2282/klagomål/A 64904-2023 FSC-klagomål.docx", "A 64904-2023")</f>
        <v/>
      </c>
      <c r="W665">
        <f>HYPERLINK("https://klasma.github.io/Logging_2282/klagomålsmail/A 64904-2023 FSC-klagomål mail.docx", "A 64904-2023")</f>
        <v/>
      </c>
      <c r="X665">
        <f>HYPERLINK("https://klasma.github.io/Logging_2282/tillsyn/A 64904-2023 tillsynsbegäran.docx", "A 64904-2023")</f>
        <v/>
      </c>
      <c r="Y665">
        <f>HYPERLINK("https://klasma.github.io/Logging_2282/tillsynsmail/A 64904-2023 tillsynsbegäran mail.docx", "A 64904-2023")</f>
        <v/>
      </c>
    </row>
    <row r="666" ht="15" customHeight="1">
      <c r="A666" t="inlineStr">
        <is>
          <t>A 21846-2024</t>
        </is>
      </c>
      <c r="B666" s="1" t="n">
        <v>45442</v>
      </c>
      <c r="C666" s="1" t="n">
        <v>46185</v>
      </c>
      <c r="D666" t="inlineStr">
        <is>
          <t>VÄSTERNORRLANDS LÄN</t>
        </is>
      </c>
      <c r="E666" t="inlineStr">
        <is>
          <t>TIMRÅ</t>
        </is>
      </c>
      <c r="F666" t="inlineStr">
        <is>
          <t>SCA</t>
        </is>
      </c>
      <c r="G666" t="n">
        <v>2.6</v>
      </c>
      <c r="H666" t="n">
        <v>1</v>
      </c>
      <c r="I666" t="n">
        <v>0</v>
      </c>
      <c r="J666" t="n">
        <v>3</v>
      </c>
      <c r="K666" t="n">
        <v>0</v>
      </c>
      <c r="L666" t="n">
        <v>0</v>
      </c>
      <c r="M666" t="n">
        <v>0</v>
      </c>
      <c r="N666" t="n">
        <v>0</v>
      </c>
      <c r="O666" t="n">
        <v>3</v>
      </c>
      <c r="P666" t="n">
        <v>0</v>
      </c>
      <c r="Q666" t="n">
        <v>3</v>
      </c>
      <c r="R666" s="2" t="inlineStr">
        <is>
          <t>Garnlav
Tretåig hackspett
Vedflamlav</t>
        </is>
      </c>
      <c r="S666">
        <f>HYPERLINK("https://klasma.github.io/Logging_2262/artfynd/A 21846-2024 artfynd.xlsx", "A 21846-2024")</f>
        <v/>
      </c>
      <c r="T666">
        <f>HYPERLINK("https://klasma.github.io/Logging_2262/kartor/A 21846-2024 karta.png", "A 21846-2024")</f>
        <v/>
      </c>
      <c r="V666">
        <f>HYPERLINK("https://klasma.github.io/Logging_2262/klagomål/A 21846-2024 FSC-klagomål.docx", "A 21846-2024")</f>
        <v/>
      </c>
      <c r="W666">
        <f>HYPERLINK("https://klasma.github.io/Logging_2262/klagomålsmail/A 21846-2024 FSC-klagomål mail.docx", "A 21846-2024")</f>
        <v/>
      </c>
      <c r="X666">
        <f>HYPERLINK("https://klasma.github.io/Logging_2262/tillsyn/A 21846-2024 tillsynsbegäran.docx", "A 21846-2024")</f>
        <v/>
      </c>
      <c r="Y666">
        <f>HYPERLINK("https://klasma.github.io/Logging_2262/tillsynsmail/A 21846-2024 tillsynsbegäran mail.docx", "A 21846-2024")</f>
        <v/>
      </c>
      <c r="Z666">
        <f>HYPERLINK("https://klasma.github.io/Logging_2262/fåglar/A 21846-2024 prioriterade fågelarter.docx", "A 21846-2024")</f>
        <v/>
      </c>
    </row>
    <row r="667" ht="15" customHeight="1">
      <c r="A667" t="inlineStr">
        <is>
          <t>A 39181-2024</t>
        </is>
      </c>
      <c r="B667" s="1" t="n">
        <v>45548</v>
      </c>
      <c r="C667" s="1" t="n">
        <v>46185</v>
      </c>
      <c r="D667" t="inlineStr">
        <is>
          <t>VÄSTERNORRLANDS LÄN</t>
        </is>
      </c>
      <c r="E667" t="inlineStr">
        <is>
          <t>ÅNGE</t>
        </is>
      </c>
      <c r="F667" t="inlineStr">
        <is>
          <t>SCA</t>
        </is>
      </c>
      <c r="G667" t="n">
        <v>21.1</v>
      </c>
      <c r="H667" t="n">
        <v>1</v>
      </c>
      <c r="I667" t="n">
        <v>1</v>
      </c>
      <c r="J667" t="n">
        <v>1</v>
      </c>
      <c r="K667" t="n">
        <v>1</v>
      </c>
      <c r="L667" t="n">
        <v>0</v>
      </c>
      <c r="M667" t="n">
        <v>0</v>
      </c>
      <c r="N667" t="n">
        <v>0</v>
      </c>
      <c r="O667" t="n">
        <v>2</v>
      </c>
      <c r="P667" t="n">
        <v>1</v>
      </c>
      <c r="Q667" t="n">
        <v>3</v>
      </c>
      <c r="R667" s="2" t="inlineStr">
        <is>
          <t>Knärot
Granticka
Kransrams</t>
        </is>
      </c>
      <c r="S667">
        <f>HYPERLINK("https://klasma.github.io/Logging_2260/artfynd/A 39181-2024 artfynd.xlsx", "A 39181-2024")</f>
        <v/>
      </c>
      <c r="T667">
        <f>HYPERLINK("https://klasma.github.io/Logging_2260/kartor/A 39181-2024 karta.png", "A 39181-2024")</f>
        <v/>
      </c>
      <c r="U667">
        <f>HYPERLINK("https://klasma.github.io/Logging_2260/knärot/A 39181-2024 karta knärot.png", "A 39181-2024")</f>
        <v/>
      </c>
      <c r="V667">
        <f>HYPERLINK("https://klasma.github.io/Logging_2260/klagomål/A 39181-2024 FSC-klagomål.docx", "A 39181-2024")</f>
        <v/>
      </c>
      <c r="W667">
        <f>HYPERLINK("https://klasma.github.io/Logging_2260/klagomålsmail/A 39181-2024 FSC-klagomål mail.docx", "A 39181-2024")</f>
        <v/>
      </c>
      <c r="X667">
        <f>HYPERLINK("https://klasma.github.io/Logging_2260/tillsyn/A 39181-2024 tillsynsbegäran.docx", "A 39181-2024")</f>
        <v/>
      </c>
      <c r="Y667">
        <f>HYPERLINK("https://klasma.github.io/Logging_2260/tillsynsmail/A 39181-2024 tillsynsbegäran mail.docx", "A 39181-2024")</f>
        <v/>
      </c>
    </row>
    <row r="668" ht="15" customHeight="1">
      <c r="A668" t="inlineStr">
        <is>
          <t>A 11972-2025</t>
        </is>
      </c>
      <c r="B668" s="1" t="n">
        <v>45728</v>
      </c>
      <c r="C668" s="1" t="n">
        <v>46185</v>
      </c>
      <c r="D668" t="inlineStr">
        <is>
          <t>VÄSTERNORRLANDS LÄN</t>
        </is>
      </c>
      <c r="E668" t="inlineStr">
        <is>
          <t>KRAMFORS</t>
        </is>
      </c>
      <c r="G668" t="n">
        <v>2.7</v>
      </c>
      <c r="H668" t="n">
        <v>2</v>
      </c>
      <c r="I668" t="n">
        <v>1</v>
      </c>
      <c r="J668" t="n">
        <v>1</v>
      </c>
      <c r="K668" t="n">
        <v>0</v>
      </c>
      <c r="L668" t="n">
        <v>0</v>
      </c>
      <c r="M668" t="n">
        <v>0</v>
      </c>
      <c r="N668" t="n">
        <v>0</v>
      </c>
      <c r="O668" t="n">
        <v>1</v>
      </c>
      <c r="P668" t="n">
        <v>0</v>
      </c>
      <c r="Q668" t="n">
        <v>3</v>
      </c>
      <c r="R668" s="2" t="inlineStr">
        <is>
          <t>Spillkråka
Grov husmossa
Blåsippa</t>
        </is>
      </c>
      <c r="S668">
        <f>HYPERLINK("https://klasma.github.io/Logging_2282/artfynd/A 11972-2025 artfynd.xlsx", "A 11972-2025")</f>
        <v/>
      </c>
      <c r="T668">
        <f>HYPERLINK("https://klasma.github.io/Logging_2282/kartor/A 11972-2025 karta.png", "A 11972-2025")</f>
        <v/>
      </c>
      <c r="V668">
        <f>HYPERLINK("https://klasma.github.io/Logging_2282/klagomål/A 11972-2025 FSC-klagomål.docx", "A 11972-2025")</f>
        <v/>
      </c>
      <c r="W668">
        <f>HYPERLINK("https://klasma.github.io/Logging_2282/klagomålsmail/A 11972-2025 FSC-klagomål mail.docx", "A 11972-2025")</f>
        <v/>
      </c>
      <c r="X668">
        <f>HYPERLINK("https://klasma.github.io/Logging_2282/tillsyn/A 11972-2025 tillsynsbegäran.docx", "A 11972-2025")</f>
        <v/>
      </c>
      <c r="Y668">
        <f>HYPERLINK("https://klasma.github.io/Logging_2282/tillsynsmail/A 11972-2025 tillsynsbegäran mail.docx", "A 11972-2025")</f>
        <v/>
      </c>
      <c r="Z668">
        <f>HYPERLINK("https://klasma.github.io/Logging_2282/fåglar/A 11972-2025 prioriterade fågelarter.docx", "A 11972-2025")</f>
        <v/>
      </c>
    </row>
    <row r="669" ht="15" customHeight="1">
      <c r="A669" t="inlineStr">
        <is>
          <t>A 6571-2025</t>
        </is>
      </c>
      <c r="B669" s="1" t="n">
        <v>45699</v>
      </c>
      <c r="C669" s="1" t="n">
        <v>46185</v>
      </c>
      <c r="D669" t="inlineStr">
        <is>
          <t>VÄSTERNORRLANDS LÄN</t>
        </is>
      </c>
      <c r="E669" t="inlineStr">
        <is>
          <t>ÖRNSKÖLDSVIK</t>
        </is>
      </c>
      <c r="G669" t="n">
        <v>1.8</v>
      </c>
      <c r="H669" t="n">
        <v>1</v>
      </c>
      <c r="I669" t="n">
        <v>1</v>
      </c>
      <c r="J669" t="n">
        <v>1</v>
      </c>
      <c r="K669" t="n">
        <v>1</v>
      </c>
      <c r="L669" t="n">
        <v>0</v>
      </c>
      <c r="M669" t="n">
        <v>0</v>
      </c>
      <c r="N669" t="n">
        <v>0</v>
      </c>
      <c r="O669" t="n">
        <v>2</v>
      </c>
      <c r="P669" t="n">
        <v>1</v>
      </c>
      <c r="Q669" t="n">
        <v>3</v>
      </c>
      <c r="R669" s="2" t="inlineStr">
        <is>
          <t>Knärot
Ullticka
Vedticka</t>
        </is>
      </c>
      <c r="S669">
        <f>HYPERLINK("https://klasma.github.io/Logging_2284/artfynd/A 6571-2025 artfynd.xlsx", "A 6571-2025")</f>
        <v/>
      </c>
      <c r="T669">
        <f>HYPERLINK("https://klasma.github.io/Logging_2284/kartor/A 6571-2025 karta.png", "A 6571-2025")</f>
        <v/>
      </c>
      <c r="U669">
        <f>HYPERLINK("https://klasma.github.io/Logging_2284/knärot/A 6571-2025 karta knärot.png", "A 6571-2025")</f>
        <v/>
      </c>
      <c r="V669">
        <f>HYPERLINK("https://klasma.github.io/Logging_2284/klagomål/A 6571-2025 FSC-klagomål.docx", "A 6571-2025")</f>
        <v/>
      </c>
      <c r="W669">
        <f>HYPERLINK("https://klasma.github.io/Logging_2284/klagomålsmail/A 6571-2025 FSC-klagomål mail.docx", "A 6571-2025")</f>
        <v/>
      </c>
      <c r="X669">
        <f>HYPERLINK("https://klasma.github.io/Logging_2284/tillsyn/A 6571-2025 tillsynsbegäran.docx", "A 6571-2025")</f>
        <v/>
      </c>
      <c r="Y669">
        <f>HYPERLINK("https://klasma.github.io/Logging_2284/tillsynsmail/A 6571-2025 tillsynsbegäran mail.docx", "A 6571-2025")</f>
        <v/>
      </c>
    </row>
    <row r="670" ht="15" customHeight="1">
      <c r="A670" t="inlineStr">
        <is>
          <t>A 20077-2025</t>
        </is>
      </c>
      <c r="B670" s="1" t="n">
        <v>45772.44883101852</v>
      </c>
      <c r="C670" s="1" t="n">
        <v>46185</v>
      </c>
      <c r="D670" t="inlineStr">
        <is>
          <t>VÄSTERNORRLANDS LÄN</t>
        </is>
      </c>
      <c r="E670" t="inlineStr">
        <is>
          <t>SUNDSVALL</t>
        </is>
      </c>
      <c r="F670" t="inlineStr">
        <is>
          <t>Naturvårdsverket</t>
        </is>
      </c>
      <c r="G670" t="n">
        <v>7</v>
      </c>
      <c r="H670" t="n">
        <v>0</v>
      </c>
      <c r="I670" t="n">
        <v>0</v>
      </c>
      <c r="J670" t="n">
        <v>3</v>
      </c>
      <c r="K670" t="n">
        <v>0</v>
      </c>
      <c r="L670" t="n">
        <v>0</v>
      </c>
      <c r="M670" t="n">
        <v>0</v>
      </c>
      <c r="N670" t="n">
        <v>0</v>
      </c>
      <c r="O670" t="n">
        <v>3</v>
      </c>
      <c r="P670" t="n">
        <v>0</v>
      </c>
      <c r="Q670" t="n">
        <v>3</v>
      </c>
      <c r="R670" s="2" t="inlineStr">
        <is>
          <t>Kolflarnlav
Lunglav
Vedflamlav</t>
        </is>
      </c>
      <c r="S670">
        <f>HYPERLINK("https://klasma.github.io/Logging_2281/artfynd/A 20077-2025 artfynd.xlsx", "A 20077-2025")</f>
        <v/>
      </c>
      <c r="T670">
        <f>HYPERLINK("https://klasma.github.io/Logging_2281/kartor/A 20077-2025 karta.png", "A 20077-2025")</f>
        <v/>
      </c>
      <c r="V670">
        <f>HYPERLINK("https://klasma.github.io/Logging_2281/klagomål/A 20077-2025 FSC-klagomål.docx", "A 20077-2025")</f>
        <v/>
      </c>
      <c r="W670">
        <f>HYPERLINK("https://klasma.github.io/Logging_2281/klagomålsmail/A 20077-2025 FSC-klagomål mail.docx", "A 20077-2025")</f>
        <v/>
      </c>
      <c r="X670">
        <f>HYPERLINK("https://klasma.github.io/Logging_2281/tillsyn/A 20077-2025 tillsynsbegäran.docx", "A 20077-2025")</f>
        <v/>
      </c>
      <c r="Y670">
        <f>HYPERLINK("https://klasma.github.io/Logging_2281/tillsynsmail/A 20077-2025 tillsynsbegäran mail.docx", "A 20077-2025")</f>
        <v/>
      </c>
    </row>
    <row r="671" ht="15" customHeight="1">
      <c r="A671" t="inlineStr">
        <is>
          <t>A 21036-2025</t>
        </is>
      </c>
      <c r="B671" s="1" t="n">
        <v>45777.53175925926</v>
      </c>
      <c r="C671" s="1" t="n">
        <v>46185</v>
      </c>
      <c r="D671" t="inlineStr">
        <is>
          <t>VÄSTERNORRLANDS LÄN</t>
        </is>
      </c>
      <c r="E671" t="inlineStr">
        <is>
          <t>SUNDSVALL</t>
        </is>
      </c>
      <c r="F671" t="inlineStr">
        <is>
          <t>Naturvårdsverket</t>
        </is>
      </c>
      <c r="G671" t="n">
        <v>5.5</v>
      </c>
      <c r="H671" t="n">
        <v>0</v>
      </c>
      <c r="I671" t="n">
        <v>1</v>
      </c>
      <c r="J671" t="n">
        <v>2</v>
      </c>
      <c r="K671" t="n">
        <v>0</v>
      </c>
      <c r="L671" t="n">
        <v>0</v>
      </c>
      <c r="M671" t="n">
        <v>0</v>
      </c>
      <c r="N671" t="n">
        <v>0</v>
      </c>
      <c r="O671" t="n">
        <v>2</v>
      </c>
      <c r="P671" t="n">
        <v>0</v>
      </c>
      <c r="Q671" t="n">
        <v>3</v>
      </c>
      <c r="R671" s="2" t="inlineStr">
        <is>
          <t>Doftskinn
Lunglav
Stuplav</t>
        </is>
      </c>
      <c r="S671">
        <f>HYPERLINK("https://klasma.github.io/Logging_2281/artfynd/A 21036-2025 artfynd.xlsx", "A 21036-2025")</f>
        <v/>
      </c>
      <c r="T671">
        <f>HYPERLINK("https://klasma.github.io/Logging_2281/kartor/A 21036-2025 karta.png", "A 21036-2025")</f>
        <v/>
      </c>
      <c r="V671">
        <f>HYPERLINK("https://klasma.github.io/Logging_2281/klagomål/A 21036-2025 FSC-klagomål.docx", "A 21036-2025")</f>
        <v/>
      </c>
      <c r="W671">
        <f>HYPERLINK("https://klasma.github.io/Logging_2281/klagomålsmail/A 21036-2025 FSC-klagomål mail.docx", "A 21036-2025")</f>
        <v/>
      </c>
      <c r="X671">
        <f>HYPERLINK("https://klasma.github.io/Logging_2281/tillsyn/A 21036-2025 tillsynsbegäran.docx", "A 21036-2025")</f>
        <v/>
      </c>
      <c r="Y671">
        <f>HYPERLINK("https://klasma.github.io/Logging_2281/tillsynsmail/A 21036-2025 tillsynsbegäran mail.docx", "A 21036-2025")</f>
        <v/>
      </c>
    </row>
    <row r="672" ht="15" customHeight="1">
      <c r="A672" t="inlineStr">
        <is>
          <t>A 21267-2025</t>
        </is>
      </c>
      <c r="B672" s="1" t="n">
        <v>45779</v>
      </c>
      <c r="C672" s="1" t="n">
        <v>46185</v>
      </c>
      <c r="D672" t="inlineStr">
        <is>
          <t>VÄSTERNORRLANDS LÄN</t>
        </is>
      </c>
      <c r="E672" t="inlineStr">
        <is>
          <t>ÅNGE</t>
        </is>
      </c>
      <c r="F672" t="inlineStr">
        <is>
          <t>Sveaskog</t>
        </is>
      </c>
      <c r="G672" t="n">
        <v>3.7</v>
      </c>
      <c r="H672" t="n">
        <v>2</v>
      </c>
      <c r="I672" t="n">
        <v>2</v>
      </c>
      <c r="J672" t="n">
        <v>1</v>
      </c>
      <c r="K672" t="n">
        <v>0</v>
      </c>
      <c r="L672" t="n">
        <v>0</v>
      </c>
      <c r="M672" t="n">
        <v>0</v>
      </c>
      <c r="N672" t="n">
        <v>0</v>
      </c>
      <c r="O672" t="n">
        <v>1</v>
      </c>
      <c r="P672" t="n">
        <v>0</v>
      </c>
      <c r="Q672" t="n">
        <v>3</v>
      </c>
      <c r="R672" s="2" t="inlineStr">
        <is>
          <t>Lunglav
Korallrot
Spindelblomster</t>
        </is>
      </c>
      <c r="S672">
        <f>HYPERLINK("https://klasma.github.io/Logging_2260/artfynd/A 21267-2025 artfynd.xlsx", "A 21267-2025")</f>
        <v/>
      </c>
      <c r="T672">
        <f>HYPERLINK("https://klasma.github.io/Logging_2260/kartor/A 21267-2025 karta.png", "A 21267-2025")</f>
        <v/>
      </c>
      <c r="V672">
        <f>HYPERLINK("https://klasma.github.io/Logging_2260/klagomål/A 21267-2025 FSC-klagomål.docx", "A 21267-2025")</f>
        <v/>
      </c>
      <c r="W672">
        <f>HYPERLINK("https://klasma.github.io/Logging_2260/klagomålsmail/A 21267-2025 FSC-klagomål mail.docx", "A 21267-2025")</f>
        <v/>
      </c>
      <c r="X672">
        <f>HYPERLINK("https://klasma.github.io/Logging_2260/tillsyn/A 21267-2025 tillsynsbegäran.docx", "A 21267-2025")</f>
        <v/>
      </c>
      <c r="Y672">
        <f>HYPERLINK("https://klasma.github.io/Logging_2260/tillsynsmail/A 21267-2025 tillsynsbegäran mail.docx", "A 21267-2025")</f>
        <v/>
      </c>
    </row>
    <row r="673" ht="15" customHeight="1">
      <c r="A673" t="inlineStr">
        <is>
          <t>A 22183-2025</t>
        </is>
      </c>
      <c r="B673" s="1" t="n">
        <v>45785.61677083333</v>
      </c>
      <c r="C673" s="1" t="n">
        <v>46185</v>
      </c>
      <c r="D673" t="inlineStr">
        <is>
          <t>VÄSTERNORRLANDS LÄN</t>
        </is>
      </c>
      <c r="E673" t="inlineStr">
        <is>
          <t>SOLLEFTEÅ</t>
        </is>
      </c>
      <c r="F673" t="inlineStr">
        <is>
          <t>SCA</t>
        </is>
      </c>
      <c r="G673" t="n">
        <v>0.3</v>
      </c>
      <c r="H673" t="n">
        <v>0</v>
      </c>
      <c r="I673" t="n">
        <v>1</v>
      </c>
      <c r="J673" t="n">
        <v>2</v>
      </c>
      <c r="K673" t="n">
        <v>0</v>
      </c>
      <c r="L673" t="n">
        <v>0</v>
      </c>
      <c r="M673" t="n">
        <v>0</v>
      </c>
      <c r="N673" t="n">
        <v>0</v>
      </c>
      <c r="O673" t="n">
        <v>2</v>
      </c>
      <c r="P673" t="n">
        <v>0</v>
      </c>
      <c r="Q673" t="n">
        <v>3</v>
      </c>
      <c r="R673" s="2" t="inlineStr">
        <is>
          <t>Garnlav
Rosenticka
Trådticka</t>
        </is>
      </c>
      <c r="S673">
        <f>HYPERLINK("https://klasma.github.io/Logging_2283/artfynd/A 22183-2025 artfynd.xlsx", "A 22183-2025")</f>
        <v/>
      </c>
      <c r="T673">
        <f>HYPERLINK("https://klasma.github.io/Logging_2283/kartor/A 22183-2025 karta.png", "A 22183-2025")</f>
        <v/>
      </c>
      <c r="V673">
        <f>HYPERLINK("https://klasma.github.io/Logging_2283/klagomål/A 22183-2025 FSC-klagomål.docx", "A 22183-2025")</f>
        <v/>
      </c>
      <c r="W673">
        <f>HYPERLINK("https://klasma.github.io/Logging_2283/klagomålsmail/A 22183-2025 FSC-klagomål mail.docx", "A 22183-2025")</f>
        <v/>
      </c>
      <c r="X673">
        <f>HYPERLINK("https://klasma.github.io/Logging_2283/tillsyn/A 22183-2025 tillsynsbegäran.docx", "A 22183-2025")</f>
        <v/>
      </c>
      <c r="Y673">
        <f>HYPERLINK("https://klasma.github.io/Logging_2283/tillsynsmail/A 22183-2025 tillsynsbegäran mail.docx", "A 22183-2025")</f>
        <v/>
      </c>
    </row>
    <row r="674" ht="15" customHeight="1">
      <c r="A674" t="inlineStr">
        <is>
          <t>A 22427-2025</t>
        </is>
      </c>
      <c r="B674" s="1" t="n">
        <v>45786</v>
      </c>
      <c r="C674" s="1" t="n">
        <v>46185</v>
      </c>
      <c r="D674" t="inlineStr">
        <is>
          <t>VÄSTERNORRLANDS LÄN</t>
        </is>
      </c>
      <c r="E674" t="inlineStr">
        <is>
          <t>TIMRÅ</t>
        </is>
      </c>
      <c r="F674" t="inlineStr">
        <is>
          <t>SCA</t>
        </is>
      </c>
      <c r="G674" t="n">
        <v>7.1</v>
      </c>
      <c r="H674" t="n">
        <v>2</v>
      </c>
      <c r="I674" t="n">
        <v>0</v>
      </c>
      <c r="J674" t="n">
        <v>2</v>
      </c>
      <c r="K674" t="n">
        <v>0</v>
      </c>
      <c r="L674" t="n">
        <v>0</v>
      </c>
      <c r="M674" t="n">
        <v>0</v>
      </c>
      <c r="N674" t="n">
        <v>0</v>
      </c>
      <c r="O674" t="n">
        <v>2</v>
      </c>
      <c r="P674" t="n">
        <v>0</v>
      </c>
      <c r="Q674" t="n">
        <v>3</v>
      </c>
      <c r="R674" s="2" t="inlineStr">
        <is>
          <t>Lunglav
Tretåig hackspett
Nattviol</t>
        </is>
      </c>
      <c r="S674">
        <f>HYPERLINK("https://klasma.github.io/Logging_2262/artfynd/A 22427-2025 artfynd.xlsx", "A 22427-2025")</f>
        <v/>
      </c>
      <c r="T674">
        <f>HYPERLINK("https://klasma.github.io/Logging_2262/kartor/A 22427-2025 karta.png", "A 22427-2025")</f>
        <v/>
      </c>
      <c r="V674">
        <f>HYPERLINK("https://klasma.github.io/Logging_2262/klagomål/A 22427-2025 FSC-klagomål.docx", "A 22427-2025")</f>
        <v/>
      </c>
      <c r="W674">
        <f>HYPERLINK("https://klasma.github.io/Logging_2262/klagomålsmail/A 22427-2025 FSC-klagomål mail.docx", "A 22427-2025")</f>
        <v/>
      </c>
      <c r="X674">
        <f>HYPERLINK("https://klasma.github.io/Logging_2262/tillsyn/A 22427-2025 tillsynsbegäran.docx", "A 22427-2025")</f>
        <v/>
      </c>
      <c r="Y674">
        <f>HYPERLINK("https://klasma.github.io/Logging_2262/tillsynsmail/A 22427-2025 tillsynsbegäran mail.docx", "A 22427-2025")</f>
        <v/>
      </c>
      <c r="Z674">
        <f>HYPERLINK("https://klasma.github.io/Logging_2262/fåglar/A 22427-2025 prioriterade fågelarter.docx", "A 22427-2025")</f>
        <v/>
      </c>
    </row>
    <row r="675" ht="15" customHeight="1">
      <c r="A675" t="inlineStr">
        <is>
          <t>A 22210-2025</t>
        </is>
      </c>
      <c r="B675" s="1" t="n">
        <v>45785.65743055556</v>
      </c>
      <c r="C675" s="1" t="n">
        <v>46185</v>
      </c>
      <c r="D675" t="inlineStr">
        <is>
          <t>VÄSTERNORRLANDS LÄN</t>
        </is>
      </c>
      <c r="E675" t="inlineStr">
        <is>
          <t>TIMRÅ</t>
        </is>
      </c>
      <c r="F675" t="inlineStr">
        <is>
          <t>SCA</t>
        </is>
      </c>
      <c r="G675" t="n">
        <v>4.1</v>
      </c>
      <c r="H675" t="n">
        <v>0</v>
      </c>
      <c r="I675" t="n">
        <v>1</v>
      </c>
      <c r="J675" t="n">
        <v>2</v>
      </c>
      <c r="K675" t="n">
        <v>0</v>
      </c>
      <c r="L675" t="n">
        <v>0</v>
      </c>
      <c r="M675" t="n">
        <v>0</v>
      </c>
      <c r="N675" t="n">
        <v>0</v>
      </c>
      <c r="O675" t="n">
        <v>2</v>
      </c>
      <c r="P675" t="n">
        <v>0</v>
      </c>
      <c r="Q675" t="n">
        <v>3</v>
      </c>
      <c r="R675" s="2" t="inlineStr">
        <is>
          <t>Doftskinn
Gammelgransskål
Rävticka</t>
        </is>
      </c>
      <c r="S675">
        <f>HYPERLINK("https://klasma.github.io/Logging_2262/artfynd/A 22210-2025 artfynd.xlsx", "A 22210-2025")</f>
        <v/>
      </c>
      <c r="T675">
        <f>HYPERLINK("https://klasma.github.io/Logging_2262/kartor/A 22210-2025 karta.png", "A 22210-2025")</f>
        <v/>
      </c>
      <c r="V675">
        <f>HYPERLINK("https://klasma.github.io/Logging_2262/klagomål/A 22210-2025 FSC-klagomål.docx", "A 22210-2025")</f>
        <v/>
      </c>
      <c r="W675">
        <f>HYPERLINK("https://klasma.github.io/Logging_2262/klagomålsmail/A 22210-2025 FSC-klagomål mail.docx", "A 22210-2025")</f>
        <v/>
      </c>
      <c r="X675">
        <f>HYPERLINK("https://klasma.github.io/Logging_2262/tillsyn/A 22210-2025 tillsynsbegäran.docx", "A 22210-2025")</f>
        <v/>
      </c>
      <c r="Y675">
        <f>HYPERLINK("https://klasma.github.io/Logging_2262/tillsynsmail/A 22210-2025 tillsynsbegäran mail.docx", "A 22210-2025")</f>
        <v/>
      </c>
    </row>
    <row r="676" ht="15" customHeight="1">
      <c r="A676" t="inlineStr">
        <is>
          <t>A 22289-2025</t>
        </is>
      </c>
      <c r="B676" s="1" t="n">
        <v>45786.34436342592</v>
      </c>
      <c r="C676" s="1" t="n">
        <v>46185</v>
      </c>
      <c r="D676" t="inlineStr">
        <is>
          <t>VÄSTERNORRLANDS LÄN</t>
        </is>
      </c>
      <c r="E676" t="inlineStr">
        <is>
          <t>KRAMFORS</t>
        </is>
      </c>
      <c r="F676" t="inlineStr">
        <is>
          <t>SCA</t>
        </is>
      </c>
      <c r="G676" t="n">
        <v>5.6</v>
      </c>
      <c r="H676" t="n">
        <v>1</v>
      </c>
      <c r="I676" t="n">
        <v>0</v>
      </c>
      <c r="J676" t="n">
        <v>3</v>
      </c>
      <c r="K676" t="n">
        <v>0</v>
      </c>
      <c r="L676" t="n">
        <v>0</v>
      </c>
      <c r="M676" t="n">
        <v>0</v>
      </c>
      <c r="N676" t="n">
        <v>0</v>
      </c>
      <c r="O676" t="n">
        <v>3</v>
      </c>
      <c r="P676" t="n">
        <v>0</v>
      </c>
      <c r="Q676" t="n">
        <v>3</v>
      </c>
      <c r="R676" s="2" t="inlineStr">
        <is>
          <t>Garnlav
Granticka
Tretåig hackspett</t>
        </is>
      </c>
      <c r="S676">
        <f>HYPERLINK("https://klasma.github.io/Logging_2282/artfynd/A 22289-2025 artfynd.xlsx", "A 22289-2025")</f>
        <v/>
      </c>
      <c r="T676">
        <f>HYPERLINK("https://klasma.github.io/Logging_2282/kartor/A 22289-2025 karta.png", "A 22289-2025")</f>
        <v/>
      </c>
      <c r="V676">
        <f>HYPERLINK("https://klasma.github.io/Logging_2282/klagomål/A 22289-2025 FSC-klagomål.docx", "A 22289-2025")</f>
        <v/>
      </c>
      <c r="W676">
        <f>HYPERLINK("https://klasma.github.io/Logging_2282/klagomålsmail/A 22289-2025 FSC-klagomål mail.docx", "A 22289-2025")</f>
        <v/>
      </c>
      <c r="X676">
        <f>HYPERLINK("https://klasma.github.io/Logging_2282/tillsyn/A 22289-2025 tillsynsbegäran.docx", "A 22289-2025")</f>
        <v/>
      </c>
      <c r="Y676">
        <f>HYPERLINK("https://klasma.github.io/Logging_2282/tillsynsmail/A 22289-2025 tillsynsbegäran mail.docx", "A 22289-2025")</f>
        <v/>
      </c>
      <c r="Z676">
        <f>HYPERLINK("https://klasma.github.io/Logging_2282/fåglar/A 22289-2025 prioriterade fågelarter.docx", "A 22289-2025")</f>
        <v/>
      </c>
    </row>
    <row r="677" ht="15" customHeight="1">
      <c r="A677" t="inlineStr">
        <is>
          <t>A 23158-2025</t>
        </is>
      </c>
      <c r="B677" s="1" t="n">
        <v>45791.4071875</v>
      </c>
      <c r="C677" s="1" t="n">
        <v>46185</v>
      </c>
      <c r="D677" t="inlineStr">
        <is>
          <t>VÄSTERNORRLANDS LÄN</t>
        </is>
      </c>
      <c r="E677" t="inlineStr">
        <is>
          <t>TIMRÅ</t>
        </is>
      </c>
      <c r="F677" t="inlineStr">
        <is>
          <t>SCA</t>
        </is>
      </c>
      <c r="G677" t="n">
        <v>4.9</v>
      </c>
      <c r="H677" t="n">
        <v>1</v>
      </c>
      <c r="I677" t="n">
        <v>0</v>
      </c>
      <c r="J677" t="n">
        <v>2</v>
      </c>
      <c r="K677" t="n">
        <v>0</v>
      </c>
      <c r="L677" t="n">
        <v>0</v>
      </c>
      <c r="M677" t="n">
        <v>0</v>
      </c>
      <c r="N677" t="n">
        <v>0</v>
      </c>
      <c r="O677" t="n">
        <v>2</v>
      </c>
      <c r="P677" t="n">
        <v>0</v>
      </c>
      <c r="Q677" t="n">
        <v>3</v>
      </c>
      <c r="R677" s="2" t="inlineStr">
        <is>
          <t>Garnlav
Violettgrå tagellav
Tjäder</t>
        </is>
      </c>
      <c r="S677">
        <f>HYPERLINK("https://klasma.github.io/Logging_2262/artfynd/A 23158-2025 artfynd.xlsx", "A 23158-2025")</f>
        <v/>
      </c>
      <c r="T677">
        <f>HYPERLINK("https://klasma.github.io/Logging_2262/kartor/A 23158-2025 karta.png", "A 23158-2025")</f>
        <v/>
      </c>
      <c r="V677">
        <f>HYPERLINK("https://klasma.github.io/Logging_2262/klagomål/A 23158-2025 FSC-klagomål.docx", "A 23158-2025")</f>
        <v/>
      </c>
      <c r="W677">
        <f>HYPERLINK("https://klasma.github.io/Logging_2262/klagomålsmail/A 23158-2025 FSC-klagomål mail.docx", "A 23158-2025")</f>
        <v/>
      </c>
      <c r="X677">
        <f>HYPERLINK("https://klasma.github.io/Logging_2262/tillsyn/A 23158-2025 tillsynsbegäran.docx", "A 23158-2025")</f>
        <v/>
      </c>
      <c r="Y677">
        <f>HYPERLINK("https://klasma.github.io/Logging_2262/tillsynsmail/A 23158-2025 tillsynsbegäran mail.docx", "A 23158-2025")</f>
        <v/>
      </c>
      <c r="Z677">
        <f>HYPERLINK("https://klasma.github.io/Logging_2262/fåglar/A 23158-2025 prioriterade fågelarter.docx", "A 23158-2025")</f>
        <v/>
      </c>
    </row>
    <row r="678" ht="15" customHeight="1">
      <c r="A678" t="inlineStr">
        <is>
          <t>A 23754-2025</t>
        </is>
      </c>
      <c r="B678" s="1" t="n">
        <v>45793.45782407407</v>
      </c>
      <c r="C678" s="1" t="n">
        <v>46185</v>
      </c>
      <c r="D678" t="inlineStr">
        <is>
          <t>VÄSTERNORRLANDS LÄN</t>
        </is>
      </c>
      <c r="E678" t="inlineStr">
        <is>
          <t>ÅNGE</t>
        </is>
      </c>
      <c r="F678" t="inlineStr">
        <is>
          <t>Sveaskog</t>
        </is>
      </c>
      <c r="G678" t="n">
        <v>4.3</v>
      </c>
      <c r="H678" t="n">
        <v>3</v>
      </c>
      <c r="I678" t="n">
        <v>0</v>
      </c>
      <c r="J678" t="n">
        <v>1</v>
      </c>
      <c r="K678" t="n">
        <v>0</v>
      </c>
      <c r="L678" t="n">
        <v>0</v>
      </c>
      <c r="M678" t="n">
        <v>0</v>
      </c>
      <c r="N678" t="n">
        <v>0</v>
      </c>
      <c r="O678" t="n">
        <v>1</v>
      </c>
      <c r="P678" t="n">
        <v>0</v>
      </c>
      <c r="Q678" t="n">
        <v>3</v>
      </c>
      <c r="R678" s="2" t="inlineStr">
        <is>
          <t>Spillkråka
Tjäder
Blåsippa</t>
        </is>
      </c>
      <c r="S678">
        <f>HYPERLINK("https://klasma.github.io/Logging_2260/artfynd/A 23754-2025 artfynd.xlsx", "A 23754-2025")</f>
        <v/>
      </c>
      <c r="T678">
        <f>HYPERLINK("https://klasma.github.io/Logging_2260/kartor/A 23754-2025 karta.png", "A 23754-2025")</f>
        <v/>
      </c>
      <c r="U678">
        <f>HYPERLINK("https://klasma.github.io/Logging_2260/knärot/A 23754-2025 karta knärot.png", "A 23754-2025")</f>
        <v/>
      </c>
      <c r="V678">
        <f>HYPERLINK("https://klasma.github.io/Logging_2260/klagomål/A 23754-2025 FSC-klagomål.docx", "A 23754-2025")</f>
        <v/>
      </c>
      <c r="W678">
        <f>HYPERLINK("https://klasma.github.io/Logging_2260/klagomålsmail/A 23754-2025 FSC-klagomål mail.docx", "A 23754-2025")</f>
        <v/>
      </c>
      <c r="X678">
        <f>HYPERLINK("https://klasma.github.io/Logging_2260/tillsyn/A 23754-2025 tillsynsbegäran.docx", "A 23754-2025")</f>
        <v/>
      </c>
      <c r="Y678">
        <f>HYPERLINK("https://klasma.github.io/Logging_2260/tillsynsmail/A 23754-2025 tillsynsbegäran mail.docx", "A 23754-2025")</f>
        <v/>
      </c>
      <c r="Z678">
        <f>HYPERLINK("https://klasma.github.io/Logging_2260/fåglar/A 23754-2025 prioriterade fågelarter.docx", "A 23754-2025")</f>
        <v/>
      </c>
    </row>
    <row r="679" ht="15" customHeight="1">
      <c r="A679" t="inlineStr">
        <is>
          <t>A 23759-2025</t>
        </is>
      </c>
      <c r="B679" s="1" t="n">
        <v>45793.46409722222</v>
      </c>
      <c r="C679" s="1" t="n">
        <v>46185</v>
      </c>
      <c r="D679" t="inlineStr">
        <is>
          <t>VÄSTERNORRLANDS LÄN</t>
        </is>
      </c>
      <c r="E679" t="inlineStr">
        <is>
          <t>ÅNGE</t>
        </is>
      </c>
      <c r="F679" t="inlineStr">
        <is>
          <t>Sveaskog</t>
        </is>
      </c>
      <c r="G679" t="n">
        <v>5.2</v>
      </c>
      <c r="H679" t="n">
        <v>0</v>
      </c>
      <c r="I679" t="n">
        <v>1</v>
      </c>
      <c r="J679" t="n">
        <v>2</v>
      </c>
      <c r="K679" t="n">
        <v>0</v>
      </c>
      <c r="L679" t="n">
        <v>0</v>
      </c>
      <c r="M679" t="n">
        <v>0</v>
      </c>
      <c r="N679" t="n">
        <v>0</v>
      </c>
      <c r="O679" t="n">
        <v>2</v>
      </c>
      <c r="P679" t="n">
        <v>0</v>
      </c>
      <c r="Q679" t="n">
        <v>3</v>
      </c>
      <c r="R679" s="2" t="inlineStr">
        <is>
          <t>Lunglav
Skrovellav
Korallblylav</t>
        </is>
      </c>
      <c r="S679">
        <f>HYPERLINK("https://klasma.github.io/Logging_2260/artfynd/A 23759-2025 artfynd.xlsx", "A 23759-2025")</f>
        <v/>
      </c>
      <c r="T679">
        <f>HYPERLINK("https://klasma.github.io/Logging_2260/kartor/A 23759-2025 karta.png", "A 23759-2025")</f>
        <v/>
      </c>
      <c r="V679">
        <f>HYPERLINK("https://klasma.github.io/Logging_2260/klagomål/A 23759-2025 FSC-klagomål.docx", "A 23759-2025")</f>
        <v/>
      </c>
      <c r="W679">
        <f>HYPERLINK("https://klasma.github.io/Logging_2260/klagomålsmail/A 23759-2025 FSC-klagomål mail.docx", "A 23759-2025")</f>
        <v/>
      </c>
      <c r="X679">
        <f>HYPERLINK("https://klasma.github.io/Logging_2260/tillsyn/A 23759-2025 tillsynsbegäran.docx", "A 23759-2025")</f>
        <v/>
      </c>
      <c r="Y679">
        <f>HYPERLINK("https://klasma.github.io/Logging_2260/tillsynsmail/A 23759-2025 tillsynsbegäran mail.docx", "A 23759-2025")</f>
        <v/>
      </c>
    </row>
    <row r="680" ht="15" customHeight="1">
      <c r="A680" t="inlineStr">
        <is>
          <t>A 24057-2025</t>
        </is>
      </c>
      <c r="B680" s="1" t="n">
        <v>45796.51077546296</v>
      </c>
      <c r="C680" s="1" t="n">
        <v>46185</v>
      </c>
      <c r="D680" t="inlineStr">
        <is>
          <t>VÄSTERNORRLANDS LÄN</t>
        </is>
      </c>
      <c r="E680" t="inlineStr">
        <is>
          <t>SUNDSVALL</t>
        </is>
      </c>
      <c r="F680" t="inlineStr">
        <is>
          <t>Naturvårdsverket</t>
        </is>
      </c>
      <c r="G680" t="n">
        <v>11.7</v>
      </c>
      <c r="H680" t="n">
        <v>1</v>
      </c>
      <c r="I680" t="n">
        <v>1</v>
      </c>
      <c r="J680" t="n">
        <v>1</v>
      </c>
      <c r="K680" t="n">
        <v>0</v>
      </c>
      <c r="L680" t="n">
        <v>0</v>
      </c>
      <c r="M680" t="n">
        <v>0</v>
      </c>
      <c r="N680" t="n">
        <v>0</v>
      </c>
      <c r="O680" t="n">
        <v>1</v>
      </c>
      <c r="P680" t="n">
        <v>0</v>
      </c>
      <c r="Q680" t="n">
        <v>3</v>
      </c>
      <c r="R680" s="2" t="inlineStr">
        <is>
          <t>Lunglav
Stuplav
Huggorm</t>
        </is>
      </c>
      <c r="S680">
        <f>HYPERLINK("https://klasma.github.io/Logging_2281/artfynd/A 24057-2025 artfynd.xlsx", "A 24057-2025")</f>
        <v/>
      </c>
      <c r="T680">
        <f>HYPERLINK("https://klasma.github.io/Logging_2281/kartor/A 24057-2025 karta.png", "A 24057-2025")</f>
        <v/>
      </c>
      <c r="V680">
        <f>HYPERLINK("https://klasma.github.io/Logging_2281/klagomål/A 24057-2025 FSC-klagomål.docx", "A 24057-2025")</f>
        <v/>
      </c>
      <c r="W680">
        <f>HYPERLINK("https://klasma.github.io/Logging_2281/klagomålsmail/A 24057-2025 FSC-klagomål mail.docx", "A 24057-2025")</f>
        <v/>
      </c>
      <c r="X680">
        <f>HYPERLINK("https://klasma.github.io/Logging_2281/tillsyn/A 24057-2025 tillsynsbegäran.docx", "A 24057-2025")</f>
        <v/>
      </c>
      <c r="Y680">
        <f>HYPERLINK("https://klasma.github.io/Logging_2281/tillsynsmail/A 24057-2025 tillsynsbegäran mail.docx", "A 24057-2025")</f>
        <v/>
      </c>
    </row>
    <row r="681" ht="15" customHeight="1">
      <c r="A681" t="inlineStr">
        <is>
          <t>A 24430-2025</t>
        </is>
      </c>
      <c r="B681" s="1" t="n">
        <v>45797</v>
      </c>
      <c r="C681" s="1" t="n">
        <v>46185</v>
      </c>
      <c r="D681" t="inlineStr">
        <is>
          <t>VÄSTERNORRLANDS LÄN</t>
        </is>
      </c>
      <c r="E681" t="inlineStr">
        <is>
          <t>TIMRÅ</t>
        </is>
      </c>
      <c r="F681" t="inlineStr">
        <is>
          <t>SCA</t>
        </is>
      </c>
      <c r="G681" t="n">
        <v>14</v>
      </c>
      <c r="H681" t="n">
        <v>0</v>
      </c>
      <c r="I681" t="n">
        <v>1</v>
      </c>
      <c r="J681" t="n">
        <v>2</v>
      </c>
      <c r="K681" t="n">
        <v>0</v>
      </c>
      <c r="L681" t="n">
        <v>0</v>
      </c>
      <c r="M681" t="n">
        <v>0</v>
      </c>
      <c r="N681" t="n">
        <v>0</v>
      </c>
      <c r="O681" t="n">
        <v>2</v>
      </c>
      <c r="P681" t="n">
        <v>0</v>
      </c>
      <c r="Q681" t="n">
        <v>3</v>
      </c>
      <c r="R681" s="2" t="inlineStr">
        <is>
          <t>Granticka
Lunglav
Stuplav</t>
        </is>
      </c>
      <c r="S681">
        <f>HYPERLINK("https://klasma.github.io/Logging_2262/artfynd/A 24430-2025 artfynd.xlsx", "A 24430-2025")</f>
        <v/>
      </c>
      <c r="T681">
        <f>HYPERLINK("https://klasma.github.io/Logging_2262/kartor/A 24430-2025 karta.png", "A 24430-2025")</f>
        <v/>
      </c>
      <c r="V681">
        <f>HYPERLINK("https://klasma.github.io/Logging_2262/klagomål/A 24430-2025 FSC-klagomål.docx", "A 24430-2025")</f>
        <v/>
      </c>
      <c r="W681">
        <f>HYPERLINK("https://klasma.github.io/Logging_2262/klagomålsmail/A 24430-2025 FSC-klagomål mail.docx", "A 24430-2025")</f>
        <v/>
      </c>
      <c r="X681">
        <f>HYPERLINK("https://klasma.github.io/Logging_2262/tillsyn/A 24430-2025 tillsynsbegäran.docx", "A 24430-2025")</f>
        <v/>
      </c>
      <c r="Y681">
        <f>HYPERLINK("https://klasma.github.io/Logging_2262/tillsynsmail/A 24430-2025 tillsynsbegäran mail.docx", "A 24430-2025")</f>
        <v/>
      </c>
    </row>
    <row r="682" ht="15" customHeight="1">
      <c r="A682" t="inlineStr">
        <is>
          <t>A 36635-2021</t>
        </is>
      </c>
      <c r="B682" s="1" t="n">
        <v>44391</v>
      </c>
      <c r="C682" s="1" t="n">
        <v>46185</v>
      </c>
      <c r="D682" t="inlineStr">
        <is>
          <t>VÄSTERNORRLANDS LÄN</t>
        </is>
      </c>
      <c r="E682" t="inlineStr">
        <is>
          <t>ÅNGE</t>
        </is>
      </c>
      <c r="F682" t="inlineStr">
        <is>
          <t>SCA</t>
        </is>
      </c>
      <c r="G682" t="n">
        <v>3.7</v>
      </c>
      <c r="H682" t="n">
        <v>1</v>
      </c>
      <c r="I682" t="n">
        <v>0</v>
      </c>
      <c r="J682" t="n">
        <v>1</v>
      </c>
      <c r="K682" t="n">
        <v>1</v>
      </c>
      <c r="L682" t="n">
        <v>0</v>
      </c>
      <c r="M682" t="n">
        <v>0</v>
      </c>
      <c r="N682" t="n">
        <v>0</v>
      </c>
      <c r="O682" t="n">
        <v>2</v>
      </c>
      <c r="P682" t="n">
        <v>1</v>
      </c>
      <c r="Q682" t="n">
        <v>2</v>
      </c>
      <c r="R682" s="2" t="inlineStr">
        <is>
          <t>Knärot
Tallticka</t>
        </is>
      </c>
      <c r="S682">
        <f>HYPERLINK("https://klasma.github.io/Logging_2260/artfynd/A 36635-2021 artfynd.xlsx", "A 36635-2021")</f>
        <v/>
      </c>
      <c r="T682">
        <f>HYPERLINK("https://klasma.github.io/Logging_2260/kartor/A 36635-2021 karta.png", "A 36635-2021")</f>
        <v/>
      </c>
      <c r="U682">
        <f>HYPERLINK("https://klasma.github.io/Logging_2260/knärot/A 36635-2021 karta knärot.png", "A 36635-2021")</f>
        <v/>
      </c>
      <c r="V682">
        <f>HYPERLINK("https://klasma.github.io/Logging_2260/klagomål/A 36635-2021 FSC-klagomål.docx", "A 36635-2021")</f>
        <v/>
      </c>
      <c r="W682">
        <f>HYPERLINK("https://klasma.github.io/Logging_2260/klagomålsmail/A 36635-2021 FSC-klagomål mail.docx", "A 36635-2021")</f>
        <v/>
      </c>
      <c r="X682">
        <f>HYPERLINK("https://klasma.github.io/Logging_2260/tillsyn/A 36635-2021 tillsynsbegäran.docx", "A 36635-2021")</f>
        <v/>
      </c>
      <c r="Y682">
        <f>HYPERLINK("https://klasma.github.io/Logging_2260/tillsynsmail/A 36635-2021 tillsynsbegäran mail.docx", "A 36635-2021")</f>
        <v/>
      </c>
    </row>
    <row r="683" ht="15" customHeight="1">
      <c r="A683" t="inlineStr">
        <is>
          <t>A 1082-2022</t>
        </is>
      </c>
      <c r="B683" s="1" t="n">
        <v>44571</v>
      </c>
      <c r="C683" s="1" t="n">
        <v>46185</v>
      </c>
      <c r="D683" t="inlineStr">
        <is>
          <t>VÄSTERNORRLANDS LÄN</t>
        </is>
      </c>
      <c r="E683" t="inlineStr">
        <is>
          <t>ÅNGE</t>
        </is>
      </c>
      <c r="G683" t="n">
        <v>0.9</v>
      </c>
      <c r="H683" t="n">
        <v>1</v>
      </c>
      <c r="I683" t="n">
        <v>0</v>
      </c>
      <c r="J683" t="n">
        <v>2</v>
      </c>
      <c r="K683" t="n">
        <v>0</v>
      </c>
      <c r="L683" t="n">
        <v>0</v>
      </c>
      <c r="M683" t="n">
        <v>0</v>
      </c>
      <c r="N683" t="n">
        <v>0</v>
      </c>
      <c r="O683" t="n">
        <v>2</v>
      </c>
      <c r="P683" t="n">
        <v>0</v>
      </c>
      <c r="Q683" t="n">
        <v>2</v>
      </c>
      <c r="R683" s="2" t="inlineStr">
        <is>
          <t>Garnlav
Talltita</t>
        </is>
      </c>
      <c r="S683">
        <f>HYPERLINK("https://klasma.github.io/Logging_2260/artfynd/A 1082-2022 artfynd.xlsx", "A 1082-2022")</f>
        <v/>
      </c>
      <c r="T683">
        <f>HYPERLINK("https://klasma.github.io/Logging_2260/kartor/A 1082-2022 karta.png", "A 1082-2022")</f>
        <v/>
      </c>
      <c r="V683">
        <f>HYPERLINK("https://klasma.github.io/Logging_2260/klagomål/A 1082-2022 FSC-klagomål.docx", "A 1082-2022")</f>
        <v/>
      </c>
      <c r="W683">
        <f>HYPERLINK("https://klasma.github.io/Logging_2260/klagomålsmail/A 1082-2022 FSC-klagomål mail.docx", "A 1082-2022")</f>
        <v/>
      </c>
      <c r="X683">
        <f>HYPERLINK("https://klasma.github.io/Logging_2260/tillsyn/A 1082-2022 tillsynsbegäran.docx", "A 1082-2022")</f>
        <v/>
      </c>
      <c r="Y683">
        <f>HYPERLINK("https://klasma.github.io/Logging_2260/tillsynsmail/A 1082-2022 tillsynsbegäran mail.docx", "A 1082-2022")</f>
        <v/>
      </c>
      <c r="Z683">
        <f>HYPERLINK("https://klasma.github.io/Logging_2260/fåglar/A 1082-2022 prioriterade fågelarter.docx", "A 1082-2022")</f>
        <v/>
      </c>
    </row>
    <row r="684" ht="15" customHeight="1">
      <c r="A684" t="inlineStr">
        <is>
          <t>A 9583-2022</t>
        </is>
      </c>
      <c r="B684" s="1" t="n">
        <v>44617</v>
      </c>
      <c r="C684" s="1" t="n">
        <v>46185</v>
      </c>
      <c r="D684" t="inlineStr">
        <is>
          <t>VÄSTERNORRLANDS LÄN</t>
        </is>
      </c>
      <c r="E684" t="inlineStr">
        <is>
          <t>SOLLEFTEÅ</t>
        </is>
      </c>
      <c r="F684" t="inlineStr">
        <is>
          <t>Övriga Aktiebolag</t>
        </is>
      </c>
      <c r="G684" t="n">
        <v>2.3</v>
      </c>
      <c r="H684" t="n">
        <v>0</v>
      </c>
      <c r="I684" t="n">
        <v>0</v>
      </c>
      <c r="J684" t="n">
        <v>2</v>
      </c>
      <c r="K684" t="n">
        <v>0</v>
      </c>
      <c r="L684" t="n">
        <v>0</v>
      </c>
      <c r="M684" t="n">
        <v>0</v>
      </c>
      <c r="N684" t="n">
        <v>0</v>
      </c>
      <c r="O684" t="n">
        <v>2</v>
      </c>
      <c r="P684" t="n">
        <v>0</v>
      </c>
      <c r="Q684" t="n">
        <v>2</v>
      </c>
      <c r="R684" s="2" t="inlineStr">
        <is>
          <t>Garnlav
Lunglav</t>
        </is>
      </c>
      <c r="S684">
        <f>HYPERLINK("https://klasma.github.io/Logging_2283/artfynd/A 9583-2022 artfynd.xlsx", "A 9583-2022")</f>
        <v/>
      </c>
      <c r="T684">
        <f>HYPERLINK("https://klasma.github.io/Logging_2283/kartor/A 9583-2022 karta.png", "A 9583-2022")</f>
        <v/>
      </c>
      <c r="V684">
        <f>HYPERLINK("https://klasma.github.io/Logging_2283/klagomål/A 9583-2022 FSC-klagomål.docx", "A 9583-2022")</f>
        <v/>
      </c>
      <c r="W684">
        <f>HYPERLINK("https://klasma.github.io/Logging_2283/klagomålsmail/A 9583-2022 FSC-klagomål mail.docx", "A 9583-2022")</f>
        <v/>
      </c>
      <c r="X684">
        <f>HYPERLINK("https://klasma.github.io/Logging_2283/tillsyn/A 9583-2022 tillsynsbegäran.docx", "A 9583-2022")</f>
        <v/>
      </c>
      <c r="Y684">
        <f>HYPERLINK("https://klasma.github.io/Logging_2283/tillsynsmail/A 9583-2022 tillsynsbegäran mail.docx", "A 9583-2022")</f>
        <v/>
      </c>
    </row>
    <row r="685" ht="15" customHeight="1">
      <c r="A685" t="inlineStr">
        <is>
          <t>A 45213-2021</t>
        </is>
      </c>
      <c r="B685" s="1" t="n">
        <v>44431</v>
      </c>
      <c r="C685" s="1" t="n">
        <v>46185</v>
      </c>
      <c r="D685" t="inlineStr">
        <is>
          <t>VÄSTERNORRLANDS LÄN</t>
        </is>
      </c>
      <c r="E685" t="inlineStr">
        <is>
          <t>SOLLEFTEÅ</t>
        </is>
      </c>
      <c r="F685" t="inlineStr">
        <is>
          <t>SCA</t>
        </is>
      </c>
      <c r="G685" t="n">
        <v>2.3</v>
      </c>
      <c r="H685" t="n">
        <v>0</v>
      </c>
      <c r="I685" t="n">
        <v>0</v>
      </c>
      <c r="J685" t="n">
        <v>2</v>
      </c>
      <c r="K685" t="n">
        <v>0</v>
      </c>
      <c r="L685" t="n">
        <v>0</v>
      </c>
      <c r="M685" t="n">
        <v>0</v>
      </c>
      <c r="N685" t="n">
        <v>0</v>
      </c>
      <c r="O685" t="n">
        <v>2</v>
      </c>
      <c r="P685" t="n">
        <v>0</v>
      </c>
      <c r="Q685" t="n">
        <v>2</v>
      </c>
      <c r="R685" s="2" t="inlineStr">
        <is>
          <t>Garnlav
Granticka</t>
        </is>
      </c>
      <c r="S685">
        <f>HYPERLINK("https://klasma.github.io/Logging_2283/artfynd/A 45213-2021 artfynd.xlsx", "A 45213-2021")</f>
        <v/>
      </c>
      <c r="T685">
        <f>HYPERLINK("https://klasma.github.io/Logging_2283/kartor/A 45213-2021 karta.png", "A 45213-2021")</f>
        <v/>
      </c>
      <c r="V685">
        <f>HYPERLINK("https://klasma.github.io/Logging_2283/klagomål/A 45213-2021 FSC-klagomål.docx", "A 45213-2021")</f>
        <v/>
      </c>
      <c r="W685">
        <f>HYPERLINK("https://klasma.github.io/Logging_2283/klagomålsmail/A 45213-2021 FSC-klagomål mail.docx", "A 45213-2021")</f>
        <v/>
      </c>
      <c r="X685">
        <f>HYPERLINK("https://klasma.github.io/Logging_2283/tillsyn/A 45213-2021 tillsynsbegäran.docx", "A 45213-2021")</f>
        <v/>
      </c>
      <c r="Y685">
        <f>HYPERLINK("https://klasma.github.io/Logging_2283/tillsynsmail/A 45213-2021 tillsynsbegäran mail.docx", "A 45213-2021")</f>
        <v/>
      </c>
    </row>
    <row r="686" ht="15" customHeight="1">
      <c r="A686" t="inlineStr">
        <is>
          <t>A 24321-2022</t>
        </is>
      </c>
      <c r="B686" s="1" t="n">
        <v>44725</v>
      </c>
      <c r="C686" s="1" t="n">
        <v>46185</v>
      </c>
      <c r="D686" t="inlineStr">
        <is>
          <t>VÄSTERNORRLANDS LÄN</t>
        </is>
      </c>
      <c r="E686" t="inlineStr">
        <is>
          <t>SOLLEFTEÅ</t>
        </is>
      </c>
      <c r="F686" t="inlineStr">
        <is>
          <t>SCA</t>
        </is>
      </c>
      <c r="G686" t="n">
        <v>1.1</v>
      </c>
      <c r="H686" t="n">
        <v>1</v>
      </c>
      <c r="I686" t="n">
        <v>0</v>
      </c>
      <c r="J686" t="n">
        <v>1</v>
      </c>
      <c r="K686" t="n">
        <v>1</v>
      </c>
      <c r="L686" t="n">
        <v>0</v>
      </c>
      <c r="M686" t="n">
        <v>0</v>
      </c>
      <c r="N686" t="n">
        <v>0</v>
      </c>
      <c r="O686" t="n">
        <v>2</v>
      </c>
      <c r="P686" t="n">
        <v>1</v>
      </c>
      <c r="Q686" t="n">
        <v>2</v>
      </c>
      <c r="R686" s="2" t="inlineStr">
        <is>
          <t>Knärot
Garnlav</t>
        </is>
      </c>
      <c r="S686">
        <f>HYPERLINK("https://klasma.github.io/Logging_2283/artfynd/A 24321-2022 artfynd.xlsx", "A 24321-2022")</f>
        <v/>
      </c>
      <c r="T686">
        <f>HYPERLINK("https://klasma.github.io/Logging_2283/kartor/A 24321-2022 karta.png", "A 24321-2022")</f>
        <v/>
      </c>
      <c r="U686">
        <f>HYPERLINK("https://klasma.github.io/Logging_2283/knärot/A 24321-2022 karta knärot.png", "A 24321-2022")</f>
        <v/>
      </c>
      <c r="V686">
        <f>HYPERLINK("https://klasma.github.io/Logging_2283/klagomål/A 24321-2022 FSC-klagomål.docx", "A 24321-2022")</f>
        <v/>
      </c>
      <c r="W686">
        <f>HYPERLINK("https://klasma.github.io/Logging_2283/klagomålsmail/A 24321-2022 FSC-klagomål mail.docx", "A 24321-2022")</f>
        <v/>
      </c>
      <c r="X686">
        <f>HYPERLINK("https://klasma.github.io/Logging_2283/tillsyn/A 24321-2022 tillsynsbegäran.docx", "A 24321-2022")</f>
        <v/>
      </c>
      <c r="Y686">
        <f>HYPERLINK("https://klasma.github.io/Logging_2283/tillsynsmail/A 24321-2022 tillsynsbegäran mail.docx", "A 24321-2022")</f>
        <v/>
      </c>
    </row>
    <row r="687" ht="15" customHeight="1">
      <c r="A687" t="inlineStr">
        <is>
          <t>A 41191-2022</t>
        </is>
      </c>
      <c r="B687" s="1" t="n">
        <v>44825</v>
      </c>
      <c r="C687" s="1" t="n">
        <v>46185</v>
      </c>
      <c r="D687" t="inlineStr">
        <is>
          <t>VÄSTERNORRLANDS LÄN</t>
        </is>
      </c>
      <c r="E687" t="inlineStr">
        <is>
          <t>ÖRNSKÖLDSVIK</t>
        </is>
      </c>
      <c r="F687" t="inlineStr">
        <is>
          <t>SCA</t>
        </is>
      </c>
      <c r="G687" t="n">
        <v>6.3</v>
      </c>
      <c r="H687" t="n">
        <v>0</v>
      </c>
      <c r="I687" t="n">
        <v>1</v>
      </c>
      <c r="J687" t="n">
        <v>1</v>
      </c>
      <c r="K687" t="n">
        <v>0</v>
      </c>
      <c r="L687" t="n">
        <v>0</v>
      </c>
      <c r="M687" t="n">
        <v>0</v>
      </c>
      <c r="N687" t="n">
        <v>0</v>
      </c>
      <c r="O687" t="n">
        <v>1</v>
      </c>
      <c r="P687" t="n">
        <v>0</v>
      </c>
      <c r="Q687" t="n">
        <v>2</v>
      </c>
      <c r="R687" s="2" t="inlineStr">
        <is>
          <t>Garnlav
Norrlandslav</t>
        </is>
      </c>
      <c r="S687">
        <f>HYPERLINK("https://klasma.github.io/Logging_2284/artfynd/A 41191-2022 artfynd.xlsx", "A 41191-2022")</f>
        <v/>
      </c>
      <c r="T687">
        <f>HYPERLINK("https://klasma.github.io/Logging_2284/kartor/A 41191-2022 karta.png", "A 41191-2022")</f>
        <v/>
      </c>
      <c r="V687">
        <f>HYPERLINK("https://klasma.github.io/Logging_2284/klagomål/A 41191-2022 FSC-klagomål.docx", "A 41191-2022")</f>
        <v/>
      </c>
      <c r="W687">
        <f>HYPERLINK("https://klasma.github.io/Logging_2284/klagomålsmail/A 41191-2022 FSC-klagomål mail.docx", "A 41191-2022")</f>
        <v/>
      </c>
      <c r="X687">
        <f>HYPERLINK("https://klasma.github.io/Logging_2284/tillsyn/A 41191-2022 tillsynsbegäran.docx", "A 41191-2022")</f>
        <v/>
      </c>
      <c r="Y687">
        <f>HYPERLINK("https://klasma.github.io/Logging_2284/tillsynsmail/A 41191-2022 tillsynsbegäran mail.docx", "A 41191-2022")</f>
        <v/>
      </c>
    </row>
    <row r="688" ht="15" customHeight="1">
      <c r="A688" t="inlineStr">
        <is>
          <t>A 33087-2022</t>
        </is>
      </c>
      <c r="B688" s="1" t="n">
        <v>44785</v>
      </c>
      <c r="C688" s="1" t="n">
        <v>46185</v>
      </c>
      <c r="D688" t="inlineStr">
        <is>
          <t>VÄSTERNORRLANDS LÄN</t>
        </is>
      </c>
      <c r="E688" t="inlineStr">
        <is>
          <t>SOLLEFTEÅ</t>
        </is>
      </c>
      <c r="G688" t="n">
        <v>0.5</v>
      </c>
      <c r="H688" t="n">
        <v>0</v>
      </c>
      <c r="I688" t="n">
        <v>0</v>
      </c>
      <c r="J688" t="n">
        <v>2</v>
      </c>
      <c r="K688" t="n">
        <v>0</v>
      </c>
      <c r="L688" t="n">
        <v>0</v>
      </c>
      <c r="M688" t="n">
        <v>0</v>
      </c>
      <c r="N688" t="n">
        <v>0</v>
      </c>
      <c r="O688" t="n">
        <v>2</v>
      </c>
      <c r="P688" t="n">
        <v>0</v>
      </c>
      <c r="Q688" t="n">
        <v>2</v>
      </c>
      <c r="R688" s="2" t="inlineStr">
        <is>
          <t>Garnlav
Lunglav</t>
        </is>
      </c>
      <c r="S688">
        <f>HYPERLINK("https://klasma.github.io/Logging_2283/artfynd/A 33087-2022 artfynd.xlsx", "A 33087-2022")</f>
        <v/>
      </c>
      <c r="T688">
        <f>HYPERLINK("https://klasma.github.io/Logging_2283/kartor/A 33087-2022 karta.png", "A 33087-2022")</f>
        <v/>
      </c>
      <c r="V688">
        <f>HYPERLINK("https://klasma.github.io/Logging_2283/klagomål/A 33087-2022 FSC-klagomål.docx", "A 33087-2022")</f>
        <v/>
      </c>
      <c r="W688">
        <f>HYPERLINK("https://klasma.github.io/Logging_2283/klagomålsmail/A 33087-2022 FSC-klagomål mail.docx", "A 33087-2022")</f>
        <v/>
      </c>
      <c r="X688">
        <f>HYPERLINK("https://klasma.github.io/Logging_2283/tillsyn/A 33087-2022 tillsynsbegäran.docx", "A 33087-2022")</f>
        <v/>
      </c>
      <c r="Y688">
        <f>HYPERLINK("https://klasma.github.io/Logging_2283/tillsynsmail/A 33087-2022 tillsynsbegäran mail.docx", "A 33087-2022")</f>
        <v/>
      </c>
    </row>
    <row r="689" ht="15" customHeight="1">
      <c r="A689" t="inlineStr">
        <is>
          <t>A 18019-2022</t>
        </is>
      </c>
      <c r="B689" s="1" t="n">
        <v>44683.94377314814</v>
      </c>
      <c r="C689" s="1" t="n">
        <v>46185</v>
      </c>
      <c r="D689" t="inlineStr">
        <is>
          <t>VÄSTERNORRLANDS LÄN</t>
        </is>
      </c>
      <c r="E689" t="inlineStr">
        <is>
          <t>SOLLEFTEÅ</t>
        </is>
      </c>
      <c r="F689" t="inlineStr">
        <is>
          <t>SCA</t>
        </is>
      </c>
      <c r="G689" t="n">
        <v>2.6</v>
      </c>
      <c r="H689" t="n">
        <v>0</v>
      </c>
      <c r="I689" t="n">
        <v>0</v>
      </c>
      <c r="J689" t="n">
        <v>2</v>
      </c>
      <c r="K689" t="n">
        <v>0</v>
      </c>
      <c r="L689" t="n">
        <v>0</v>
      </c>
      <c r="M689" t="n">
        <v>0</v>
      </c>
      <c r="N689" t="n">
        <v>0</v>
      </c>
      <c r="O689" t="n">
        <v>2</v>
      </c>
      <c r="P689" t="n">
        <v>0</v>
      </c>
      <c r="Q689" t="n">
        <v>2</v>
      </c>
      <c r="R689" s="2" t="inlineStr">
        <is>
          <t>Gammelgransskål
Ullticka</t>
        </is>
      </c>
      <c r="S689">
        <f>HYPERLINK("https://klasma.github.io/Logging_2283/artfynd/A 18019-2022 artfynd.xlsx", "A 18019-2022")</f>
        <v/>
      </c>
      <c r="T689">
        <f>HYPERLINK("https://klasma.github.io/Logging_2283/kartor/A 18019-2022 karta.png", "A 18019-2022")</f>
        <v/>
      </c>
      <c r="V689">
        <f>HYPERLINK("https://klasma.github.io/Logging_2283/klagomål/A 18019-2022 FSC-klagomål.docx", "A 18019-2022")</f>
        <v/>
      </c>
      <c r="W689">
        <f>HYPERLINK("https://klasma.github.io/Logging_2283/klagomålsmail/A 18019-2022 FSC-klagomål mail.docx", "A 18019-2022")</f>
        <v/>
      </c>
      <c r="X689">
        <f>HYPERLINK("https://klasma.github.io/Logging_2283/tillsyn/A 18019-2022 tillsynsbegäran.docx", "A 18019-2022")</f>
        <v/>
      </c>
      <c r="Y689">
        <f>HYPERLINK("https://klasma.github.io/Logging_2283/tillsynsmail/A 18019-2022 tillsynsbegäran mail.docx", "A 18019-2022")</f>
        <v/>
      </c>
    </row>
    <row r="690" ht="15" customHeight="1">
      <c r="A690" t="inlineStr">
        <is>
          <t>A 65419-2021</t>
        </is>
      </c>
      <c r="B690" s="1" t="n">
        <v>44515</v>
      </c>
      <c r="C690" s="1" t="n">
        <v>46185</v>
      </c>
      <c r="D690" t="inlineStr">
        <is>
          <t>VÄSTERNORRLANDS LÄN</t>
        </is>
      </c>
      <c r="E690" t="inlineStr">
        <is>
          <t>SOLLEFTEÅ</t>
        </is>
      </c>
      <c r="F690" t="inlineStr">
        <is>
          <t>SCA</t>
        </is>
      </c>
      <c r="G690" t="n">
        <v>2.3</v>
      </c>
      <c r="H690" t="n">
        <v>0</v>
      </c>
      <c r="I690" t="n">
        <v>0</v>
      </c>
      <c r="J690" t="n">
        <v>2</v>
      </c>
      <c r="K690" t="n">
        <v>0</v>
      </c>
      <c r="L690" t="n">
        <v>0</v>
      </c>
      <c r="M690" t="n">
        <v>0</v>
      </c>
      <c r="N690" t="n">
        <v>0</v>
      </c>
      <c r="O690" t="n">
        <v>2</v>
      </c>
      <c r="P690" t="n">
        <v>0</v>
      </c>
      <c r="Q690" t="n">
        <v>2</v>
      </c>
      <c r="R690" s="2" t="inlineStr">
        <is>
          <t>Garnlav
Granticka</t>
        </is>
      </c>
      <c r="S690">
        <f>HYPERLINK("https://klasma.github.io/Logging_2283/artfynd/A 65419-2021 artfynd.xlsx", "A 65419-2021")</f>
        <v/>
      </c>
      <c r="T690">
        <f>HYPERLINK("https://klasma.github.io/Logging_2283/kartor/A 65419-2021 karta.png", "A 65419-2021")</f>
        <v/>
      </c>
      <c r="V690">
        <f>HYPERLINK("https://klasma.github.io/Logging_2283/klagomål/A 65419-2021 FSC-klagomål.docx", "A 65419-2021")</f>
        <v/>
      </c>
      <c r="W690">
        <f>HYPERLINK("https://klasma.github.io/Logging_2283/klagomålsmail/A 65419-2021 FSC-klagomål mail.docx", "A 65419-2021")</f>
        <v/>
      </c>
      <c r="X690">
        <f>HYPERLINK("https://klasma.github.io/Logging_2283/tillsyn/A 65419-2021 tillsynsbegäran.docx", "A 65419-2021")</f>
        <v/>
      </c>
      <c r="Y690">
        <f>HYPERLINK("https://klasma.github.io/Logging_2283/tillsynsmail/A 65419-2021 tillsynsbegäran mail.docx", "A 65419-2021")</f>
        <v/>
      </c>
    </row>
    <row r="691" ht="15" customHeight="1">
      <c r="A691" t="inlineStr">
        <is>
          <t>A 48152-2022</t>
        </is>
      </c>
      <c r="B691" s="1" t="n">
        <v>44853</v>
      </c>
      <c r="C691" s="1" t="n">
        <v>46185</v>
      </c>
      <c r="D691" t="inlineStr">
        <is>
          <t>VÄSTERNORRLANDS LÄN</t>
        </is>
      </c>
      <c r="E691" t="inlineStr">
        <is>
          <t>ÅNGE</t>
        </is>
      </c>
      <c r="G691" t="n">
        <v>2.9</v>
      </c>
      <c r="H691" t="n">
        <v>0</v>
      </c>
      <c r="I691" t="n">
        <v>0</v>
      </c>
      <c r="J691" t="n">
        <v>2</v>
      </c>
      <c r="K691" t="n">
        <v>0</v>
      </c>
      <c r="L691" t="n">
        <v>0</v>
      </c>
      <c r="M691" t="n">
        <v>0</v>
      </c>
      <c r="N691" t="n">
        <v>0</v>
      </c>
      <c r="O691" t="n">
        <v>2</v>
      </c>
      <c r="P691" t="n">
        <v>0</v>
      </c>
      <c r="Q691" t="n">
        <v>2</v>
      </c>
      <c r="R691" s="2" t="inlineStr">
        <is>
          <t>Lunglav
Skrovellav</t>
        </is>
      </c>
      <c r="S691">
        <f>HYPERLINK("https://klasma.github.io/Logging_2260/artfynd/A 48152-2022 artfynd.xlsx", "A 48152-2022")</f>
        <v/>
      </c>
      <c r="T691">
        <f>HYPERLINK("https://klasma.github.io/Logging_2260/kartor/A 48152-2022 karta.png", "A 48152-2022")</f>
        <v/>
      </c>
      <c r="V691">
        <f>HYPERLINK("https://klasma.github.io/Logging_2260/klagomål/A 48152-2022 FSC-klagomål.docx", "A 48152-2022")</f>
        <v/>
      </c>
      <c r="W691">
        <f>HYPERLINK("https://klasma.github.io/Logging_2260/klagomålsmail/A 48152-2022 FSC-klagomål mail.docx", "A 48152-2022")</f>
        <v/>
      </c>
      <c r="X691">
        <f>HYPERLINK("https://klasma.github.io/Logging_2260/tillsyn/A 48152-2022 tillsynsbegäran.docx", "A 48152-2022")</f>
        <v/>
      </c>
      <c r="Y691">
        <f>HYPERLINK("https://klasma.github.io/Logging_2260/tillsynsmail/A 48152-2022 tillsynsbegäran mail.docx", "A 48152-2022")</f>
        <v/>
      </c>
    </row>
    <row r="692" ht="15" customHeight="1">
      <c r="A692" t="inlineStr">
        <is>
          <t>A 47799-2022</t>
        </is>
      </c>
      <c r="B692" s="1" t="n">
        <v>44854.95371527778</v>
      </c>
      <c r="C692" s="1" t="n">
        <v>46185</v>
      </c>
      <c r="D692" t="inlineStr">
        <is>
          <t>VÄSTERNORRLANDS LÄN</t>
        </is>
      </c>
      <c r="E692" t="inlineStr">
        <is>
          <t>ÅNGE</t>
        </is>
      </c>
      <c r="F692" t="inlineStr">
        <is>
          <t>SCA</t>
        </is>
      </c>
      <c r="G692" t="n">
        <v>5</v>
      </c>
      <c r="H692" t="n">
        <v>1</v>
      </c>
      <c r="I692" t="n">
        <v>0</v>
      </c>
      <c r="J692" t="n">
        <v>1</v>
      </c>
      <c r="K692" t="n">
        <v>0</v>
      </c>
      <c r="L692" t="n">
        <v>0</v>
      </c>
      <c r="M692" t="n">
        <v>0</v>
      </c>
      <c r="N692" t="n">
        <v>0</v>
      </c>
      <c r="O692" t="n">
        <v>1</v>
      </c>
      <c r="P692" t="n">
        <v>0</v>
      </c>
      <c r="Q692" t="n">
        <v>2</v>
      </c>
      <c r="R692" s="2" t="inlineStr">
        <is>
          <t>Lunglav
Fläcknycklar</t>
        </is>
      </c>
      <c r="S692">
        <f>HYPERLINK("https://klasma.github.io/Logging_2260/artfynd/A 47799-2022 artfynd.xlsx", "A 47799-2022")</f>
        <v/>
      </c>
      <c r="T692">
        <f>HYPERLINK("https://klasma.github.io/Logging_2260/kartor/A 47799-2022 karta.png", "A 47799-2022")</f>
        <v/>
      </c>
      <c r="V692">
        <f>HYPERLINK("https://klasma.github.io/Logging_2260/klagomål/A 47799-2022 FSC-klagomål.docx", "A 47799-2022")</f>
        <v/>
      </c>
      <c r="W692">
        <f>HYPERLINK("https://klasma.github.io/Logging_2260/klagomålsmail/A 47799-2022 FSC-klagomål mail.docx", "A 47799-2022")</f>
        <v/>
      </c>
      <c r="X692">
        <f>HYPERLINK("https://klasma.github.io/Logging_2260/tillsyn/A 47799-2022 tillsynsbegäran.docx", "A 47799-2022")</f>
        <v/>
      </c>
      <c r="Y692">
        <f>HYPERLINK("https://klasma.github.io/Logging_2260/tillsynsmail/A 47799-2022 tillsynsbegäran mail.docx", "A 47799-2022")</f>
        <v/>
      </c>
    </row>
    <row r="693" ht="15" customHeight="1">
      <c r="A693" t="inlineStr">
        <is>
          <t>A 39329-2021</t>
        </is>
      </c>
      <c r="B693" s="1" t="n">
        <v>44413.9345949074</v>
      </c>
      <c r="C693" s="1" t="n">
        <v>46185</v>
      </c>
      <c r="D693" t="inlineStr">
        <is>
          <t>VÄSTERNORRLANDS LÄN</t>
        </is>
      </c>
      <c r="E693" t="inlineStr">
        <is>
          <t>SOLLEFTEÅ</t>
        </is>
      </c>
      <c r="F693" t="inlineStr">
        <is>
          <t>SCA</t>
        </is>
      </c>
      <c r="G693" t="n">
        <v>2.7</v>
      </c>
      <c r="H693" t="n">
        <v>0</v>
      </c>
      <c r="I693" t="n">
        <v>1</v>
      </c>
      <c r="J693" t="n">
        <v>1</v>
      </c>
      <c r="K693" t="n">
        <v>0</v>
      </c>
      <c r="L693" t="n">
        <v>0</v>
      </c>
      <c r="M693" t="n">
        <v>0</v>
      </c>
      <c r="N693" t="n">
        <v>0</v>
      </c>
      <c r="O693" t="n">
        <v>1</v>
      </c>
      <c r="P693" t="n">
        <v>0</v>
      </c>
      <c r="Q693" t="n">
        <v>2</v>
      </c>
      <c r="R693" s="2" t="inlineStr">
        <is>
          <t>Mörk kolflarnlav
Bollvitmossa</t>
        </is>
      </c>
      <c r="S693">
        <f>HYPERLINK("https://klasma.github.io/Logging_2283/artfynd/A 39329-2021 artfynd.xlsx", "A 39329-2021")</f>
        <v/>
      </c>
      <c r="T693">
        <f>HYPERLINK("https://klasma.github.io/Logging_2283/kartor/A 39329-2021 karta.png", "A 39329-2021")</f>
        <v/>
      </c>
      <c r="V693">
        <f>HYPERLINK("https://klasma.github.io/Logging_2283/klagomål/A 39329-2021 FSC-klagomål.docx", "A 39329-2021")</f>
        <v/>
      </c>
      <c r="W693">
        <f>HYPERLINK("https://klasma.github.io/Logging_2283/klagomålsmail/A 39329-2021 FSC-klagomål mail.docx", "A 39329-2021")</f>
        <v/>
      </c>
      <c r="X693">
        <f>HYPERLINK("https://klasma.github.io/Logging_2283/tillsyn/A 39329-2021 tillsynsbegäran.docx", "A 39329-2021")</f>
        <v/>
      </c>
      <c r="Y693">
        <f>HYPERLINK("https://klasma.github.io/Logging_2283/tillsynsmail/A 39329-2021 tillsynsbegäran mail.docx", "A 39329-2021")</f>
        <v/>
      </c>
    </row>
    <row r="694" ht="15" customHeight="1">
      <c r="A694" t="inlineStr">
        <is>
          <t>A 41184-2022</t>
        </is>
      </c>
      <c r="B694" s="1" t="n">
        <v>44825</v>
      </c>
      <c r="C694" s="1" t="n">
        <v>46185</v>
      </c>
      <c r="D694" t="inlineStr">
        <is>
          <t>VÄSTERNORRLANDS LÄN</t>
        </is>
      </c>
      <c r="E694" t="inlineStr">
        <is>
          <t>ÖRNSKÖLDSVIK</t>
        </is>
      </c>
      <c r="F694" t="inlineStr">
        <is>
          <t>SCA</t>
        </is>
      </c>
      <c r="G694" t="n">
        <v>5.5</v>
      </c>
      <c r="H694" t="n">
        <v>0</v>
      </c>
      <c r="I694" t="n">
        <v>0</v>
      </c>
      <c r="J694" t="n">
        <v>2</v>
      </c>
      <c r="K694" t="n">
        <v>0</v>
      </c>
      <c r="L694" t="n">
        <v>0</v>
      </c>
      <c r="M694" t="n">
        <v>0</v>
      </c>
      <c r="N694" t="n">
        <v>0</v>
      </c>
      <c r="O694" t="n">
        <v>2</v>
      </c>
      <c r="P694" t="n">
        <v>0</v>
      </c>
      <c r="Q694" t="n">
        <v>2</v>
      </c>
      <c r="R694" s="2" t="inlineStr">
        <is>
          <t>Motaggsvamp
Mörk kolflarnlav</t>
        </is>
      </c>
      <c r="S694">
        <f>HYPERLINK("https://klasma.github.io/Logging_2284/artfynd/A 41184-2022 artfynd.xlsx", "A 41184-2022")</f>
        <v/>
      </c>
      <c r="T694">
        <f>HYPERLINK("https://klasma.github.io/Logging_2284/kartor/A 41184-2022 karta.png", "A 41184-2022")</f>
        <v/>
      </c>
      <c r="V694">
        <f>HYPERLINK("https://klasma.github.io/Logging_2284/klagomål/A 41184-2022 FSC-klagomål.docx", "A 41184-2022")</f>
        <v/>
      </c>
      <c r="W694">
        <f>HYPERLINK("https://klasma.github.io/Logging_2284/klagomålsmail/A 41184-2022 FSC-klagomål mail.docx", "A 41184-2022")</f>
        <v/>
      </c>
      <c r="X694">
        <f>HYPERLINK("https://klasma.github.io/Logging_2284/tillsyn/A 41184-2022 tillsynsbegäran.docx", "A 41184-2022")</f>
        <v/>
      </c>
      <c r="Y694">
        <f>HYPERLINK("https://klasma.github.io/Logging_2284/tillsynsmail/A 41184-2022 tillsynsbegäran mail.docx", "A 41184-2022")</f>
        <v/>
      </c>
    </row>
    <row r="695" ht="15" customHeight="1">
      <c r="A695" t="inlineStr">
        <is>
          <t>A 49289-2022</t>
        </is>
      </c>
      <c r="B695" s="1" t="n">
        <v>44861</v>
      </c>
      <c r="C695" s="1" t="n">
        <v>46185</v>
      </c>
      <c r="D695" t="inlineStr">
        <is>
          <t>VÄSTERNORRLANDS LÄN</t>
        </is>
      </c>
      <c r="E695" t="inlineStr">
        <is>
          <t>ÖRNSKÖLDSVIK</t>
        </is>
      </c>
      <c r="F695" t="inlineStr">
        <is>
          <t>Holmen skog AB</t>
        </is>
      </c>
      <c r="G695" t="n">
        <v>8.4</v>
      </c>
      <c r="H695" t="n">
        <v>0</v>
      </c>
      <c r="I695" t="n">
        <v>1</v>
      </c>
      <c r="J695" t="n">
        <v>1</v>
      </c>
      <c r="K695" t="n">
        <v>0</v>
      </c>
      <c r="L695" t="n">
        <v>0</v>
      </c>
      <c r="M695" t="n">
        <v>0</v>
      </c>
      <c r="N695" t="n">
        <v>0</v>
      </c>
      <c r="O695" t="n">
        <v>1</v>
      </c>
      <c r="P695" t="n">
        <v>0</v>
      </c>
      <c r="Q695" t="n">
        <v>2</v>
      </c>
      <c r="R695" s="2" t="inlineStr">
        <is>
          <t>Lunglav
Dropptaggsvamp</t>
        </is>
      </c>
      <c r="S695">
        <f>HYPERLINK("https://klasma.github.io/Logging_2284/artfynd/A 49289-2022 artfynd.xlsx", "A 49289-2022")</f>
        <v/>
      </c>
      <c r="T695">
        <f>HYPERLINK("https://klasma.github.io/Logging_2284/kartor/A 49289-2022 karta.png", "A 49289-2022")</f>
        <v/>
      </c>
      <c r="V695">
        <f>HYPERLINK("https://klasma.github.io/Logging_2284/klagomål/A 49289-2022 FSC-klagomål.docx", "A 49289-2022")</f>
        <v/>
      </c>
      <c r="W695">
        <f>HYPERLINK("https://klasma.github.io/Logging_2284/klagomålsmail/A 49289-2022 FSC-klagomål mail.docx", "A 49289-2022")</f>
        <v/>
      </c>
      <c r="X695">
        <f>HYPERLINK("https://klasma.github.io/Logging_2284/tillsyn/A 49289-2022 tillsynsbegäran.docx", "A 49289-2022")</f>
        <v/>
      </c>
      <c r="Y695">
        <f>HYPERLINK("https://klasma.github.io/Logging_2284/tillsynsmail/A 49289-2022 tillsynsbegäran mail.docx", "A 49289-2022")</f>
        <v/>
      </c>
    </row>
    <row r="696" ht="15" customHeight="1">
      <c r="A696" t="inlineStr">
        <is>
          <t>A 40965-2021</t>
        </is>
      </c>
      <c r="B696" s="1" t="n">
        <v>44421.57918981482</v>
      </c>
      <c r="C696" s="1" t="n">
        <v>46185</v>
      </c>
      <c r="D696" t="inlineStr">
        <is>
          <t>VÄSTERNORRLANDS LÄN</t>
        </is>
      </c>
      <c r="E696" t="inlineStr">
        <is>
          <t>ÅNGE</t>
        </is>
      </c>
      <c r="F696" t="inlineStr">
        <is>
          <t>Sveaskog</t>
        </is>
      </c>
      <c r="G696" t="n">
        <v>5.4</v>
      </c>
      <c r="H696" t="n">
        <v>1</v>
      </c>
      <c r="I696" t="n">
        <v>1</v>
      </c>
      <c r="J696" t="n">
        <v>1</v>
      </c>
      <c r="K696" t="n">
        <v>0</v>
      </c>
      <c r="L696" t="n">
        <v>0</v>
      </c>
      <c r="M696" t="n">
        <v>0</v>
      </c>
      <c r="N696" t="n">
        <v>0</v>
      </c>
      <c r="O696" t="n">
        <v>1</v>
      </c>
      <c r="P696" t="n">
        <v>0</v>
      </c>
      <c r="Q696" t="n">
        <v>2</v>
      </c>
      <c r="R696" s="2" t="inlineStr">
        <is>
          <t>Skogsfru
Skogsbräsma</t>
        </is>
      </c>
      <c r="S696">
        <f>HYPERLINK("https://klasma.github.io/Logging_2260/artfynd/A 40965-2021 artfynd.xlsx", "A 40965-2021")</f>
        <v/>
      </c>
      <c r="T696">
        <f>HYPERLINK("https://klasma.github.io/Logging_2260/kartor/A 40965-2021 karta.png", "A 40965-2021")</f>
        <v/>
      </c>
      <c r="V696">
        <f>HYPERLINK("https://klasma.github.io/Logging_2260/klagomål/A 40965-2021 FSC-klagomål.docx", "A 40965-2021")</f>
        <v/>
      </c>
      <c r="W696">
        <f>HYPERLINK("https://klasma.github.io/Logging_2260/klagomålsmail/A 40965-2021 FSC-klagomål mail.docx", "A 40965-2021")</f>
        <v/>
      </c>
      <c r="X696">
        <f>HYPERLINK("https://klasma.github.io/Logging_2260/tillsyn/A 40965-2021 tillsynsbegäran.docx", "A 40965-2021")</f>
        <v/>
      </c>
      <c r="Y696">
        <f>HYPERLINK("https://klasma.github.io/Logging_2260/tillsynsmail/A 40965-2021 tillsynsbegäran mail.docx", "A 40965-2021")</f>
        <v/>
      </c>
    </row>
    <row r="697" ht="15" customHeight="1">
      <c r="A697" t="inlineStr">
        <is>
          <t>A 35307-2022</t>
        </is>
      </c>
      <c r="B697" s="1" t="n">
        <v>44798.44170138889</v>
      </c>
      <c r="C697" s="1" t="n">
        <v>46185</v>
      </c>
      <c r="D697" t="inlineStr">
        <is>
          <t>VÄSTERNORRLANDS LÄN</t>
        </is>
      </c>
      <c r="E697" t="inlineStr">
        <is>
          <t>SUNDSVALL</t>
        </is>
      </c>
      <c r="F697" t="inlineStr">
        <is>
          <t>Holmen skog AB</t>
        </is>
      </c>
      <c r="G697" t="n">
        <v>13.4</v>
      </c>
      <c r="H697" t="n">
        <v>0</v>
      </c>
      <c r="I697" t="n">
        <v>1</v>
      </c>
      <c r="J697" t="n">
        <v>1</v>
      </c>
      <c r="K697" t="n">
        <v>0</v>
      </c>
      <c r="L697" t="n">
        <v>0</v>
      </c>
      <c r="M697" t="n">
        <v>0</v>
      </c>
      <c r="N697" t="n">
        <v>0</v>
      </c>
      <c r="O697" t="n">
        <v>1</v>
      </c>
      <c r="P697" t="n">
        <v>0</v>
      </c>
      <c r="Q697" t="n">
        <v>2</v>
      </c>
      <c r="R697" s="2" t="inlineStr">
        <is>
          <t>Månlåsbräken
Ögonpyrola</t>
        </is>
      </c>
      <c r="S697">
        <f>HYPERLINK("https://klasma.github.io/Logging_2281/artfynd/A 35307-2022 artfynd.xlsx", "A 35307-2022")</f>
        <v/>
      </c>
      <c r="T697">
        <f>HYPERLINK("https://klasma.github.io/Logging_2281/kartor/A 35307-2022 karta.png", "A 35307-2022")</f>
        <v/>
      </c>
      <c r="V697">
        <f>HYPERLINK("https://klasma.github.io/Logging_2281/klagomål/A 35307-2022 FSC-klagomål.docx", "A 35307-2022")</f>
        <v/>
      </c>
      <c r="W697">
        <f>HYPERLINK("https://klasma.github.io/Logging_2281/klagomålsmail/A 35307-2022 FSC-klagomål mail.docx", "A 35307-2022")</f>
        <v/>
      </c>
      <c r="X697">
        <f>HYPERLINK("https://klasma.github.io/Logging_2281/tillsyn/A 35307-2022 tillsynsbegäran.docx", "A 35307-2022")</f>
        <v/>
      </c>
      <c r="Y697">
        <f>HYPERLINK("https://klasma.github.io/Logging_2281/tillsynsmail/A 35307-2022 tillsynsbegäran mail.docx", "A 35307-2022")</f>
        <v/>
      </c>
    </row>
    <row r="698" ht="15" customHeight="1">
      <c r="A698" t="inlineStr">
        <is>
          <t>A 23222-2022</t>
        </is>
      </c>
      <c r="B698" s="1" t="n">
        <v>44719</v>
      </c>
      <c r="C698" s="1" t="n">
        <v>46185</v>
      </c>
      <c r="D698" t="inlineStr">
        <is>
          <t>VÄSTERNORRLANDS LÄN</t>
        </is>
      </c>
      <c r="E698" t="inlineStr">
        <is>
          <t>TIMRÅ</t>
        </is>
      </c>
      <c r="F698" t="inlineStr">
        <is>
          <t>SCA</t>
        </is>
      </c>
      <c r="G698" t="n">
        <v>4</v>
      </c>
      <c r="H698" t="n">
        <v>0</v>
      </c>
      <c r="I698" t="n">
        <v>0</v>
      </c>
      <c r="J698" t="n">
        <v>2</v>
      </c>
      <c r="K698" t="n">
        <v>0</v>
      </c>
      <c r="L698" t="n">
        <v>0</v>
      </c>
      <c r="M698" t="n">
        <v>0</v>
      </c>
      <c r="N698" t="n">
        <v>0</v>
      </c>
      <c r="O698" t="n">
        <v>2</v>
      </c>
      <c r="P698" t="n">
        <v>0</v>
      </c>
      <c r="Q698" t="n">
        <v>2</v>
      </c>
      <c r="R698" s="2" t="inlineStr">
        <is>
          <t>Gammelgransskål
Garnlav</t>
        </is>
      </c>
      <c r="S698">
        <f>HYPERLINK("https://klasma.github.io/Logging_2262/artfynd/A 23222-2022 artfynd.xlsx", "A 23222-2022")</f>
        <v/>
      </c>
      <c r="T698">
        <f>HYPERLINK("https://klasma.github.io/Logging_2262/kartor/A 23222-2022 karta.png", "A 23222-2022")</f>
        <v/>
      </c>
      <c r="V698">
        <f>HYPERLINK("https://klasma.github.io/Logging_2262/klagomål/A 23222-2022 FSC-klagomål.docx", "A 23222-2022")</f>
        <v/>
      </c>
      <c r="W698">
        <f>HYPERLINK("https://klasma.github.io/Logging_2262/klagomålsmail/A 23222-2022 FSC-klagomål mail.docx", "A 23222-2022")</f>
        <v/>
      </c>
      <c r="X698">
        <f>HYPERLINK("https://klasma.github.io/Logging_2262/tillsyn/A 23222-2022 tillsynsbegäran.docx", "A 23222-2022")</f>
        <v/>
      </c>
      <c r="Y698">
        <f>HYPERLINK("https://klasma.github.io/Logging_2262/tillsynsmail/A 23222-2022 tillsynsbegäran mail.docx", "A 23222-2022")</f>
        <v/>
      </c>
    </row>
    <row r="699" ht="15" customHeight="1">
      <c r="A699" t="inlineStr">
        <is>
          <t>A 8234-2022</t>
        </is>
      </c>
      <c r="B699" s="1" t="n">
        <v>44609</v>
      </c>
      <c r="C699" s="1" t="n">
        <v>46185</v>
      </c>
      <c r="D699" t="inlineStr">
        <is>
          <t>VÄSTERNORRLANDS LÄN</t>
        </is>
      </c>
      <c r="E699" t="inlineStr">
        <is>
          <t>ÅNGE</t>
        </is>
      </c>
      <c r="F699" t="inlineStr">
        <is>
          <t>SCA</t>
        </is>
      </c>
      <c r="G699" t="n">
        <v>2.3</v>
      </c>
      <c r="H699" t="n">
        <v>1</v>
      </c>
      <c r="I699" t="n">
        <v>0</v>
      </c>
      <c r="J699" t="n">
        <v>1</v>
      </c>
      <c r="K699" t="n">
        <v>0</v>
      </c>
      <c r="L699" t="n">
        <v>0</v>
      </c>
      <c r="M699" t="n">
        <v>0</v>
      </c>
      <c r="N699" t="n">
        <v>0</v>
      </c>
      <c r="O699" t="n">
        <v>1</v>
      </c>
      <c r="P699" t="n">
        <v>0</v>
      </c>
      <c r="Q699" t="n">
        <v>2</v>
      </c>
      <c r="R699" s="2" t="inlineStr">
        <is>
          <t>Garnlav
Revlummer</t>
        </is>
      </c>
      <c r="S699">
        <f>HYPERLINK("https://klasma.github.io/Logging_2260/artfynd/A 8234-2022 artfynd.xlsx", "A 8234-2022")</f>
        <v/>
      </c>
      <c r="T699">
        <f>HYPERLINK("https://klasma.github.io/Logging_2260/kartor/A 8234-2022 karta.png", "A 8234-2022")</f>
        <v/>
      </c>
      <c r="V699">
        <f>HYPERLINK("https://klasma.github.io/Logging_2260/klagomål/A 8234-2022 FSC-klagomål.docx", "A 8234-2022")</f>
        <v/>
      </c>
      <c r="W699">
        <f>HYPERLINK("https://klasma.github.io/Logging_2260/klagomålsmail/A 8234-2022 FSC-klagomål mail.docx", "A 8234-2022")</f>
        <v/>
      </c>
      <c r="X699">
        <f>HYPERLINK("https://klasma.github.io/Logging_2260/tillsyn/A 8234-2022 tillsynsbegäran.docx", "A 8234-2022")</f>
        <v/>
      </c>
      <c r="Y699">
        <f>HYPERLINK("https://klasma.github.io/Logging_2260/tillsynsmail/A 8234-2022 tillsynsbegäran mail.docx", "A 8234-2022")</f>
        <v/>
      </c>
    </row>
    <row r="700" ht="15" customHeight="1">
      <c r="A700" t="inlineStr">
        <is>
          <t>A 51024-2021</t>
        </is>
      </c>
      <c r="B700" s="1" t="n">
        <v>44460.94056712963</v>
      </c>
      <c r="C700" s="1" t="n">
        <v>46185</v>
      </c>
      <c r="D700" t="inlineStr">
        <is>
          <t>VÄSTERNORRLANDS LÄN</t>
        </is>
      </c>
      <c r="E700" t="inlineStr">
        <is>
          <t>SOLLEFTEÅ</t>
        </is>
      </c>
      <c r="F700" t="inlineStr">
        <is>
          <t>SCA</t>
        </is>
      </c>
      <c r="G700" t="n">
        <v>7.1</v>
      </c>
      <c r="H700" t="n">
        <v>0</v>
      </c>
      <c r="I700" t="n">
        <v>0</v>
      </c>
      <c r="J700" t="n">
        <v>2</v>
      </c>
      <c r="K700" t="n">
        <v>0</v>
      </c>
      <c r="L700" t="n">
        <v>0</v>
      </c>
      <c r="M700" t="n">
        <v>0</v>
      </c>
      <c r="N700" t="n">
        <v>0</v>
      </c>
      <c r="O700" t="n">
        <v>2</v>
      </c>
      <c r="P700" t="n">
        <v>0</v>
      </c>
      <c r="Q700" t="n">
        <v>2</v>
      </c>
      <c r="R700" s="2" t="inlineStr">
        <is>
          <t>Tallticka
Ullticka</t>
        </is>
      </c>
      <c r="S700">
        <f>HYPERLINK("https://klasma.github.io/Logging_2283/artfynd/A 51024-2021 artfynd.xlsx", "A 51024-2021")</f>
        <v/>
      </c>
      <c r="T700">
        <f>HYPERLINK("https://klasma.github.io/Logging_2283/kartor/A 51024-2021 karta.png", "A 51024-2021")</f>
        <v/>
      </c>
      <c r="V700">
        <f>HYPERLINK("https://klasma.github.io/Logging_2283/klagomål/A 51024-2021 FSC-klagomål.docx", "A 51024-2021")</f>
        <v/>
      </c>
      <c r="W700">
        <f>HYPERLINK("https://klasma.github.io/Logging_2283/klagomålsmail/A 51024-2021 FSC-klagomål mail.docx", "A 51024-2021")</f>
        <v/>
      </c>
      <c r="X700">
        <f>HYPERLINK("https://klasma.github.io/Logging_2283/tillsyn/A 51024-2021 tillsynsbegäran.docx", "A 51024-2021")</f>
        <v/>
      </c>
      <c r="Y700">
        <f>HYPERLINK("https://klasma.github.io/Logging_2283/tillsynsmail/A 51024-2021 tillsynsbegäran mail.docx", "A 51024-2021")</f>
        <v/>
      </c>
    </row>
    <row r="701" ht="15" customHeight="1">
      <c r="A701" t="inlineStr">
        <is>
          <t>A 13658-2022</t>
        </is>
      </c>
      <c r="B701" s="1" t="n">
        <v>44648</v>
      </c>
      <c r="C701" s="1" t="n">
        <v>46185</v>
      </c>
      <c r="D701" t="inlineStr">
        <is>
          <t>VÄSTERNORRLANDS LÄN</t>
        </is>
      </c>
      <c r="E701" t="inlineStr">
        <is>
          <t>SOLLEFTEÅ</t>
        </is>
      </c>
      <c r="G701" t="n">
        <v>7.4</v>
      </c>
      <c r="H701" t="n">
        <v>2</v>
      </c>
      <c r="I701" t="n">
        <v>0</v>
      </c>
      <c r="J701" t="n">
        <v>1</v>
      </c>
      <c r="K701" t="n">
        <v>0</v>
      </c>
      <c r="L701" t="n">
        <v>0</v>
      </c>
      <c r="M701" t="n">
        <v>0</v>
      </c>
      <c r="N701" t="n">
        <v>0</v>
      </c>
      <c r="O701" t="n">
        <v>1</v>
      </c>
      <c r="P701" t="n">
        <v>0</v>
      </c>
      <c r="Q701" t="n">
        <v>2</v>
      </c>
      <c r="R701" s="2" t="inlineStr">
        <is>
          <t>Nordfladdermus
Vattenfladdermus</t>
        </is>
      </c>
      <c r="S701">
        <f>HYPERLINK("https://klasma.github.io/Logging_2283/artfynd/A 13658-2022 artfynd.xlsx", "A 13658-2022")</f>
        <v/>
      </c>
      <c r="T701">
        <f>HYPERLINK("https://klasma.github.io/Logging_2283/kartor/A 13658-2022 karta.png", "A 13658-2022")</f>
        <v/>
      </c>
      <c r="V701">
        <f>HYPERLINK("https://klasma.github.io/Logging_2283/klagomål/A 13658-2022 FSC-klagomål.docx", "A 13658-2022")</f>
        <v/>
      </c>
      <c r="W701">
        <f>HYPERLINK("https://klasma.github.io/Logging_2283/klagomålsmail/A 13658-2022 FSC-klagomål mail.docx", "A 13658-2022")</f>
        <v/>
      </c>
      <c r="X701">
        <f>HYPERLINK("https://klasma.github.io/Logging_2283/tillsyn/A 13658-2022 tillsynsbegäran.docx", "A 13658-2022")</f>
        <v/>
      </c>
      <c r="Y701">
        <f>HYPERLINK("https://klasma.github.io/Logging_2283/tillsynsmail/A 13658-2022 tillsynsbegäran mail.docx", "A 13658-2022")</f>
        <v/>
      </c>
    </row>
    <row r="702" ht="15" customHeight="1">
      <c r="A702" t="inlineStr">
        <is>
          <t>A 68863-2021</t>
        </is>
      </c>
      <c r="B702" s="1" t="n">
        <v>44530</v>
      </c>
      <c r="C702" s="1" t="n">
        <v>46185</v>
      </c>
      <c r="D702" t="inlineStr">
        <is>
          <t>VÄSTERNORRLANDS LÄN</t>
        </is>
      </c>
      <c r="E702" t="inlineStr">
        <is>
          <t>SOLLEFTEÅ</t>
        </is>
      </c>
      <c r="F702" t="inlineStr">
        <is>
          <t>Holmen skog AB</t>
        </is>
      </c>
      <c r="G702" t="n">
        <v>16.8</v>
      </c>
      <c r="H702" t="n">
        <v>2</v>
      </c>
      <c r="I702" t="n">
        <v>0</v>
      </c>
      <c r="J702" t="n">
        <v>1</v>
      </c>
      <c r="K702" t="n">
        <v>0</v>
      </c>
      <c r="L702" t="n">
        <v>0</v>
      </c>
      <c r="M702" t="n">
        <v>0</v>
      </c>
      <c r="N702" t="n">
        <v>0</v>
      </c>
      <c r="O702" t="n">
        <v>1</v>
      </c>
      <c r="P702" t="n">
        <v>0</v>
      </c>
      <c r="Q702" t="n">
        <v>2</v>
      </c>
      <c r="R702" s="2" t="inlineStr">
        <is>
          <t>Tretåig hackspett
Lavskrika</t>
        </is>
      </c>
      <c r="S702">
        <f>HYPERLINK("https://klasma.github.io/Logging_2283/artfynd/A 68863-2021 artfynd.xlsx", "A 68863-2021")</f>
        <v/>
      </c>
      <c r="T702">
        <f>HYPERLINK("https://klasma.github.io/Logging_2283/kartor/A 68863-2021 karta.png", "A 68863-2021")</f>
        <v/>
      </c>
      <c r="V702">
        <f>HYPERLINK("https://klasma.github.io/Logging_2283/klagomål/A 68863-2021 FSC-klagomål.docx", "A 68863-2021")</f>
        <v/>
      </c>
      <c r="W702">
        <f>HYPERLINK("https://klasma.github.io/Logging_2283/klagomålsmail/A 68863-2021 FSC-klagomål mail.docx", "A 68863-2021")</f>
        <v/>
      </c>
      <c r="X702">
        <f>HYPERLINK("https://klasma.github.io/Logging_2283/tillsyn/A 68863-2021 tillsynsbegäran.docx", "A 68863-2021")</f>
        <v/>
      </c>
      <c r="Y702">
        <f>HYPERLINK("https://klasma.github.io/Logging_2283/tillsynsmail/A 68863-2021 tillsynsbegäran mail.docx", "A 68863-2021")</f>
        <v/>
      </c>
      <c r="Z702">
        <f>HYPERLINK("https://klasma.github.io/Logging_2283/fåglar/A 68863-2021 prioriterade fågelarter.docx", "A 68863-2021")</f>
        <v/>
      </c>
    </row>
    <row r="703" ht="15" customHeight="1">
      <c r="A703" t="inlineStr">
        <is>
          <t>A 30246-2022</t>
        </is>
      </c>
      <c r="B703" s="1" t="n">
        <v>44757.94475694445</v>
      </c>
      <c r="C703" s="1" t="n">
        <v>46185</v>
      </c>
      <c r="D703" t="inlineStr">
        <is>
          <t>VÄSTERNORRLANDS LÄN</t>
        </is>
      </c>
      <c r="E703" t="inlineStr">
        <is>
          <t>TIMRÅ</t>
        </is>
      </c>
      <c r="F703" t="inlineStr">
        <is>
          <t>SCA</t>
        </is>
      </c>
      <c r="G703" t="n">
        <v>0.8</v>
      </c>
      <c r="H703" t="n">
        <v>1</v>
      </c>
      <c r="I703" t="n">
        <v>0</v>
      </c>
      <c r="J703" t="n">
        <v>1</v>
      </c>
      <c r="K703" t="n">
        <v>0</v>
      </c>
      <c r="L703" t="n">
        <v>0</v>
      </c>
      <c r="M703" t="n">
        <v>0</v>
      </c>
      <c r="N703" t="n">
        <v>0</v>
      </c>
      <c r="O703" t="n">
        <v>1</v>
      </c>
      <c r="P703" t="n">
        <v>0</v>
      </c>
      <c r="Q703" t="n">
        <v>2</v>
      </c>
      <c r="R703" s="2" t="inlineStr">
        <is>
          <t>Garnlav
Vanlig padda</t>
        </is>
      </c>
      <c r="S703">
        <f>HYPERLINK("https://klasma.github.io/Logging_2262/artfynd/A 30246-2022 artfynd.xlsx", "A 30246-2022")</f>
        <v/>
      </c>
      <c r="T703">
        <f>HYPERLINK("https://klasma.github.io/Logging_2262/kartor/A 30246-2022 karta.png", "A 30246-2022")</f>
        <v/>
      </c>
      <c r="V703">
        <f>HYPERLINK("https://klasma.github.io/Logging_2262/klagomål/A 30246-2022 FSC-klagomål.docx", "A 30246-2022")</f>
        <v/>
      </c>
      <c r="W703">
        <f>HYPERLINK("https://klasma.github.io/Logging_2262/klagomålsmail/A 30246-2022 FSC-klagomål mail.docx", "A 30246-2022")</f>
        <v/>
      </c>
      <c r="X703">
        <f>HYPERLINK("https://klasma.github.io/Logging_2262/tillsyn/A 30246-2022 tillsynsbegäran.docx", "A 30246-2022")</f>
        <v/>
      </c>
      <c r="Y703">
        <f>HYPERLINK("https://klasma.github.io/Logging_2262/tillsynsmail/A 30246-2022 tillsynsbegäran mail.docx", "A 30246-2022")</f>
        <v/>
      </c>
    </row>
    <row r="704" ht="15" customHeight="1">
      <c r="A704" t="inlineStr">
        <is>
          <t>A 45119-2022</t>
        </is>
      </c>
      <c r="B704" s="1" t="n">
        <v>44843</v>
      </c>
      <c r="C704" s="1" t="n">
        <v>46185</v>
      </c>
      <c r="D704" t="inlineStr">
        <is>
          <t>VÄSTERNORRLANDS LÄN</t>
        </is>
      </c>
      <c r="E704" t="inlineStr">
        <is>
          <t>SOLLEFTEÅ</t>
        </is>
      </c>
      <c r="F704" t="inlineStr">
        <is>
          <t>SCA</t>
        </is>
      </c>
      <c r="G704" t="n">
        <v>1.3</v>
      </c>
      <c r="H704" t="n">
        <v>1</v>
      </c>
      <c r="I704" t="n">
        <v>0</v>
      </c>
      <c r="J704" t="n">
        <v>1</v>
      </c>
      <c r="K704" t="n">
        <v>1</v>
      </c>
      <c r="L704" t="n">
        <v>0</v>
      </c>
      <c r="M704" t="n">
        <v>0</v>
      </c>
      <c r="N704" t="n">
        <v>0</v>
      </c>
      <c r="O704" t="n">
        <v>2</v>
      </c>
      <c r="P704" t="n">
        <v>1</v>
      </c>
      <c r="Q704" t="n">
        <v>2</v>
      </c>
      <c r="R704" s="2" t="inlineStr">
        <is>
          <t>Knärot
Garnlav</t>
        </is>
      </c>
      <c r="S704">
        <f>HYPERLINK("https://klasma.github.io/Logging_2283/artfynd/A 45119-2022 artfynd.xlsx", "A 45119-2022")</f>
        <v/>
      </c>
      <c r="T704">
        <f>HYPERLINK("https://klasma.github.io/Logging_2283/kartor/A 45119-2022 karta.png", "A 45119-2022")</f>
        <v/>
      </c>
      <c r="U704">
        <f>HYPERLINK("https://klasma.github.io/Logging_2283/knärot/A 45119-2022 karta knärot.png", "A 45119-2022")</f>
        <v/>
      </c>
      <c r="V704">
        <f>HYPERLINK("https://klasma.github.io/Logging_2283/klagomål/A 45119-2022 FSC-klagomål.docx", "A 45119-2022")</f>
        <v/>
      </c>
      <c r="W704">
        <f>HYPERLINK("https://klasma.github.io/Logging_2283/klagomålsmail/A 45119-2022 FSC-klagomål mail.docx", "A 45119-2022")</f>
        <v/>
      </c>
      <c r="X704">
        <f>HYPERLINK("https://klasma.github.io/Logging_2283/tillsyn/A 45119-2022 tillsynsbegäran.docx", "A 45119-2022")</f>
        <v/>
      </c>
      <c r="Y704">
        <f>HYPERLINK("https://klasma.github.io/Logging_2283/tillsynsmail/A 45119-2022 tillsynsbegäran mail.docx", "A 45119-2022")</f>
        <v/>
      </c>
    </row>
    <row r="705" ht="15" customHeight="1">
      <c r="A705" t="inlineStr">
        <is>
          <t>A 13309-2022</t>
        </is>
      </c>
      <c r="B705" s="1" t="n">
        <v>44644.93670138889</v>
      </c>
      <c r="C705" s="1" t="n">
        <v>46185</v>
      </c>
      <c r="D705" t="inlineStr">
        <is>
          <t>VÄSTERNORRLANDS LÄN</t>
        </is>
      </c>
      <c r="E705" t="inlineStr">
        <is>
          <t>SOLLEFTEÅ</t>
        </is>
      </c>
      <c r="F705" t="inlineStr">
        <is>
          <t>SCA</t>
        </is>
      </c>
      <c r="G705" t="n">
        <v>2.3</v>
      </c>
      <c r="H705" t="n">
        <v>0</v>
      </c>
      <c r="I705" t="n">
        <v>0</v>
      </c>
      <c r="J705" t="n">
        <v>1</v>
      </c>
      <c r="K705" t="n">
        <v>1</v>
      </c>
      <c r="L705" t="n">
        <v>0</v>
      </c>
      <c r="M705" t="n">
        <v>0</v>
      </c>
      <c r="N705" t="n">
        <v>0</v>
      </c>
      <c r="O705" t="n">
        <v>2</v>
      </c>
      <c r="P705" t="n">
        <v>1</v>
      </c>
      <c r="Q705" t="n">
        <v>2</v>
      </c>
      <c r="R705" s="2" t="inlineStr">
        <is>
          <t>Rynkskinn
Koralltaggsvamp</t>
        </is>
      </c>
      <c r="S705">
        <f>HYPERLINK("https://klasma.github.io/Logging_2283/artfynd/A 13309-2022 artfynd.xlsx", "A 13309-2022")</f>
        <v/>
      </c>
      <c r="T705">
        <f>HYPERLINK("https://klasma.github.io/Logging_2283/kartor/A 13309-2022 karta.png", "A 13309-2022")</f>
        <v/>
      </c>
      <c r="V705">
        <f>HYPERLINK("https://klasma.github.io/Logging_2283/klagomål/A 13309-2022 FSC-klagomål.docx", "A 13309-2022")</f>
        <v/>
      </c>
      <c r="W705">
        <f>HYPERLINK("https://klasma.github.io/Logging_2283/klagomålsmail/A 13309-2022 FSC-klagomål mail.docx", "A 13309-2022")</f>
        <v/>
      </c>
      <c r="X705">
        <f>HYPERLINK("https://klasma.github.io/Logging_2283/tillsyn/A 13309-2022 tillsynsbegäran.docx", "A 13309-2022")</f>
        <v/>
      </c>
      <c r="Y705">
        <f>HYPERLINK("https://klasma.github.io/Logging_2283/tillsynsmail/A 13309-2022 tillsynsbegäran mail.docx", "A 13309-2022")</f>
        <v/>
      </c>
    </row>
    <row r="706" ht="15" customHeight="1">
      <c r="A706" t="inlineStr">
        <is>
          <t>A 10139-2022</t>
        </is>
      </c>
      <c r="B706" s="1" t="n">
        <v>44621</v>
      </c>
      <c r="C706" s="1" t="n">
        <v>46185</v>
      </c>
      <c r="D706" t="inlineStr">
        <is>
          <t>VÄSTERNORRLANDS LÄN</t>
        </is>
      </c>
      <c r="E706" t="inlineStr">
        <is>
          <t>SOLLEFTEÅ</t>
        </is>
      </c>
      <c r="F706" t="inlineStr">
        <is>
          <t>SCA</t>
        </is>
      </c>
      <c r="G706" t="n">
        <v>6</v>
      </c>
      <c r="H706" t="n">
        <v>1</v>
      </c>
      <c r="I706" t="n">
        <v>0</v>
      </c>
      <c r="J706" t="n">
        <v>1</v>
      </c>
      <c r="K706" t="n">
        <v>1</v>
      </c>
      <c r="L706" t="n">
        <v>0</v>
      </c>
      <c r="M706" t="n">
        <v>0</v>
      </c>
      <c r="N706" t="n">
        <v>0</v>
      </c>
      <c r="O706" t="n">
        <v>2</v>
      </c>
      <c r="P706" t="n">
        <v>1</v>
      </c>
      <c r="Q706" t="n">
        <v>2</v>
      </c>
      <c r="R706" s="2" t="inlineStr">
        <is>
          <t>Knärot
Lunglav</t>
        </is>
      </c>
      <c r="S706">
        <f>HYPERLINK("https://klasma.github.io/Logging_2283/artfynd/A 10139-2022 artfynd.xlsx", "A 10139-2022")</f>
        <v/>
      </c>
      <c r="T706">
        <f>HYPERLINK("https://klasma.github.io/Logging_2283/kartor/A 10139-2022 karta.png", "A 10139-2022")</f>
        <v/>
      </c>
      <c r="U706">
        <f>HYPERLINK("https://klasma.github.io/Logging_2283/knärot/A 10139-2022 karta knärot.png", "A 10139-2022")</f>
        <v/>
      </c>
      <c r="V706">
        <f>HYPERLINK("https://klasma.github.io/Logging_2283/klagomål/A 10139-2022 FSC-klagomål.docx", "A 10139-2022")</f>
        <v/>
      </c>
      <c r="W706">
        <f>HYPERLINK("https://klasma.github.io/Logging_2283/klagomålsmail/A 10139-2022 FSC-klagomål mail.docx", "A 10139-2022")</f>
        <v/>
      </c>
      <c r="X706">
        <f>HYPERLINK("https://klasma.github.io/Logging_2283/tillsyn/A 10139-2022 tillsynsbegäran.docx", "A 10139-2022")</f>
        <v/>
      </c>
      <c r="Y706">
        <f>HYPERLINK("https://klasma.github.io/Logging_2283/tillsynsmail/A 10139-2022 tillsynsbegäran mail.docx", "A 10139-2022")</f>
        <v/>
      </c>
    </row>
    <row r="707" ht="15" customHeight="1">
      <c r="A707" t="inlineStr">
        <is>
          <t>A 57781-2023</t>
        </is>
      </c>
      <c r="B707" s="1" t="n">
        <v>45246</v>
      </c>
      <c r="C707" s="1" t="n">
        <v>46185</v>
      </c>
      <c r="D707" t="inlineStr">
        <is>
          <t>VÄSTERNORRLANDS LÄN</t>
        </is>
      </c>
      <c r="E707" t="inlineStr">
        <is>
          <t>SUNDSVALL</t>
        </is>
      </c>
      <c r="F707" t="inlineStr">
        <is>
          <t>SCA</t>
        </is>
      </c>
      <c r="G707" t="n">
        <v>4.9</v>
      </c>
      <c r="H707" t="n">
        <v>0</v>
      </c>
      <c r="I707" t="n">
        <v>1</v>
      </c>
      <c r="J707" t="n">
        <v>1</v>
      </c>
      <c r="K707" t="n">
        <v>0</v>
      </c>
      <c r="L707" t="n">
        <v>0</v>
      </c>
      <c r="M707" t="n">
        <v>0</v>
      </c>
      <c r="N707" t="n">
        <v>0</v>
      </c>
      <c r="O707" t="n">
        <v>1</v>
      </c>
      <c r="P707" t="n">
        <v>0</v>
      </c>
      <c r="Q707" t="n">
        <v>2</v>
      </c>
      <c r="R707" s="2" t="inlineStr">
        <is>
          <t>Tallticka
Bollvitmossa</t>
        </is>
      </c>
      <c r="S707">
        <f>HYPERLINK("https://klasma.github.io/Logging_2281/artfynd/A 57781-2023 artfynd.xlsx", "A 57781-2023")</f>
        <v/>
      </c>
      <c r="T707">
        <f>HYPERLINK("https://klasma.github.io/Logging_2281/kartor/A 57781-2023 karta.png", "A 57781-2023")</f>
        <v/>
      </c>
      <c r="V707">
        <f>HYPERLINK("https://klasma.github.io/Logging_2281/klagomål/A 57781-2023 FSC-klagomål.docx", "A 57781-2023")</f>
        <v/>
      </c>
      <c r="W707">
        <f>HYPERLINK("https://klasma.github.io/Logging_2281/klagomålsmail/A 57781-2023 FSC-klagomål mail.docx", "A 57781-2023")</f>
        <v/>
      </c>
      <c r="X707">
        <f>HYPERLINK("https://klasma.github.io/Logging_2281/tillsyn/A 57781-2023 tillsynsbegäran.docx", "A 57781-2023")</f>
        <v/>
      </c>
      <c r="Y707">
        <f>HYPERLINK("https://klasma.github.io/Logging_2281/tillsynsmail/A 57781-2023 tillsynsbegäran mail.docx", "A 57781-2023")</f>
        <v/>
      </c>
    </row>
    <row r="708" ht="15" customHeight="1">
      <c r="A708" t="inlineStr">
        <is>
          <t>A 22660-2024</t>
        </is>
      </c>
      <c r="B708" s="1" t="n">
        <v>45447</v>
      </c>
      <c r="C708" s="1" t="n">
        <v>46185</v>
      </c>
      <c r="D708" t="inlineStr">
        <is>
          <t>VÄSTERNORRLANDS LÄN</t>
        </is>
      </c>
      <c r="E708" t="inlineStr">
        <is>
          <t>KRAMFORS</t>
        </is>
      </c>
      <c r="F708" t="inlineStr">
        <is>
          <t>SCA</t>
        </is>
      </c>
      <c r="G708" t="n">
        <v>9.800000000000001</v>
      </c>
      <c r="H708" t="n">
        <v>0</v>
      </c>
      <c r="I708" t="n">
        <v>2</v>
      </c>
      <c r="J708" t="n">
        <v>0</v>
      </c>
      <c r="K708" t="n">
        <v>0</v>
      </c>
      <c r="L708" t="n">
        <v>0</v>
      </c>
      <c r="M708" t="n">
        <v>0</v>
      </c>
      <c r="N708" t="n">
        <v>0</v>
      </c>
      <c r="O708" t="n">
        <v>0</v>
      </c>
      <c r="P708" t="n">
        <v>0</v>
      </c>
      <c r="Q708" t="n">
        <v>2</v>
      </c>
      <c r="R708" s="2" t="inlineStr">
        <is>
          <t>Luddlav
Stor aspticka</t>
        </is>
      </c>
      <c r="S708">
        <f>HYPERLINK("https://klasma.github.io/Logging_2282/artfynd/A 22660-2024 artfynd.xlsx", "A 22660-2024")</f>
        <v/>
      </c>
      <c r="T708">
        <f>HYPERLINK("https://klasma.github.io/Logging_2282/kartor/A 22660-2024 karta.png", "A 22660-2024")</f>
        <v/>
      </c>
      <c r="V708">
        <f>HYPERLINK("https://klasma.github.io/Logging_2282/klagomål/A 22660-2024 FSC-klagomål.docx", "A 22660-2024")</f>
        <v/>
      </c>
      <c r="W708">
        <f>HYPERLINK("https://klasma.github.io/Logging_2282/klagomålsmail/A 22660-2024 FSC-klagomål mail.docx", "A 22660-2024")</f>
        <v/>
      </c>
      <c r="X708">
        <f>HYPERLINK("https://klasma.github.io/Logging_2282/tillsyn/A 22660-2024 tillsynsbegäran.docx", "A 22660-2024")</f>
        <v/>
      </c>
      <c r="Y708">
        <f>HYPERLINK("https://klasma.github.io/Logging_2282/tillsynsmail/A 22660-2024 tillsynsbegäran mail.docx", "A 22660-2024")</f>
        <v/>
      </c>
    </row>
    <row r="709" ht="15" customHeight="1">
      <c r="A709" t="inlineStr">
        <is>
          <t>A 42283-2022</t>
        </is>
      </c>
      <c r="B709" s="1" t="n">
        <v>44830</v>
      </c>
      <c r="C709" s="1" t="n">
        <v>46185</v>
      </c>
      <c r="D709" t="inlineStr">
        <is>
          <t>VÄSTERNORRLANDS LÄN</t>
        </is>
      </c>
      <c r="E709" t="inlineStr">
        <is>
          <t>TIMRÅ</t>
        </is>
      </c>
      <c r="F709" t="inlineStr">
        <is>
          <t>SCA</t>
        </is>
      </c>
      <c r="G709" t="n">
        <v>5.2</v>
      </c>
      <c r="H709" t="n">
        <v>0</v>
      </c>
      <c r="I709" t="n">
        <v>0</v>
      </c>
      <c r="J709" t="n">
        <v>2</v>
      </c>
      <c r="K709" t="n">
        <v>0</v>
      </c>
      <c r="L709" t="n">
        <v>0</v>
      </c>
      <c r="M709" t="n">
        <v>0</v>
      </c>
      <c r="N709" t="n">
        <v>0</v>
      </c>
      <c r="O709" t="n">
        <v>2</v>
      </c>
      <c r="P709" t="n">
        <v>0</v>
      </c>
      <c r="Q709" t="n">
        <v>2</v>
      </c>
      <c r="R709" s="2" t="inlineStr">
        <is>
          <t>Garnlav
Lunglav</t>
        </is>
      </c>
      <c r="S709">
        <f>HYPERLINK("https://klasma.github.io/Logging_2262/artfynd/A 42283-2022 artfynd.xlsx", "A 42283-2022")</f>
        <v/>
      </c>
      <c r="T709">
        <f>HYPERLINK("https://klasma.github.io/Logging_2262/kartor/A 42283-2022 karta.png", "A 42283-2022")</f>
        <v/>
      </c>
      <c r="V709">
        <f>HYPERLINK("https://klasma.github.io/Logging_2262/klagomål/A 42283-2022 FSC-klagomål.docx", "A 42283-2022")</f>
        <v/>
      </c>
      <c r="W709">
        <f>HYPERLINK("https://klasma.github.io/Logging_2262/klagomålsmail/A 42283-2022 FSC-klagomål mail.docx", "A 42283-2022")</f>
        <v/>
      </c>
      <c r="X709">
        <f>HYPERLINK("https://klasma.github.io/Logging_2262/tillsyn/A 42283-2022 tillsynsbegäran.docx", "A 42283-2022")</f>
        <v/>
      </c>
      <c r="Y709">
        <f>HYPERLINK("https://klasma.github.io/Logging_2262/tillsynsmail/A 42283-2022 tillsynsbegäran mail.docx", "A 42283-2022")</f>
        <v/>
      </c>
    </row>
    <row r="710" ht="15" customHeight="1">
      <c r="A710" t="inlineStr">
        <is>
          <t>A 29600-2023</t>
        </is>
      </c>
      <c r="B710" s="1" t="n">
        <v>45106</v>
      </c>
      <c r="C710" s="1" t="n">
        <v>46185</v>
      </c>
      <c r="D710" t="inlineStr">
        <is>
          <t>VÄSTERNORRLANDS LÄN</t>
        </is>
      </c>
      <c r="E710" t="inlineStr">
        <is>
          <t>TIMRÅ</t>
        </is>
      </c>
      <c r="F710" t="inlineStr">
        <is>
          <t>Kyrkan</t>
        </is>
      </c>
      <c r="G710" t="n">
        <v>5</v>
      </c>
      <c r="H710" t="n">
        <v>0</v>
      </c>
      <c r="I710" t="n">
        <v>2</v>
      </c>
      <c r="J710" t="n">
        <v>0</v>
      </c>
      <c r="K710" t="n">
        <v>0</v>
      </c>
      <c r="L710" t="n">
        <v>0</v>
      </c>
      <c r="M710" t="n">
        <v>0</v>
      </c>
      <c r="N710" t="n">
        <v>0</v>
      </c>
      <c r="O710" t="n">
        <v>0</v>
      </c>
      <c r="P710" t="n">
        <v>0</v>
      </c>
      <c r="Q710" t="n">
        <v>2</v>
      </c>
      <c r="R710" s="2" t="inlineStr">
        <is>
          <t>Dvärghäxört
Svart trolldruva</t>
        </is>
      </c>
      <c r="S710">
        <f>HYPERLINK("https://klasma.github.io/Logging_2262/artfynd/A 29600-2023 artfynd.xlsx", "A 29600-2023")</f>
        <v/>
      </c>
      <c r="T710">
        <f>HYPERLINK("https://klasma.github.io/Logging_2262/kartor/A 29600-2023 karta.png", "A 29600-2023")</f>
        <v/>
      </c>
      <c r="V710">
        <f>HYPERLINK("https://klasma.github.io/Logging_2262/klagomål/A 29600-2023 FSC-klagomål.docx", "A 29600-2023")</f>
        <v/>
      </c>
      <c r="W710">
        <f>HYPERLINK("https://klasma.github.io/Logging_2262/klagomålsmail/A 29600-2023 FSC-klagomål mail.docx", "A 29600-2023")</f>
        <v/>
      </c>
      <c r="X710">
        <f>HYPERLINK("https://klasma.github.io/Logging_2262/tillsyn/A 29600-2023 tillsynsbegäran.docx", "A 29600-2023")</f>
        <v/>
      </c>
      <c r="Y710">
        <f>HYPERLINK("https://klasma.github.io/Logging_2262/tillsynsmail/A 29600-2023 tillsynsbegäran mail.docx", "A 29600-2023")</f>
        <v/>
      </c>
    </row>
    <row r="711" ht="15" customHeight="1">
      <c r="A711" t="inlineStr">
        <is>
          <t>A 45083-2022</t>
        </is>
      </c>
      <c r="B711" s="1" t="n">
        <v>44841</v>
      </c>
      <c r="C711" s="1" t="n">
        <v>46185</v>
      </c>
      <c r="D711" t="inlineStr">
        <is>
          <t>VÄSTERNORRLANDS LÄN</t>
        </is>
      </c>
      <c r="E711" t="inlineStr">
        <is>
          <t>SOLLEFTEÅ</t>
        </is>
      </c>
      <c r="F711" t="inlineStr">
        <is>
          <t>SCA</t>
        </is>
      </c>
      <c r="G711" t="n">
        <v>4.3</v>
      </c>
      <c r="H711" t="n">
        <v>2</v>
      </c>
      <c r="I711" t="n">
        <v>0</v>
      </c>
      <c r="J711" t="n">
        <v>1</v>
      </c>
      <c r="K711" t="n">
        <v>0</v>
      </c>
      <c r="L711" t="n">
        <v>0</v>
      </c>
      <c r="M711" t="n">
        <v>0</v>
      </c>
      <c r="N711" t="n">
        <v>0</v>
      </c>
      <c r="O711" t="n">
        <v>1</v>
      </c>
      <c r="P711" t="n">
        <v>0</v>
      </c>
      <c r="Q711" t="n">
        <v>2</v>
      </c>
      <c r="R711" s="2" t="inlineStr">
        <is>
          <t>Talltita
Blåsippa</t>
        </is>
      </c>
      <c r="S711">
        <f>HYPERLINK("https://klasma.github.io/Logging_2283/artfynd/A 45083-2022 artfynd.xlsx", "A 45083-2022")</f>
        <v/>
      </c>
      <c r="T711">
        <f>HYPERLINK("https://klasma.github.io/Logging_2283/kartor/A 45083-2022 karta.png", "A 45083-2022")</f>
        <v/>
      </c>
      <c r="V711">
        <f>HYPERLINK("https://klasma.github.io/Logging_2283/klagomål/A 45083-2022 FSC-klagomål.docx", "A 45083-2022")</f>
        <v/>
      </c>
      <c r="W711">
        <f>HYPERLINK("https://klasma.github.io/Logging_2283/klagomålsmail/A 45083-2022 FSC-klagomål mail.docx", "A 45083-2022")</f>
        <v/>
      </c>
      <c r="X711">
        <f>HYPERLINK("https://klasma.github.io/Logging_2283/tillsyn/A 45083-2022 tillsynsbegäran.docx", "A 45083-2022")</f>
        <v/>
      </c>
      <c r="Y711">
        <f>HYPERLINK("https://klasma.github.io/Logging_2283/tillsynsmail/A 45083-2022 tillsynsbegäran mail.docx", "A 45083-2022")</f>
        <v/>
      </c>
      <c r="Z711">
        <f>HYPERLINK("https://klasma.github.io/Logging_2283/fåglar/A 45083-2022 prioriterade fågelarter.docx", "A 45083-2022")</f>
        <v/>
      </c>
    </row>
    <row r="712" ht="15" customHeight="1">
      <c r="A712" t="inlineStr">
        <is>
          <t>A 22498-2024</t>
        </is>
      </c>
      <c r="B712" s="1" t="n">
        <v>45447</v>
      </c>
      <c r="C712" s="1" t="n">
        <v>46185</v>
      </c>
      <c r="D712" t="inlineStr">
        <is>
          <t>VÄSTERNORRLANDS LÄN</t>
        </is>
      </c>
      <c r="E712" t="inlineStr">
        <is>
          <t>ÖRNSKÖLDSVIK</t>
        </is>
      </c>
      <c r="F712" t="inlineStr">
        <is>
          <t>Holmen skog AB</t>
        </is>
      </c>
      <c r="G712" t="n">
        <v>0.6</v>
      </c>
      <c r="H712" t="n">
        <v>0</v>
      </c>
      <c r="I712" t="n">
        <v>0</v>
      </c>
      <c r="J712" t="n">
        <v>2</v>
      </c>
      <c r="K712" t="n">
        <v>0</v>
      </c>
      <c r="L712" t="n">
        <v>0</v>
      </c>
      <c r="M712" t="n">
        <v>0</v>
      </c>
      <c r="N712" t="n">
        <v>0</v>
      </c>
      <c r="O712" t="n">
        <v>2</v>
      </c>
      <c r="P712" t="n">
        <v>0</v>
      </c>
      <c r="Q712" t="n">
        <v>2</v>
      </c>
      <c r="R712" s="2" t="inlineStr">
        <is>
          <t>Lunglav
Ullticka</t>
        </is>
      </c>
      <c r="S712">
        <f>HYPERLINK("https://klasma.github.io/Logging_2284/artfynd/A 22498-2024 artfynd.xlsx", "A 22498-2024")</f>
        <v/>
      </c>
      <c r="T712">
        <f>HYPERLINK("https://klasma.github.io/Logging_2284/kartor/A 22498-2024 karta.png", "A 22498-2024")</f>
        <v/>
      </c>
      <c r="V712">
        <f>HYPERLINK("https://klasma.github.io/Logging_2284/klagomål/A 22498-2024 FSC-klagomål.docx", "A 22498-2024")</f>
        <v/>
      </c>
      <c r="W712">
        <f>HYPERLINK("https://klasma.github.io/Logging_2284/klagomålsmail/A 22498-2024 FSC-klagomål mail.docx", "A 22498-2024")</f>
        <v/>
      </c>
      <c r="X712">
        <f>HYPERLINK("https://klasma.github.io/Logging_2284/tillsyn/A 22498-2024 tillsynsbegäran.docx", "A 22498-2024")</f>
        <v/>
      </c>
      <c r="Y712">
        <f>HYPERLINK("https://klasma.github.io/Logging_2284/tillsynsmail/A 22498-2024 tillsynsbegäran mail.docx", "A 22498-2024")</f>
        <v/>
      </c>
    </row>
    <row r="713" ht="15" customHeight="1">
      <c r="A713" t="inlineStr">
        <is>
          <t>A 41814-2022</t>
        </is>
      </c>
      <c r="B713" s="1" t="n">
        <v>44827</v>
      </c>
      <c r="C713" s="1" t="n">
        <v>46185</v>
      </c>
      <c r="D713" t="inlineStr">
        <is>
          <t>VÄSTERNORRLANDS LÄN</t>
        </is>
      </c>
      <c r="E713" t="inlineStr">
        <is>
          <t>SUNDSVALL</t>
        </is>
      </c>
      <c r="F713" t="inlineStr">
        <is>
          <t>SCA</t>
        </is>
      </c>
      <c r="G713" t="n">
        <v>3.8</v>
      </c>
      <c r="H713" t="n">
        <v>1</v>
      </c>
      <c r="I713" t="n">
        <v>0</v>
      </c>
      <c r="J713" t="n">
        <v>1</v>
      </c>
      <c r="K713" t="n">
        <v>0</v>
      </c>
      <c r="L713" t="n">
        <v>0</v>
      </c>
      <c r="M713" t="n">
        <v>0</v>
      </c>
      <c r="N713" t="n">
        <v>0</v>
      </c>
      <c r="O713" t="n">
        <v>1</v>
      </c>
      <c r="P713" t="n">
        <v>0</v>
      </c>
      <c r="Q713" t="n">
        <v>2</v>
      </c>
      <c r="R713" s="2" t="inlineStr">
        <is>
          <t>Lunglav
Revlummer</t>
        </is>
      </c>
      <c r="S713">
        <f>HYPERLINK("https://klasma.github.io/Logging_2281/artfynd/A 41814-2022 artfynd.xlsx", "A 41814-2022")</f>
        <v/>
      </c>
      <c r="T713">
        <f>HYPERLINK("https://klasma.github.io/Logging_2281/kartor/A 41814-2022 karta.png", "A 41814-2022")</f>
        <v/>
      </c>
      <c r="V713">
        <f>HYPERLINK("https://klasma.github.io/Logging_2281/klagomål/A 41814-2022 FSC-klagomål.docx", "A 41814-2022")</f>
        <v/>
      </c>
      <c r="W713">
        <f>HYPERLINK("https://klasma.github.io/Logging_2281/klagomålsmail/A 41814-2022 FSC-klagomål mail.docx", "A 41814-2022")</f>
        <v/>
      </c>
      <c r="X713">
        <f>HYPERLINK("https://klasma.github.io/Logging_2281/tillsyn/A 41814-2022 tillsynsbegäran.docx", "A 41814-2022")</f>
        <v/>
      </c>
      <c r="Y713">
        <f>HYPERLINK("https://klasma.github.io/Logging_2281/tillsynsmail/A 41814-2022 tillsynsbegäran mail.docx", "A 41814-2022")</f>
        <v/>
      </c>
    </row>
    <row r="714" ht="15" customHeight="1">
      <c r="A714" t="inlineStr">
        <is>
          <t>A 56530-2022</t>
        </is>
      </c>
      <c r="B714" s="1" t="n">
        <v>44893</v>
      </c>
      <c r="C714" s="1" t="n">
        <v>46185</v>
      </c>
      <c r="D714" t="inlineStr">
        <is>
          <t>VÄSTERNORRLANDS LÄN</t>
        </is>
      </c>
      <c r="E714" t="inlineStr">
        <is>
          <t>ÖRNSKÖLDSVIK</t>
        </is>
      </c>
      <c r="F714" t="inlineStr">
        <is>
          <t>Holmen skog AB</t>
        </is>
      </c>
      <c r="G714" t="n">
        <v>2.2</v>
      </c>
      <c r="H714" t="n">
        <v>0</v>
      </c>
      <c r="I714" t="n">
        <v>1</v>
      </c>
      <c r="J714" t="n">
        <v>1</v>
      </c>
      <c r="K714" t="n">
        <v>0</v>
      </c>
      <c r="L714" t="n">
        <v>0</v>
      </c>
      <c r="M714" t="n">
        <v>0</v>
      </c>
      <c r="N714" t="n">
        <v>0</v>
      </c>
      <c r="O714" t="n">
        <v>1</v>
      </c>
      <c r="P714" t="n">
        <v>0</v>
      </c>
      <c r="Q714" t="n">
        <v>2</v>
      </c>
      <c r="R714" s="2" t="inlineStr">
        <is>
          <t>Violettgrå tagellav
Skinnlav</t>
        </is>
      </c>
      <c r="S714">
        <f>HYPERLINK("https://klasma.github.io/Logging_2284/artfynd/A 56530-2022 artfynd.xlsx", "A 56530-2022")</f>
        <v/>
      </c>
      <c r="T714">
        <f>HYPERLINK("https://klasma.github.io/Logging_2284/kartor/A 56530-2022 karta.png", "A 56530-2022")</f>
        <v/>
      </c>
      <c r="V714">
        <f>HYPERLINK("https://klasma.github.io/Logging_2284/klagomål/A 56530-2022 FSC-klagomål.docx", "A 56530-2022")</f>
        <v/>
      </c>
      <c r="W714">
        <f>HYPERLINK("https://klasma.github.io/Logging_2284/klagomålsmail/A 56530-2022 FSC-klagomål mail.docx", "A 56530-2022")</f>
        <v/>
      </c>
      <c r="X714">
        <f>HYPERLINK("https://klasma.github.io/Logging_2284/tillsyn/A 56530-2022 tillsynsbegäran.docx", "A 56530-2022")</f>
        <v/>
      </c>
      <c r="Y714">
        <f>HYPERLINK("https://klasma.github.io/Logging_2284/tillsynsmail/A 56530-2022 tillsynsbegäran mail.docx", "A 56530-2022")</f>
        <v/>
      </c>
    </row>
    <row r="715" ht="15" customHeight="1">
      <c r="A715" t="inlineStr">
        <is>
          <t>A 52727-2022</t>
        </is>
      </c>
      <c r="B715" s="1" t="n">
        <v>44874</v>
      </c>
      <c r="C715" s="1" t="n">
        <v>46185</v>
      </c>
      <c r="D715" t="inlineStr">
        <is>
          <t>VÄSTERNORRLANDS LÄN</t>
        </is>
      </c>
      <c r="E715" t="inlineStr">
        <is>
          <t>HÄRNÖSAND</t>
        </is>
      </c>
      <c r="F715" t="inlineStr">
        <is>
          <t>SCA</t>
        </is>
      </c>
      <c r="G715" t="n">
        <v>3.4</v>
      </c>
      <c r="H715" t="n">
        <v>0</v>
      </c>
      <c r="I715" t="n">
        <v>2</v>
      </c>
      <c r="J715" t="n">
        <v>0</v>
      </c>
      <c r="K715" t="n">
        <v>0</v>
      </c>
      <c r="L715" t="n">
        <v>0</v>
      </c>
      <c r="M715" t="n">
        <v>0</v>
      </c>
      <c r="N715" t="n">
        <v>0</v>
      </c>
      <c r="O715" t="n">
        <v>0</v>
      </c>
      <c r="P715" t="n">
        <v>0</v>
      </c>
      <c r="Q715" t="n">
        <v>2</v>
      </c>
      <c r="R715" s="2" t="inlineStr">
        <is>
          <t>Korallblylav
Skinnlav</t>
        </is>
      </c>
      <c r="S715">
        <f>HYPERLINK("https://klasma.github.io/Logging_2280/artfynd/A 52727-2022 artfynd.xlsx", "A 52727-2022")</f>
        <v/>
      </c>
      <c r="T715">
        <f>HYPERLINK("https://klasma.github.io/Logging_2280/kartor/A 52727-2022 karta.png", "A 52727-2022")</f>
        <v/>
      </c>
      <c r="V715">
        <f>HYPERLINK("https://klasma.github.io/Logging_2280/klagomål/A 52727-2022 FSC-klagomål.docx", "A 52727-2022")</f>
        <v/>
      </c>
      <c r="W715">
        <f>HYPERLINK("https://klasma.github.io/Logging_2280/klagomålsmail/A 52727-2022 FSC-klagomål mail.docx", "A 52727-2022")</f>
        <v/>
      </c>
      <c r="X715">
        <f>HYPERLINK("https://klasma.github.io/Logging_2280/tillsyn/A 52727-2022 tillsynsbegäran.docx", "A 52727-2022")</f>
        <v/>
      </c>
      <c r="Y715">
        <f>HYPERLINK("https://klasma.github.io/Logging_2280/tillsynsmail/A 52727-2022 tillsynsbegäran mail.docx", "A 52727-2022")</f>
        <v/>
      </c>
    </row>
    <row r="716" ht="15" customHeight="1">
      <c r="A716" t="inlineStr">
        <is>
          <t>A 25870-2025</t>
        </is>
      </c>
      <c r="B716" s="1" t="n">
        <v>45804.49010416667</v>
      </c>
      <c r="C716" s="1" t="n">
        <v>46185</v>
      </c>
      <c r="D716" t="inlineStr">
        <is>
          <t>VÄSTERNORRLANDS LÄN</t>
        </is>
      </c>
      <c r="E716" t="inlineStr">
        <is>
          <t>SUNDSVALL</t>
        </is>
      </c>
      <c r="F716" t="inlineStr">
        <is>
          <t>Naturvårdsverket</t>
        </is>
      </c>
      <c r="G716" t="n">
        <v>1.6</v>
      </c>
      <c r="H716" t="n">
        <v>1</v>
      </c>
      <c r="I716" t="n">
        <v>1</v>
      </c>
      <c r="J716" t="n">
        <v>1</v>
      </c>
      <c r="K716" t="n">
        <v>0</v>
      </c>
      <c r="L716" t="n">
        <v>0</v>
      </c>
      <c r="M716" t="n">
        <v>0</v>
      </c>
      <c r="N716" t="n">
        <v>0</v>
      </c>
      <c r="O716" t="n">
        <v>1</v>
      </c>
      <c r="P716" t="n">
        <v>0</v>
      </c>
      <c r="Q716" t="n">
        <v>2</v>
      </c>
      <c r="R716" s="2" t="inlineStr">
        <is>
          <t>Lunglav
Spindelblomster</t>
        </is>
      </c>
      <c r="S716">
        <f>HYPERLINK("https://klasma.github.io/Logging_2281/artfynd/A 25870-2025 artfynd.xlsx", "A 25870-2025")</f>
        <v/>
      </c>
      <c r="T716">
        <f>HYPERLINK("https://klasma.github.io/Logging_2281/kartor/A 25870-2025 karta.png", "A 25870-2025")</f>
        <v/>
      </c>
      <c r="U716">
        <f>HYPERLINK("https://klasma.github.io/Logging_2281/knärot/A 25870-2025 karta knärot.png", "A 25870-2025")</f>
        <v/>
      </c>
      <c r="V716">
        <f>HYPERLINK("https://klasma.github.io/Logging_2281/klagomål/A 25870-2025 FSC-klagomål.docx", "A 25870-2025")</f>
        <v/>
      </c>
      <c r="W716">
        <f>HYPERLINK("https://klasma.github.io/Logging_2281/klagomålsmail/A 25870-2025 FSC-klagomål mail.docx", "A 25870-2025")</f>
        <v/>
      </c>
      <c r="X716">
        <f>HYPERLINK("https://klasma.github.io/Logging_2281/tillsyn/A 25870-2025 tillsynsbegäran.docx", "A 25870-2025")</f>
        <v/>
      </c>
      <c r="Y716">
        <f>HYPERLINK("https://klasma.github.io/Logging_2281/tillsynsmail/A 25870-2025 tillsynsbegäran mail.docx", "A 25870-2025")</f>
        <v/>
      </c>
    </row>
    <row r="717" ht="15" customHeight="1">
      <c r="A717" t="inlineStr">
        <is>
          <t>A 25836-2025</t>
        </is>
      </c>
      <c r="B717" s="1" t="n">
        <v>45804.44865740741</v>
      </c>
      <c r="C717" s="1" t="n">
        <v>46185</v>
      </c>
      <c r="D717" t="inlineStr">
        <is>
          <t>VÄSTERNORRLANDS LÄN</t>
        </is>
      </c>
      <c r="E717" t="inlineStr">
        <is>
          <t>SUNDSVALL</t>
        </is>
      </c>
      <c r="F717" t="inlineStr">
        <is>
          <t>Naturvårdsverket</t>
        </is>
      </c>
      <c r="G717" t="n">
        <v>1.5</v>
      </c>
      <c r="H717" t="n">
        <v>1</v>
      </c>
      <c r="I717" t="n">
        <v>0</v>
      </c>
      <c r="J717" t="n">
        <v>1</v>
      </c>
      <c r="K717" t="n">
        <v>0</v>
      </c>
      <c r="L717" t="n">
        <v>0</v>
      </c>
      <c r="M717" t="n">
        <v>0</v>
      </c>
      <c r="N717" t="n">
        <v>0</v>
      </c>
      <c r="O717" t="n">
        <v>1</v>
      </c>
      <c r="P717" t="n">
        <v>0</v>
      </c>
      <c r="Q717" t="n">
        <v>2</v>
      </c>
      <c r="R717" s="2" t="inlineStr">
        <is>
          <t>Garnlav
Fläcknycklar</t>
        </is>
      </c>
      <c r="S717">
        <f>HYPERLINK("https://klasma.github.io/Logging_2281/artfynd/A 25836-2025 artfynd.xlsx", "A 25836-2025")</f>
        <v/>
      </c>
      <c r="T717">
        <f>HYPERLINK("https://klasma.github.io/Logging_2281/kartor/A 25836-2025 karta.png", "A 25836-2025")</f>
        <v/>
      </c>
      <c r="V717">
        <f>HYPERLINK("https://klasma.github.io/Logging_2281/klagomål/A 25836-2025 FSC-klagomål.docx", "A 25836-2025")</f>
        <v/>
      </c>
      <c r="W717">
        <f>HYPERLINK("https://klasma.github.io/Logging_2281/klagomålsmail/A 25836-2025 FSC-klagomål mail.docx", "A 25836-2025")</f>
        <v/>
      </c>
      <c r="X717">
        <f>HYPERLINK("https://klasma.github.io/Logging_2281/tillsyn/A 25836-2025 tillsynsbegäran.docx", "A 25836-2025")</f>
        <v/>
      </c>
      <c r="Y717">
        <f>HYPERLINK("https://klasma.github.io/Logging_2281/tillsynsmail/A 25836-2025 tillsynsbegäran mail.docx", "A 25836-2025")</f>
        <v/>
      </c>
    </row>
    <row r="718" ht="15" customHeight="1">
      <c r="A718" t="inlineStr">
        <is>
          <t>A 59994-2024</t>
        </is>
      </c>
      <c r="B718" s="1" t="n">
        <v>45642.40677083333</v>
      </c>
      <c r="C718" s="1" t="n">
        <v>46185</v>
      </c>
      <c r="D718" t="inlineStr">
        <is>
          <t>VÄSTERNORRLANDS LÄN</t>
        </is>
      </c>
      <c r="E718" t="inlineStr">
        <is>
          <t>SUNDSVALL</t>
        </is>
      </c>
      <c r="G718" t="n">
        <v>2.1</v>
      </c>
      <c r="H718" t="n">
        <v>0</v>
      </c>
      <c r="I718" t="n">
        <v>0</v>
      </c>
      <c r="J718" t="n">
        <v>2</v>
      </c>
      <c r="K718" t="n">
        <v>0</v>
      </c>
      <c r="L718" t="n">
        <v>0</v>
      </c>
      <c r="M718" t="n">
        <v>0</v>
      </c>
      <c r="N718" t="n">
        <v>0</v>
      </c>
      <c r="O718" t="n">
        <v>2</v>
      </c>
      <c r="P718" t="n">
        <v>0</v>
      </c>
      <c r="Q718" t="n">
        <v>2</v>
      </c>
      <c r="R718" s="2" t="inlineStr">
        <is>
          <t>Rosenticka
Ullticka</t>
        </is>
      </c>
      <c r="S718">
        <f>HYPERLINK("https://klasma.github.io/Logging_2281/artfynd/A 59994-2024 artfynd.xlsx", "A 59994-2024")</f>
        <v/>
      </c>
      <c r="T718">
        <f>HYPERLINK("https://klasma.github.io/Logging_2281/kartor/A 59994-2024 karta.png", "A 59994-2024")</f>
        <v/>
      </c>
      <c r="U718">
        <f>HYPERLINK("https://klasma.github.io/Logging_2281/knärot/A 59994-2024 karta knärot.png", "A 59994-2024")</f>
        <v/>
      </c>
      <c r="V718">
        <f>HYPERLINK("https://klasma.github.io/Logging_2281/klagomål/A 59994-2024 FSC-klagomål.docx", "A 59994-2024")</f>
        <v/>
      </c>
      <c r="W718">
        <f>HYPERLINK("https://klasma.github.io/Logging_2281/klagomålsmail/A 59994-2024 FSC-klagomål mail.docx", "A 59994-2024")</f>
        <v/>
      </c>
      <c r="X718">
        <f>HYPERLINK("https://klasma.github.io/Logging_2281/tillsyn/A 59994-2024 tillsynsbegäran.docx", "A 59994-2024")</f>
        <v/>
      </c>
      <c r="Y718">
        <f>HYPERLINK("https://klasma.github.io/Logging_2281/tillsynsmail/A 59994-2024 tillsynsbegäran mail.docx", "A 59994-2024")</f>
        <v/>
      </c>
    </row>
    <row r="719" ht="15" customHeight="1">
      <c r="A719" t="inlineStr">
        <is>
          <t>A 26834-2025</t>
        </is>
      </c>
      <c r="B719" s="1" t="n">
        <v>45810.65725694445</v>
      </c>
      <c r="C719" s="1" t="n">
        <v>46185</v>
      </c>
      <c r="D719" t="inlineStr">
        <is>
          <t>VÄSTERNORRLANDS LÄN</t>
        </is>
      </c>
      <c r="E719" t="inlineStr">
        <is>
          <t>SUNDSVALL</t>
        </is>
      </c>
      <c r="F719" t="inlineStr">
        <is>
          <t>SCA</t>
        </is>
      </c>
      <c r="G719" t="n">
        <v>1.9</v>
      </c>
      <c r="H719" t="n">
        <v>0</v>
      </c>
      <c r="I719" t="n">
        <v>0</v>
      </c>
      <c r="J719" t="n">
        <v>2</v>
      </c>
      <c r="K719" t="n">
        <v>0</v>
      </c>
      <c r="L719" t="n">
        <v>0</v>
      </c>
      <c r="M719" t="n">
        <v>0</v>
      </c>
      <c r="N719" t="n">
        <v>0</v>
      </c>
      <c r="O719" t="n">
        <v>2</v>
      </c>
      <c r="P719" t="n">
        <v>0</v>
      </c>
      <c r="Q719" t="n">
        <v>2</v>
      </c>
      <c r="R719" s="2" t="inlineStr">
        <is>
          <t>Garnlav
Kolflarnlav</t>
        </is>
      </c>
      <c r="S719">
        <f>HYPERLINK("https://klasma.github.io/Logging_2281/artfynd/A 26834-2025 artfynd.xlsx", "A 26834-2025")</f>
        <v/>
      </c>
      <c r="T719">
        <f>HYPERLINK("https://klasma.github.io/Logging_2281/kartor/A 26834-2025 karta.png", "A 26834-2025")</f>
        <v/>
      </c>
      <c r="V719">
        <f>HYPERLINK("https://klasma.github.io/Logging_2281/klagomål/A 26834-2025 FSC-klagomål.docx", "A 26834-2025")</f>
        <v/>
      </c>
      <c r="W719">
        <f>HYPERLINK("https://klasma.github.io/Logging_2281/klagomålsmail/A 26834-2025 FSC-klagomål mail.docx", "A 26834-2025")</f>
        <v/>
      </c>
      <c r="X719">
        <f>HYPERLINK("https://klasma.github.io/Logging_2281/tillsyn/A 26834-2025 tillsynsbegäran.docx", "A 26834-2025")</f>
        <v/>
      </c>
      <c r="Y719">
        <f>HYPERLINK("https://klasma.github.io/Logging_2281/tillsynsmail/A 26834-2025 tillsynsbegäran mail.docx", "A 26834-2025")</f>
        <v/>
      </c>
    </row>
    <row r="720" ht="15" customHeight="1">
      <c r="A720" t="inlineStr">
        <is>
          <t>A 12120-2025</t>
        </is>
      </c>
      <c r="B720" s="1" t="n">
        <v>45729.36545138889</v>
      </c>
      <c r="C720" s="1" t="n">
        <v>46185</v>
      </c>
      <c r="D720" t="inlineStr">
        <is>
          <t>VÄSTERNORRLANDS LÄN</t>
        </is>
      </c>
      <c r="E720" t="inlineStr">
        <is>
          <t>KRAMFORS</t>
        </is>
      </c>
      <c r="G720" t="n">
        <v>7.5</v>
      </c>
      <c r="H720" t="n">
        <v>0</v>
      </c>
      <c r="I720" t="n">
        <v>0</v>
      </c>
      <c r="J720" t="n">
        <v>2</v>
      </c>
      <c r="K720" t="n">
        <v>0</v>
      </c>
      <c r="L720" t="n">
        <v>0</v>
      </c>
      <c r="M720" t="n">
        <v>0</v>
      </c>
      <c r="N720" t="n">
        <v>0</v>
      </c>
      <c r="O720" t="n">
        <v>2</v>
      </c>
      <c r="P720" t="n">
        <v>0</v>
      </c>
      <c r="Q720" t="n">
        <v>2</v>
      </c>
      <c r="R720" s="2" t="inlineStr">
        <is>
          <t>Garnlav
Ullticka</t>
        </is>
      </c>
      <c r="S720">
        <f>HYPERLINK("https://klasma.github.io/Logging_2282/artfynd/A 12120-2025 artfynd.xlsx", "A 12120-2025")</f>
        <v/>
      </c>
      <c r="T720">
        <f>HYPERLINK("https://klasma.github.io/Logging_2282/kartor/A 12120-2025 karta.png", "A 12120-2025")</f>
        <v/>
      </c>
      <c r="V720">
        <f>HYPERLINK("https://klasma.github.io/Logging_2282/klagomål/A 12120-2025 FSC-klagomål.docx", "A 12120-2025")</f>
        <v/>
      </c>
      <c r="W720">
        <f>HYPERLINK("https://klasma.github.io/Logging_2282/klagomålsmail/A 12120-2025 FSC-klagomål mail.docx", "A 12120-2025")</f>
        <v/>
      </c>
      <c r="X720">
        <f>HYPERLINK("https://klasma.github.io/Logging_2282/tillsyn/A 12120-2025 tillsynsbegäran.docx", "A 12120-2025")</f>
        <v/>
      </c>
      <c r="Y720">
        <f>HYPERLINK("https://klasma.github.io/Logging_2282/tillsynsmail/A 12120-2025 tillsynsbegäran mail.docx", "A 12120-2025")</f>
        <v/>
      </c>
    </row>
    <row r="721" ht="15" customHeight="1">
      <c r="A721" t="inlineStr">
        <is>
          <t>A 26833-2025</t>
        </is>
      </c>
      <c r="B721" s="1" t="n">
        <v>45810.65706018519</v>
      </c>
      <c r="C721" s="1" t="n">
        <v>46185</v>
      </c>
      <c r="D721" t="inlineStr">
        <is>
          <t>VÄSTERNORRLANDS LÄN</t>
        </is>
      </c>
      <c r="E721" t="inlineStr">
        <is>
          <t>SUNDSVALL</t>
        </is>
      </c>
      <c r="F721" t="inlineStr">
        <is>
          <t>SCA</t>
        </is>
      </c>
      <c r="G721" t="n">
        <v>6</v>
      </c>
      <c r="H721" t="n">
        <v>0</v>
      </c>
      <c r="I721" t="n">
        <v>0</v>
      </c>
      <c r="J721" t="n">
        <v>2</v>
      </c>
      <c r="K721" t="n">
        <v>0</v>
      </c>
      <c r="L721" t="n">
        <v>0</v>
      </c>
      <c r="M721" t="n">
        <v>0</v>
      </c>
      <c r="N721" t="n">
        <v>0</v>
      </c>
      <c r="O721" t="n">
        <v>2</v>
      </c>
      <c r="P721" t="n">
        <v>0</v>
      </c>
      <c r="Q721" t="n">
        <v>2</v>
      </c>
      <c r="R721" s="2" t="inlineStr">
        <is>
          <t>Kolflarnlav
Vedskivlav</t>
        </is>
      </c>
      <c r="S721">
        <f>HYPERLINK("https://klasma.github.io/Logging_2281/artfynd/A 26833-2025 artfynd.xlsx", "A 26833-2025")</f>
        <v/>
      </c>
      <c r="T721">
        <f>HYPERLINK("https://klasma.github.io/Logging_2281/kartor/A 26833-2025 karta.png", "A 26833-2025")</f>
        <v/>
      </c>
      <c r="V721">
        <f>HYPERLINK("https://klasma.github.io/Logging_2281/klagomål/A 26833-2025 FSC-klagomål.docx", "A 26833-2025")</f>
        <v/>
      </c>
      <c r="W721">
        <f>HYPERLINK("https://klasma.github.io/Logging_2281/klagomålsmail/A 26833-2025 FSC-klagomål mail.docx", "A 26833-2025")</f>
        <v/>
      </c>
      <c r="X721">
        <f>HYPERLINK("https://klasma.github.io/Logging_2281/tillsyn/A 26833-2025 tillsynsbegäran.docx", "A 26833-2025")</f>
        <v/>
      </c>
      <c r="Y721">
        <f>HYPERLINK("https://klasma.github.io/Logging_2281/tillsynsmail/A 26833-2025 tillsynsbegäran mail.docx", "A 26833-2025")</f>
        <v/>
      </c>
    </row>
    <row r="722" ht="15" customHeight="1">
      <c r="A722" t="inlineStr">
        <is>
          <t>A 26906-2025</t>
        </is>
      </c>
      <c r="B722" s="1" t="n">
        <v>45811.34552083333</v>
      </c>
      <c r="C722" s="1" t="n">
        <v>46185</v>
      </c>
      <c r="D722" t="inlineStr">
        <is>
          <t>VÄSTERNORRLANDS LÄN</t>
        </is>
      </c>
      <c r="E722" t="inlineStr">
        <is>
          <t>ÅNGE</t>
        </is>
      </c>
      <c r="F722" t="inlineStr">
        <is>
          <t>SCA</t>
        </is>
      </c>
      <c r="G722" t="n">
        <v>7</v>
      </c>
      <c r="H722" t="n">
        <v>0</v>
      </c>
      <c r="I722" t="n">
        <v>0</v>
      </c>
      <c r="J722" t="n">
        <v>2</v>
      </c>
      <c r="K722" t="n">
        <v>0</v>
      </c>
      <c r="L722" t="n">
        <v>0</v>
      </c>
      <c r="M722" t="n">
        <v>0</v>
      </c>
      <c r="N722" t="n">
        <v>0</v>
      </c>
      <c r="O722" t="n">
        <v>2</v>
      </c>
      <c r="P722" t="n">
        <v>0</v>
      </c>
      <c r="Q722" t="n">
        <v>2</v>
      </c>
      <c r="R722" s="2" t="inlineStr">
        <is>
          <t>Garnlav
Vitgrynig nållav</t>
        </is>
      </c>
      <c r="S722">
        <f>HYPERLINK("https://klasma.github.io/Logging_2260/artfynd/A 26906-2025 artfynd.xlsx", "A 26906-2025")</f>
        <v/>
      </c>
      <c r="T722">
        <f>HYPERLINK("https://klasma.github.io/Logging_2260/kartor/A 26906-2025 karta.png", "A 26906-2025")</f>
        <v/>
      </c>
      <c r="V722">
        <f>HYPERLINK("https://klasma.github.io/Logging_2260/klagomål/A 26906-2025 FSC-klagomål.docx", "A 26906-2025")</f>
        <v/>
      </c>
      <c r="W722">
        <f>HYPERLINK("https://klasma.github.io/Logging_2260/klagomålsmail/A 26906-2025 FSC-klagomål mail.docx", "A 26906-2025")</f>
        <v/>
      </c>
      <c r="X722">
        <f>HYPERLINK("https://klasma.github.io/Logging_2260/tillsyn/A 26906-2025 tillsynsbegäran.docx", "A 26906-2025")</f>
        <v/>
      </c>
      <c r="Y722">
        <f>HYPERLINK("https://klasma.github.io/Logging_2260/tillsynsmail/A 26906-2025 tillsynsbegäran mail.docx", "A 26906-2025")</f>
        <v/>
      </c>
    </row>
    <row r="723" ht="15" customHeight="1">
      <c r="A723" t="inlineStr">
        <is>
          <t>A 6672-2025</t>
        </is>
      </c>
      <c r="B723" s="1" t="n">
        <v>45700.46920138889</v>
      </c>
      <c r="C723" s="1" t="n">
        <v>46185</v>
      </c>
      <c r="D723" t="inlineStr">
        <is>
          <t>VÄSTERNORRLANDS LÄN</t>
        </is>
      </c>
      <c r="E723" t="inlineStr">
        <is>
          <t>SUNDSVALL</t>
        </is>
      </c>
      <c r="G723" t="n">
        <v>2.8</v>
      </c>
      <c r="H723" t="n">
        <v>0</v>
      </c>
      <c r="I723" t="n">
        <v>1</v>
      </c>
      <c r="J723" t="n">
        <v>1</v>
      </c>
      <c r="K723" t="n">
        <v>0</v>
      </c>
      <c r="L723" t="n">
        <v>0</v>
      </c>
      <c r="M723" t="n">
        <v>0</v>
      </c>
      <c r="N723" t="n">
        <v>0</v>
      </c>
      <c r="O723" t="n">
        <v>1</v>
      </c>
      <c r="P723" t="n">
        <v>0</v>
      </c>
      <c r="Q723" t="n">
        <v>2</v>
      </c>
      <c r="R723" s="2" t="inlineStr">
        <is>
          <t>Tallticka
Björksplintborre</t>
        </is>
      </c>
      <c r="S723">
        <f>HYPERLINK("https://klasma.github.io/Logging_2281/artfynd/A 6672-2025 artfynd.xlsx", "A 6672-2025")</f>
        <v/>
      </c>
      <c r="T723">
        <f>HYPERLINK("https://klasma.github.io/Logging_2281/kartor/A 6672-2025 karta.png", "A 6672-2025")</f>
        <v/>
      </c>
      <c r="V723">
        <f>HYPERLINK("https://klasma.github.io/Logging_2281/klagomål/A 6672-2025 FSC-klagomål.docx", "A 6672-2025")</f>
        <v/>
      </c>
      <c r="W723">
        <f>HYPERLINK("https://klasma.github.io/Logging_2281/klagomålsmail/A 6672-2025 FSC-klagomål mail.docx", "A 6672-2025")</f>
        <v/>
      </c>
      <c r="X723">
        <f>HYPERLINK("https://klasma.github.io/Logging_2281/tillsyn/A 6672-2025 tillsynsbegäran.docx", "A 6672-2025")</f>
        <v/>
      </c>
      <c r="Y723">
        <f>HYPERLINK("https://klasma.github.io/Logging_2281/tillsynsmail/A 6672-2025 tillsynsbegäran mail.docx", "A 6672-2025")</f>
        <v/>
      </c>
    </row>
    <row r="724" ht="15" customHeight="1">
      <c r="A724" t="inlineStr">
        <is>
          <t>A 38911-2025</t>
        </is>
      </c>
      <c r="B724" s="1" t="n">
        <v>45887.61534722222</v>
      </c>
      <c r="C724" s="1" t="n">
        <v>46185</v>
      </c>
      <c r="D724" t="inlineStr">
        <is>
          <t>VÄSTERNORRLANDS LÄN</t>
        </is>
      </c>
      <c r="E724" t="inlineStr">
        <is>
          <t>SOLLEFTEÅ</t>
        </is>
      </c>
      <c r="F724" t="inlineStr">
        <is>
          <t>SCA</t>
        </is>
      </c>
      <c r="G724" t="n">
        <v>10.5</v>
      </c>
      <c r="H724" t="n">
        <v>0</v>
      </c>
      <c r="I724" t="n">
        <v>1</v>
      </c>
      <c r="J724" t="n">
        <v>1</v>
      </c>
      <c r="K724" t="n">
        <v>0</v>
      </c>
      <c r="L724" t="n">
        <v>0</v>
      </c>
      <c r="M724" t="n">
        <v>0</v>
      </c>
      <c r="N724" t="n">
        <v>0</v>
      </c>
      <c r="O724" t="n">
        <v>1</v>
      </c>
      <c r="P724" t="n">
        <v>0</v>
      </c>
      <c r="Q724" t="n">
        <v>2</v>
      </c>
      <c r="R724" s="2" t="inlineStr">
        <is>
          <t>Garnlav
Vedticka</t>
        </is>
      </c>
      <c r="S724">
        <f>HYPERLINK("https://klasma.github.io/Logging_2283/artfynd/A 38911-2025 artfynd.xlsx", "A 38911-2025")</f>
        <v/>
      </c>
      <c r="T724">
        <f>HYPERLINK("https://klasma.github.io/Logging_2283/kartor/A 38911-2025 karta.png", "A 38911-2025")</f>
        <v/>
      </c>
      <c r="U724">
        <f>HYPERLINK("https://klasma.github.io/Logging_2283/knärot/A 38911-2025 karta knärot.png", "A 38911-2025")</f>
        <v/>
      </c>
      <c r="V724">
        <f>HYPERLINK("https://klasma.github.io/Logging_2283/klagomål/A 38911-2025 FSC-klagomål.docx", "A 38911-2025")</f>
        <v/>
      </c>
      <c r="W724">
        <f>HYPERLINK("https://klasma.github.io/Logging_2283/klagomålsmail/A 38911-2025 FSC-klagomål mail.docx", "A 38911-2025")</f>
        <v/>
      </c>
      <c r="X724">
        <f>HYPERLINK("https://klasma.github.io/Logging_2283/tillsyn/A 38911-2025 tillsynsbegäran.docx", "A 38911-2025")</f>
        <v/>
      </c>
      <c r="Y724">
        <f>HYPERLINK("https://klasma.github.io/Logging_2283/tillsynsmail/A 38911-2025 tillsynsbegäran mail.docx", "A 38911-2025")</f>
        <v/>
      </c>
    </row>
    <row r="725" ht="15" customHeight="1">
      <c r="A725" t="inlineStr">
        <is>
          <t>A 36001-2025</t>
        </is>
      </c>
      <c r="B725" s="1" t="n">
        <v>45863.51965277778</v>
      </c>
      <c r="C725" s="1" t="n">
        <v>46185</v>
      </c>
      <c r="D725" t="inlineStr">
        <is>
          <t>VÄSTERNORRLANDS LÄN</t>
        </is>
      </c>
      <c r="E725" t="inlineStr">
        <is>
          <t>SUNDSVALL</t>
        </is>
      </c>
      <c r="G725" t="n">
        <v>2.2</v>
      </c>
      <c r="H725" t="n">
        <v>2</v>
      </c>
      <c r="I725" t="n">
        <v>0</v>
      </c>
      <c r="J725" t="n">
        <v>0</v>
      </c>
      <c r="K725" t="n">
        <v>1</v>
      </c>
      <c r="L725" t="n">
        <v>0</v>
      </c>
      <c r="M725" t="n">
        <v>0</v>
      </c>
      <c r="N725" t="n">
        <v>0</v>
      </c>
      <c r="O725" t="n">
        <v>1</v>
      </c>
      <c r="P725" t="n">
        <v>1</v>
      </c>
      <c r="Q725" t="n">
        <v>2</v>
      </c>
      <c r="R725" s="2" t="inlineStr">
        <is>
          <t>Knärot
Fläcknycklar</t>
        </is>
      </c>
      <c r="S725">
        <f>HYPERLINK("https://klasma.github.io/Logging_2281/artfynd/A 36001-2025 artfynd.xlsx", "A 36001-2025")</f>
        <v/>
      </c>
      <c r="T725">
        <f>HYPERLINK("https://klasma.github.io/Logging_2281/kartor/A 36001-2025 karta.png", "A 36001-2025")</f>
        <v/>
      </c>
      <c r="U725">
        <f>HYPERLINK("https://klasma.github.io/Logging_2281/knärot/A 36001-2025 karta knärot.png", "A 36001-2025")</f>
        <v/>
      </c>
      <c r="V725">
        <f>HYPERLINK("https://klasma.github.io/Logging_2281/klagomål/A 36001-2025 FSC-klagomål.docx", "A 36001-2025")</f>
        <v/>
      </c>
      <c r="W725">
        <f>HYPERLINK("https://klasma.github.io/Logging_2281/klagomålsmail/A 36001-2025 FSC-klagomål mail.docx", "A 36001-2025")</f>
        <v/>
      </c>
      <c r="X725">
        <f>HYPERLINK("https://klasma.github.io/Logging_2281/tillsyn/A 36001-2025 tillsynsbegäran.docx", "A 36001-2025")</f>
        <v/>
      </c>
      <c r="Y725">
        <f>HYPERLINK("https://klasma.github.io/Logging_2281/tillsynsmail/A 36001-2025 tillsynsbegäran mail.docx", "A 36001-2025")</f>
        <v/>
      </c>
    </row>
    <row r="726" ht="15" customHeight="1">
      <c r="A726" t="inlineStr">
        <is>
          <t>A 39356-2025</t>
        </is>
      </c>
      <c r="B726" s="1" t="n">
        <v>45889.55267361111</v>
      </c>
      <c r="C726" s="1" t="n">
        <v>46185</v>
      </c>
      <c r="D726" t="inlineStr">
        <is>
          <t>VÄSTERNORRLANDS LÄN</t>
        </is>
      </c>
      <c r="E726" t="inlineStr">
        <is>
          <t>TIMRÅ</t>
        </is>
      </c>
      <c r="F726" t="inlineStr">
        <is>
          <t>SCA</t>
        </is>
      </c>
      <c r="G726" t="n">
        <v>2.3</v>
      </c>
      <c r="H726" t="n">
        <v>0</v>
      </c>
      <c r="I726" t="n">
        <v>0</v>
      </c>
      <c r="J726" t="n">
        <v>2</v>
      </c>
      <c r="K726" t="n">
        <v>0</v>
      </c>
      <c r="L726" t="n">
        <v>0</v>
      </c>
      <c r="M726" t="n">
        <v>0</v>
      </c>
      <c r="N726" t="n">
        <v>0</v>
      </c>
      <c r="O726" t="n">
        <v>2</v>
      </c>
      <c r="P726" t="n">
        <v>0</v>
      </c>
      <c r="Q726" t="n">
        <v>2</v>
      </c>
      <c r="R726" s="2" t="inlineStr">
        <is>
          <t>Rosenticka
Ullticka</t>
        </is>
      </c>
      <c r="S726">
        <f>HYPERLINK("https://klasma.github.io/Logging_2262/artfynd/A 39356-2025 artfynd.xlsx", "A 39356-2025")</f>
        <v/>
      </c>
      <c r="T726">
        <f>HYPERLINK("https://klasma.github.io/Logging_2262/kartor/A 39356-2025 karta.png", "A 39356-2025")</f>
        <v/>
      </c>
      <c r="V726">
        <f>HYPERLINK("https://klasma.github.io/Logging_2262/klagomål/A 39356-2025 FSC-klagomål.docx", "A 39356-2025")</f>
        <v/>
      </c>
      <c r="W726">
        <f>HYPERLINK("https://klasma.github.io/Logging_2262/klagomålsmail/A 39356-2025 FSC-klagomål mail.docx", "A 39356-2025")</f>
        <v/>
      </c>
      <c r="X726">
        <f>HYPERLINK("https://klasma.github.io/Logging_2262/tillsyn/A 39356-2025 tillsynsbegäran.docx", "A 39356-2025")</f>
        <v/>
      </c>
      <c r="Y726">
        <f>HYPERLINK("https://klasma.github.io/Logging_2262/tillsynsmail/A 39356-2025 tillsynsbegäran mail.docx", "A 39356-2025")</f>
        <v/>
      </c>
    </row>
    <row r="727" ht="15" customHeight="1">
      <c r="A727" t="inlineStr">
        <is>
          <t>A 40107-2025</t>
        </is>
      </c>
      <c r="B727" s="1" t="n">
        <v>45894.48993055556</v>
      </c>
      <c r="C727" s="1" t="n">
        <v>46185</v>
      </c>
      <c r="D727" t="inlineStr">
        <is>
          <t>VÄSTERNORRLANDS LÄN</t>
        </is>
      </c>
      <c r="E727" t="inlineStr">
        <is>
          <t>TIMRÅ</t>
        </is>
      </c>
      <c r="F727" t="inlineStr">
        <is>
          <t>SCA</t>
        </is>
      </c>
      <c r="G727" t="n">
        <v>4.9</v>
      </c>
      <c r="H727" t="n">
        <v>0</v>
      </c>
      <c r="I727" t="n">
        <v>0</v>
      </c>
      <c r="J727" t="n">
        <v>2</v>
      </c>
      <c r="K727" t="n">
        <v>0</v>
      </c>
      <c r="L727" t="n">
        <v>0</v>
      </c>
      <c r="M727" t="n">
        <v>0</v>
      </c>
      <c r="N727" t="n">
        <v>0</v>
      </c>
      <c r="O727" t="n">
        <v>2</v>
      </c>
      <c r="P727" t="n">
        <v>0</v>
      </c>
      <c r="Q727" t="n">
        <v>2</v>
      </c>
      <c r="R727" s="2" t="inlineStr">
        <is>
          <t>Blå taggsvamp
Svart taggsvamp agg.</t>
        </is>
      </c>
      <c r="S727">
        <f>HYPERLINK("https://klasma.github.io/Logging_2262/artfynd/A 40107-2025 artfynd.xlsx", "A 40107-2025")</f>
        <v/>
      </c>
      <c r="T727">
        <f>HYPERLINK("https://klasma.github.io/Logging_2262/kartor/A 40107-2025 karta.png", "A 40107-2025")</f>
        <v/>
      </c>
      <c r="V727">
        <f>HYPERLINK("https://klasma.github.io/Logging_2262/klagomål/A 40107-2025 FSC-klagomål.docx", "A 40107-2025")</f>
        <v/>
      </c>
      <c r="W727">
        <f>HYPERLINK("https://klasma.github.io/Logging_2262/klagomålsmail/A 40107-2025 FSC-klagomål mail.docx", "A 40107-2025")</f>
        <v/>
      </c>
      <c r="X727">
        <f>HYPERLINK("https://klasma.github.io/Logging_2262/tillsyn/A 40107-2025 tillsynsbegäran.docx", "A 40107-2025")</f>
        <v/>
      </c>
      <c r="Y727">
        <f>HYPERLINK("https://klasma.github.io/Logging_2262/tillsynsmail/A 40107-2025 tillsynsbegäran mail.docx", "A 40107-2025")</f>
        <v/>
      </c>
    </row>
    <row r="728" ht="15" customHeight="1">
      <c r="A728" t="inlineStr">
        <is>
          <t>A 40450-2025</t>
        </is>
      </c>
      <c r="B728" s="1" t="n">
        <v>45895.63584490741</v>
      </c>
      <c r="C728" s="1" t="n">
        <v>46185</v>
      </c>
      <c r="D728" t="inlineStr">
        <is>
          <t>VÄSTERNORRLANDS LÄN</t>
        </is>
      </c>
      <c r="E728" t="inlineStr">
        <is>
          <t>SOLLEFTEÅ</t>
        </is>
      </c>
      <c r="F728" t="inlineStr">
        <is>
          <t>SCA</t>
        </is>
      </c>
      <c r="G728" t="n">
        <v>3.8</v>
      </c>
      <c r="H728" t="n">
        <v>1</v>
      </c>
      <c r="I728" t="n">
        <v>0</v>
      </c>
      <c r="J728" t="n">
        <v>2</v>
      </c>
      <c r="K728" t="n">
        <v>0</v>
      </c>
      <c r="L728" t="n">
        <v>0</v>
      </c>
      <c r="M728" t="n">
        <v>0</v>
      </c>
      <c r="N728" t="n">
        <v>0</v>
      </c>
      <c r="O728" t="n">
        <v>2</v>
      </c>
      <c r="P728" t="n">
        <v>0</v>
      </c>
      <c r="Q728" t="n">
        <v>2</v>
      </c>
      <c r="R728" s="2" t="inlineStr">
        <is>
          <t>Spillkråka
Ullticka</t>
        </is>
      </c>
      <c r="S728">
        <f>HYPERLINK("https://klasma.github.io/Logging_2283/artfynd/A 40450-2025 artfynd.xlsx", "A 40450-2025")</f>
        <v/>
      </c>
      <c r="T728">
        <f>HYPERLINK("https://klasma.github.io/Logging_2283/kartor/A 40450-2025 karta.png", "A 40450-2025")</f>
        <v/>
      </c>
      <c r="V728">
        <f>HYPERLINK("https://klasma.github.io/Logging_2283/klagomål/A 40450-2025 FSC-klagomål.docx", "A 40450-2025")</f>
        <v/>
      </c>
      <c r="W728">
        <f>HYPERLINK("https://klasma.github.io/Logging_2283/klagomålsmail/A 40450-2025 FSC-klagomål mail.docx", "A 40450-2025")</f>
        <v/>
      </c>
      <c r="X728">
        <f>HYPERLINK("https://klasma.github.io/Logging_2283/tillsyn/A 40450-2025 tillsynsbegäran.docx", "A 40450-2025")</f>
        <v/>
      </c>
      <c r="Y728">
        <f>HYPERLINK("https://klasma.github.io/Logging_2283/tillsynsmail/A 40450-2025 tillsynsbegäran mail.docx", "A 40450-2025")</f>
        <v/>
      </c>
      <c r="Z728">
        <f>HYPERLINK("https://klasma.github.io/Logging_2283/fåglar/A 40450-2025 prioriterade fågelarter.docx", "A 40450-2025")</f>
        <v/>
      </c>
    </row>
    <row r="729" ht="15" customHeight="1">
      <c r="A729" t="inlineStr">
        <is>
          <t>A 41024-2025</t>
        </is>
      </c>
      <c r="B729" s="1" t="n">
        <v>45898.36831018519</v>
      </c>
      <c r="C729" s="1" t="n">
        <v>46185</v>
      </c>
      <c r="D729" t="inlineStr">
        <is>
          <t>VÄSTERNORRLANDS LÄN</t>
        </is>
      </c>
      <c r="E729" t="inlineStr">
        <is>
          <t>KRAMFORS</t>
        </is>
      </c>
      <c r="G729" t="n">
        <v>5.2</v>
      </c>
      <c r="H729" t="n">
        <v>0</v>
      </c>
      <c r="I729" t="n">
        <v>2</v>
      </c>
      <c r="J729" t="n">
        <v>0</v>
      </c>
      <c r="K729" t="n">
        <v>0</v>
      </c>
      <c r="L729" t="n">
        <v>0</v>
      </c>
      <c r="M729" t="n">
        <v>0</v>
      </c>
      <c r="N729" t="n">
        <v>0</v>
      </c>
      <c r="O729" t="n">
        <v>0</v>
      </c>
      <c r="P729" t="n">
        <v>0</v>
      </c>
      <c r="Q729" t="n">
        <v>2</v>
      </c>
      <c r="R729" s="2" t="inlineStr">
        <is>
          <t>Stubbspretmossa
Svart trolldruva</t>
        </is>
      </c>
      <c r="S729">
        <f>HYPERLINK("https://klasma.github.io/Logging_2282/artfynd/A 41024-2025 artfynd.xlsx", "A 41024-2025")</f>
        <v/>
      </c>
      <c r="T729">
        <f>HYPERLINK("https://klasma.github.io/Logging_2282/kartor/A 41024-2025 karta.png", "A 41024-2025")</f>
        <v/>
      </c>
      <c r="V729">
        <f>HYPERLINK("https://klasma.github.io/Logging_2282/klagomål/A 41024-2025 FSC-klagomål.docx", "A 41024-2025")</f>
        <v/>
      </c>
      <c r="W729">
        <f>HYPERLINK("https://klasma.github.io/Logging_2282/klagomålsmail/A 41024-2025 FSC-klagomål mail.docx", "A 41024-2025")</f>
        <v/>
      </c>
      <c r="X729">
        <f>HYPERLINK("https://klasma.github.io/Logging_2282/tillsyn/A 41024-2025 tillsynsbegäran.docx", "A 41024-2025")</f>
        <v/>
      </c>
      <c r="Y729">
        <f>HYPERLINK("https://klasma.github.io/Logging_2282/tillsynsmail/A 41024-2025 tillsynsbegäran mail.docx", "A 41024-2025")</f>
        <v/>
      </c>
    </row>
    <row r="730" ht="15" customHeight="1">
      <c r="A730" t="inlineStr">
        <is>
          <t>A 41122-2025</t>
        </is>
      </c>
      <c r="B730" s="1" t="n">
        <v>45898.4693287037</v>
      </c>
      <c r="C730" s="1" t="n">
        <v>46185</v>
      </c>
      <c r="D730" t="inlineStr">
        <is>
          <t>VÄSTERNORRLANDS LÄN</t>
        </is>
      </c>
      <c r="E730" t="inlineStr">
        <is>
          <t>KRAMFORS</t>
        </is>
      </c>
      <c r="F730" t="inlineStr">
        <is>
          <t>SCA</t>
        </is>
      </c>
      <c r="G730" t="n">
        <v>6.7</v>
      </c>
      <c r="H730" t="n">
        <v>1</v>
      </c>
      <c r="I730" t="n">
        <v>0</v>
      </c>
      <c r="J730" t="n">
        <v>0</v>
      </c>
      <c r="K730" t="n">
        <v>1</v>
      </c>
      <c r="L730" t="n">
        <v>0</v>
      </c>
      <c r="M730" t="n">
        <v>0</v>
      </c>
      <c r="N730" t="n">
        <v>0</v>
      </c>
      <c r="O730" t="n">
        <v>1</v>
      </c>
      <c r="P730" t="n">
        <v>1</v>
      </c>
      <c r="Q730" t="n">
        <v>2</v>
      </c>
      <c r="R730" s="2" t="inlineStr">
        <is>
          <t>Läderdoftande fingersvamp
Nattviol</t>
        </is>
      </c>
      <c r="S730">
        <f>HYPERLINK("https://klasma.github.io/Logging_2282/artfynd/A 41122-2025 artfynd.xlsx", "A 41122-2025")</f>
        <v/>
      </c>
      <c r="T730">
        <f>HYPERLINK("https://klasma.github.io/Logging_2282/kartor/A 41122-2025 karta.png", "A 41122-2025")</f>
        <v/>
      </c>
      <c r="V730">
        <f>HYPERLINK("https://klasma.github.io/Logging_2282/klagomål/A 41122-2025 FSC-klagomål.docx", "A 41122-2025")</f>
        <v/>
      </c>
      <c r="W730">
        <f>HYPERLINK("https://klasma.github.io/Logging_2282/klagomålsmail/A 41122-2025 FSC-klagomål mail.docx", "A 41122-2025")</f>
        <v/>
      </c>
      <c r="X730">
        <f>HYPERLINK("https://klasma.github.io/Logging_2282/tillsyn/A 41122-2025 tillsynsbegäran.docx", "A 41122-2025")</f>
        <v/>
      </c>
      <c r="Y730">
        <f>HYPERLINK("https://klasma.github.io/Logging_2282/tillsynsmail/A 41122-2025 tillsynsbegäran mail.docx", "A 41122-2025")</f>
        <v/>
      </c>
    </row>
    <row r="731" ht="15" customHeight="1">
      <c r="A731" t="inlineStr">
        <is>
          <t>A 30187-2025</t>
        </is>
      </c>
      <c r="B731" s="1" t="n">
        <v>45827.3472800926</v>
      </c>
      <c r="C731" s="1" t="n">
        <v>46185</v>
      </c>
      <c r="D731" t="inlineStr">
        <is>
          <t>VÄSTERNORRLANDS LÄN</t>
        </is>
      </c>
      <c r="E731" t="inlineStr">
        <is>
          <t>TIMRÅ</t>
        </is>
      </c>
      <c r="F731" t="inlineStr">
        <is>
          <t>SCA</t>
        </is>
      </c>
      <c r="G731" t="n">
        <v>0.6</v>
      </c>
      <c r="H731" t="n">
        <v>0</v>
      </c>
      <c r="I731" t="n">
        <v>0</v>
      </c>
      <c r="J731" t="n">
        <v>2</v>
      </c>
      <c r="K731" t="n">
        <v>0</v>
      </c>
      <c r="L731" t="n">
        <v>0</v>
      </c>
      <c r="M731" t="n">
        <v>0</v>
      </c>
      <c r="N731" t="n">
        <v>0</v>
      </c>
      <c r="O731" t="n">
        <v>2</v>
      </c>
      <c r="P731" t="n">
        <v>0</v>
      </c>
      <c r="Q731" t="n">
        <v>2</v>
      </c>
      <c r="R731" s="2" t="inlineStr">
        <is>
          <t>Rosenticka
Ullticka</t>
        </is>
      </c>
      <c r="S731">
        <f>HYPERLINK("https://klasma.github.io/Logging_2262/artfynd/A 30187-2025 artfynd.xlsx", "A 30187-2025")</f>
        <v/>
      </c>
      <c r="T731">
        <f>HYPERLINK("https://klasma.github.io/Logging_2262/kartor/A 30187-2025 karta.png", "A 30187-2025")</f>
        <v/>
      </c>
      <c r="V731">
        <f>HYPERLINK("https://klasma.github.io/Logging_2262/klagomål/A 30187-2025 FSC-klagomål.docx", "A 30187-2025")</f>
        <v/>
      </c>
      <c r="W731">
        <f>HYPERLINK("https://klasma.github.io/Logging_2262/klagomålsmail/A 30187-2025 FSC-klagomål mail.docx", "A 30187-2025")</f>
        <v/>
      </c>
      <c r="X731">
        <f>HYPERLINK("https://klasma.github.io/Logging_2262/tillsyn/A 30187-2025 tillsynsbegäran.docx", "A 30187-2025")</f>
        <v/>
      </c>
      <c r="Y731">
        <f>HYPERLINK("https://klasma.github.io/Logging_2262/tillsynsmail/A 30187-2025 tillsynsbegäran mail.docx", "A 30187-2025")</f>
        <v/>
      </c>
    </row>
    <row r="732" ht="15" customHeight="1">
      <c r="A732" t="inlineStr">
        <is>
          <t>A 30972-2025</t>
        </is>
      </c>
      <c r="B732" s="1" t="n">
        <v>45832.4615625</v>
      </c>
      <c r="C732" s="1" t="n">
        <v>46185</v>
      </c>
      <c r="D732" t="inlineStr">
        <is>
          <t>VÄSTERNORRLANDS LÄN</t>
        </is>
      </c>
      <c r="E732" t="inlineStr">
        <is>
          <t>SOLLEFTEÅ</t>
        </is>
      </c>
      <c r="G732" t="n">
        <v>0.6</v>
      </c>
      <c r="H732" t="n">
        <v>0</v>
      </c>
      <c r="I732" t="n">
        <v>0</v>
      </c>
      <c r="J732" t="n">
        <v>2</v>
      </c>
      <c r="K732" t="n">
        <v>0</v>
      </c>
      <c r="L732" t="n">
        <v>0</v>
      </c>
      <c r="M732" t="n">
        <v>0</v>
      </c>
      <c r="N732" t="n">
        <v>0</v>
      </c>
      <c r="O732" t="n">
        <v>2</v>
      </c>
      <c r="P732" t="n">
        <v>0</v>
      </c>
      <c r="Q732" t="n">
        <v>2</v>
      </c>
      <c r="R732" s="2" t="inlineStr">
        <is>
          <t>Rosenticka
Ullticka</t>
        </is>
      </c>
      <c r="S732">
        <f>HYPERLINK("https://klasma.github.io/Logging_2283/artfynd/A 30972-2025 artfynd.xlsx", "A 30972-2025")</f>
        <v/>
      </c>
      <c r="T732">
        <f>HYPERLINK("https://klasma.github.io/Logging_2283/kartor/A 30972-2025 karta.png", "A 30972-2025")</f>
        <v/>
      </c>
      <c r="V732">
        <f>HYPERLINK("https://klasma.github.io/Logging_2283/klagomål/A 30972-2025 FSC-klagomål.docx", "A 30972-2025")</f>
        <v/>
      </c>
      <c r="W732">
        <f>HYPERLINK("https://klasma.github.io/Logging_2283/klagomålsmail/A 30972-2025 FSC-klagomål mail.docx", "A 30972-2025")</f>
        <v/>
      </c>
      <c r="X732">
        <f>HYPERLINK("https://klasma.github.io/Logging_2283/tillsyn/A 30972-2025 tillsynsbegäran.docx", "A 30972-2025")</f>
        <v/>
      </c>
      <c r="Y732">
        <f>HYPERLINK("https://klasma.github.io/Logging_2283/tillsynsmail/A 30972-2025 tillsynsbegäran mail.docx", "A 30972-2025")</f>
        <v/>
      </c>
    </row>
    <row r="733" ht="15" customHeight="1">
      <c r="A733" t="inlineStr">
        <is>
          <t>A 31503-2025</t>
        </is>
      </c>
      <c r="B733" s="1" t="n">
        <v>45833.59417824074</v>
      </c>
      <c r="C733" s="1" t="n">
        <v>46185</v>
      </c>
      <c r="D733" t="inlineStr">
        <is>
          <t>VÄSTERNORRLANDS LÄN</t>
        </is>
      </c>
      <c r="E733" t="inlineStr">
        <is>
          <t>SOLLEFTEÅ</t>
        </is>
      </c>
      <c r="F733" t="inlineStr">
        <is>
          <t>SCA</t>
        </is>
      </c>
      <c r="G733" t="n">
        <v>22.8</v>
      </c>
      <c r="H733" t="n">
        <v>2</v>
      </c>
      <c r="I733" t="n">
        <v>1</v>
      </c>
      <c r="J733" t="n">
        <v>0</v>
      </c>
      <c r="K733" t="n">
        <v>1</v>
      </c>
      <c r="L733" t="n">
        <v>0</v>
      </c>
      <c r="M733" t="n">
        <v>0</v>
      </c>
      <c r="N733" t="n">
        <v>0</v>
      </c>
      <c r="O733" t="n">
        <v>1</v>
      </c>
      <c r="P733" t="n">
        <v>1</v>
      </c>
      <c r="Q733" t="n">
        <v>2</v>
      </c>
      <c r="R733" s="2" t="inlineStr">
        <is>
          <t>Knärot
Plattlummer</t>
        </is>
      </c>
      <c r="S733">
        <f>HYPERLINK("https://klasma.github.io/Logging_2283/artfynd/A 31503-2025 artfynd.xlsx", "A 31503-2025")</f>
        <v/>
      </c>
      <c r="T733">
        <f>HYPERLINK("https://klasma.github.io/Logging_2283/kartor/A 31503-2025 karta.png", "A 31503-2025")</f>
        <v/>
      </c>
      <c r="U733">
        <f>HYPERLINK("https://klasma.github.io/Logging_2283/knärot/A 31503-2025 karta knärot.png", "A 31503-2025")</f>
        <v/>
      </c>
      <c r="V733">
        <f>HYPERLINK("https://klasma.github.io/Logging_2283/klagomål/A 31503-2025 FSC-klagomål.docx", "A 31503-2025")</f>
        <v/>
      </c>
      <c r="W733">
        <f>HYPERLINK("https://klasma.github.io/Logging_2283/klagomålsmail/A 31503-2025 FSC-klagomål mail.docx", "A 31503-2025")</f>
        <v/>
      </c>
      <c r="X733">
        <f>HYPERLINK("https://klasma.github.io/Logging_2283/tillsyn/A 31503-2025 tillsynsbegäran.docx", "A 31503-2025")</f>
        <v/>
      </c>
      <c r="Y733">
        <f>HYPERLINK("https://klasma.github.io/Logging_2283/tillsynsmail/A 31503-2025 tillsynsbegäran mail.docx", "A 31503-2025")</f>
        <v/>
      </c>
    </row>
    <row r="734" ht="15" customHeight="1">
      <c r="A734" t="inlineStr">
        <is>
          <t>A 45343-2023</t>
        </is>
      </c>
      <c r="B734" s="1" t="n">
        <v>45191</v>
      </c>
      <c r="C734" s="1" t="n">
        <v>46185</v>
      </c>
      <c r="D734" t="inlineStr">
        <is>
          <t>VÄSTERNORRLANDS LÄN</t>
        </is>
      </c>
      <c r="E734" t="inlineStr">
        <is>
          <t>TIMRÅ</t>
        </is>
      </c>
      <c r="F734" t="inlineStr">
        <is>
          <t>SCA</t>
        </is>
      </c>
      <c r="G734" t="n">
        <v>9.5</v>
      </c>
      <c r="H734" t="n">
        <v>1</v>
      </c>
      <c r="I734" t="n">
        <v>1</v>
      </c>
      <c r="J734" t="n">
        <v>1</v>
      </c>
      <c r="K734" t="n">
        <v>0</v>
      </c>
      <c r="L734" t="n">
        <v>0</v>
      </c>
      <c r="M734" t="n">
        <v>0</v>
      </c>
      <c r="N734" t="n">
        <v>0</v>
      </c>
      <c r="O734" t="n">
        <v>1</v>
      </c>
      <c r="P734" t="n">
        <v>0</v>
      </c>
      <c r="Q734" t="n">
        <v>2</v>
      </c>
      <c r="R734" s="2" t="inlineStr">
        <is>
          <t>Garnlav
Plattlummer</t>
        </is>
      </c>
      <c r="S734">
        <f>HYPERLINK("https://klasma.github.io/Logging_2262/artfynd/A 45343-2023 artfynd.xlsx", "A 45343-2023")</f>
        <v/>
      </c>
      <c r="T734">
        <f>HYPERLINK("https://klasma.github.io/Logging_2262/kartor/A 45343-2023 karta.png", "A 45343-2023")</f>
        <v/>
      </c>
      <c r="V734">
        <f>HYPERLINK("https://klasma.github.io/Logging_2262/klagomål/A 45343-2023 FSC-klagomål.docx", "A 45343-2023")</f>
        <v/>
      </c>
      <c r="W734">
        <f>HYPERLINK("https://klasma.github.io/Logging_2262/klagomålsmail/A 45343-2023 FSC-klagomål mail.docx", "A 45343-2023")</f>
        <v/>
      </c>
      <c r="X734">
        <f>HYPERLINK("https://klasma.github.io/Logging_2262/tillsyn/A 45343-2023 tillsynsbegäran.docx", "A 45343-2023")</f>
        <v/>
      </c>
      <c r="Y734">
        <f>HYPERLINK("https://klasma.github.io/Logging_2262/tillsynsmail/A 45343-2023 tillsynsbegäran mail.docx", "A 45343-2023")</f>
        <v/>
      </c>
    </row>
    <row r="735" ht="15" customHeight="1">
      <c r="A735" t="inlineStr">
        <is>
          <t>A 54155-2023</t>
        </is>
      </c>
      <c r="B735" s="1" t="n">
        <v>45232</v>
      </c>
      <c r="C735" s="1" t="n">
        <v>46185</v>
      </c>
      <c r="D735" t="inlineStr">
        <is>
          <t>VÄSTERNORRLANDS LÄN</t>
        </is>
      </c>
      <c r="E735" t="inlineStr">
        <is>
          <t>ÖRNSKÖLDSVIK</t>
        </is>
      </c>
      <c r="G735" t="n">
        <v>2.5</v>
      </c>
      <c r="H735" t="n">
        <v>0</v>
      </c>
      <c r="I735" t="n">
        <v>0</v>
      </c>
      <c r="J735" t="n">
        <v>1</v>
      </c>
      <c r="K735" t="n">
        <v>1</v>
      </c>
      <c r="L735" t="n">
        <v>0</v>
      </c>
      <c r="M735" t="n">
        <v>0</v>
      </c>
      <c r="N735" t="n">
        <v>0</v>
      </c>
      <c r="O735" t="n">
        <v>2</v>
      </c>
      <c r="P735" t="n">
        <v>1</v>
      </c>
      <c r="Q735" t="n">
        <v>2</v>
      </c>
      <c r="R735" s="2" t="inlineStr">
        <is>
          <t>Liten hornflikmossa
Vedtrappmossa</t>
        </is>
      </c>
      <c r="S735">
        <f>HYPERLINK("https://klasma.github.io/Logging_2284/artfynd/A 54155-2023 artfynd.xlsx", "A 54155-2023")</f>
        <v/>
      </c>
      <c r="T735">
        <f>HYPERLINK("https://klasma.github.io/Logging_2284/kartor/A 54155-2023 karta.png", "A 54155-2023")</f>
        <v/>
      </c>
      <c r="V735">
        <f>HYPERLINK("https://klasma.github.io/Logging_2284/klagomål/A 54155-2023 FSC-klagomål.docx", "A 54155-2023")</f>
        <v/>
      </c>
      <c r="W735">
        <f>HYPERLINK("https://klasma.github.io/Logging_2284/klagomålsmail/A 54155-2023 FSC-klagomål mail.docx", "A 54155-2023")</f>
        <v/>
      </c>
      <c r="X735">
        <f>HYPERLINK("https://klasma.github.io/Logging_2284/tillsyn/A 54155-2023 tillsynsbegäran.docx", "A 54155-2023")</f>
        <v/>
      </c>
      <c r="Y735">
        <f>HYPERLINK("https://klasma.github.io/Logging_2284/tillsynsmail/A 54155-2023 tillsynsbegäran mail.docx", "A 54155-2023")</f>
        <v/>
      </c>
    </row>
    <row r="736" ht="15" customHeight="1">
      <c r="A736" t="inlineStr">
        <is>
          <t>A 32738-2025</t>
        </is>
      </c>
      <c r="B736" s="1" t="n">
        <v>45839.41827546297</v>
      </c>
      <c r="C736" s="1" t="n">
        <v>46185</v>
      </c>
      <c r="D736" t="inlineStr">
        <is>
          <t>VÄSTERNORRLANDS LÄN</t>
        </is>
      </c>
      <c r="E736" t="inlineStr">
        <is>
          <t>SOLLEFTEÅ</t>
        </is>
      </c>
      <c r="G736" t="n">
        <v>3.1</v>
      </c>
      <c r="H736" t="n">
        <v>2</v>
      </c>
      <c r="I736" t="n">
        <v>0</v>
      </c>
      <c r="J736" t="n">
        <v>1</v>
      </c>
      <c r="K736" t="n">
        <v>0</v>
      </c>
      <c r="L736" t="n">
        <v>0</v>
      </c>
      <c r="M736" t="n">
        <v>0</v>
      </c>
      <c r="N736" t="n">
        <v>0</v>
      </c>
      <c r="O736" t="n">
        <v>1</v>
      </c>
      <c r="P736" t="n">
        <v>0</v>
      </c>
      <c r="Q736" t="n">
        <v>2</v>
      </c>
      <c r="R736" s="2" t="inlineStr">
        <is>
          <t>Spillkråka
Tjäder</t>
        </is>
      </c>
      <c r="S736">
        <f>HYPERLINK("https://klasma.github.io/Logging_2283/artfynd/A 32738-2025 artfynd.xlsx", "A 32738-2025")</f>
        <v/>
      </c>
      <c r="T736">
        <f>HYPERLINK("https://klasma.github.io/Logging_2283/kartor/A 32738-2025 karta.png", "A 32738-2025")</f>
        <v/>
      </c>
      <c r="V736">
        <f>HYPERLINK("https://klasma.github.io/Logging_2283/klagomål/A 32738-2025 FSC-klagomål.docx", "A 32738-2025")</f>
        <v/>
      </c>
      <c r="W736">
        <f>HYPERLINK("https://klasma.github.io/Logging_2283/klagomålsmail/A 32738-2025 FSC-klagomål mail.docx", "A 32738-2025")</f>
        <v/>
      </c>
      <c r="X736">
        <f>HYPERLINK("https://klasma.github.io/Logging_2283/tillsyn/A 32738-2025 tillsynsbegäran.docx", "A 32738-2025")</f>
        <v/>
      </c>
      <c r="Y736">
        <f>HYPERLINK("https://klasma.github.io/Logging_2283/tillsynsmail/A 32738-2025 tillsynsbegäran mail.docx", "A 32738-2025")</f>
        <v/>
      </c>
      <c r="Z736">
        <f>HYPERLINK("https://klasma.github.io/Logging_2283/fåglar/A 32738-2025 prioriterade fågelarter.docx", "A 32738-2025")</f>
        <v/>
      </c>
    </row>
    <row r="737" ht="15" customHeight="1">
      <c r="A737" t="inlineStr">
        <is>
          <t>A 43616-2025</t>
        </is>
      </c>
      <c r="B737" s="1" t="n">
        <v>45911.67792824074</v>
      </c>
      <c r="C737" s="1" t="n">
        <v>46185</v>
      </c>
      <c r="D737" t="inlineStr">
        <is>
          <t>VÄSTERNORRLANDS LÄN</t>
        </is>
      </c>
      <c r="E737" t="inlineStr">
        <is>
          <t>SUNDSVALL</t>
        </is>
      </c>
      <c r="F737" t="inlineStr">
        <is>
          <t>Naturvårdsverket</t>
        </is>
      </c>
      <c r="G737" t="n">
        <v>3.5</v>
      </c>
      <c r="H737" t="n">
        <v>2</v>
      </c>
      <c r="I737" t="n">
        <v>1</v>
      </c>
      <c r="J737" t="n">
        <v>0</v>
      </c>
      <c r="K737" t="n">
        <v>0</v>
      </c>
      <c r="L737" t="n">
        <v>0</v>
      </c>
      <c r="M737" t="n">
        <v>0</v>
      </c>
      <c r="N737" t="n">
        <v>0</v>
      </c>
      <c r="O737" t="n">
        <v>0</v>
      </c>
      <c r="P737" t="n">
        <v>0</v>
      </c>
      <c r="Q737" t="n">
        <v>2</v>
      </c>
      <c r="R737" s="2" t="inlineStr">
        <is>
          <t>Spindelblomster
Fläcknycklar</t>
        </is>
      </c>
      <c r="S737">
        <f>HYPERLINK("https://klasma.github.io/Logging_2281/artfynd/A 43616-2025 artfynd.xlsx", "A 43616-2025")</f>
        <v/>
      </c>
      <c r="T737">
        <f>HYPERLINK("https://klasma.github.io/Logging_2281/kartor/A 43616-2025 karta.png", "A 43616-2025")</f>
        <v/>
      </c>
      <c r="V737">
        <f>HYPERLINK("https://klasma.github.io/Logging_2281/klagomål/A 43616-2025 FSC-klagomål.docx", "A 43616-2025")</f>
        <v/>
      </c>
      <c r="W737">
        <f>HYPERLINK("https://klasma.github.io/Logging_2281/klagomålsmail/A 43616-2025 FSC-klagomål mail.docx", "A 43616-2025")</f>
        <v/>
      </c>
      <c r="X737">
        <f>HYPERLINK("https://klasma.github.io/Logging_2281/tillsyn/A 43616-2025 tillsynsbegäran.docx", "A 43616-2025")</f>
        <v/>
      </c>
      <c r="Y737">
        <f>HYPERLINK("https://klasma.github.io/Logging_2281/tillsynsmail/A 43616-2025 tillsynsbegäran mail.docx", "A 43616-2025")</f>
        <v/>
      </c>
    </row>
    <row r="738" ht="15" customHeight="1">
      <c r="A738" t="inlineStr">
        <is>
          <t>A 43721-2025</t>
        </is>
      </c>
      <c r="B738" s="1" t="n">
        <v>45912.42800925926</v>
      </c>
      <c r="C738" s="1" t="n">
        <v>46185</v>
      </c>
      <c r="D738" t="inlineStr">
        <is>
          <t>VÄSTERNORRLANDS LÄN</t>
        </is>
      </c>
      <c r="E738" t="inlineStr">
        <is>
          <t>ÅNGE</t>
        </is>
      </c>
      <c r="F738" t="inlineStr">
        <is>
          <t>SCA</t>
        </is>
      </c>
      <c r="G738" t="n">
        <v>9.9</v>
      </c>
      <c r="H738" t="n">
        <v>1</v>
      </c>
      <c r="I738" t="n">
        <v>1</v>
      </c>
      <c r="J738" t="n">
        <v>0</v>
      </c>
      <c r="K738" t="n">
        <v>1</v>
      </c>
      <c r="L738" t="n">
        <v>0</v>
      </c>
      <c r="M738" t="n">
        <v>0</v>
      </c>
      <c r="N738" t="n">
        <v>0</v>
      </c>
      <c r="O738" t="n">
        <v>1</v>
      </c>
      <c r="P738" t="n">
        <v>1</v>
      </c>
      <c r="Q738" t="n">
        <v>2</v>
      </c>
      <c r="R738" s="2" t="inlineStr">
        <is>
          <t>Knärot
Svavelriska</t>
        </is>
      </c>
      <c r="S738">
        <f>HYPERLINK("https://klasma.github.io/Logging_2260/artfynd/A 43721-2025 artfynd.xlsx", "A 43721-2025")</f>
        <v/>
      </c>
      <c r="T738">
        <f>HYPERLINK("https://klasma.github.io/Logging_2260/kartor/A 43721-2025 karta.png", "A 43721-2025")</f>
        <v/>
      </c>
      <c r="U738">
        <f>HYPERLINK("https://klasma.github.io/Logging_2260/knärot/A 43721-2025 karta knärot.png", "A 43721-2025")</f>
        <v/>
      </c>
      <c r="V738">
        <f>HYPERLINK("https://klasma.github.io/Logging_2260/klagomål/A 43721-2025 FSC-klagomål.docx", "A 43721-2025")</f>
        <v/>
      </c>
      <c r="W738">
        <f>HYPERLINK("https://klasma.github.io/Logging_2260/klagomålsmail/A 43721-2025 FSC-klagomål mail.docx", "A 43721-2025")</f>
        <v/>
      </c>
      <c r="X738">
        <f>HYPERLINK("https://klasma.github.io/Logging_2260/tillsyn/A 43721-2025 tillsynsbegäran.docx", "A 43721-2025")</f>
        <v/>
      </c>
      <c r="Y738">
        <f>HYPERLINK("https://klasma.github.io/Logging_2260/tillsynsmail/A 43721-2025 tillsynsbegäran mail.docx", "A 43721-2025")</f>
        <v/>
      </c>
    </row>
    <row r="739" ht="15" customHeight="1">
      <c r="A739" t="inlineStr">
        <is>
          <t>A 47711-2024</t>
        </is>
      </c>
      <c r="B739" s="1" t="n">
        <v>45588</v>
      </c>
      <c r="C739" s="1" t="n">
        <v>46185</v>
      </c>
      <c r="D739" t="inlineStr">
        <is>
          <t>VÄSTERNORRLANDS LÄN</t>
        </is>
      </c>
      <c r="E739" t="inlineStr">
        <is>
          <t>HÄRNÖSAND</t>
        </is>
      </c>
      <c r="G739" t="n">
        <v>39.5</v>
      </c>
      <c r="H739" t="n">
        <v>0</v>
      </c>
      <c r="I739" t="n">
        <v>1</v>
      </c>
      <c r="J739" t="n">
        <v>1</v>
      </c>
      <c r="K739" t="n">
        <v>0</v>
      </c>
      <c r="L739" t="n">
        <v>0</v>
      </c>
      <c r="M739" t="n">
        <v>0</v>
      </c>
      <c r="N739" t="n">
        <v>0</v>
      </c>
      <c r="O739" t="n">
        <v>1</v>
      </c>
      <c r="P739" t="n">
        <v>0</v>
      </c>
      <c r="Q739" t="n">
        <v>2</v>
      </c>
      <c r="R739" s="2" t="inlineStr">
        <is>
          <t>Motaggsvamp
Dropptaggsvamp</t>
        </is>
      </c>
      <c r="S739">
        <f>HYPERLINK("https://klasma.github.io/Logging_2280/artfynd/A 47711-2024 artfynd.xlsx", "A 47711-2024")</f>
        <v/>
      </c>
      <c r="T739">
        <f>HYPERLINK("https://klasma.github.io/Logging_2280/kartor/A 47711-2024 karta.png", "A 47711-2024")</f>
        <v/>
      </c>
      <c r="V739">
        <f>HYPERLINK("https://klasma.github.io/Logging_2280/klagomål/A 47711-2024 FSC-klagomål.docx", "A 47711-2024")</f>
        <v/>
      </c>
      <c r="W739">
        <f>HYPERLINK("https://klasma.github.io/Logging_2280/klagomålsmail/A 47711-2024 FSC-klagomål mail.docx", "A 47711-2024")</f>
        <v/>
      </c>
      <c r="X739">
        <f>HYPERLINK("https://klasma.github.io/Logging_2280/tillsyn/A 47711-2024 tillsynsbegäran.docx", "A 47711-2024")</f>
        <v/>
      </c>
      <c r="Y739">
        <f>HYPERLINK("https://klasma.github.io/Logging_2280/tillsynsmail/A 47711-2024 tillsynsbegäran mail.docx", "A 47711-2024")</f>
        <v/>
      </c>
    </row>
    <row r="740" ht="15" customHeight="1">
      <c r="A740" t="inlineStr">
        <is>
          <t>A 34545-2025</t>
        </is>
      </c>
      <c r="B740" s="1" t="n">
        <v>45847.53387731482</v>
      </c>
      <c r="C740" s="1" t="n">
        <v>46185</v>
      </c>
      <c r="D740" t="inlineStr">
        <is>
          <t>VÄSTERNORRLANDS LÄN</t>
        </is>
      </c>
      <c r="E740" t="inlineStr">
        <is>
          <t>HÄRNÖSAND</t>
        </is>
      </c>
      <c r="F740" t="inlineStr">
        <is>
          <t>Kyrkan</t>
        </is>
      </c>
      <c r="G740" t="n">
        <v>9.699999999999999</v>
      </c>
      <c r="H740" t="n">
        <v>1</v>
      </c>
      <c r="I740" t="n">
        <v>1</v>
      </c>
      <c r="J740" t="n">
        <v>1</v>
      </c>
      <c r="K740" t="n">
        <v>0</v>
      </c>
      <c r="L740" t="n">
        <v>0</v>
      </c>
      <c r="M740" t="n">
        <v>0</v>
      </c>
      <c r="N740" t="n">
        <v>0</v>
      </c>
      <c r="O740" t="n">
        <v>1</v>
      </c>
      <c r="P740" t="n">
        <v>0</v>
      </c>
      <c r="Q740" t="n">
        <v>2</v>
      </c>
      <c r="R740" s="2" t="inlineStr">
        <is>
          <t>Tretåig hackspett
Korallblylav</t>
        </is>
      </c>
      <c r="S740">
        <f>HYPERLINK("https://klasma.github.io/Logging_2280/artfynd/A 34545-2025 artfynd.xlsx", "A 34545-2025")</f>
        <v/>
      </c>
      <c r="T740">
        <f>HYPERLINK("https://klasma.github.io/Logging_2280/kartor/A 34545-2025 karta.png", "A 34545-2025")</f>
        <v/>
      </c>
      <c r="V740">
        <f>HYPERLINK("https://klasma.github.io/Logging_2280/klagomål/A 34545-2025 FSC-klagomål.docx", "A 34545-2025")</f>
        <v/>
      </c>
      <c r="W740">
        <f>HYPERLINK("https://klasma.github.io/Logging_2280/klagomålsmail/A 34545-2025 FSC-klagomål mail.docx", "A 34545-2025")</f>
        <v/>
      </c>
      <c r="X740">
        <f>HYPERLINK("https://klasma.github.io/Logging_2280/tillsyn/A 34545-2025 tillsynsbegäran.docx", "A 34545-2025")</f>
        <v/>
      </c>
      <c r="Y740">
        <f>HYPERLINK("https://klasma.github.io/Logging_2280/tillsynsmail/A 34545-2025 tillsynsbegäran mail.docx", "A 34545-2025")</f>
        <v/>
      </c>
      <c r="Z740">
        <f>HYPERLINK("https://klasma.github.io/Logging_2280/fåglar/A 34545-2025 prioriterade fågelarter.docx", "A 34545-2025")</f>
        <v/>
      </c>
    </row>
    <row r="741" ht="15" customHeight="1">
      <c r="A741" t="inlineStr">
        <is>
          <t>A 47719-2024</t>
        </is>
      </c>
      <c r="B741" s="1" t="n">
        <v>45588.48996527777</v>
      </c>
      <c r="C741" s="1" t="n">
        <v>46185</v>
      </c>
      <c r="D741" t="inlineStr">
        <is>
          <t>VÄSTERNORRLANDS LÄN</t>
        </is>
      </c>
      <c r="E741" t="inlineStr">
        <is>
          <t>ÅNGE</t>
        </is>
      </c>
      <c r="F741" t="inlineStr">
        <is>
          <t>SCA</t>
        </is>
      </c>
      <c r="G741" t="n">
        <v>1.4</v>
      </c>
      <c r="H741" t="n">
        <v>0</v>
      </c>
      <c r="I741" t="n">
        <v>0</v>
      </c>
      <c r="J741" t="n">
        <v>2</v>
      </c>
      <c r="K741" t="n">
        <v>0</v>
      </c>
      <c r="L741" t="n">
        <v>0</v>
      </c>
      <c r="M741" t="n">
        <v>0</v>
      </c>
      <c r="N741" t="n">
        <v>0</v>
      </c>
      <c r="O741" t="n">
        <v>2</v>
      </c>
      <c r="P741" t="n">
        <v>0</v>
      </c>
      <c r="Q741" t="n">
        <v>2</v>
      </c>
      <c r="R741" s="2" t="inlineStr">
        <is>
          <t>Dvärgbägarlav
Vedskivlav</t>
        </is>
      </c>
      <c r="S741">
        <f>HYPERLINK("https://klasma.github.io/Logging_2260/artfynd/A 47719-2024 artfynd.xlsx", "A 47719-2024")</f>
        <v/>
      </c>
      <c r="T741">
        <f>HYPERLINK("https://klasma.github.io/Logging_2260/kartor/A 47719-2024 karta.png", "A 47719-2024")</f>
        <v/>
      </c>
      <c r="V741">
        <f>HYPERLINK("https://klasma.github.io/Logging_2260/klagomål/A 47719-2024 FSC-klagomål.docx", "A 47719-2024")</f>
        <v/>
      </c>
      <c r="W741">
        <f>HYPERLINK("https://klasma.github.io/Logging_2260/klagomålsmail/A 47719-2024 FSC-klagomål mail.docx", "A 47719-2024")</f>
        <v/>
      </c>
      <c r="X741">
        <f>HYPERLINK("https://klasma.github.io/Logging_2260/tillsyn/A 47719-2024 tillsynsbegäran.docx", "A 47719-2024")</f>
        <v/>
      </c>
      <c r="Y741">
        <f>HYPERLINK("https://klasma.github.io/Logging_2260/tillsynsmail/A 47719-2024 tillsynsbegäran mail.docx", "A 47719-2024")</f>
        <v/>
      </c>
    </row>
    <row r="742" ht="15" customHeight="1">
      <c r="A742" t="inlineStr">
        <is>
          <t>A 54552-2024</t>
        </is>
      </c>
      <c r="B742" s="1" t="n">
        <v>45617.61793981482</v>
      </c>
      <c r="C742" s="1" t="n">
        <v>46185</v>
      </c>
      <c r="D742" t="inlineStr">
        <is>
          <t>VÄSTERNORRLANDS LÄN</t>
        </is>
      </c>
      <c r="E742" t="inlineStr">
        <is>
          <t>HÄRNÖSAND</t>
        </is>
      </c>
      <c r="F742" t="inlineStr">
        <is>
          <t>SCA</t>
        </is>
      </c>
      <c r="G742" t="n">
        <v>2.2</v>
      </c>
      <c r="H742" t="n">
        <v>0</v>
      </c>
      <c r="I742" t="n">
        <v>0</v>
      </c>
      <c r="J742" t="n">
        <v>2</v>
      </c>
      <c r="K742" t="n">
        <v>0</v>
      </c>
      <c r="L742" t="n">
        <v>0</v>
      </c>
      <c r="M742" t="n">
        <v>0</v>
      </c>
      <c r="N742" t="n">
        <v>0</v>
      </c>
      <c r="O742" t="n">
        <v>2</v>
      </c>
      <c r="P742" t="n">
        <v>0</v>
      </c>
      <c r="Q742" t="n">
        <v>2</v>
      </c>
      <c r="R742" s="2" t="inlineStr">
        <is>
          <t>Garnlav
Rosenticka</t>
        </is>
      </c>
      <c r="S742">
        <f>HYPERLINK("https://klasma.github.io/Logging_2280/artfynd/A 54552-2024 artfynd.xlsx", "A 54552-2024")</f>
        <v/>
      </c>
      <c r="T742">
        <f>HYPERLINK("https://klasma.github.io/Logging_2280/kartor/A 54552-2024 karta.png", "A 54552-2024")</f>
        <v/>
      </c>
      <c r="V742">
        <f>HYPERLINK("https://klasma.github.io/Logging_2280/klagomål/A 54552-2024 FSC-klagomål.docx", "A 54552-2024")</f>
        <v/>
      </c>
      <c r="W742">
        <f>HYPERLINK("https://klasma.github.io/Logging_2280/klagomålsmail/A 54552-2024 FSC-klagomål mail.docx", "A 54552-2024")</f>
        <v/>
      </c>
      <c r="X742">
        <f>HYPERLINK("https://klasma.github.io/Logging_2280/tillsyn/A 54552-2024 tillsynsbegäran.docx", "A 54552-2024")</f>
        <v/>
      </c>
      <c r="Y742">
        <f>HYPERLINK("https://klasma.github.io/Logging_2280/tillsynsmail/A 54552-2024 tillsynsbegäran mail.docx", "A 54552-2024")</f>
        <v/>
      </c>
    </row>
    <row r="743" ht="15" customHeight="1">
      <c r="A743" t="inlineStr">
        <is>
          <t>A 46545-2025</t>
        </is>
      </c>
      <c r="B743" s="1" t="n">
        <v>45926.34505787037</v>
      </c>
      <c r="C743" s="1" t="n">
        <v>46185</v>
      </c>
      <c r="D743" t="inlineStr">
        <is>
          <t>VÄSTERNORRLANDS LÄN</t>
        </is>
      </c>
      <c r="E743" t="inlineStr">
        <is>
          <t>SUNDSVALL</t>
        </is>
      </c>
      <c r="F743" t="inlineStr">
        <is>
          <t>SCA</t>
        </is>
      </c>
      <c r="G743" t="n">
        <v>2.9</v>
      </c>
      <c r="H743" t="n">
        <v>0</v>
      </c>
      <c r="I743" t="n">
        <v>1</v>
      </c>
      <c r="J743" t="n">
        <v>1</v>
      </c>
      <c r="K743" t="n">
        <v>0</v>
      </c>
      <c r="L743" t="n">
        <v>0</v>
      </c>
      <c r="M743" t="n">
        <v>0</v>
      </c>
      <c r="N743" t="n">
        <v>0</v>
      </c>
      <c r="O743" t="n">
        <v>1</v>
      </c>
      <c r="P743" t="n">
        <v>0</v>
      </c>
      <c r="Q743" t="n">
        <v>2</v>
      </c>
      <c r="R743" s="2" t="inlineStr">
        <is>
          <t>Lunglav
Stuplav</t>
        </is>
      </c>
      <c r="S743">
        <f>HYPERLINK("https://klasma.github.io/Logging_2281/artfynd/A 46545-2025 artfynd.xlsx", "A 46545-2025")</f>
        <v/>
      </c>
      <c r="T743">
        <f>HYPERLINK("https://klasma.github.io/Logging_2281/kartor/A 46545-2025 karta.png", "A 46545-2025")</f>
        <v/>
      </c>
      <c r="V743">
        <f>HYPERLINK("https://klasma.github.io/Logging_2281/klagomål/A 46545-2025 FSC-klagomål.docx", "A 46545-2025")</f>
        <v/>
      </c>
      <c r="W743">
        <f>HYPERLINK("https://klasma.github.io/Logging_2281/klagomålsmail/A 46545-2025 FSC-klagomål mail.docx", "A 46545-2025")</f>
        <v/>
      </c>
      <c r="X743">
        <f>HYPERLINK("https://klasma.github.io/Logging_2281/tillsyn/A 46545-2025 tillsynsbegäran.docx", "A 46545-2025")</f>
        <v/>
      </c>
      <c r="Y743">
        <f>HYPERLINK("https://klasma.github.io/Logging_2281/tillsynsmail/A 46545-2025 tillsynsbegäran mail.docx", "A 46545-2025")</f>
        <v/>
      </c>
    </row>
    <row r="744" ht="15" customHeight="1">
      <c r="A744" t="inlineStr">
        <is>
          <t>A 36912-2024</t>
        </is>
      </c>
      <c r="B744" s="1" t="n">
        <v>45538.63604166666</v>
      </c>
      <c r="C744" s="1" t="n">
        <v>46185</v>
      </c>
      <c r="D744" t="inlineStr">
        <is>
          <t>VÄSTERNORRLANDS LÄN</t>
        </is>
      </c>
      <c r="E744" t="inlineStr">
        <is>
          <t>SOLLEFTEÅ</t>
        </is>
      </c>
      <c r="F744" t="inlineStr">
        <is>
          <t>SCA</t>
        </is>
      </c>
      <c r="G744" t="n">
        <v>2</v>
      </c>
      <c r="H744" t="n">
        <v>1</v>
      </c>
      <c r="I744" t="n">
        <v>0</v>
      </c>
      <c r="J744" t="n">
        <v>2</v>
      </c>
      <c r="K744" t="n">
        <v>0</v>
      </c>
      <c r="L744" t="n">
        <v>0</v>
      </c>
      <c r="M744" t="n">
        <v>0</v>
      </c>
      <c r="N744" t="n">
        <v>0</v>
      </c>
      <c r="O744" t="n">
        <v>2</v>
      </c>
      <c r="P744" t="n">
        <v>0</v>
      </c>
      <c r="Q744" t="n">
        <v>2</v>
      </c>
      <c r="R744" s="2" t="inlineStr">
        <is>
          <t>Talltita
Ullticka</t>
        </is>
      </c>
      <c r="S744">
        <f>HYPERLINK("https://klasma.github.io/Logging_2283/artfynd/A 36912-2024 artfynd.xlsx", "A 36912-2024")</f>
        <v/>
      </c>
      <c r="T744">
        <f>HYPERLINK("https://klasma.github.io/Logging_2283/kartor/A 36912-2024 karta.png", "A 36912-2024")</f>
        <v/>
      </c>
      <c r="V744">
        <f>HYPERLINK("https://klasma.github.io/Logging_2283/klagomål/A 36912-2024 FSC-klagomål.docx", "A 36912-2024")</f>
        <v/>
      </c>
      <c r="W744">
        <f>HYPERLINK("https://klasma.github.io/Logging_2283/klagomålsmail/A 36912-2024 FSC-klagomål mail.docx", "A 36912-2024")</f>
        <v/>
      </c>
      <c r="X744">
        <f>HYPERLINK("https://klasma.github.io/Logging_2283/tillsyn/A 36912-2024 tillsynsbegäran.docx", "A 36912-2024")</f>
        <v/>
      </c>
      <c r="Y744">
        <f>HYPERLINK("https://klasma.github.io/Logging_2283/tillsynsmail/A 36912-2024 tillsynsbegäran mail.docx", "A 36912-2024")</f>
        <v/>
      </c>
      <c r="Z744">
        <f>HYPERLINK("https://klasma.github.io/Logging_2283/fåglar/A 36912-2024 prioriterade fågelarter.docx", "A 36912-2024")</f>
        <v/>
      </c>
    </row>
    <row r="745" ht="15" customHeight="1">
      <c r="A745" t="inlineStr">
        <is>
          <t>A 54153-2021</t>
        </is>
      </c>
      <c r="B745" s="1" t="n">
        <v>44469</v>
      </c>
      <c r="C745" s="1" t="n">
        <v>46185</v>
      </c>
      <c r="D745" t="inlineStr">
        <is>
          <t>VÄSTERNORRLANDS LÄN</t>
        </is>
      </c>
      <c r="E745" t="inlineStr">
        <is>
          <t>SOLLEFTEÅ</t>
        </is>
      </c>
      <c r="G745" t="n">
        <v>1.4</v>
      </c>
      <c r="H745" t="n">
        <v>0</v>
      </c>
      <c r="I745" t="n">
        <v>0</v>
      </c>
      <c r="J745" t="n">
        <v>2</v>
      </c>
      <c r="K745" t="n">
        <v>0</v>
      </c>
      <c r="L745" t="n">
        <v>0</v>
      </c>
      <c r="M745" t="n">
        <v>0</v>
      </c>
      <c r="N745" t="n">
        <v>0</v>
      </c>
      <c r="O745" t="n">
        <v>2</v>
      </c>
      <c r="P745" t="n">
        <v>0</v>
      </c>
      <c r="Q745" t="n">
        <v>2</v>
      </c>
      <c r="R745" s="2" t="inlineStr">
        <is>
          <t>Garnlav
Rosenticka</t>
        </is>
      </c>
      <c r="S745">
        <f>HYPERLINK("https://klasma.github.io/Logging_2283/artfynd/A 54153-2021 artfynd.xlsx", "A 54153-2021")</f>
        <v/>
      </c>
      <c r="T745">
        <f>HYPERLINK("https://klasma.github.io/Logging_2283/kartor/A 54153-2021 karta.png", "A 54153-2021")</f>
        <v/>
      </c>
      <c r="V745">
        <f>HYPERLINK("https://klasma.github.io/Logging_2283/klagomål/A 54153-2021 FSC-klagomål.docx", "A 54153-2021")</f>
        <v/>
      </c>
      <c r="W745">
        <f>HYPERLINK("https://klasma.github.io/Logging_2283/klagomålsmail/A 54153-2021 FSC-klagomål mail.docx", "A 54153-2021")</f>
        <v/>
      </c>
      <c r="X745">
        <f>HYPERLINK("https://klasma.github.io/Logging_2283/tillsyn/A 54153-2021 tillsynsbegäran.docx", "A 54153-2021")</f>
        <v/>
      </c>
      <c r="Y745">
        <f>HYPERLINK("https://klasma.github.io/Logging_2283/tillsynsmail/A 54153-2021 tillsynsbegäran mail.docx", "A 54153-2021")</f>
        <v/>
      </c>
    </row>
    <row r="746" ht="15" customHeight="1">
      <c r="A746" t="inlineStr">
        <is>
          <t>A 47485-2025</t>
        </is>
      </c>
      <c r="B746" s="1" t="n">
        <v>45930.69866898148</v>
      </c>
      <c r="C746" s="1" t="n">
        <v>46185</v>
      </c>
      <c r="D746" t="inlineStr">
        <is>
          <t>VÄSTERNORRLANDS LÄN</t>
        </is>
      </c>
      <c r="E746" t="inlineStr">
        <is>
          <t>HÄRNÖSAND</t>
        </is>
      </c>
      <c r="F746" t="inlineStr">
        <is>
          <t>SCA</t>
        </is>
      </c>
      <c r="G746" t="n">
        <v>10.6</v>
      </c>
      <c r="H746" t="n">
        <v>1</v>
      </c>
      <c r="I746" t="n">
        <v>0</v>
      </c>
      <c r="J746" t="n">
        <v>1</v>
      </c>
      <c r="K746" t="n">
        <v>0</v>
      </c>
      <c r="L746" t="n">
        <v>0</v>
      </c>
      <c r="M746" t="n">
        <v>0</v>
      </c>
      <c r="N746" t="n">
        <v>0</v>
      </c>
      <c r="O746" t="n">
        <v>1</v>
      </c>
      <c r="P746" t="n">
        <v>0</v>
      </c>
      <c r="Q746" t="n">
        <v>2</v>
      </c>
      <c r="R746" s="2" t="inlineStr">
        <is>
          <t>Vedskivlav
Tjäder</t>
        </is>
      </c>
      <c r="S746">
        <f>HYPERLINK("https://klasma.github.io/Logging_2280/artfynd/A 47485-2025 artfynd.xlsx", "A 47485-2025")</f>
        <v/>
      </c>
      <c r="T746">
        <f>HYPERLINK("https://klasma.github.io/Logging_2280/kartor/A 47485-2025 karta.png", "A 47485-2025")</f>
        <v/>
      </c>
      <c r="U746">
        <f>HYPERLINK("https://klasma.github.io/Logging_2280/knärot/A 47485-2025 karta knärot.png", "A 47485-2025")</f>
        <v/>
      </c>
      <c r="V746">
        <f>HYPERLINK("https://klasma.github.io/Logging_2280/klagomål/A 47485-2025 FSC-klagomål.docx", "A 47485-2025")</f>
        <v/>
      </c>
      <c r="W746">
        <f>HYPERLINK("https://klasma.github.io/Logging_2280/klagomålsmail/A 47485-2025 FSC-klagomål mail.docx", "A 47485-2025")</f>
        <v/>
      </c>
      <c r="X746">
        <f>HYPERLINK("https://klasma.github.io/Logging_2280/tillsyn/A 47485-2025 tillsynsbegäran.docx", "A 47485-2025")</f>
        <v/>
      </c>
      <c r="Y746">
        <f>HYPERLINK("https://klasma.github.io/Logging_2280/tillsynsmail/A 47485-2025 tillsynsbegäran mail.docx", "A 47485-2025")</f>
        <v/>
      </c>
      <c r="Z746">
        <f>HYPERLINK("https://klasma.github.io/Logging_2280/fåglar/A 47485-2025 prioriterade fågelarter.docx", "A 47485-2025")</f>
        <v/>
      </c>
    </row>
    <row r="747" ht="15" customHeight="1">
      <c r="A747" t="inlineStr">
        <is>
          <t>A 36072-2025</t>
        </is>
      </c>
      <c r="B747" s="1" t="n">
        <v>45866.42975694445</v>
      </c>
      <c r="C747" s="1" t="n">
        <v>46185</v>
      </c>
      <c r="D747" t="inlineStr">
        <is>
          <t>VÄSTERNORRLANDS LÄN</t>
        </is>
      </c>
      <c r="E747" t="inlineStr">
        <is>
          <t>SUNDSVALL</t>
        </is>
      </c>
      <c r="G747" t="n">
        <v>0.6</v>
      </c>
      <c r="H747" t="n">
        <v>2</v>
      </c>
      <c r="I747" t="n">
        <v>0</v>
      </c>
      <c r="J747" t="n">
        <v>0</v>
      </c>
      <c r="K747" t="n">
        <v>1</v>
      </c>
      <c r="L747" t="n">
        <v>0</v>
      </c>
      <c r="M747" t="n">
        <v>0</v>
      </c>
      <c r="N747" t="n">
        <v>0</v>
      </c>
      <c r="O747" t="n">
        <v>1</v>
      </c>
      <c r="P747" t="n">
        <v>1</v>
      </c>
      <c r="Q747" t="n">
        <v>2</v>
      </c>
      <c r="R747" s="2" t="inlineStr">
        <is>
          <t>Knärot
Fläcknycklar</t>
        </is>
      </c>
      <c r="S747">
        <f>HYPERLINK("https://klasma.github.io/Logging_2281/artfynd/A 36072-2025 artfynd.xlsx", "A 36072-2025")</f>
        <v/>
      </c>
      <c r="T747">
        <f>HYPERLINK("https://klasma.github.io/Logging_2281/kartor/A 36072-2025 karta.png", "A 36072-2025")</f>
        <v/>
      </c>
      <c r="U747">
        <f>HYPERLINK("https://klasma.github.io/Logging_2281/knärot/A 36072-2025 karta knärot.png", "A 36072-2025")</f>
        <v/>
      </c>
      <c r="V747">
        <f>HYPERLINK("https://klasma.github.io/Logging_2281/klagomål/A 36072-2025 FSC-klagomål.docx", "A 36072-2025")</f>
        <v/>
      </c>
      <c r="W747">
        <f>HYPERLINK("https://klasma.github.io/Logging_2281/klagomålsmail/A 36072-2025 FSC-klagomål mail.docx", "A 36072-2025")</f>
        <v/>
      </c>
      <c r="X747">
        <f>HYPERLINK("https://klasma.github.io/Logging_2281/tillsyn/A 36072-2025 tillsynsbegäran.docx", "A 36072-2025")</f>
        <v/>
      </c>
      <c r="Y747">
        <f>HYPERLINK("https://klasma.github.io/Logging_2281/tillsynsmail/A 36072-2025 tillsynsbegäran mail.docx", "A 36072-2025")</f>
        <v/>
      </c>
    </row>
    <row r="748" ht="15" customHeight="1">
      <c r="A748" t="inlineStr">
        <is>
          <t>A 47484-2025</t>
        </is>
      </c>
      <c r="B748" s="1" t="n">
        <v>45930.6985300926</v>
      </c>
      <c r="C748" s="1" t="n">
        <v>46185</v>
      </c>
      <c r="D748" t="inlineStr">
        <is>
          <t>VÄSTERNORRLANDS LÄN</t>
        </is>
      </c>
      <c r="E748" t="inlineStr">
        <is>
          <t>HÄRNÖSAND</t>
        </is>
      </c>
      <c r="F748" t="inlineStr">
        <is>
          <t>SCA</t>
        </is>
      </c>
      <c r="G748" t="n">
        <v>2.7</v>
      </c>
      <c r="H748" t="n">
        <v>0</v>
      </c>
      <c r="I748" t="n">
        <v>0</v>
      </c>
      <c r="J748" t="n">
        <v>2</v>
      </c>
      <c r="K748" t="n">
        <v>0</v>
      </c>
      <c r="L748" t="n">
        <v>0</v>
      </c>
      <c r="M748" t="n">
        <v>0</v>
      </c>
      <c r="N748" t="n">
        <v>0</v>
      </c>
      <c r="O748" t="n">
        <v>2</v>
      </c>
      <c r="P748" t="n">
        <v>0</v>
      </c>
      <c r="Q748" t="n">
        <v>2</v>
      </c>
      <c r="R748" s="2" t="inlineStr">
        <is>
          <t>Ullticka
Vedflamlav</t>
        </is>
      </c>
      <c r="S748">
        <f>HYPERLINK("https://klasma.github.io/Logging_2280/artfynd/A 47484-2025 artfynd.xlsx", "A 47484-2025")</f>
        <v/>
      </c>
      <c r="T748">
        <f>HYPERLINK("https://klasma.github.io/Logging_2280/kartor/A 47484-2025 karta.png", "A 47484-2025")</f>
        <v/>
      </c>
      <c r="V748">
        <f>HYPERLINK("https://klasma.github.io/Logging_2280/klagomål/A 47484-2025 FSC-klagomål.docx", "A 47484-2025")</f>
        <v/>
      </c>
      <c r="W748">
        <f>HYPERLINK("https://klasma.github.io/Logging_2280/klagomålsmail/A 47484-2025 FSC-klagomål mail.docx", "A 47484-2025")</f>
        <v/>
      </c>
      <c r="X748">
        <f>HYPERLINK("https://klasma.github.io/Logging_2280/tillsyn/A 47484-2025 tillsynsbegäran.docx", "A 47484-2025")</f>
        <v/>
      </c>
      <c r="Y748">
        <f>HYPERLINK("https://klasma.github.io/Logging_2280/tillsynsmail/A 47484-2025 tillsynsbegäran mail.docx", "A 47484-2025")</f>
        <v/>
      </c>
    </row>
    <row r="749" ht="15" customHeight="1">
      <c r="A749" t="inlineStr">
        <is>
          <t>A 47216-2025</t>
        </is>
      </c>
      <c r="B749" s="1" t="n">
        <v>45930.38612268519</v>
      </c>
      <c r="C749" s="1" t="n">
        <v>46185</v>
      </c>
      <c r="D749" t="inlineStr">
        <is>
          <t>VÄSTERNORRLANDS LÄN</t>
        </is>
      </c>
      <c r="E749" t="inlineStr">
        <is>
          <t>SOLLEFTEÅ</t>
        </is>
      </c>
      <c r="F749" t="inlineStr">
        <is>
          <t>SCA</t>
        </is>
      </c>
      <c r="G749" t="n">
        <v>13.6</v>
      </c>
      <c r="H749" t="n">
        <v>0</v>
      </c>
      <c r="I749" t="n">
        <v>0</v>
      </c>
      <c r="J749" t="n">
        <v>2</v>
      </c>
      <c r="K749" t="n">
        <v>0</v>
      </c>
      <c r="L749" t="n">
        <v>0</v>
      </c>
      <c r="M749" t="n">
        <v>0</v>
      </c>
      <c r="N749" t="n">
        <v>0</v>
      </c>
      <c r="O749" t="n">
        <v>2</v>
      </c>
      <c r="P749" t="n">
        <v>0</v>
      </c>
      <c r="Q749" t="n">
        <v>2</v>
      </c>
      <c r="R749" s="2" t="inlineStr">
        <is>
          <t>Lunglav
Skrovellav</t>
        </is>
      </c>
      <c r="S749">
        <f>HYPERLINK("https://klasma.github.io/Logging_2283/artfynd/A 47216-2025 artfynd.xlsx", "A 47216-2025")</f>
        <v/>
      </c>
      <c r="T749">
        <f>HYPERLINK("https://klasma.github.io/Logging_2283/kartor/A 47216-2025 karta.png", "A 47216-2025")</f>
        <v/>
      </c>
      <c r="V749">
        <f>HYPERLINK("https://klasma.github.io/Logging_2283/klagomål/A 47216-2025 FSC-klagomål.docx", "A 47216-2025")</f>
        <v/>
      </c>
      <c r="W749">
        <f>HYPERLINK("https://klasma.github.io/Logging_2283/klagomålsmail/A 47216-2025 FSC-klagomål mail.docx", "A 47216-2025")</f>
        <v/>
      </c>
      <c r="X749">
        <f>HYPERLINK("https://klasma.github.io/Logging_2283/tillsyn/A 47216-2025 tillsynsbegäran.docx", "A 47216-2025")</f>
        <v/>
      </c>
      <c r="Y749">
        <f>HYPERLINK("https://klasma.github.io/Logging_2283/tillsynsmail/A 47216-2025 tillsynsbegäran mail.docx", "A 47216-2025")</f>
        <v/>
      </c>
    </row>
    <row r="750" ht="15" customHeight="1">
      <c r="A750" t="inlineStr">
        <is>
          <t>A 36414-2025</t>
        </is>
      </c>
      <c r="B750" s="1" t="n">
        <v>45868.69246527777</v>
      </c>
      <c r="C750" s="1" t="n">
        <v>46185</v>
      </c>
      <c r="D750" t="inlineStr">
        <is>
          <t>VÄSTERNORRLANDS LÄN</t>
        </is>
      </c>
      <c r="E750" t="inlineStr">
        <is>
          <t>ÅNGE</t>
        </is>
      </c>
      <c r="G750" t="n">
        <v>5.4</v>
      </c>
      <c r="H750" t="n">
        <v>0</v>
      </c>
      <c r="I750" t="n">
        <v>0</v>
      </c>
      <c r="J750" t="n">
        <v>2</v>
      </c>
      <c r="K750" t="n">
        <v>0</v>
      </c>
      <c r="L750" t="n">
        <v>0</v>
      </c>
      <c r="M750" t="n">
        <v>0</v>
      </c>
      <c r="N750" t="n">
        <v>0</v>
      </c>
      <c r="O750" t="n">
        <v>2</v>
      </c>
      <c r="P750" t="n">
        <v>0</v>
      </c>
      <c r="Q750" t="n">
        <v>2</v>
      </c>
      <c r="R750" s="2" t="inlineStr">
        <is>
          <t>Kolflarnlav
Lunglav</t>
        </is>
      </c>
      <c r="S750">
        <f>HYPERLINK("https://klasma.github.io/Logging_2260/artfynd/A 36414-2025 artfynd.xlsx", "A 36414-2025")</f>
        <v/>
      </c>
      <c r="T750">
        <f>HYPERLINK("https://klasma.github.io/Logging_2260/kartor/A 36414-2025 karta.png", "A 36414-2025")</f>
        <v/>
      </c>
      <c r="V750">
        <f>HYPERLINK("https://klasma.github.io/Logging_2260/klagomål/A 36414-2025 FSC-klagomål.docx", "A 36414-2025")</f>
        <v/>
      </c>
      <c r="W750">
        <f>HYPERLINK("https://klasma.github.io/Logging_2260/klagomålsmail/A 36414-2025 FSC-klagomål mail.docx", "A 36414-2025")</f>
        <v/>
      </c>
      <c r="X750">
        <f>HYPERLINK("https://klasma.github.io/Logging_2260/tillsyn/A 36414-2025 tillsynsbegäran.docx", "A 36414-2025")</f>
        <v/>
      </c>
      <c r="Y750">
        <f>HYPERLINK("https://klasma.github.io/Logging_2260/tillsynsmail/A 36414-2025 tillsynsbegäran mail.docx", "A 36414-2025")</f>
        <v/>
      </c>
    </row>
    <row r="751" ht="15" customHeight="1">
      <c r="A751" t="inlineStr">
        <is>
          <t>A 57594-2022</t>
        </is>
      </c>
      <c r="B751" s="1" t="n">
        <v>44896.97854166666</v>
      </c>
      <c r="C751" s="1" t="n">
        <v>46185</v>
      </c>
      <c r="D751" t="inlineStr">
        <is>
          <t>VÄSTERNORRLANDS LÄN</t>
        </is>
      </c>
      <c r="E751" t="inlineStr">
        <is>
          <t>ÅNGE</t>
        </is>
      </c>
      <c r="F751" t="inlineStr">
        <is>
          <t>SCA</t>
        </is>
      </c>
      <c r="G751" t="n">
        <v>5.3</v>
      </c>
      <c r="H751" t="n">
        <v>0</v>
      </c>
      <c r="I751" t="n">
        <v>0</v>
      </c>
      <c r="J751" t="n">
        <v>2</v>
      </c>
      <c r="K751" t="n">
        <v>0</v>
      </c>
      <c r="L751" t="n">
        <v>0</v>
      </c>
      <c r="M751" t="n">
        <v>0</v>
      </c>
      <c r="N751" t="n">
        <v>0</v>
      </c>
      <c r="O751" t="n">
        <v>2</v>
      </c>
      <c r="P751" t="n">
        <v>0</v>
      </c>
      <c r="Q751" t="n">
        <v>2</v>
      </c>
      <c r="R751" s="2" t="inlineStr">
        <is>
          <t>Granticka
Lunglav</t>
        </is>
      </c>
      <c r="S751">
        <f>HYPERLINK("https://klasma.github.io/Logging_2260/artfynd/A 57594-2022 artfynd.xlsx", "A 57594-2022")</f>
        <v/>
      </c>
      <c r="T751">
        <f>HYPERLINK("https://klasma.github.io/Logging_2260/kartor/A 57594-2022 karta.png", "A 57594-2022")</f>
        <v/>
      </c>
      <c r="V751">
        <f>HYPERLINK("https://klasma.github.io/Logging_2260/klagomål/A 57594-2022 FSC-klagomål.docx", "A 57594-2022")</f>
        <v/>
      </c>
      <c r="W751">
        <f>HYPERLINK("https://klasma.github.io/Logging_2260/klagomålsmail/A 57594-2022 FSC-klagomål mail.docx", "A 57594-2022")</f>
        <v/>
      </c>
      <c r="X751">
        <f>HYPERLINK("https://klasma.github.io/Logging_2260/tillsyn/A 57594-2022 tillsynsbegäran.docx", "A 57594-2022")</f>
        <v/>
      </c>
      <c r="Y751">
        <f>HYPERLINK("https://klasma.github.io/Logging_2260/tillsynsmail/A 57594-2022 tillsynsbegäran mail.docx", "A 57594-2022")</f>
        <v/>
      </c>
    </row>
    <row r="752" ht="15" customHeight="1">
      <c r="A752" t="inlineStr">
        <is>
          <t>A 16043-2025</t>
        </is>
      </c>
      <c r="B752" s="1" t="n">
        <v>45749</v>
      </c>
      <c r="C752" s="1" t="n">
        <v>46185</v>
      </c>
      <c r="D752" t="inlineStr">
        <is>
          <t>VÄSTERNORRLANDS LÄN</t>
        </is>
      </c>
      <c r="E752" t="inlineStr">
        <is>
          <t>SUNDSVALL</t>
        </is>
      </c>
      <c r="G752" t="n">
        <v>10.5</v>
      </c>
      <c r="H752" t="n">
        <v>2</v>
      </c>
      <c r="I752" t="n">
        <v>0</v>
      </c>
      <c r="J752" t="n">
        <v>1</v>
      </c>
      <c r="K752" t="n">
        <v>0</v>
      </c>
      <c r="L752" t="n">
        <v>0</v>
      </c>
      <c r="M752" t="n">
        <v>0</v>
      </c>
      <c r="N752" t="n">
        <v>0</v>
      </c>
      <c r="O752" t="n">
        <v>1</v>
      </c>
      <c r="P752" t="n">
        <v>0</v>
      </c>
      <c r="Q752" t="n">
        <v>2</v>
      </c>
      <c r="R752" s="2" t="inlineStr">
        <is>
          <t>Pilgrimsfalk
Sparvuggla</t>
        </is>
      </c>
      <c r="S752">
        <f>HYPERLINK("https://klasma.github.io/Logging_2281/artfynd/A 16043-2025 artfynd.xlsx", "A 16043-2025")</f>
        <v/>
      </c>
      <c r="T752">
        <f>HYPERLINK("https://klasma.github.io/Logging_2281/kartor/A 16043-2025 karta.png", "A 16043-2025")</f>
        <v/>
      </c>
      <c r="V752">
        <f>HYPERLINK("https://klasma.github.io/Logging_2281/klagomål/A 16043-2025 FSC-klagomål.docx", "A 16043-2025")</f>
        <v/>
      </c>
      <c r="W752">
        <f>HYPERLINK("https://klasma.github.io/Logging_2281/klagomålsmail/A 16043-2025 FSC-klagomål mail.docx", "A 16043-2025")</f>
        <v/>
      </c>
      <c r="X752">
        <f>HYPERLINK("https://klasma.github.io/Logging_2281/tillsyn/A 16043-2025 tillsynsbegäran.docx", "A 16043-2025")</f>
        <v/>
      </c>
      <c r="Y752">
        <f>HYPERLINK("https://klasma.github.io/Logging_2281/tillsynsmail/A 16043-2025 tillsynsbegäran mail.docx", "A 16043-2025")</f>
        <v/>
      </c>
      <c r="Z752">
        <f>HYPERLINK("https://klasma.github.io/Logging_2281/fåglar/A 16043-2025 prioriterade fågelarter.docx", "A 16043-2025")</f>
        <v/>
      </c>
    </row>
    <row r="753" ht="15" customHeight="1">
      <c r="A753" t="inlineStr">
        <is>
          <t>A 43101-2023</t>
        </is>
      </c>
      <c r="B753" s="1" t="n">
        <v>45182</v>
      </c>
      <c r="C753" s="1" t="n">
        <v>46185</v>
      </c>
      <c r="D753" t="inlineStr">
        <is>
          <t>VÄSTERNORRLANDS LÄN</t>
        </is>
      </c>
      <c r="E753" t="inlineStr">
        <is>
          <t>HÄRNÖSAND</t>
        </is>
      </c>
      <c r="F753" t="inlineStr">
        <is>
          <t>SCA</t>
        </is>
      </c>
      <c r="G753" t="n">
        <v>2.6</v>
      </c>
      <c r="H753" t="n">
        <v>0</v>
      </c>
      <c r="I753" t="n">
        <v>0</v>
      </c>
      <c r="J753" t="n">
        <v>2</v>
      </c>
      <c r="K753" t="n">
        <v>0</v>
      </c>
      <c r="L753" t="n">
        <v>0</v>
      </c>
      <c r="M753" t="n">
        <v>0</v>
      </c>
      <c r="N753" t="n">
        <v>0</v>
      </c>
      <c r="O753" t="n">
        <v>2</v>
      </c>
      <c r="P753" t="n">
        <v>0</v>
      </c>
      <c r="Q753" t="n">
        <v>2</v>
      </c>
      <c r="R753" s="2" t="inlineStr">
        <is>
          <t>Ullticka
Vedflamlav</t>
        </is>
      </c>
      <c r="S753">
        <f>HYPERLINK("https://klasma.github.io/Logging_2280/artfynd/A 43101-2023 artfynd.xlsx", "A 43101-2023")</f>
        <v/>
      </c>
      <c r="T753">
        <f>HYPERLINK("https://klasma.github.io/Logging_2280/kartor/A 43101-2023 karta.png", "A 43101-2023")</f>
        <v/>
      </c>
      <c r="V753">
        <f>HYPERLINK("https://klasma.github.io/Logging_2280/klagomål/A 43101-2023 FSC-klagomål.docx", "A 43101-2023")</f>
        <v/>
      </c>
      <c r="W753">
        <f>HYPERLINK("https://klasma.github.io/Logging_2280/klagomålsmail/A 43101-2023 FSC-klagomål mail.docx", "A 43101-2023")</f>
        <v/>
      </c>
      <c r="X753">
        <f>HYPERLINK("https://klasma.github.io/Logging_2280/tillsyn/A 43101-2023 tillsynsbegäran.docx", "A 43101-2023")</f>
        <v/>
      </c>
      <c r="Y753">
        <f>HYPERLINK("https://klasma.github.io/Logging_2280/tillsynsmail/A 43101-2023 tillsynsbegäran mail.docx", "A 43101-2023")</f>
        <v/>
      </c>
    </row>
    <row r="754" ht="15" customHeight="1">
      <c r="A754" t="inlineStr">
        <is>
          <t>A 39800-2024</t>
        </is>
      </c>
      <c r="B754" s="1" t="n">
        <v>45553.34428240741</v>
      </c>
      <c r="C754" s="1" t="n">
        <v>46185</v>
      </c>
      <c r="D754" t="inlineStr">
        <is>
          <t>VÄSTERNORRLANDS LÄN</t>
        </is>
      </c>
      <c r="E754" t="inlineStr">
        <is>
          <t>TIMRÅ</t>
        </is>
      </c>
      <c r="F754" t="inlineStr">
        <is>
          <t>SCA</t>
        </is>
      </c>
      <c r="G754" t="n">
        <v>2.9</v>
      </c>
      <c r="H754" t="n">
        <v>0</v>
      </c>
      <c r="I754" t="n">
        <v>1</v>
      </c>
      <c r="J754" t="n">
        <v>1</v>
      </c>
      <c r="K754" t="n">
        <v>0</v>
      </c>
      <c r="L754" t="n">
        <v>0</v>
      </c>
      <c r="M754" t="n">
        <v>0</v>
      </c>
      <c r="N754" t="n">
        <v>0</v>
      </c>
      <c r="O754" t="n">
        <v>1</v>
      </c>
      <c r="P754" t="n">
        <v>0</v>
      </c>
      <c r="Q754" t="n">
        <v>2</v>
      </c>
      <c r="R754" s="2" t="inlineStr">
        <is>
          <t>Garnlav
Vedticka</t>
        </is>
      </c>
      <c r="S754">
        <f>HYPERLINK("https://klasma.github.io/Logging_2262/artfynd/A 39800-2024 artfynd.xlsx", "A 39800-2024")</f>
        <v/>
      </c>
      <c r="T754">
        <f>HYPERLINK("https://klasma.github.io/Logging_2262/kartor/A 39800-2024 karta.png", "A 39800-2024")</f>
        <v/>
      </c>
      <c r="V754">
        <f>HYPERLINK("https://klasma.github.io/Logging_2262/klagomål/A 39800-2024 FSC-klagomål.docx", "A 39800-2024")</f>
        <v/>
      </c>
      <c r="W754">
        <f>HYPERLINK("https://klasma.github.io/Logging_2262/klagomålsmail/A 39800-2024 FSC-klagomål mail.docx", "A 39800-2024")</f>
        <v/>
      </c>
      <c r="X754">
        <f>HYPERLINK("https://klasma.github.io/Logging_2262/tillsyn/A 39800-2024 tillsynsbegäran.docx", "A 39800-2024")</f>
        <v/>
      </c>
      <c r="Y754">
        <f>HYPERLINK("https://klasma.github.io/Logging_2262/tillsynsmail/A 39800-2024 tillsynsbegäran mail.docx", "A 39800-2024")</f>
        <v/>
      </c>
    </row>
    <row r="755" ht="15" customHeight="1">
      <c r="A755" t="inlineStr">
        <is>
          <t>A 11578-2025</t>
        </is>
      </c>
      <c r="B755" s="1" t="n">
        <v>45727.38609953703</v>
      </c>
      <c r="C755" s="1" t="n">
        <v>46185</v>
      </c>
      <c r="D755" t="inlineStr">
        <is>
          <t>VÄSTERNORRLANDS LÄN</t>
        </is>
      </c>
      <c r="E755" t="inlineStr">
        <is>
          <t>SOLLEFTEÅ</t>
        </is>
      </c>
      <c r="F755" t="inlineStr">
        <is>
          <t>SCA</t>
        </is>
      </c>
      <c r="G755" t="n">
        <v>1</v>
      </c>
      <c r="H755" t="n">
        <v>2</v>
      </c>
      <c r="I755" t="n">
        <v>0</v>
      </c>
      <c r="J755" t="n">
        <v>2</v>
      </c>
      <c r="K755" t="n">
        <v>0</v>
      </c>
      <c r="L755" t="n">
        <v>0</v>
      </c>
      <c r="M755" t="n">
        <v>0</v>
      </c>
      <c r="N755" t="n">
        <v>0</v>
      </c>
      <c r="O755" t="n">
        <v>2</v>
      </c>
      <c r="P755" t="n">
        <v>0</v>
      </c>
      <c r="Q755" t="n">
        <v>2</v>
      </c>
      <c r="R755" s="2" t="inlineStr">
        <is>
          <t>Spillkråka
Tretåig hackspett</t>
        </is>
      </c>
      <c r="S755">
        <f>HYPERLINK("https://klasma.github.io/Logging_2283/artfynd/A 11578-2025 artfynd.xlsx", "A 11578-2025")</f>
        <v/>
      </c>
      <c r="T755">
        <f>HYPERLINK("https://klasma.github.io/Logging_2283/kartor/A 11578-2025 karta.png", "A 11578-2025")</f>
        <v/>
      </c>
      <c r="U755">
        <f>HYPERLINK("https://klasma.github.io/Logging_2283/knärot/A 11578-2025 karta knärot.png", "A 11578-2025")</f>
        <v/>
      </c>
      <c r="V755">
        <f>HYPERLINK("https://klasma.github.io/Logging_2283/klagomål/A 11578-2025 FSC-klagomål.docx", "A 11578-2025")</f>
        <v/>
      </c>
      <c r="W755">
        <f>HYPERLINK("https://klasma.github.io/Logging_2283/klagomålsmail/A 11578-2025 FSC-klagomål mail.docx", "A 11578-2025")</f>
        <v/>
      </c>
      <c r="X755">
        <f>HYPERLINK("https://klasma.github.io/Logging_2283/tillsyn/A 11578-2025 tillsynsbegäran.docx", "A 11578-2025")</f>
        <v/>
      </c>
      <c r="Y755">
        <f>HYPERLINK("https://klasma.github.io/Logging_2283/tillsynsmail/A 11578-2025 tillsynsbegäran mail.docx", "A 11578-2025")</f>
        <v/>
      </c>
      <c r="Z755">
        <f>HYPERLINK("https://klasma.github.io/Logging_2283/fåglar/A 11578-2025 prioriterade fågelarter.docx", "A 11578-2025")</f>
        <v/>
      </c>
    </row>
    <row r="756" ht="15" customHeight="1">
      <c r="A756" t="inlineStr">
        <is>
          <t>A 38060-2025</t>
        </is>
      </c>
      <c r="B756" s="1" t="n">
        <v>45882.42796296296</v>
      </c>
      <c r="C756" s="1" t="n">
        <v>46185</v>
      </c>
      <c r="D756" t="inlineStr">
        <is>
          <t>VÄSTERNORRLANDS LÄN</t>
        </is>
      </c>
      <c r="E756" t="inlineStr">
        <is>
          <t>SUNDSVALL</t>
        </is>
      </c>
      <c r="F756" t="inlineStr">
        <is>
          <t>SCA</t>
        </is>
      </c>
      <c r="G756" t="n">
        <v>5.1</v>
      </c>
      <c r="H756" t="n">
        <v>0</v>
      </c>
      <c r="I756" t="n">
        <v>1</v>
      </c>
      <c r="J756" t="n">
        <v>1</v>
      </c>
      <c r="K756" t="n">
        <v>0</v>
      </c>
      <c r="L756" t="n">
        <v>0</v>
      </c>
      <c r="M756" t="n">
        <v>0</v>
      </c>
      <c r="N756" t="n">
        <v>0</v>
      </c>
      <c r="O756" t="n">
        <v>1</v>
      </c>
      <c r="P756" t="n">
        <v>0</v>
      </c>
      <c r="Q756" t="n">
        <v>2</v>
      </c>
      <c r="R756" s="2" t="inlineStr">
        <is>
          <t>Ullticka
Vedticka</t>
        </is>
      </c>
      <c r="S756">
        <f>HYPERLINK("https://klasma.github.io/Logging_2281/artfynd/A 38060-2025 artfynd.xlsx", "A 38060-2025")</f>
        <v/>
      </c>
      <c r="T756">
        <f>HYPERLINK("https://klasma.github.io/Logging_2281/kartor/A 38060-2025 karta.png", "A 38060-2025")</f>
        <v/>
      </c>
      <c r="V756">
        <f>HYPERLINK("https://klasma.github.io/Logging_2281/klagomål/A 38060-2025 FSC-klagomål.docx", "A 38060-2025")</f>
        <v/>
      </c>
      <c r="W756">
        <f>HYPERLINK("https://klasma.github.io/Logging_2281/klagomålsmail/A 38060-2025 FSC-klagomål mail.docx", "A 38060-2025")</f>
        <v/>
      </c>
      <c r="X756">
        <f>HYPERLINK("https://klasma.github.io/Logging_2281/tillsyn/A 38060-2025 tillsynsbegäran.docx", "A 38060-2025")</f>
        <v/>
      </c>
      <c r="Y756">
        <f>HYPERLINK("https://klasma.github.io/Logging_2281/tillsynsmail/A 38060-2025 tillsynsbegäran mail.docx", "A 38060-2025")</f>
        <v/>
      </c>
    </row>
    <row r="757" ht="15" customHeight="1">
      <c r="A757" t="inlineStr">
        <is>
          <t>A 50808-2025</t>
        </is>
      </c>
      <c r="B757" s="1" t="n">
        <v>45946.51084490741</v>
      </c>
      <c r="C757" s="1" t="n">
        <v>46185</v>
      </c>
      <c r="D757" t="inlineStr">
        <is>
          <t>VÄSTERNORRLANDS LÄN</t>
        </is>
      </c>
      <c r="E757" t="inlineStr">
        <is>
          <t>SUNDSVALL</t>
        </is>
      </c>
      <c r="F757" t="inlineStr">
        <is>
          <t>SCA</t>
        </is>
      </c>
      <c r="G757" t="n">
        <v>2.9</v>
      </c>
      <c r="H757" t="n">
        <v>0</v>
      </c>
      <c r="I757" t="n">
        <v>0</v>
      </c>
      <c r="J757" t="n">
        <v>2</v>
      </c>
      <c r="K757" t="n">
        <v>0</v>
      </c>
      <c r="L757" t="n">
        <v>0</v>
      </c>
      <c r="M757" t="n">
        <v>0</v>
      </c>
      <c r="N757" t="n">
        <v>0</v>
      </c>
      <c r="O757" t="n">
        <v>2</v>
      </c>
      <c r="P757" t="n">
        <v>0</v>
      </c>
      <c r="Q757" t="n">
        <v>2</v>
      </c>
      <c r="R757" s="2" t="inlineStr">
        <is>
          <t>Lunglav
Ullticka</t>
        </is>
      </c>
      <c r="S757">
        <f>HYPERLINK("https://klasma.github.io/Logging_2281/artfynd/A 50808-2025 artfynd.xlsx", "A 50808-2025")</f>
        <v/>
      </c>
      <c r="T757">
        <f>HYPERLINK("https://klasma.github.io/Logging_2281/kartor/A 50808-2025 karta.png", "A 50808-2025")</f>
        <v/>
      </c>
      <c r="U757">
        <f>HYPERLINK("https://klasma.github.io/Logging_2281/knärot/A 50808-2025 karta knärot.png", "A 50808-2025")</f>
        <v/>
      </c>
      <c r="V757">
        <f>HYPERLINK("https://klasma.github.io/Logging_2281/klagomål/A 50808-2025 FSC-klagomål.docx", "A 50808-2025")</f>
        <v/>
      </c>
      <c r="W757">
        <f>HYPERLINK("https://klasma.github.io/Logging_2281/klagomålsmail/A 50808-2025 FSC-klagomål mail.docx", "A 50808-2025")</f>
        <v/>
      </c>
      <c r="X757">
        <f>HYPERLINK("https://klasma.github.io/Logging_2281/tillsyn/A 50808-2025 tillsynsbegäran.docx", "A 50808-2025")</f>
        <v/>
      </c>
      <c r="Y757">
        <f>HYPERLINK("https://klasma.github.io/Logging_2281/tillsynsmail/A 50808-2025 tillsynsbegäran mail.docx", "A 50808-2025")</f>
        <v/>
      </c>
    </row>
    <row r="758" ht="15" customHeight="1">
      <c r="A758" t="inlineStr">
        <is>
          <t>A 57597-2022</t>
        </is>
      </c>
      <c r="B758" s="1" t="n">
        <v>44896.97878472223</v>
      </c>
      <c r="C758" s="1" t="n">
        <v>46185</v>
      </c>
      <c r="D758" t="inlineStr">
        <is>
          <t>VÄSTERNORRLANDS LÄN</t>
        </is>
      </c>
      <c r="E758" t="inlineStr">
        <is>
          <t>ÅNGE</t>
        </is>
      </c>
      <c r="F758" t="inlineStr">
        <is>
          <t>SCA</t>
        </is>
      </c>
      <c r="G758" t="n">
        <v>6.2</v>
      </c>
      <c r="H758" t="n">
        <v>0</v>
      </c>
      <c r="I758" t="n">
        <v>0</v>
      </c>
      <c r="J758" t="n">
        <v>2</v>
      </c>
      <c r="K758" t="n">
        <v>0</v>
      </c>
      <c r="L758" t="n">
        <v>0</v>
      </c>
      <c r="M758" t="n">
        <v>0</v>
      </c>
      <c r="N758" t="n">
        <v>0</v>
      </c>
      <c r="O758" t="n">
        <v>2</v>
      </c>
      <c r="P758" t="n">
        <v>0</v>
      </c>
      <c r="Q758" t="n">
        <v>2</v>
      </c>
      <c r="R758" s="2" t="inlineStr">
        <is>
          <t>Garnlav
Lunglav</t>
        </is>
      </c>
      <c r="S758">
        <f>HYPERLINK("https://klasma.github.io/Logging_2260/artfynd/A 57597-2022 artfynd.xlsx", "A 57597-2022")</f>
        <v/>
      </c>
      <c r="T758">
        <f>HYPERLINK("https://klasma.github.io/Logging_2260/kartor/A 57597-2022 karta.png", "A 57597-2022")</f>
        <v/>
      </c>
      <c r="V758">
        <f>HYPERLINK("https://klasma.github.io/Logging_2260/klagomål/A 57597-2022 FSC-klagomål.docx", "A 57597-2022")</f>
        <v/>
      </c>
      <c r="W758">
        <f>HYPERLINK("https://klasma.github.io/Logging_2260/klagomålsmail/A 57597-2022 FSC-klagomål mail.docx", "A 57597-2022")</f>
        <v/>
      </c>
      <c r="X758">
        <f>HYPERLINK("https://klasma.github.io/Logging_2260/tillsyn/A 57597-2022 tillsynsbegäran.docx", "A 57597-2022")</f>
        <v/>
      </c>
      <c r="Y758">
        <f>HYPERLINK("https://klasma.github.io/Logging_2260/tillsynsmail/A 57597-2022 tillsynsbegäran mail.docx", "A 57597-2022")</f>
        <v/>
      </c>
    </row>
    <row r="759" ht="15" customHeight="1">
      <c r="A759" t="inlineStr">
        <is>
          <t>A 38298-2025</t>
        </is>
      </c>
      <c r="B759" s="1" t="n">
        <v>45883.4568287037</v>
      </c>
      <c r="C759" s="1" t="n">
        <v>46185</v>
      </c>
      <c r="D759" t="inlineStr">
        <is>
          <t>VÄSTERNORRLANDS LÄN</t>
        </is>
      </c>
      <c r="E759" t="inlineStr">
        <is>
          <t>ÅNGE</t>
        </is>
      </c>
      <c r="G759" t="n">
        <v>4.5</v>
      </c>
      <c r="H759" t="n">
        <v>0</v>
      </c>
      <c r="I759" t="n">
        <v>0</v>
      </c>
      <c r="J759" t="n">
        <v>2</v>
      </c>
      <c r="K759" t="n">
        <v>0</v>
      </c>
      <c r="L759" t="n">
        <v>0</v>
      </c>
      <c r="M759" t="n">
        <v>0</v>
      </c>
      <c r="N759" t="n">
        <v>0</v>
      </c>
      <c r="O759" t="n">
        <v>2</v>
      </c>
      <c r="P759" t="n">
        <v>0</v>
      </c>
      <c r="Q759" t="n">
        <v>2</v>
      </c>
      <c r="R759" s="2" t="inlineStr">
        <is>
          <t>Kolflarnlav
Lunglav</t>
        </is>
      </c>
      <c r="S759">
        <f>HYPERLINK("https://klasma.github.io/Logging_2260/artfynd/A 38298-2025 artfynd.xlsx", "A 38298-2025")</f>
        <v/>
      </c>
      <c r="T759">
        <f>HYPERLINK("https://klasma.github.io/Logging_2260/kartor/A 38298-2025 karta.png", "A 38298-2025")</f>
        <v/>
      </c>
      <c r="V759">
        <f>HYPERLINK("https://klasma.github.io/Logging_2260/klagomål/A 38298-2025 FSC-klagomål.docx", "A 38298-2025")</f>
        <v/>
      </c>
      <c r="W759">
        <f>HYPERLINK("https://klasma.github.io/Logging_2260/klagomålsmail/A 38298-2025 FSC-klagomål mail.docx", "A 38298-2025")</f>
        <v/>
      </c>
      <c r="X759">
        <f>HYPERLINK("https://klasma.github.io/Logging_2260/tillsyn/A 38298-2025 tillsynsbegäran.docx", "A 38298-2025")</f>
        <v/>
      </c>
      <c r="Y759">
        <f>HYPERLINK("https://klasma.github.io/Logging_2260/tillsynsmail/A 38298-2025 tillsynsbegäran mail.docx", "A 38298-2025")</f>
        <v/>
      </c>
    </row>
    <row r="760" ht="15" customHeight="1">
      <c r="A760" t="inlineStr">
        <is>
          <t>A 70072-2021</t>
        </is>
      </c>
      <c r="B760" s="1" t="n">
        <v>44533.52040509259</v>
      </c>
      <c r="C760" s="1" t="n">
        <v>46185</v>
      </c>
      <c r="D760" t="inlineStr">
        <is>
          <t>VÄSTERNORRLANDS LÄN</t>
        </is>
      </c>
      <c r="E760" t="inlineStr">
        <is>
          <t>SUNDSVALL</t>
        </is>
      </c>
      <c r="G760" t="n">
        <v>1.2</v>
      </c>
      <c r="H760" t="n">
        <v>0</v>
      </c>
      <c r="I760" t="n">
        <v>0</v>
      </c>
      <c r="J760" t="n">
        <v>2</v>
      </c>
      <c r="K760" t="n">
        <v>0</v>
      </c>
      <c r="L760" t="n">
        <v>0</v>
      </c>
      <c r="M760" t="n">
        <v>0</v>
      </c>
      <c r="N760" t="n">
        <v>0</v>
      </c>
      <c r="O760" t="n">
        <v>2</v>
      </c>
      <c r="P760" t="n">
        <v>0</v>
      </c>
      <c r="Q760" t="n">
        <v>2</v>
      </c>
      <c r="R760" s="2" t="inlineStr">
        <is>
          <t>Garnlav
Lunglav</t>
        </is>
      </c>
      <c r="S760">
        <f>HYPERLINK("https://klasma.github.io/Logging_2281/artfynd/A 70072-2021 artfynd.xlsx", "A 70072-2021")</f>
        <v/>
      </c>
      <c r="T760">
        <f>HYPERLINK("https://klasma.github.io/Logging_2281/kartor/A 70072-2021 karta.png", "A 70072-2021")</f>
        <v/>
      </c>
      <c r="V760">
        <f>HYPERLINK("https://klasma.github.io/Logging_2281/klagomål/A 70072-2021 FSC-klagomål.docx", "A 70072-2021")</f>
        <v/>
      </c>
      <c r="W760">
        <f>HYPERLINK("https://klasma.github.io/Logging_2281/klagomålsmail/A 70072-2021 FSC-klagomål mail.docx", "A 70072-2021")</f>
        <v/>
      </c>
      <c r="X760">
        <f>HYPERLINK("https://klasma.github.io/Logging_2281/tillsyn/A 70072-2021 tillsynsbegäran.docx", "A 70072-2021")</f>
        <v/>
      </c>
      <c r="Y760">
        <f>HYPERLINK("https://klasma.github.io/Logging_2281/tillsynsmail/A 70072-2021 tillsynsbegäran mail.docx", "A 70072-2021")</f>
        <v/>
      </c>
    </row>
    <row r="761" ht="15" customHeight="1">
      <c r="A761" t="inlineStr">
        <is>
          <t>A 51166-2025</t>
        </is>
      </c>
      <c r="B761" s="1" t="n">
        <v>45947.59516203704</v>
      </c>
      <c r="C761" s="1" t="n">
        <v>46185</v>
      </c>
      <c r="D761" t="inlineStr">
        <is>
          <t>VÄSTERNORRLANDS LÄN</t>
        </is>
      </c>
      <c r="E761" t="inlineStr">
        <is>
          <t>KRAMFORS</t>
        </is>
      </c>
      <c r="G761" t="n">
        <v>4.8</v>
      </c>
      <c r="H761" t="n">
        <v>1</v>
      </c>
      <c r="I761" t="n">
        <v>1</v>
      </c>
      <c r="J761" t="n">
        <v>0</v>
      </c>
      <c r="K761" t="n">
        <v>0</v>
      </c>
      <c r="L761" t="n">
        <v>0</v>
      </c>
      <c r="M761" t="n">
        <v>0</v>
      </c>
      <c r="N761" t="n">
        <v>0</v>
      </c>
      <c r="O761" t="n">
        <v>0</v>
      </c>
      <c r="P761" t="n">
        <v>0</v>
      </c>
      <c r="Q761" t="n">
        <v>2</v>
      </c>
      <c r="R761" s="2" t="inlineStr">
        <is>
          <t>Nordlig källmossa
Fläcknycklar</t>
        </is>
      </c>
      <c r="S761">
        <f>HYPERLINK("https://klasma.github.io/Logging_2282/artfynd/A 51166-2025 artfynd.xlsx", "A 51166-2025")</f>
        <v/>
      </c>
      <c r="T761">
        <f>HYPERLINK("https://klasma.github.io/Logging_2282/kartor/A 51166-2025 karta.png", "A 51166-2025")</f>
        <v/>
      </c>
      <c r="V761">
        <f>HYPERLINK("https://klasma.github.io/Logging_2282/klagomål/A 51166-2025 FSC-klagomål.docx", "A 51166-2025")</f>
        <v/>
      </c>
      <c r="W761">
        <f>HYPERLINK("https://klasma.github.io/Logging_2282/klagomålsmail/A 51166-2025 FSC-klagomål mail.docx", "A 51166-2025")</f>
        <v/>
      </c>
      <c r="X761">
        <f>HYPERLINK("https://klasma.github.io/Logging_2282/tillsyn/A 51166-2025 tillsynsbegäran.docx", "A 51166-2025")</f>
        <v/>
      </c>
      <c r="Y761">
        <f>HYPERLINK("https://klasma.github.io/Logging_2282/tillsynsmail/A 51166-2025 tillsynsbegäran mail.docx", "A 51166-2025")</f>
        <v/>
      </c>
    </row>
    <row r="762" ht="15" customHeight="1">
      <c r="A762" t="inlineStr">
        <is>
          <t>A 35003-2023</t>
        </is>
      </c>
      <c r="B762" s="1" t="n">
        <v>45142</v>
      </c>
      <c r="C762" s="1" t="n">
        <v>46185</v>
      </c>
      <c r="D762" t="inlineStr">
        <is>
          <t>VÄSTERNORRLANDS LÄN</t>
        </is>
      </c>
      <c r="E762" t="inlineStr">
        <is>
          <t>TIMRÅ</t>
        </is>
      </c>
      <c r="F762" t="inlineStr">
        <is>
          <t>SCA</t>
        </is>
      </c>
      <c r="G762" t="n">
        <v>1.9</v>
      </c>
      <c r="H762" t="n">
        <v>0</v>
      </c>
      <c r="I762" t="n">
        <v>0</v>
      </c>
      <c r="J762" t="n">
        <v>2</v>
      </c>
      <c r="K762" t="n">
        <v>0</v>
      </c>
      <c r="L762" t="n">
        <v>0</v>
      </c>
      <c r="M762" t="n">
        <v>0</v>
      </c>
      <c r="N762" t="n">
        <v>0</v>
      </c>
      <c r="O762" t="n">
        <v>2</v>
      </c>
      <c r="P762" t="n">
        <v>0</v>
      </c>
      <c r="Q762" t="n">
        <v>2</v>
      </c>
      <c r="R762" s="2" t="inlineStr">
        <is>
          <t>Lunglav
Ullticka</t>
        </is>
      </c>
      <c r="S762">
        <f>HYPERLINK("https://klasma.github.io/Logging_2262/artfynd/A 35003-2023 artfynd.xlsx", "A 35003-2023")</f>
        <v/>
      </c>
      <c r="T762">
        <f>HYPERLINK("https://klasma.github.io/Logging_2262/kartor/A 35003-2023 karta.png", "A 35003-2023")</f>
        <v/>
      </c>
      <c r="V762">
        <f>HYPERLINK("https://klasma.github.io/Logging_2262/klagomål/A 35003-2023 FSC-klagomål.docx", "A 35003-2023")</f>
        <v/>
      </c>
      <c r="W762">
        <f>HYPERLINK("https://klasma.github.io/Logging_2262/klagomålsmail/A 35003-2023 FSC-klagomål mail.docx", "A 35003-2023")</f>
        <v/>
      </c>
      <c r="X762">
        <f>HYPERLINK("https://klasma.github.io/Logging_2262/tillsyn/A 35003-2023 tillsynsbegäran.docx", "A 35003-2023")</f>
        <v/>
      </c>
      <c r="Y762">
        <f>HYPERLINK("https://klasma.github.io/Logging_2262/tillsynsmail/A 35003-2023 tillsynsbegäran mail.docx", "A 35003-2023")</f>
        <v/>
      </c>
    </row>
    <row r="763" ht="15" customHeight="1">
      <c r="A763" t="inlineStr">
        <is>
          <t>A 5111-2026</t>
        </is>
      </c>
      <c r="B763" s="1" t="n">
        <v>46049.57377314815</v>
      </c>
      <c r="C763" s="1" t="n">
        <v>46185</v>
      </c>
      <c r="D763" t="inlineStr">
        <is>
          <t>VÄSTERNORRLANDS LÄN</t>
        </is>
      </c>
      <c r="E763" t="inlineStr">
        <is>
          <t>SOLLEFTEÅ</t>
        </is>
      </c>
      <c r="F763" t="inlineStr">
        <is>
          <t>SCA</t>
        </is>
      </c>
      <c r="G763" t="n">
        <v>4.4</v>
      </c>
      <c r="H763" t="n">
        <v>0</v>
      </c>
      <c r="I763" t="n">
        <v>0</v>
      </c>
      <c r="J763" t="n">
        <v>2</v>
      </c>
      <c r="K763" t="n">
        <v>0</v>
      </c>
      <c r="L763" t="n">
        <v>0</v>
      </c>
      <c r="M763" t="n">
        <v>0</v>
      </c>
      <c r="N763" t="n">
        <v>0</v>
      </c>
      <c r="O763" t="n">
        <v>2</v>
      </c>
      <c r="P763" t="n">
        <v>0</v>
      </c>
      <c r="Q763" t="n">
        <v>2</v>
      </c>
      <c r="R763" s="2" t="inlineStr">
        <is>
          <t>Lunglav
Ullticka</t>
        </is>
      </c>
      <c r="S763">
        <f>HYPERLINK("https://klasma.github.io/Logging_2283/artfynd/A 5111-2026 artfynd.xlsx", "A 5111-2026")</f>
        <v/>
      </c>
      <c r="T763">
        <f>HYPERLINK("https://klasma.github.io/Logging_2283/kartor/A 5111-2026 karta.png", "A 5111-2026")</f>
        <v/>
      </c>
      <c r="V763">
        <f>HYPERLINK("https://klasma.github.io/Logging_2283/klagomål/A 5111-2026 FSC-klagomål.docx", "A 5111-2026")</f>
        <v/>
      </c>
      <c r="W763">
        <f>HYPERLINK("https://klasma.github.io/Logging_2283/klagomålsmail/A 5111-2026 FSC-klagomål mail.docx", "A 5111-2026")</f>
        <v/>
      </c>
      <c r="X763">
        <f>HYPERLINK("https://klasma.github.io/Logging_2283/tillsyn/A 5111-2026 tillsynsbegäran.docx", "A 5111-2026")</f>
        <v/>
      </c>
      <c r="Y763">
        <f>HYPERLINK("https://klasma.github.io/Logging_2283/tillsynsmail/A 5111-2026 tillsynsbegäran mail.docx", "A 5111-2026")</f>
        <v/>
      </c>
    </row>
    <row r="764" ht="15" customHeight="1">
      <c r="A764" t="inlineStr">
        <is>
          <t>A 2347-2025</t>
        </is>
      </c>
      <c r="B764" s="1" t="n">
        <v>45673.67782407408</v>
      </c>
      <c r="C764" s="1" t="n">
        <v>46185</v>
      </c>
      <c r="D764" t="inlineStr">
        <is>
          <t>VÄSTERNORRLANDS LÄN</t>
        </is>
      </c>
      <c r="E764" t="inlineStr">
        <is>
          <t>SOLLEFTEÅ</t>
        </is>
      </c>
      <c r="F764" t="inlineStr">
        <is>
          <t>SCA</t>
        </is>
      </c>
      <c r="G764" t="n">
        <v>3.3</v>
      </c>
      <c r="H764" t="n">
        <v>1</v>
      </c>
      <c r="I764" t="n">
        <v>0</v>
      </c>
      <c r="J764" t="n">
        <v>2</v>
      </c>
      <c r="K764" t="n">
        <v>0</v>
      </c>
      <c r="L764" t="n">
        <v>0</v>
      </c>
      <c r="M764" t="n">
        <v>0</v>
      </c>
      <c r="N764" t="n">
        <v>0</v>
      </c>
      <c r="O764" t="n">
        <v>2</v>
      </c>
      <c r="P764" t="n">
        <v>0</v>
      </c>
      <c r="Q764" t="n">
        <v>2</v>
      </c>
      <c r="R764" s="2" t="inlineStr">
        <is>
          <t>Garnlav
Spillkråka</t>
        </is>
      </c>
      <c r="S764">
        <f>HYPERLINK("https://klasma.github.io/Logging_2283/artfynd/A 2347-2025 artfynd.xlsx", "A 2347-2025")</f>
        <v/>
      </c>
      <c r="T764">
        <f>HYPERLINK("https://klasma.github.io/Logging_2283/kartor/A 2347-2025 karta.png", "A 2347-2025")</f>
        <v/>
      </c>
      <c r="V764">
        <f>HYPERLINK("https://klasma.github.io/Logging_2283/klagomål/A 2347-2025 FSC-klagomål.docx", "A 2347-2025")</f>
        <v/>
      </c>
      <c r="W764">
        <f>HYPERLINK("https://klasma.github.io/Logging_2283/klagomålsmail/A 2347-2025 FSC-klagomål mail.docx", "A 2347-2025")</f>
        <v/>
      </c>
      <c r="X764">
        <f>HYPERLINK("https://klasma.github.io/Logging_2283/tillsyn/A 2347-2025 tillsynsbegäran.docx", "A 2347-2025")</f>
        <v/>
      </c>
      <c r="Y764">
        <f>HYPERLINK("https://klasma.github.io/Logging_2283/tillsynsmail/A 2347-2025 tillsynsbegäran mail.docx", "A 2347-2025")</f>
        <v/>
      </c>
      <c r="Z764">
        <f>HYPERLINK("https://klasma.github.io/Logging_2283/fåglar/A 2347-2025 prioriterade fågelarter.docx", "A 2347-2025")</f>
        <v/>
      </c>
    </row>
    <row r="765" ht="15" customHeight="1">
      <c r="A765" t="inlineStr">
        <is>
          <t>A 51933-2025</t>
        </is>
      </c>
      <c r="B765" s="1" t="n">
        <v>45952.51125</v>
      </c>
      <c r="C765" s="1" t="n">
        <v>46185</v>
      </c>
      <c r="D765" t="inlineStr">
        <is>
          <t>VÄSTERNORRLANDS LÄN</t>
        </is>
      </c>
      <c r="E765" t="inlineStr">
        <is>
          <t>SUNDSVALL</t>
        </is>
      </c>
      <c r="F765" t="inlineStr">
        <is>
          <t>SCA</t>
        </is>
      </c>
      <c r="G765" t="n">
        <v>7</v>
      </c>
      <c r="H765" t="n">
        <v>1</v>
      </c>
      <c r="I765" t="n">
        <v>1</v>
      </c>
      <c r="J765" t="n">
        <v>0</v>
      </c>
      <c r="K765" t="n">
        <v>0</v>
      </c>
      <c r="L765" t="n">
        <v>0</v>
      </c>
      <c r="M765" t="n">
        <v>0</v>
      </c>
      <c r="N765" t="n">
        <v>0</v>
      </c>
      <c r="O765" t="n">
        <v>0</v>
      </c>
      <c r="P765" t="n">
        <v>0</v>
      </c>
      <c r="Q765" t="n">
        <v>2</v>
      </c>
      <c r="R765" s="2" t="inlineStr">
        <is>
          <t>Tibast
Nattviol</t>
        </is>
      </c>
      <c r="S765">
        <f>HYPERLINK("https://klasma.github.io/Logging_2281/artfynd/A 51933-2025 artfynd.xlsx", "A 51933-2025")</f>
        <v/>
      </c>
      <c r="T765">
        <f>HYPERLINK("https://klasma.github.io/Logging_2281/kartor/A 51933-2025 karta.png", "A 51933-2025")</f>
        <v/>
      </c>
      <c r="V765">
        <f>HYPERLINK("https://klasma.github.io/Logging_2281/klagomål/A 51933-2025 FSC-klagomål.docx", "A 51933-2025")</f>
        <v/>
      </c>
      <c r="W765">
        <f>HYPERLINK("https://klasma.github.io/Logging_2281/klagomålsmail/A 51933-2025 FSC-klagomål mail.docx", "A 51933-2025")</f>
        <v/>
      </c>
      <c r="X765">
        <f>HYPERLINK("https://klasma.github.io/Logging_2281/tillsyn/A 51933-2025 tillsynsbegäran.docx", "A 51933-2025")</f>
        <v/>
      </c>
      <c r="Y765">
        <f>HYPERLINK("https://klasma.github.io/Logging_2281/tillsynsmail/A 51933-2025 tillsynsbegäran mail.docx", "A 51933-2025")</f>
        <v/>
      </c>
    </row>
    <row r="766" ht="15" customHeight="1">
      <c r="A766" t="inlineStr">
        <is>
          <t>A 32659-2024</t>
        </is>
      </c>
      <c r="B766" s="1" t="n">
        <v>45513</v>
      </c>
      <c r="C766" s="1" t="n">
        <v>46185</v>
      </c>
      <c r="D766" t="inlineStr">
        <is>
          <t>VÄSTERNORRLANDS LÄN</t>
        </is>
      </c>
      <c r="E766" t="inlineStr">
        <is>
          <t>ÅNGE</t>
        </is>
      </c>
      <c r="F766" t="inlineStr">
        <is>
          <t>SCA</t>
        </is>
      </c>
      <c r="G766" t="n">
        <v>6.9</v>
      </c>
      <c r="H766" t="n">
        <v>0</v>
      </c>
      <c r="I766" t="n">
        <v>0</v>
      </c>
      <c r="J766" t="n">
        <v>2</v>
      </c>
      <c r="K766" t="n">
        <v>0</v>
      </c>
      <c r="L766" t="n">
        <v>0</v>
      </c>
      <c r="M766" t="n">
        <v>0</v>
      </c>
      <c r="N766" t="n">
        <v>0</v>
      </c>
      <c r="O766" t="n">
        <v>2</v>
      </c>
      <c r="P766" t="n">
        <v>0</v>
      </c>
      <c r="Q766" t="n">
        <v>2</v>
      </c>
      <c r="R766" s="2" t="inlineStr">
        <is>
          <t>Lunglav
Stjärntagging</t>
        </is>
      </c>
      <c r="S766">
        <f>HYPERLINK("https://klasma.github.io/Logging_2260/artfynd/A 32659-2024 artfynd.xlsx", "A 32659-2024")</f>
        <v/>
      </c>
      <c r="T766">
        <f>HYPERLINK("https://klasma.github.io/Logging_2260/kartor/A 32659-2024 karta.png", "A 32659-2024")</f>
        <v/>
      </c>
      <c r="V766">
        <f>HYPERLINK("https://klasma.github.io/Logging_2260/klagomål/A 32659-2024 FSC-klagomål.docx", "A 32659-2024")</f>
        <v/>
      </c>
      <c r="W766">
        <f>HYPERLINK("https://klasma.github.io/Logging_2260/klagomålsmail/A 32659-2024 FSC-klagomål mail.docx", "A 32659-2024")</f>
        <v/>
      </c>
      <c r="X766">
        <f>HYPERLINK("https://klasma.github.io/Logging_2260/tillsyn/A 32659-2024 tillsynsbegäran.docx", "A 32659-2024")</f>
        <v/>
      </c>
      <c r="Y766">
        <f>HYPERLINK("https://klasma.github.io/Logging_2260/tillsynsmail/A 32659-2024 tillsynsbegäran mail.docx", "A 32659-2024")</f>
        <v/>
      </c>
    </row>
    <row r="767" ht="15" customHeight="1">
      <c r="A767" t="inlineStr">
        <is>
          <t>A 58880-2024</t>
        </is>
      </c>
      <c r="B767" s="1" t="n">
        <v>45636.44836805556</v>
      </c>
      <c r="C767" s="1" t="n">
        <v>46185</v>
      </c>
      <c r="D767" t="inlineStr">
        <is>
          <t>VÄSTERNORRLANDS LÄN</t>
        </is>
      </c>
      <c r="E767" t="inlineStr">
        <is>
          <t>SOLLEFTEÅ</t>
        </is>
      </c>
      <c r="F767" t="inlineStr">
        <is>
          <t>SCA</t>
        </is>
      </c>
      <c r="G767" t="n">
        <v>2</v>
      </c>
      <c r="H767" t="n">
        <v>0</v>
      </c>
      <c r="I767" t="n">
        <v>0</v>
      </c>
      <c r="J767" t="n">
        <v>2</v>
      </c>
      <c r="K767" t="n">
        <v>0</v>
      </c>
      <c r="L767" t="n">
        <v>0</v>
      </c>
      <c r="M767" t="n">
        <v>0</v>
      </c>
      <c r="N767" t="n">
        <v>0</v>
      </c>
      <c r="O767" t="n">
        <v>2</v>
      </c>
      <c r="P767" t="n">
        <v>0</v>
      </c>
      <c r="Q767" t="n">
        <v>2</v>
      </c>
      <c r="R767" s="2" t="inlineStr">
        <is>
          <t>Gammelgransskål
Garnlav</t>
        </is>
      </c>
      <c r="S767">
        <f>HYPERLINK("https://klasma.github.io/Logging_2283/artfynd/A 58880-2024 artfynd.xlsx", "A 58880-2024")</f>
        <v/>
      </c>
      <c r="T767">
        <f>HYPERLINK("https://klasma.github.io/Logging_2283/kartor/A 58880-2024 karta.png", "A 58880-2024")</f>
        <v/>
      </c>
      <c r="V767">
        <f>HYPERLINK("https://klasma.github.io/Logging_2283/klagomål/A 58880-2024 FSC-klagomål.docx", "A 58880-2024")</f>
        <v/>
      </c>
      <c r="W767">
        <f>HYPERLINK("https://klasma.github.io/Logging_2283/klagomålsmail/A 58880-2024 FSC-klagomål mail.docx", "A 58880-2024")</f>
        <v/>
      </c>
      <c r="X767">
        <f>HYPERLINK("https://klasma.github.io/Logging_2283/tillsyn/A 58880-2024 tillsynsbegäran.docx", "A 58880-2024")</f>
        <v/>
      </c>
      <c r="Y767">
        <f>HYPERLINK("https://klasma.github.io/Logging_2283/tillsynsmail/A 58880-2024 tillsynsbegäran mail.docx", "A 58880-2024")</f>
        <v/>
      </c>
    </row>
    <row r="768" ht="15" customHeight="1">
      <c r="A768" t="inlineStr">
        <is>
          <t>A 53683-2025</t>
        </is>
      </c>
      <c r="B768" s="1" t="n">
        <v>45960</v>
      </c>
      <c r="C768" s="1" t="n">
        <v>46185</v>
      </c>
      <c r="D768" t="inlineStr">
        <is>
          <t>VÄSTERNORRLANDS LÄN</t>
        </is>
      </c>
      <c r="E768" t="inlineStr">
        <is>
          <t>ÅNGE</t>
        </is>
      </c>
      <c r="F768" t="inlineStr">
        <is>
          <t>SCA</t>
        </is>
      </c>
      <c r="G768" t="n">
        <v>3.6</v>
      </c>
      <c r="H768" t="n">
        <v>1</v>
      </c>
      <c r="I768" t="n">
        <v>1</v>
      </c>
      <c r="J768" t="n">
        <v>1</v>
      </c>
      <c r="K768" t="n">
        <v>0</v>
      </c>
      <c r="L768" t="n">
        <v>0</v>
      </c>
      <c r="M768" t="n">
        <v>0</v>
      </c>
      <c r="N768" t="n">
        <v>0</v>
      </c>
      <c r="O768" t="n">
        <v>1</v>
      </c>
      <c r="P768" t="n">
        <v>0</v>
      </c>
      <c r="Q768" t="n">
        <v>2</v>
      </c>
      <c r="R768" s="2" t="inlineStr">
        <is>
          <t>Talltita
Ögonpyrola</t>
        </is>
      </c>
      <c r="S768">
        <f>HYPERLINK("https://klasma.github.io/Logging_2260/artfynd/A 53683-2025 artfynd.xlsx", "A 53683-2025")</f>
        <v/>
      </c>
      <c r="T768">
        <f>HYPERLINK("https://klasma.github.io/Logging_2260/kartor/A 53683-2025 karta.png", "A 53683-2025")</f>
        <v/>
      </c>
      <c r="U768">
        <f>HYPERLINK("https://klasma.github.io/Logging_2260/knärot/A 53683-2025 karta knärot.png", "A 53683-2025")</f>
        <v/>
      </c>
      <c r="V768">
        <f>HYPERLINK("https://klasma.github.io/Logging_2260/klagomål/A 53683-2025 FSC-klagomål.docx", "A 53683-2025")</f>
        <v/>
      </c>
      <c r="W768">
        <f>HYPERLINK("https://klasma.github.io/Logging_2260/klagomålsmail/A 53683-2025 FSC-klagomål mail.docx", "A 53683-2025")</f>
        <v/>
      </c>
      <c r="X768">
        <f>HYPERLINK("https://klasma.github.io/Logging_2260/tillsyn/A 53683-2025 tillsynsbegäran.docx", "A 53683-2025")</f>
        <v/>
      </c>
      <c r="Y768">
        <f>HYPERLINK("https://klasma.github.io/Logging_2260/tillsynsmail/A 53683-2025 tillsynsbegäran mail.docx", "A 53683-2025")</f>
        <v/>
      </c>
      <c r="Z768">
        <f>HYPERLINK("https://klasma.github.io/Logging_2260/fåglar/A 53683-2025 prioriterade fågelarter.docx", "A 53683-2025")</f>
        <v/>
      </c>
    </row>
    <row r="769" ht="15" customHeight="1">
      <c r="A769" t="inlineStr">
        <is>
          <t>A 6680-2026</t>
        </is>
      </c>
      <c r="B769" s="1" t="n">
        <v>46056</v>
      </c>
      <c r="C769" s="1" t="n">
        <v>46185</v>
      </c>
      <c r="D769" t="inlineStr">
        <is>
          <t>VÄSTERNORRLANDS LÄN</t>
        </is>
      </c>
      <c r="E769" t="inlineStr">
        <is>
          <t>SUNDSVALL</t>
        </is>
      </c>
      <c r="F769" t="inlineStr">
        <is>
          <t>SCA</t>
        </is>
      </c>
      <c r="G769" t="n">
        <v>20.7</v>
      </c>
      <c r="H769" t="n">
        <v>1</v>
      </c>
      <c r="I769" t="n">
        <v>0</v>
      </c>
      <c r="J769" t="n">
        <v>1</v>
      </c>
      <c r="K769" t="n">
        <v>0</v>
      </c>
      <c r="L769" t="n">
        <v>0</v>
      </c>
      <c r="M769" t="n">
        <v>0</v>
      </c>
      <c r="N769" t="n">
        <v>0</v>
      </c>
      <c r="O769" t="n">
        <v>1</v>
      </c>
      <c r="P769" t="n">
        <v>0</v>
      </c>
      <c r="Q769" t="n">
        <v>2</v>
      </c>
      <c r="R769" s="2" t="inlineStr">
        <is>
          <t>Igelkott
Huggorm</t>
        </is>
      </c>
      <c r="S769">
        <f>HYPERLINK("https://klasma.github.io/Logging_2281/artfynd/A 6680-2026 artfynd.xlsx", "A 6680-2026")</f>
        <v/>
      </c>
      <c r="T769">
        <f>HYPERLINK("https://klasma.github.io/Logging_2281/kartor/A 6680-2026 karta.png", "A 6680-2026")</f>
        <v/>
      </c>
      <c r="V769">
        <f>HYPERLINK("https://klasma.github.io/Logging_2281/klagomål/A 6680-2026 FSC-klagomål.docx", "A 6680-2026")</f>
        <v/>
      </c>
      <c r="W769">
        <f>HYPERLINK("https://klasma.github.io/Logging_2281/klagomålsmail/A 6680-2026 FSC-klagomål mail.docx", "A 6680-2026")</f>
        <v/>
      </c>
      <c r="X769">
        <f>HYPERLINK("https://klasma.github.io/Logging_2281/tillsyn/A 6680-2026 tillsynsbegäran.docx", "A 6680-2026")</f>
        <v/>
      </c>
      <c r="Y769">
        <f>HYPERLINK("https://klasma.github.io/Logging_2281/tillsynsmail/A 6680-2026 tillsynsbegäran mail.docx", "A 6680-2026")</f>
        <v/>
      </c>
    </row>
    <row r="770" ht="15" customHeight="1">
      <c r="A770" t="inlineStr">
        <is>
          <t>A 3960-2024</t>
        </is>
      </c>
      <c r="B770" s="1" t="n">
        <v>45322</v>
      </c>
      <c r="C770" s="1" t="n">
        <v>46185</v>
      </c>
      <c r="D770" t="inlineStr">
        <is>
          <t>VÄSTERNORRLANDS LÄN</t>
        </is>
      </c>
      <c r="E770" t="inlineStr">
        <is>
          <t>SUNDSVALL</t>
        </is>
      </c>
      <c r="G770" t="n">
        <v>3.1</v>
      </c>
      <c r="H770" t="n">
        <v>1</v>
      </c>
      <c r="I770" t="n">
        <v>1</v>
      </c>
      <c r="J770" t="n">
        <v>1</v>
      </c>
      <c r="K770" t="n">
        <v>0</v>
      </c>
      <c r="L770" t="n">
        <v>0</v>
      </c>
      <c r="M770" t="n">
        <v>0</v>
      </c>
      <c r="N770" t="n">
        <v>0</v>
      </c>
      <c r="O770" t="n">
        <v>1</v>
      </c>
      <c r="P770" t="n">
        <v>0</v>
      </c>
      <c r="Q770" t="n">
        <v>2</v>
      </c>
      <c r="R770" s="2" t="inlineStr">
        <is>
          <t>Tretåig hackspett
Skinnlav</t>
        </is>
      </c>
      <c r="S770">
        <f>HYPERLINK("https://klasma.github.io/Logging_2281/artfynd/A 3960-2024 artfynd.xlsx", "A 3960-2024")</f>
        <v/>
      </c>
      <c r="T770">
        <f>HYPERLINK("https://klasma.github.io/Logging_2281/kartor/A 3960-2024 karta.png", "A 3960-2024")</f>
        <v/>
      </c>
      <c r="V770">
        <f>HYPERLINK("https://klasma.github.io/Logging_2281/klagomål/A 3960-2024 FSC-klagomål.docx", "A 3960-2024")</f>
        <v/>
      </c>
      <c r="W770">
        <f>HYPERLINK("https://klasma.github.io/Logging_2281/klagomålsmail/A 3960-2024 FSC-klagomål mail.docx", "A 3960-2024")</f>
        <v/>
      </c>
      <c r="X770">
        <f>HYPERLINK("https://klasma.github.io/Logging_2281/tillsyn/A 3960-2024 tillsynsbegäran.docx", "A 3960-2024")</f>
        <v/>
      </c>
      <c r="Y770">
        <f>HYPERLINK("https://klasma.github.io/Logging_2281/tillsynsmail/A 3960-2024 tillsynsbegäran mail.docx", "A 3960-2024")</f>
        <v/>
      </c>
      <c r="Z770">
        <f>HYPERLINK("https://klasma.github.io/Logging_2281/fåglar/A 3960-2024 prioriterade fågelarter.docx", "A 3960-2024")</f>
        <v/>
      </c>
    </row>
    <row r="771" ht="15" customHeight="1">
      <c r="A771" t="inlineStr">
        <is>
          <t>A 7837-2025</t>
        </is>
      </c>
      <c r="B771" s="1" t="n">
        <v>45706</v>
      </c>
      <c r="C771" s="1" t="n">
        <v>46185</v>
      </c>
      <c r="D771" t="inlineStr">
        <is>
          <t>VÄSTERNORRLANDS LÄN</t>
        </is>
      </c>
      <c r="E771" t="inlineStr">
        <is>
          <t>SOLLEFTEÅ</t>
        </is>
      </c>
      <c r="F771" t="inlineStr">
        <is>
          <t>SCA</t>
        </is>
      </c>
      <c r="G771" t="n">
        <v>2</v>
      </c>
      <c r="H771" t="n">
        <v>0</v>
      </c>
      <c r="I771" t="n">
        <v>1</v>
      </c>
      <c r="J771" t="n">
        <v>1</v>
      </c>
      <c r="K771" t="n">
        <v>0</v>
      </c>
      <c r="L771" t="n">
        <v>0</v>
      </c>
      <c r="M771" t="n">
        <v>0</v>
      </c>
      <c r="N771" t="n">
        <v>0</v>
      </c>
      <c r="O771" t="n">
        <v>1</v>
      </c>
      <c r="P771" t="n">
        <v>0</v>
      </c>
      <c r="Q771" t="n">
        <v>2</v>
      </c>
      <c r="R771" s="2" t="inlineStr">
        <is>
          <t>Gammelgransskål
Norrlandslav</t>
        </is>
      </c>
      <c r="S771">
        <f>HYPERLINK("https://klasma.github.io/Logging_2283/artfynd/A 7837-2025 artfynd.xlsx", "A 7837-2025")</f>
        <v/>
      </c>
      <c r="T771">
        <f>HYPERLINK("https://klasma.github.io/Logging_2283/kartor/A 7837-2025 karta.png", "A 7837-2025")</f>
        <v/>
      </c>
      <c r="V771">
        <f>HYPERLINK("https://klasma.github.io/Logging_2283/klagomål/A 7837-2025 FSC-klagomål.docx", "A 7837-2025")</f>
        <v/>
      </c>
      <c r="W771">
        <f>HYPERLINK("https://klasma.github.io/Logging_2283/klagomålsmail/A 7837-2025 FSC-klagomål mail.docx", "A 7837-2025")</f>
        <v/>
      </c>
      <c r="X771">
        <f>HYPERLINK("https://klasma.github.io/Logging_2283/tillsyn/A 7837-2025 tillsynsbegäran.docx", "A 7837-2025")</f>
        <v/>
      </c>
      <c r="Y771">
        <f>HYPERLINK("https://klasma.github.io/Logging_2283/tillsynsmail/A 7837-2025 tillsynsbegäran mail.docx", "A 7837-2025")</f>
        <v/>
      </c>
    </row>
    <row r="772" ht="15" customHeight="1">
      <c r="A772" t="inlineStr">
        <is>
          <t>A 45841-2025</t>
        </is>
      </c>
      <c r="B772" s="1" t="n">
        <v>45923</v>
      </c>
      <c r="C772" s="1" t="n">
        <v>46185</v>
      </c>
      <c r="D772" t="inlineStr">
        <is>
          <t>VÄSTERNORRLANDS LÄN</t>
        </is>
      </c>
      <c r="E772" t="inlineStr">
        <is>
          <t>SUNDSVALL</t>
        </is>
      </c>
      <c r="F772" t="inlineStr">
        <is>
          <t>SCA</t>
        </is>
      </c>
      <c r="G772" t="n">
        <v>16.5</v>
      </c>
      <c r="H772" t="n">
        <v>2</v>
      </c>
      <c r="I772" t="n">
        <v>0</v>
      </c>
      <c r="J772" t="n">
        <v>1</v>
      </c>
      <c r="K772" t="n">
        <v>1</v>
      </c>
      <c r="L772" t="n">
        <v>0</v>
      </c>
      <c r="M772" t="n">
        <v>0</v>
      </c>
      <c r="N772" t="n">
        <v>0</v>
      </c>
      <c r="O772" t="n">
        <v>2</v>
      </c>
      <c r="P772" t="n">
        <v>1</v>
      </c>
      <c r="Q772" t="n">
        <v>2</v>
      </c>
      <c r="R772" s="2" t="inlineStr">
        <is>
          <t>Knärot
Tretåig hackspett</t>
        </is>
      </c>
      <c r="S772">
        <f>HYPERLINK("https://klasma.github.io/Logging_2281/artfynd/A 45841-2025 artfynd.xlsx", "A 45841-2025")</f>
        <v/>
      </c>
      <c r="T772">
        <f>HYPERLINK("https://klasma.github.io/Logging_2281/kartor/A 45841-2025 karta.png", "A 45841-2025")</f>
        <v/>
      </c>
      <c r="U772">
        <f>HYPERLINK("https://klasma.github.io/Logging_2281/knärot/A 45841-2025 karta knärot.png", "A 45841-2025")</f>
        <v/>
      </c>
      <c r="V772">
        <f>HYPERLINK("https://klasma.github.io/Logging_2281/klagomål/A 45841-2025 FSC-klagomål.docx", "A 45841-2025")</f>
        <v/>
      </c>
      <c r="W772">
        <f>HYPERLINK("https://klasma.github.io/Logging_2281/klagomålsmail/A 45841-2025 FSC-klagomål mail.docx", "A 45841-2025")</f>
        <v/>
      </c>
      <c r="X772">
        <f>HYPERLINK("https://klasma.github.io/Logging_2281/tillsyn/A 45841-2025 tillsynsbegäran.docx", "A 45841-2025")</f>
        <v/>
      </c>
      <c r="Y772">
        <f>HYPERLINK("https://klasma.github.io/Logging_2281/tillsynsmail/A 45841-2025 tillsynsbegäran mail.docx", "A 45841-2025")</f>
        <v/>
      </c>
      <c r="Z772">
        <f>HYPERLINK("https://klasma.github.io/Logging_2281/fåglar/A 45841-2025 prioriterade fågelarter.docx", "A 45841-2025")</f>
        <v/>
      </c>
    </row>
    <row r="773" ht="15" customHeight="1">
      <c r="A773" t="inlineStr">
        <is>
          <t>A 51366-2022</t>
        </is>
      </c>
      <c r="B773" s="1" t="n">
        <v>44869</v>
      </c>
      <c r="C773" s="1" t="n">
        <v>46185</v>
      </c>
      <c r="D773" t="inlineStr">
        <is>
          <t>VÄSTERNORRLANDS LÄN</t>
        </is>
      </c>
      <c r="E773" t="inlineStr">
        <is>
          <t>SUNDSVALL</t>
        </is>
      </c>
      <c r="G773" t="n">
        <v>31.8</v>
      </c>
      <c r="H773" t="n">
        <v>0</v>
      </c>
      <c r="I773" t="n">
        <v>0</v>
      </c>
      <c r="J773" t="n">
        <v>2</v>
      </c>
      <c r="K773" t="n">
        <v>0</v>
      </c>
      <c r="L773" t="n">
        <v>0</v>
      </c>
      <c r="M773" t="n">
        <v>0</v>
      </c>
      <c r="N773" t="n">
        <v>0</v>
      </c>
      <c r="O773" t="n">
        <v>2</v>
      </c>
      <c r="P773" t="n">
        <v>0</v>
      </c>
      <c r="Q773" t="n">
        <v>2</v>
      </c>
      <c r="R773" s="2" t="inlineStr">
        <is>
          <t>Lunglav
Rosenticka</t>
        </is>
      </c>
      <c r="S773">
        <f>HYPERLINK("https://klasma.github.io/Logging_2281/artfynd/A 51366-2022 artfynd.xlsx", "A 51366-2022")</f>
        <v/>
      </c>
      <c r="T773">
        <f>HYPERLINK("https://klasma.github.io/Logging_2281/kartor/A 51366-2022 karta.png", "A 51366-2022")</f>
        <v/>
      </c>
      <c r="V773">
        <f>HYPERLINK("https://klasma.github.io/Logging_2281/klagomål/A 51366-2022 FSC-klagomål.docx", "A 51366-2022")</f>
        <v/>
      </c>
      <c r="W773">
        <f>HYPERLINK("https://klasma.github.io/Logging_2281/klagomålsmail/A 51366-2022 FSC-klagomål mail.docx", "A 51366-2022")</f>
        <v/>
      </c>
      <c r="X773">
        <f>HYPERLINK("https://klasma.github.io/Logging_2281/tillsyn/A 51366-2022 tillsynsbegäran.docx", "A 51366-2022")</f>
        <v/>
      </c>
      <c r="Y773">
        <f>HYPERLINK("https://klasma.github.io/Logging_2281/tillsynsmail/A 51366-2022 tillsynsbegäran mail.docx", "A 51366-2022")</f>
        <v/>
      </c>
    </row>
    <row r="774" ht="15" customHeight="1">
      <c r="A774" t="inlineStr">
        <is>
          <t>A 54625-2025</t>
        </is>
      </c>
      <c r="B774" s="1" t="n">
        <v>45966.34552083333</v>
      </c>
      <c r="C774" s="1" t="n">
        <v>46185</v>
      </c>
      <c r="D774" t="inlineStr">
        <is>
          <t>VÄSTERNORRLANDS LÄN</t>
        </is>
      </c>
      <c r="E774" t="inlineStr">
        <is>
          <t>ÅNGE</t>
        </is>
      </c>
      <c r="F774" t="inlineStr">
        <is>
          <t>SCA</t>
        </is>
      </c>
      <c r="G774" t="n">
        <v>2.5</v>
      </c>
      <c r="H774" t="n">
        <v>1</v>
      </c>
      <c r="I774" t="n">
        <v>1</v>
      </c>
      <c r="J774" t="n">
        <v>1</v>
      </c>
      <c r="K774" t="n">
        <v>0</v>
      </c>
      <c r="L774" t="n">
        <v>0</v>
      </c>
      <c r="M774" t="n">
        <v>0</v>
      </c>
      <c r="N774" t="n">
        <v>0</v>
      </c>
      <c r="O774" t="n">
        <v>1</v>
      </c>
      <c r="P774" t="n">
        <v>0</v>
      </c>
      <c r="Q774" t="n">
        <v>2</v>
      </c>
      <c r="R774" s="2" t="inlineStr">
        <is>
          <t>Talltita
Dropptaggsvamp</t>
        </is>
      </c>
      <c r="S774">
        <f>HYPERLINK("https://klasma.github.io/Logging_2260/artfynd/A 54625-2025 artfynd.xlsx", "A 54625-2025")</f>
        <v/>
      </c>
      <c r="T774">
        <f>HYPERLINK("https://klasma.github.io/Logging_2260/kartor/A 54625-2025 karta.png", "A 54625-2025")</f>
        <v/>
      </c>
      <c r="V774">
        <f>HYPERLINK("https://klasma.github.io/Logging_2260/klagomål/A 54625-2025 FSC-klagomål.docx", "A 54625-2025")</f>
        <v/>
      </c>
      <c r="W774">
        <f>HYPERLINK("https://klasma.github.io/Logging_2260/klagomålsmail/A 54625-2025 FSC-klagomål mail.docx", "A 54625-2025")</f>
        <v/>
      </c>
      <c r="X774">
        <f>HYPERLINK("https://klasma.github.io/Logging_2260/tillsyn/A 54625-2025 tillsynsbegäran.docx", "A 54625-2025")</f>
        <v/>
      </c>
      <c r="Y774">
        <f>HYPERLINK("https://klasma.github.io/Logging_2260/tillsynsmail/A 54625-2025 tillsynsbegäran mail.docx", "A 54625-2025")</f>
        <v/>
      </c>
      <c r="Z774">
        <f>HYPERLINK("https://klasma.github.io/Logging_2260/fåglar/A 54625-2025 prioriterade fågelarter.docx", "A 54625-2025")</f>
        <v/>
      </c>
    </row>
    <row r="775" ht="15" customHeight="1">
      <c r="A775" t="inlineStr">
        <is>
          <t>A 54964-2025</t>
        </is>
      </c>
      <c r="B775" s="1" t="n">
        <v>45967.4900462963</v>
      </c>
      <c r="C775" s="1" t="n">
        <v>46185</v>
      </c>
      <c r="D775" t="inlineStr">
        <is>
          <t>VÄSTERNORRLANDS LÄN</t>
        </is>
      </c>
      <c r="E775" t="inlineStr">
        <is>
          <t>HÄRNÖSAND</t>
        </is>
      </c>
      <c r="F775" t="inlineStr">
        <is>
          <t>SCA</t>
        </is>
      </c>
      <c r="G775" t="n">
        <v>7.2</v>
      </c>
      <c r="H775" t="n">
        <v>0</v>
      </c>
      <c r="I775" t="n">
        <v>0</v>
      </c>
      <c r="J775" t="n">
        <v>2</v>
      </c>
      <c r="K775" t="n">
        <v>0</v>
      </c>
      <c r="L775" t="n">
        <v>0</v>
      </c>
      <c r="M775" t="n">
        <v>0</v>
      </c>
      <c r="N775" t="n">
        <v>0</v>
      </c>
      <c r="O775" t="n">
        <v>2</v>
      </c>
      <c r="P775" t="n">
        <v>0</v>
      </c>
      <c r="Q775" t="n">
        <v>2</v>
      </c>
      <c r="R775" s="2" t="inlineStr">
        <is>
          <t>Gammelgransskål
Garnlav</t>
        </is>
      </c>
      <c r="S775">
        <f>HYPERLINK("https://klasma.github.io/Logging_2280/artfynd/A 54964-2025 artfynd.xlsx", "A 54964-2025")</f>
        <v/>
      </c>
      <c r="T775">
        <f>HYPERLINK("https://klasma.github.io/Logging_2280/kartor/A 54964-2025 karta.png", "A 54964-2025")</f>
        <v/>
      </c>
      <c r="V775">
        <f>HYPERLINK("https://klasma.github.io/Logging_2280/klagomål/A 54964-2025 FSC-klagomål.docx", "A 54964-2025")</f>
        <v/>
      </c>
      <c r="W775">
        <f>HYPERLINK("https://klasma.github.io/Logging_2280/klagomålsmail/A 54964-2025 FSC-klagomål mail.docx", "A 54964-2025")</f>
        <v/>
      </c>
      <c r="X775">
        <f>HYPERLINK("https://klasma.github.io/Logging_2280/tillsyn/A 54964-2025 tillsynsbegäran.docx", "A 54964-2025")</f>
        <v/>
      </c>
      <c r="Y775">
        <f>HYPERLINK("https://klasma.github.io/Logging_2280/tillsynsmail/A 54964-2025 tillsynsbegäran mail.docx", "A 54964-2025")</f>
        <v/>
      </c>
    </row>
    <row r="776" ht="15" customHeight="1">
      <c r="A776" t="inlineStr">
        <is>
          <t>A 43413-2023</t>
        </is>
      </c>
      <c r="B776" s="1" t="n">
        <v>45183</v>
      </c>
      <c r="C776" s="1" t="n">
        <v>46185</v>
      </c>
      <c r="D776" t="inlineStr">
        <is>
          <t>VÄSTERNORRLANDS LÄN</t>
        </is>
      </c>
      <c r="E776" t="inlineStr">
        <is>
          <t>TIMRÅ</t>
        </is>
      </c>
      <c r="F776" t="inlineStr">
        <is>
          <t>SCA</t>
        </is>
      </c>
      <c r="G776" t="n">
        <v>4.1</v>
      </c>
      <c r="H776" t="n">
        <v>0</v>
      </c>
      <c r="I776" t="n">
        <v>0</v>
      </c>
      <c r="J776" t="n">
        <v>2</v>
      </c>
      <c r="K776" t="n">
        <v>0</v>
      </c>
      <c r="L776" t="n">
        <v>0</v>
      </c>
      <c r="M776" t="n">
        <v>0</v>
      </c>
      <c r="N776" t="n">
        <v>0</v>
      </c>
      <c r="O776" t="n">
        <v>2</v>
      </c>
      <c r="P776" t="n">
        <v>0</v>
      </c>
      <c r="Q776" t="n">
        <v>2</v>
      </c>
      <c r="R776" s="2" t="inlineStr">
        <is>
          <t>Garnlav
Harticka</t>
        </is>
      </c>
      <c r="S776">
        <f>HYPERLINK("https://klasma.github.io/Logging_2262/artfynd/A 43413-2023 artfynd.xlsx", "A 43413-2023")</f>
        <v/>
      </c>
      <c r="T776">
        <f>HYPERLINK("https://klasma.github.io/Logging_2262/kartor/A 43413-2023 karta.png", "A 43413-2023")</f>
        <v/>
      </c>
      <c r="V776">
        <f>HYPERLINK("https://klasma.github.io/Logging_2262/klagomål/A 43413-2023 FSC-klagomål.docx", "A 43413-2023")</f>
        <v/>
      </c>
      <c r="W776">
        <f>HYPERLINK("https://klasma.github.io/Logging_2262/klagomålsmail/A 43413-2023 FSC-klagomål mail.docx", "A 43413-2023")</f>
        <v/>
      </c>
      <c r="X776">
        <f>HYPERLINK("https://klasma.github.io/Logging_2262/tillsyn/A 43413-2023 tillsynsbegäran.docx", "A 43413-2023")</f>
        <v/>
      </c>
      <c r="Y776">
        <f>HYPERLINK("https://klasma.github.io/Logging_2262/tillsynsmail/A 43413-2023 tillsynsbegäran mail.docx", "A 43413-2023")</f>
        <v/>
      </c>
    </row>
    <row r="777" ht="15" customHeight="1">
      <c r="A777" t="inlineStr">
        <is>
          <t>A 55845-2025</t>
        </is>
      </c>
      <c r="B777" s="1" t="n">
        <v>45973.31390046296</v>
      </c>
      <c r="C777" s="1" t="n">
        <v>46185</v>
      </c>
      <c r="D777" t="inlineStr">
        <is>
          <t>VÄSTERNORRLANDS LÄN</t>
        </is>
      </c>
      <c r="E777" t="inlineStr">
        <is>
          <t>KRAMFORS</t>
        </is>
      </c>
      <c r="G777" t="n">
        <v>4.7</v>
      </c>
      <c r="H777" t="n">
        <v>0</v>
      </c>
      <c r="I777" t="n">
        <v>2</v>
      </c>
      <c r="J777" t="n">
        <v>0</v>
      </c>
      <c r="K777" t="n">
        <v>0</v>
      </c>
      <c r="L777" t="n">
        <v>0</v>
      </c>
      <c r="M777" t="n">
        <v>0</v>
      </c>
      <c r="N777" t="n">
        <v>0</v>
      </c>
      <c r="O777" t="n">
        <v>0</v>
      </c>
      <c r="P777" t="n">
        <v>0</v>
      </c>
      <c r="Q777" t="n">
        <v>2</v>
      </c>
      <c r="R777" s="2" t="inlineStr">
        <is>
          <t>Stor aspticka
Vedticka</t>
        </is>
      </c>
      <c r="S777">
        <f>HYPERLINK("https://klasma.github.io/Logging_2282/artfynd/A 55845-2025 artfynd.xlsx", "A 55845-2025")</f>
        <v/>
      </c>
      <c r="T777">
        <f>HYPERLINK("https://klasma.github.io/Logging_2282/kartor/A 55845-2025 karta.png", "A 55845-2025")</f>
        <v/>
      </c>
      <c r="V777">
        <f>HYPERLINK("https://klasma.github.io/Logging_2282/klagomål/A 55845-2025 FSC-klagomål.docx", "A 55845-2025")</f>
        <v/>
      </c>
      <c r="W777">
        <f>HYPERLINK("https://klasma.github.io/Logging_2282/klagomålsmail/A 55845-2025 FSC-klagomål mail.docx", "A 55845-2025")</f>
        <v/>
      </c>
      <c r="X777">
        <f>HYPERLINK("https://klasma.github.io/Logging_2282/tillsyn/A 55845-2025 tillsynsbegäran.docx", "A 55845-2025")</f>
        <v/>
      </c>
      <c r="Y777">
        <f>HYPERLINK("https://klasma.github.io/Logging_2282/tillsynsmail/A 55845-2025 tillsynsbegäran mail.docx", "A 55845-2025")</f>
        <v/>
      </c>
    </row>
    <row r="778" ht="15" customHeight="1">
      <c r="A778" t="inlineStr">
        <is>
          <t>A 38017-2024</t>
        </is>
      </c>
      <c r="B778" s="1" t="n">
        <v>45544</v>
      </c>
      <c r="C778" s="1" t="n">
        <v>46185</v>
      </c>
      <c r="D778" t="inlineStr">
        <is>
          <t>VÄSTERNORRLANDS LÄN</t>
        </is>
      </c>
      <c r="E778" t="inlineStr">
        <is>
          <t>SOLLEFTEÅ</t>
        </is>
      </c>
      <c r="F778" t="inlineStr">
        <is>
          <t>SCA</t>
        </is>
      </c>
      <c r="G778" t="n">
        <v>1.9</v>
      </c>
      <c r="H778" t="n">
        <v>0</v>
      </c>
      <c r="I778" t="n">
        <v>1</v>
      </c>
      <c r="J778" t="n">
        <v>1</v>
      </c>
      <c r="K778" t="n">
        <v>0</v>
      </c>
      <c r="L778" t="n">
        <v>0</v>
      </c>
      <c r="M778" t="n">
        <v>0</v>
      </c>
      <c r="N778" t="n">
        <v>0</v>
      </c>
      <c r="O778" t="n">
        <v>1</v>
      </c>
      <c r="P778" t="n">
        <v>0</v>
      </c>
      <c r="Q778" t="n">
        <v>2</v>
      </c>
      <c r="R778" s="2" t="inlineStr">
        <is>
          <t>Garnlav
Bårdlav</t>
        </is>
      </c>
      <c r="S778">
        <f>HYPERLINK("https://klasma.github.io/Logging_2283/artfynd/A 38017-2024 artfynd.xlsx", "A 38017-2024")</f>
        <v/>
      </c>
      <c r="T778">
        <f>HYPERLINK("https://klasma.github.io/Logging_2283/kartor/A 38017-2024 karta.png", "A 38017-2024")</f>
        <v/>
      </c>
      <c r="V778">
        <f>HYPERLINK("https://klasma.github.io/Logging_2283/klagomål/A 38017-2024 FSC-klagomål.docx", "A 38017-2024")</f>
        <v/>
      </c>
      <c r="W778">
        <f>HYPERLINK("https://klasma.github.io/Logging_2283/klagomålsmail/A 38017-2024 FSC-klagomål mail.docx", "A 38017-2024")</f>
        <v/>
      </c>
      <c r="X778">
        <f>HYPERLINK("https://klasma.github.io/Logging_2283/tillsyn/A 38017-2024 tillsynsbegäran.docx", "A 38017-2024")</f>
        <v/>
      </c>
      <c r="Y778">
        <f>HYPERLINK("https://klasma.github.io/Logging_2283/tillsynsmail/A 38017-2024 tillsynsbegäran mail.docx", "A 38017-2024")</f>
        <v/>
      </c>
    </row>
    <row r="779" ht="15" customHeight="1">
      <c r="A779" t="inlineStr">
        <is>
          <t>A 9458-2026</t>
        </is>
      </c>
      <c r="B779" s="1" t="n">
        <v>46071.49013888889</v>
      </c>
      <c r="C779" s="1" t="n">
        <v>46185</v>
      </c>
      <c r="D779" t="inlineStr">
        <is>
          <t>VÄSTERNORRLANDS LÄN</t>
        </is>
      </c>
      <c r="E779" t="inlineStr">
        <is>
          <t>SOLLEFTEÅ</t>
        </is>
      </c>
      <c r="G779" t="n">
        <v>3.4</v>
      </c>
      <c r="H779" t="n">
        <v>2</v>
      </c>
      <c r="I779" t="n">
        <v>0</v>
      </c>
      <c r="J779" t="n">
        <v>1</v>
      </c>
      <c r="K779" t="n">
        <v>0</v>
      </c>
      <c r="L779" t="n">
        <v>0</v>
      </c>
      <c r="M779" t="n">
        <v>0</v>
      </c>
      <c r="N779" t="n">
        <v>0</v>
      </c>
      <c r="O779" t="n">
        <v>1</v>
      </c>
      <c r="P779" t="n">
        <v>0</v>
      </c>
      <c r="Q779" t="n">
        <v>2</v>
      </c>
      <c r="R779" s="2" t="inlineStr">
        <is>
          <t>Tretåig hackspett
Kungsfågel</t>
        </is>
      </c>
      <c r="S779">
        <f>HYPERLINK("https://klasma.github.io/Logging_2283/artfynd/A 9458-2026 artfynd.xlsx", "A 9458-2026")</f>
        <v/>
      </c>
      <c r="T779">
        <f>HYPERLINK("https://klasma.github.io/Logging_2283/kartor/A 9458-2026 karta.png", "A 9458-2026")</f>
        <v/>
      </c>
      <c r="U779">
        <f>HYPERLINK("https://klasma.github.io/Logging_2283/knärot/A 9458-2026 karta knärot.png", "A 9458-2026")</f>
        <v/>
      </c>
      <c r="V779">
        <f>HYPERLINK("https://klasma.github.io/Logging_2283/klagomål/A 9458-2026 FSC-klagomål.docx", "A 9458-2026")</f>
        <v/>
      </c>
      <c r="W779">
        <f>HYPERLINK("https://klasma.github.io/Logging_2283/klagomålsmail/A 9458-2026 FSC-klagomål mail.docx", "A 9458-2026")</f>
        <v/>
      </c>
      <c r="X779">
        <f>HYPERLINK("https://klasma.github.io/Logging_2283/tillsyn/A 9458-2026 tillsynsbegäran.docx", "A 9458-2026")</f>
        <v/>
      </c>
      <c r="Y779">
        <f>HYPERLINK("https://klasma.github.io/Logging_2283/tillsynsmail/A 9458-2026 tillsynsbegäran mail.docx", "A 9458-2026")</f>
        <v/>
      </c>
      <c r="Z779">
        <f>HYPERLINK("https://klasma.github.io/Logging_2283/fåglar/A 9458-2026 prioriterade fågelarter.docx", "A 9458-2026")</f>
        <v/>
      </c>
    </row>
    <row r="780" ht="15" customHeight="1">
      <c r="A780" t="inlineStr">
        <is>
          <t>A 31491-2024</t>
        </is>
      </c>
      <c r="B780" s="1" t="n">
        <v>45505</v>
      </c>
      <c r="C780" s="1" t="n">
        <v>46185</v>
      </c>
      <c r="D780" t="inlineStr">
        <is>
          <t>VÄSTERNORRLANDS LÄN</t>
        </is>
      </c>
      <c r="E780" t="inlineStr">
        <is>
          <t>SOLLEFTEÅ</t>
        </is>
      </c>
      <c r="F780" t="inlineStr">
        <is>
          <t>SCA</t>
        </is>
      </c>
      <c r="G780" t="n">
        <v>17.2</v>
      </c>
      <c r="H780" t="n">
        <v>1</v>
      </c>
      <c r="I780" t="n">
        <v>0</v>
      </c>
      <c r="J780" t="n">
        <v>2</v>
      </c>
      <c r="K780" t="n">
        <v>0</v>
      </c>
      <c r="L780" t="n">
        <v>0</v>
      </c>
      <c r="M780" t="n">
        <v>0</v>
      </c>
      <c r="N780" t="n">
        <v>0</v>
      </c>
      <c r="O780" t="n">
        <v>2</v>
      </c>
      <c r="P780" t="n">
        <v>0</v>
      </c>
      <c r="Q780" t="n">
        <v>2</v>
      </c>
      <c r="R780" s="2" t="inlineStr">
        <is>
          <t>Lunglav
Tretåig hackspett</t>
        </is>
      </c>
      <c r="S780">
        <f>HYPERLINK("https://klasma.github.io/Logging_2283/artfynd/A 31491-2024 artfynd.xlsx", "A 31491-2024")</f>
        <v/>
      </c>
      <c r="T780">
        <f>HYPERLINK("https://klasma.github.io/Logging_2283/kartor/A 31491-2024 karta.png", "A 31491-2024")</f>
        <v/>
      </c>
      <c r="V780">
        <f>HYPERLINK("https://klasma.github.io/Logging_2283/klagomål/A 31491-2024 FSC-klagomål.docx", "A 31491-2024")</f>
        <v/>
      </c>
      <c r="W780">
        <f>HYPERLINK("https://klasma.github.io/Logging_2283/klagomålsmail/A 31491-2024 FSC-klagomål mail.docx", "A 31491-2024")</f>
        <v/>
      </c>
      <c r="X780">
        <f>HYPERLINK("https://klasma.github.io/Logging_2283/tillsyn/A 31491-2024 tillsynsbegäran.docx", "A 31491-2024")</f>
        <v/>
      </c>
      <c r="Y780">
        <f>HYPERLINK("https://klasma.github.io/Logging_2283/tillsynsmail/A 31491-2024 tillsynsbegäran mail.docx", "A 31491-2024")</f>
        <v/>
      </c>
      <c r="Z780">
        <f>HYPERLINK("https://klasma.github.io/Logging_2283/fåglar/A 31491-2024 prioriterade fågelarter.docx", "A 31491-2024")</f>
        <v/>
      </c>
    </row>
    <row r="781" ht="15" customHeight="1">
      <c r="A781" t="inlineStr">
        <is>
          <t>A 39929-2021</t>
        </is>
      </c>
      <c r="B781" s="1" t="n">
        <v>44417</v>
      </c>
      <c r="C781" s="1" t="n">
        <v>46185</v>
      </c>
      <c r="D781" t="inlineStr">
        <is>
          <t>VÄSTERNORRLANDS LÄN</t>
        </is>
      </c>
      <c r="E781" t="inlineStr">
        <is>
          <t>SUNDSVALL</t>
        </is>
      </c>
      <c r="F781" t="inlineStr">
        <is>
          <t>SCA</t>
        </is>
      </c>
      <c r="G781" t="n">
        <v>3.3</v>
      </c>
      <c r="H781" t="n">
        <v>2</v>
      </c>
      <c r="I781" t="n">
        <v>0</v>
      </c>
      <c r="J781" t="n">
        <v>1</v>
      </c>
      <c r="K781" t="n">
        <v>0</v>
      </c>
      <c r="L781" t="n">
        <v>0</v>
      </c>
      <c r="M781" t="n">
        <v>0</v>
      </c>
      <c r="N781" t="n">
        <v>0</v>
      </c>
      <c r="O781" t="n">
        <v>1</v>
      </c>
      <c r="P781" t="n">
        <v>0</v>
      </c>
      <c r="Q781" t="n">
        <v>2</v>
      </c>
      <c r="R781" s="2" t="inlineStr">
        <is>
          <t>Tretåig hackspett
Nattviol</t>
        </is>
      </c>
      <c r="S781">
        <f>HYPERLINK("https://klasma.github.io/Logging_2281/artfynd/A 39929-2021 artfynd.xlsx", "A 39929-2021")</f>
        <v/>
      </c>
      <c r="T781">
        <f>HYPERLINK("https://klasma.github.io/Logging_2281/kartor/A 39929-2021 karta.png", "A 39929-2021")</f>
        <v/>
      </c>
      <c r="V781">
        <f>HYPERLINK("https://klasma.github.io/Logging_2281/klagomål/A 39929-2021 FSC-klagomål.docx", "A 39929-2021")</f>
        <v/>
      </c>
      <c r="W781">
        <f>HYPERLINK("https://klasma.github.io/Logging_2281/klagomålsmail/A 39929-2021 FSC-klagomål mail.docx", "A 39929-2021")</f>
        <v/>
      </c>
      <c r="X781">
        <f>HYPERLINK("https://klasma.github.io/Logging_2281/tillsyn/A 39929-2021 tillsynsbegäran.docx", "A 39929-2021")</f>
        <v/>
      </c>
      <c r="Y781">
        <f>HYPERLINK("https://klasma.github.io/Logging_2281/tillsynsmail/A 39929-2021 tillsynsbegäran mail.docx", "A 39929-2021")</f>
        <v/>
      </c>
      <c r="Z781">
        <f>HYPERLINK("https://klasma.github.io/Logging_2281/fåglar/A 39929-2021 prioriterade fågelarter.docx", "A 39929-2021")</f>
        <v/>
      </c>
    </row>
    <row r="782" ht="15" customHeight="1">
      <c r="A782" t="inlineStr">
        <is>
          <t>A 4873-2025</t>
        </is>
      </c>
      <c r="B782" s="1" t="n">
        <v>45688.67633101852</v>
      </c>
      <c r="C782" s="1" t="n">
        <v>46185</v>
      </c>
      <c r="D782" t="inlineStr">
        <is>
          <t>VÄSTERNORRLANDS LÄN</t>
        </is>
      </c>
      <c r="E782" t="inlineStr">
        <is>
          <t>ÅNGE</t>
        </is>
      </c>
      <c r="F782" t="inlineStr">
        <is>
          <t>SCA</t>
        </is>
      </c>
      <c r="G782" t="n">
        <v>3.3</v>
      </c>
      <c r="H782" t="n">
        <v>0</v>
      </c>
      <c r="I782" t="n">
        <v>0</v>
      </c>
      <c r="J782" t="n">
        <v>2</v>
      </c>
      <c r="K782" t="n">
        <v>0</v>
      </c>
      <c r="L782" t="n">
        <v>0</v>
      </c>
      <c r="M782" t="n">
        <v>0</v>
      </c>
      <c r="N782" t="n">
        <v>0</v>
      </c>
      <c r="O782" t="n">
        <v>2</v>
      </c>
      <c r="P782" t="n">
        <v>0</v>
      </c>
      <c r="Q782" t="n">
        <v>2</v>
      </c>
      <c r="R782" s="2" t="inlineStr">
        <is>
          <t>Garnlav
Vitgrynig nållav</t>
        </is>
      </c>
      <c r="S782">
        <f>HYPERLINK("https://klasma.github.io/Logging_2260/artfynd/A 4873-2025 artfynd.xlsx", "A 4873-2025")</f>
        <v/>
      </c>
      <c r="T782">
        <f>HYPERLINK("https://klasma.github.io/Logging_2260/kartor/A 4873-2025 karta.png", "A 4873-2025")</f>
        <v/>
      </c>
      <c r="V782">
        <f>HYPERLINK("https://klasma.github.io/Logging_2260/klagomål/A 4873-2025 FSC-klagomål.docx", "A 4873-2025")</f>
        <v/>
      </c>
      <c r="W782">
        <f>HYPERLINK("https://klasma.github.io/Logging_2260/klagomålsmail/A 4873-2025 FSC-klagomål mail.docx", "A 4873-2025")</f>
        <v/>
      </c>
      <c r="X782">
        <f>HYPERLINK("https://klasma.github.io/Logging_2260/tillsyn/A 4873-2025 tillsynsbegäran.docx", "A 4873-2025")</f>
        <v/>
      </c>
      <c r="Y782">
        <f>HYPERLINK("https://klasma.github.io/Logging_2260/tillsynsmail/A 4873-2025 tillsynsbegäran mail.docx", "A 4873-2025")</f>
        <v/>
      </c>
    </row>
    <row r="783" ht="15" customHeight="1">
      <c r="A783" t="inlineStr">
        <is>
          <t>A 62532-2023</t>
        </is>
      </c>
      <c r="B783" s="1" t="n">
        <v>45268</v>
      </c>
      <c r="C783" s="1" t="n">
        <v>46185</v>
      </c>
      <c r="D783" t="inlineStr">
        <is>
          <t>VÄSTERNORRLANDS LÄN</t>
        </is>
      </c>
      <c r="E783" t="inlineStr">
        <is>
          <t>SUNDSVALL</t>
        </is>
      </c>
      <c r="G783" t="n">
        <v>0.7</v>
      </c>
      <c r="H783" t="n">
        <v>2</v>
      </c>
      <c r="I783" t="n">
        <v>0</v>
      </c>
      <c r="J783" t="n">
        <v>1</v>
      </c>
      <c r="K783" t="n">
        <v>0</v>
      </c>
      <c r="L783" t="n">
        <v>0</v>
      </c>
      <c r="M783" t="n">
        <v>0</v>
      </c>
      <c r="N783" t="n">
        <v>0</v>
      </c>
      <c r="O783" t="n">
        <v>1</v>
      </c>
      <c r="P783" t="n">
        <v>0</v>
      </c>
      <c r="Q783" t="n">
        <v>2</v>
      </c>
      <c r="R783" s="2" t="inlineStr">
        <is>
          <t>Spillkråka
Gråspett</t>
        </is>
      </c>
      <c r="S783">
        <f>HYPERLINK("https://klasma.github.io/Logging_2281/artfynd/A 62532-2023 artfynd.xlsx", "A 62532-2023")</f>
        <v/>
      </c>
      <c r="T783">
        <f>HYPERLINK("https://klasma.github.io/Logging_2281/kartor/A 62532-2023 karta.png", "A 62532-2023")</f>
        <v/>
      </c>
      <c r="V783">
        <f>HYPERLINK("https://klasma.github.io/Logging_2281/klagomål/A 62532-2023 FSC-klagomål.docx", "A 62532-2023")</f>
        <v/>
      </c>
      <c r="W783">
        <f>HYPERLINK("https://klasma.github.io/Logging_2281/klagomålsmail/A 62532-2023 FSC-klagomål mail.docx", "A 62532-2023")</f>
        <v/>
      </c>
      <c r="X783">
        <f>HYPERLINK("https://klasma.github.io/Logging_2281/tillsyn/A 62532-2023 tillsynsbegäran.docx", "A 62532-2023")</f>
        <v/>
      </c>
      <c r="Y783">
        <f>HYPERLINK("https://klasma.github.io/Logging_2281/tillsynsmail/A 62532-2023 tillsynsbegäran mail.docx", "A 62532-2023")</f>
        <v/>
      </c>
      <c r="Z783">
        <f>HYPERLINK("https://klasma.github.io/Logging_2281/fåglar/A 62532-2023 prioriterade fågelarter.docx", "A 62532-2023")</f>
        <v/>
      </c>
    </row>
    <row r="784" ht="15" customHeight="1">
      <c r="A784" t="inlineStr">
        <is>
          <t>A 60255-2025</t>
        </is>
      </c>
      <c r="B784" s="1" t="n">
        <v>45994.60180555555</v>
      </c>
      <c r="C784" s="1" t="n">
        <v>46185</v>
      </c>
      <c r="D784" t="inlineStr">
        <is>
          <t>VÄSTERNORRLANDS LÄN</t>
        </is>
      </c>
      <c r="E784" t="inlineStr">
        <is>
          <t>SOLLEFTEÅ</t>
        </is>
      </c>
      <c r="G784" t="n">
        <v>2.2</v>
      </c>
      <c r="H784" t="n">
        <v>1</v>
      </c>
      <c r="I784" t="n">
        <v>0</v>
      </c>
      <c r="J784" t="n">
        <v>1</v>
      </c>
      <c r="K784" t="n">
        <v>0</v>
      </c>
      <c r="L784" t="n">
        <v>0</v>
      </c>
      <c r="M784" t="n">
        <v>0</v>
      </c>
      <c r="N784" t="n">
        <v>0</v>
      </c>
      <c r="O784" t="n">
        <v>1</v>
      </c>
      <c r="P784" t="n">
        <v>0</v>
      </c>
      <c r="Q784" t="n">
        <v>2</v>
      </c>
      <c r="R784" s="2" t="inlineStr">
        <is>
          <t>Garnlav
Revlummer</t>
        </is>
      </c>
      <c r="S784">
        <f>HYPERLINK("https://klasma.github.io/Logging_2283/artfynd/A 60255-2025 artfynd.xlsx", "A 60255-2025")</f>
        <v/>
      </c>
      <c r="T784">
        <f>HYPERLINK("https://klasma.github.io/Logging_2283/kartor/A 60255-2025 karta.png", "A 60255-2025")</f>
        <v/>
      </c>
      <c r="V784">
        <f>HYPERLINK("https://klasma.github.io/Logging_2283/klagomål/A 60255-2025 FSC-klagomål.docx", "A 60255-2025")</f>
        <v/>
      </c>
      <c r="W784">
        <f>HYPERLINK("https://klasma.github.io/Logging_2283/klagomålsmail/A 60255-2025 FSC-klagomål mail.docx", "A 60255-2025")</f>
        <v/>
      </c>
      <c r="X784">
        <f>HYPERLINK("https://klasma.github.io/Logging_2283/tillsyn/A 60255-2025 tillsynsbegäran.docx", "A 60255-2025")</f>
        <v/>
      </c>
      <c r="Y784">
        <f>HYPERLINK("https://klasma.github.io/Logging_2283/tillsynsmail/A 60255-2025 tillsynsbegäran mail.docx", "A 60255-2025")</f>
        <v/>
      </c>
    </row>
    <row r="785" ht="15" customHeight="1">
      <c r="A785" t="inlineStr">
        <is>
          <t>A 18825-2025</t>
        </is>
      </c>
      <c r="B785" s="1" t="n">
        <v>45764.38601851852</v>
      </c>
      <c r="C785" s="1" t="n">
        <v>46185</v>
      </c>
      <c r="D785" t="inlineStr">
        <is>
          <t>VÄSTERNORRLANDS LÄN</t>
        </is>
      </c>
      <c r="E785" t="inlineStr">
        <is>
          <t>SUNDSVALL</t>
        </is>
      </c>
      <c r="F785" t="inlineStr">
        <is>
          <t>Naturvårdsverket</t>
        </is>
      </c>
      <c r="G785" t="n">
        <v>5.8</v>
      </c>
      <c r="H785" t="n">
        <v>2</v>
      </c>
      <c r="I785" t="n">
        <v>1</v>
      </c>
      <c r="J785" t="n">
        <v>0</v>
      </c>
      <c r="K785" t="n">
        <v>0</v>
      </c>
      <c r="L785" t="n">
        <v>0</v>
      </c>
      <c r="M785" t="n">
        <v>0</v>
      </c>
      <c r="N785" t="n">
        <v>0</v>
      </c>
      <c r="O785" t="n">
        <v>0</v>
      </c>
      <c r="P785" t="n">
        <v>0</v>
      </c>
      <c r="Q785" t="n">
        <v>2</v>
      </c>
      <c r="R785" s="2" t="inlineStr">
        <is>
          <t>Korallrot
Fläcknycklar</t>
        </is>
      </c>
      <c r="S785">
        <f>HYPERLINK("https://klasma.github.io/Logging_2281/artfynd/A 18825-2025 artfynd.xlsx", "A 18825-2025")</f>
        <v/>
      </c>
      <c r="T785">
        <f>HYPERLINK("https://klasma.github.io/Logging_2281/kartor/A 18825-2025 karta.png", "A 18825-2025")</f>
        <v/>
      </c>
      <c r="V785">
        <f>HYPERLINK("https://klasma.github.io/Logging_2281/klagomål/A 18825-2025 FSC-klagomål.docx", "A 18825-2025")</f>
        <v/>
      </c>
      <c r="W785">
        <f>HYPERLINK("https://klasma.github.io/Logging_2281/klagomålsmail/A 18825-2025 FSC-klagomål mail.docx", "A 18825-2025")</f>
        <v/>
      </c>
      <c r="X785">
        <f>HYPERLINK("https://klasma.github.io/Logging_2281/tillsyn/A 18825-2025 tillsynsbegäran.docx", "A 18825-2025")</f>
        <v/>
      </c>
      <c r="Y785">
        <f>HYPERLINK("https://klasma.github.io/Logging_2281/tillsynsmail/A 18825-2025 tillsynsbegäran mail.docx", "A 18825-2025")</f>
        <v/>
      </c>
    </row>
    <row r="786" ht="15" customHeight="1">
      <c r="A786" t="inlineStr">
        <is>
          <t>A 18827-2025</t>
        </is>
      </c>
      <c r="B786" s="1" t="n">
        <v>45764.38619212963</v>
      </c>
      <c r="C786" s="1" t="n">
        <v>46185</v>
      </c>
      <c r="D786" t="inlineStr">
        <is>
          <t>VÄSTERNORRLANDS LÄN</t>
        </is>
      </c>
      <c r="E786" t="inlineStr">
        <is>
          <t>TIMRÅ</t>
        </is>
      </c>
      <c r="F786" t="inlineStr">
        <is>
          <t>SCA</t>
        </is>
      </c>
      <c r="G786" t="n">
        <v>6.5</v>
      </c>
      <c r="H786" t="n">
        <v>0</v>
      </c>
      <c r="I786" t="n">
        <v>0</v>
      </c>
      <c r="J786" t="n">
        <v>1</v>
      </c>
      <c r="K786" t="n">
        <v>1</v>
      </c>
      <c r="L786" t="n">
        <v>0</v>
      </c>
      <c r="M786" t="n">
        <v>0</v>
      </c>
      <c r="N786" t="n">
        <v>0</v>
      </c>
      <c r="O786" t="n">
        <v>2</v>
      </c>
      <c r="P786" t="n">
        <v>1</v>
      </c>
      <c r="Q786" t="n">
        <v>2</v>
      </c>
      <c r="R786" s="2" t="inlineStr">
        <is>
          <t>Laxporing
Doftskinn</t>
        </is>
      </c>
      <c r="S786">
        <f>HYPERLINK("https://klasma.github.io/Logging_2262/artfynd/A 18827-2025 artfynd.xlsx", "A 18827-2025")</f>
        <v/>
      </c>
      <c r="T786">
        <f>HYPERLINK("https://klasma.github.io/Logging_2262/kartor/A 18827-2025 karta.png", "A 18827-2025")</f>
        <v/>
      </c>
      <c r="V786">
        <f>HYPERLINK("https://klasma.github.io/Logging_2262/klagomål/A 18827-2025 FSC-klagomål.docx", "A 18827-2025")</f>
        <v/>
      </c>
      <c r="W786">
        <f>HYPERLINK("https://klasma.github.io/Logging_2262/klagomålsmail/A 18827-2025 FSC-klagomål mail.docx", "A 18827-2025")</f>
        <v/>
      </c>
      <c r="X786">
        <f>HYPERLINK("https://klasma.github.io/Logging_2262/tillsyn/A 18827-2025 tillsynsbegäran.docx", "A 18827-2025")</f>
        <v/>
      </c>
      <c r="Y786">
        <f>HYPERLINK("https://klasma.github.io/Logging_2262/tillsynsmail/A 18827-2025 tillsynsbegäran mail.docx", "A 18827-2025")</f>
        <v/>
      </c>
    </row>
    <row r="787" ht="15" customHeight="1">
      <c r="A787" t="inlineStr">
        <is>
          <t>A 10792-2026</t>
        </is>
      </c>
      <c r="B787" s="1" t="n">
        <v>46078.58736111111</v>
      </c>
      <c r="C787" s="1" t="n">
        <v>46185</v>
      </c>
      <c r="D787" t="inlineStr">
        <is>
          <t>VÄSTERNORRLANDS LÄN</t>
        </is>
      </c>
      <c r="E787" t="inlineStr">
        <is>
          <t>SOLLEFTEÅ</t>
        </is>
      </c>
      <c r="G787" t="n">
        <v>2.4</v>
      </c>
      <c r="H787" t="n">
        <v>0</v>
      </c>
      <c r="I787" t="n">
        <v>0</v>
      </c>
      <c r="J787" t="n">
        <v>1</v>
      </c>
      <c r="K787" t="n">
        <v>1</v>
      </c>
      <c r="L787" t="n">
        <v>0</v>
      </c>
      <c r="M787" t="n">
        <v>0</v>
      </c>
      <c r="N787" t="n">
        <v>0</v>
      </c>
      <c r="O787" t="n">
        <v>2</v>
      </c>
      <c r="P787" t="n">
        <v>1</v>
      </c>
      <c r="Q787" t="n">
        <v>2</v>
      </c>
      <c r="R787" s="2" t="inlineStr">
        <is>
          <t>Mindre barkplattbagge
Garnlav</t>
        </is>
      </c>
      <c r="S787">
        <f>HYPERLINK("https://klasma.github.io/Logging_2283/artfynd/A 10792-2026 artfynd.xlsx", "A 10792-2026")</f>
        <v/>
      </c>
      <c r="T787">
        <f>HYPERLINK("https://klasma.github.io/Logging_2283/kartor/A 10792-2026 karta.png", "A 10792-2026")</f>
        <v/>
      </c>
      <c r="V787">
        <f>HYPERLINK("https://klasma.github.io/Logging_2283/klagomål/A 10792-2026 FSC-klagomål.docx", "A 10792-2026")</f>
        <v/>
      </c>
      <c r="W787">
        <f>HYPERLINK("https://klasma.github.io/Logging_2283/klagomålsmail/A 10792-2026 FSC-klagomål mail.docx", "A 10792-2026")</f>
        <v/>
      </c>
      <c r="X787">
        <f>HYPERLINK("https://klasma.github.io/Logging_2283/tillsyn/A 10792-2026 tillsynsbegäran.docx", "A 10792-2026")</f>
        <v/>
      </c>
      <c r="Y787">
        <f>HYPERLINK("https://klasma.github.io/Logging_2283/tillsynsmail/A 10792-2026 tillsynsbegäran mail.docx", "A 10792-2026")</f>
        <v/>
      </c>
    </row>
    <row r="788" ht="15" customHeight="1">
      <c r="A788" t="inlineStr">
        <is>
          <t>A 60596-2025</t>
        </is>
      </c>
      <c r="B788" s="1" t="n">
        <v>45996.34466435185</v>
      </c>
      <c r="C788" s="1" t="n">
        <v>46185</v>
      </c>
      <c r="D788" t="inlineStr">
        <is>
          <t>VÄSTERNORRLANDS LÄN</t>
        </is>
      </c>
      <c r="E788" t="inlineStr">
        <is>
          <t>SOLLEFTEÅ</t>
        </is>
      </c>
      <c r="F788" t="inlineStr">
        <is>
          <t>SCA</t>
        </is>
      </c>
      <c r="G788" t="n">
        <v>2.1</v>
      </c>
      <c r="H788" t="n">
        <v>0</v>
      </c>
      <c r="I788" t="n">
        <v>0</v>
      </c>
      <c r="J788" t="n">
        <v>2</v>
      </c>
      <c r="K788" t="n">
        <v>0</v>
      </c>
      <c r="L788" t="n">
        <v>0</v>
      </c>
      <c r="M788" t="n">
        <v>0</v>
      </c>
      <c r="N788" t="n">
        <v>0</v>
      </c>
      <c r="O788" t="n">
        <v>2</v>
      </c>
      <c r="P788" t="n">
        <v>0</v>
      </c>
      <c r="Q788" t="n">
        <v>2</v>
      </c>
      <c r="R788" s="2" t="inlineStr">
        <is>
          <t>Rosenticka
Ullticka</t>
        </is>
      </c>
      <c r="S788">
        <f>HYPERLINK("https://klasma.github.io/Logging_2283/artfynd/A 60596-2025 artfynd.xlsx", "A 60596-2025")</f>
        <v/>
      </c>
      <c r="T788">
        <f>HYPERLINK("https://klasma.github.io/Logging_2283/kartor/A 60596-2025 karta.png", "A 60596-2025")</f>
        <v/>
      </c>
      <c r="V788">
        <f>HYPERLINK("https://klasma.github.io/Logging_2283/klagomål/A 60596-2025 FSC-klagomål.docx", "A 60596-2025")</f>
        <v/>
      </c>
      <c r="W788">
        <f>HYPERLINK("https://klasma.github.io/Logging_2283/klagomålsmail/A 60596-2025 FSC-klagomål mail.docx", "A 60596-2025")</f>
        <v/>
      </c>
      <c r="X788">
        <f>HYPERLINK("https://klasma.github.io/Logging_2283/tillsyn/A 60596-2025 tillsynsbegäran.docx", "A 60596-2025")</f>
        <v/>
      </c>
      <c r="Y788">
        <f>HYPERLINK("https://klasma.github.io/Logging_2283/tillsynsmail/A 60596-2025 tillsynsbegäran mail.docx", "A 60596-2025")</f>
        <v/>
      </c>
    </row>
    <row r="789" ht="15" customHeight="1">
      <c r="A789" t="inlineStr">
        <is>
          <t>A 49202-2022</t>
        </is>
      </c>
      <c r="B789" s="1" t="n">
        <v>44860</v>
      </c>
      <c r="C789" s="1" t="n">
        <v>46185</v>
      </c>
      <c r="D789" t="inlineStr">
        <is>
          <t>VÄSTERNORRLANDS LÄN</t>
        </is>
      </c>
      <c r="E789" t="inlineStr">
        <is>
          <t>TIMRÅ</t>
        </is>
      </c>
      <c r="F789" t="inlineStr">
        <is>
          <t>SCA</t>
        </is>
      </c>
      <c r="G789" t="n">
        <v>2.2</v>
      </c>
      <c r="H789" t="n">
        <v>0</v>
      </c>
      <c r="I789" t="n">
        <v>0</v>
      </c>
      <c r="J789" t="n">
        <v>2</v>
      </c>
      <c r="K789" t="n">
        <v>0</v>
      </c>
      <c r="L789" t="n">
        <v>0</v>
      </c>
      <c r="M789" t="n">
        <v>0</v>
      </c>
      <c r="N789" t="n">
        <v>0</v>
      </c>
      <c r="O789" t="n">
        <v>2</v>
      </c>
      <c r="P789" t="n">
        <v>0</v>
      </c>
      <c r="Q789" t="n">
        <v>2</v>
      </c>
      <c r="R789" s="2" t="inlineStr">
        <is>
          <t>Garnlav
Violettgrå tagellav</t>
        </is>
      </c>
      <c r="S789">
        <f>HYPERLINK("https://klasma.github.io/Logging_2262/artfynd/A 49202-2022 artfynd.xlsx", "A 49202-2022")</f>
        <v/>
      </c>
      <c r="T789">
        <f>HYPERLINK("https://klasma.github.io/Logging_2262/kartor/A 49202-2022 karta.png", "A 49202-2022")</f>
        <v/>
      </c>
      <c r="V789">
        <f>HYPERLINK("https://klasma.github.io/Logging_2262/klagomål/A 49202-2022 FSC-klagomål.docx", "A 49202-2022")</f>
        <v/>
      </c>
      <c r="W789">
        <f>HYPERLINK("https://klasma.github.io/Logging_2262/klagomålsmail/A 49202-2022 FSC-klagomål mail.docx", "A 49202-2022")</f>
        <v/>
      </c>
      <c r="X789">
        <f>HYPERLINK("https://klasma.github.io/Logging_2262/tillsyn/A 49202-2022 tillsynsbegäran.docx", "A 49202-2022")</f>
        <v/>
      </c>
      <c r="Y789">
        <f>HYPERLINK("https://klasma.github.io/Logging_2262/tillsynsmail/A 49202-2022 tillsynsbegäran mail.docx", "A 49202-2022")</f>
        <v/>
      </c>
    </row>
    <row r="790" ht="15" customHeight="1">
      <c r="A790" t="inlineStr">
        <is>
          <t>A 20347-2025</t>
        </is>
      </c>
      <c r="B790" s="1" t="n">
        <v>45775</v>
      </c>
      <c r="C790" s="1" t="n">
        <v>46185</v>
      </c>
      <c r="D790" t="inlineStr">
        <is>
          <t>VÄSTERNORRLANDS LÄN</t>
        </is>
      </c>
      <c r="E790" t="inlineStr">
        <is>
          <t>SOLLEFTEÅ</t>
        </is>
      </c>
      <c r="G790" t="n">
        <v>8.699999999999999</v>
      </c>
      <c r="H790" t="n">
        <v>1</v>
      </c>
      <c r="I790" t="n">
        <v>1</v>
      </c>
      <c r="J790" t="n">
        <v>0</v>
      </c>
      <c r="K790" t="n">
        <v>0</v>
      </c>
      <c r="L790" t="n">
        <v>0</v>
      </c>
      <c r="M790" t="n">
        <v>0</v>
      </c>
      <c r="N790" t="n">
        <v>0</v>
      </c>
      <c r="O790" t="n">
        <v>0</v>
      </c>
      <c r="P790" t="n">
        <v>0</v>
      </c>
      <c r="Q790" t="n">
        <v>2</v>
      </c>
      <c r="R790" s="2" t="inlineStr">
        <is>
          <t>Gräsull
Fläcknycklar</t>
        </is>
      </c>
      <c r="S790">
        <f>HYPERLINK("https://klasma.github.io/Logging_2283/artfynd/A 20347-2025 artfynd.xlsx", "A 20347-2025")</f>
        <v/>
      </c>
      <c r="T790">
        <f>HYPERLINK("https://klasma.github.io/Logging_2283/kartor/A 20347-2025 karta.png", "A 20347-2025")</f>
        <v/>
      </c>
      <c r="V790">
        <f>HYPERLINK("https://klasma.github.io/Logging_2283/klagomål/A 20347-2025 FSC-klagomål.docx", "A 20347-2025")</f>
        <v/>
      </c>
      <c r="W790">
        <f>HYPERLINK("https://klasma.github.io/Logging_2283/klagomålsmail/A 20347-2025 FSC-klagomål mail.docx", "A 20347-2025")</f>
        <v/>
      </c>
      <c r="X790">
        <f>HYPERLINK("https://klasma.github.io/Logging_2283/tillsyn/A 20347-2025 tillsynsbegäran.docx", "A 20347-2025")</f>
        <v/>
      </c>
      <c r="Y790">
        <f>HYPERLINK("https://klasma.github.io/Logging_2283/tillsynsmail/A 20347-2025 tillsynsbegäran mail.docx", "A 20347-2025")</f>
        <v/>
      </c>
    </row>
    <row r="791" ht="15" customHeight="1">
      <c r="A791" t="inlineStr">
        <is>
          <t>A 15386-2023</t>
        </is>
      </c>
      <c r="B791" s="1" t="n">
        <v>45019</v>
      </c>
      <c r="C791" s="1" t="n">
        <v>46185</v>
      </c>
      <c r="D791" t="inlineStr">
        <is>
          <t>VÄSTERNORRLANDS LÄN</t>
        </is>
      </c>
      <c r="E791" t="inlineStr">
        <is>
          <t>ÖRNSKÖLDSVIK</t>
        </is>
      </c>
      <c r="F791" t="inlineStr">
        <is>
          <t>Holmen skog AB</t>
        </is>
      </c>
      <c r="G791" t="n">
        <v>4.2</v>
      </c>
      <c r="H791" t="n">
        <v>0</v>
      </c>
      <c r="I791" t="n">
        <v>0</v>
      </c>
      <c r="J791" t="n">
        <v>2</v>
      </c>
      <c r="K791" t="n">
        <v>0</v>
      </c>
      <c r="L791" t="n">
        <v>0</v>
      </c>
      <c r="M791" t="n">
        <v>0</v>
      </c>
      <c r="N791" t="n">
        <v>0</v>
      </c>
      <c r="O791" t="n">
        <v>2</v>
      </c>
      <c r="P791" t="n">
        <v>0</v>
      </c>
      <c r="Q791" t="n">
        <v>2</v>
      </c>
      <c r="R791" s="2" t="inlineStr">
        <is>
          <t>Lunglav
Tallticka</t>
        </is>
      </c>
      <c r="S791">
        <f>HYPERLINK("https://klasma.github.io/Logging_2284/artfynd/A 15386-2023 artfynd.xlsx", "A 15386-2023")</f>
        <v/>
      </c>
      <c r="T791">
        <f>HYPERLINK("https://klasma.github.io/Logging_2284/kartor/A 15386-2023 karta.png", "A 15386-2023")</f>
        <v/>
      </c>
      <c r="V791">
        <f>HYPERLINK("https://klasma.github.io/Logging_2284/klagomål/A 15386-2023 FSC-klagomål.docx", "A 15386-2023")</f>
        <v/>
      </c>
      <c r="W791">
        <f>HYPERLINK("https://klasma.github.io/Logging_2284/klagomålsmail/A 15386-2023 FSC-klagomål mail.docx", "A 15386-2023")</f>
        <v/>
      </c>
      <c r="X791">
        <f>HYPERLINK("https://klasma.github.io/Logging_2284/tillsyn/A 15386-2023 tillsynsbegäran.docx", "A 15386-2023")</f>
        <v/>
      </c>
      <c r="Y791">
        <f>HYPERLINK("https://klasma.github.io/Logging_2284/tillsynsmail/A 15386-2023 tillsynsbegäran mail.docx", "A 15386-2023")</f>
        <v/>
      </c>
    </row>
    <row r="792" ht="15" customHeight="1">
      <c r="A792" t="inlineStr">
        <is>
          <t>A 61511-2025</t>
        </is>
      </c>
      <c r="B792" s="1" t="n">
        <v>46001.68375</v>
      </c>
      <c r="C792" s="1" t="n">
        <v>46185</v>
      </c>
      <c r="D792" t="inlineStr">
        <is>
          <t>VÄSTERNORRLANDS LÄN</t>
        </is>
      </c>
      <c r="E792" t="inlineStr">
        <is>
          <t>SOLLEFTEÅ</t>
        </is>
      </c>
      <c r="F792" t="inlineStr">
        <is>
          <t>SCA</t>
        </is>
      </c>
      <c r="G792" t="n">
        <v>5.7</v>
      </c>
      <c r="H792" t="n">
        <v>0</v>
      </c>
      <c r="I792" t="n">
        <v>0</v>
      </c>
      <c r="J792" t="n">
        <v>2</v>
      </c>
      <c r="K792" t="n">
        <v>0</v>
      </c>
      <c r="L792" t="n">
        <v>0</v>
      </c>
      <c r="M792" t="n">
        <v>0</v>
      </c>
      <c r="N792" t="n">
        <v>0</v>
      </c>
      <c r="O792" t="n">
        <v>2</v>
      </c>
      <c r="P792" t="n">
        <v>0</v>
      </c>
      <c r="Q792" t="n">
        <v>2</v>
      </c>
      <c r="R792" s="2" t="inlineStr">
        <is>
          <t>Kolflarnlav
Lunglav</t>
        </is>
      </c>
      <c r="S792">
        <f>HYPERLINK("https://klasma.github.io/Logging_2283/artfynd/A 61511-2025 artfynd.xlsx", "A 61511-2025")</f>
        <v/>
      </c>
      <c r="T792">
        <f>HYPERLINK("https://klasma.github.io/Logging_2283/kartor/A 61511-2025 karta.png", "A 61511-2025")</f>
        <v/>
      </c>
      <c r="V792">
        <f>HYPERLINK("https://klasma.github.io/Logging_2283/klagomål/A 61511-2025 FSC-klagomål.docx", "A 61511-2025")</f>
        <v/>
      </c>
      <c r="W792">
        <f>HYPERLINK("https://klasma.github.io/Logging_2283/klagomålsmail/A 61511-2025 FSC-klagomål mail.docx", "A 61511-2025")</f>
        <v/>
      </c>
      <c r="X792">
        <f>HYPERLINK("https://klasma.github.io/Logging_2283/tillsyn/A 61511-2025 tillsynsbegäran.docx", "A 61511-2025")</f>
        <v/>
      </c>
      <c r="Y792">
        <f>HYPERLINK("https://klasma.github.io/Logging_2283/tillsynsmail/A 61511-2025 tillsynsbegäran mail.docx", "A 61511-2025")</f>
        <v/>
      </c>
    </row>
    <row r="793" ht="15" customHeight="1">
      <c r="A793" t="inlineStr">
        <is>
          <t>A 61395-2025</t>
        </is>
      </c>
      <c r="B793" s="1" t="n">
        <v>46001.47253472222</v>
      </c>
      <c r="C793" s="1" t="n">
        <v>46185</v>
      </c>
      <c r="D793" t="inlineStr">
        <is>
          <t>VÄSTERNORRLANDS LÄN</t>
        </is>
      </c>
      <c r="E793" t="inlineStr">
        <is>
          <t>ÖRNSKÖLDSVIK</t>
        </is>
      </c>
      <c r="F793" t="inlineStr">
        <is>
          <t>Holmen skog AB</t>
        </is>
      </c>
      <c r="G793" t="n">
        <v>0.3</v>
      </c>
      <c r="H793" t="n">
        <v>2</v>
      </c>
      <c r="I793" t="n">
        <v>0</v>
      </c>
      <c r="J793" t="n">
        <v>2</v>
      </c>
      <c r="K793" t="n">
        <v>0</v>
      </c>
      <c r="L793" t="n">
        <v>0</v>
      </c>
      <c r="M793" t="n">
        <v>0</v>
      </c>
      <c r="N793" t="n">
        <v>0</v>
      </c>
      <c r="O793" t="n">
        <v>2</v>
      </c>
      <c r="P793" t="n">
        <v>0</v>
      </c>
      <c r="Q793" t="n">
        <v>2</v>
      </c>
      <c r="R793" s="2" t="inlineStr">
        <is>
          <t>Mindre hackspett
Spillkråka</t>
        </is>
      </c>
      <c r="S793">
        <f>HYPERLINK("https://klasma.github.io/Logging_2284/artfynd/A 61395-2025 artfynd.xlsx", "A 61395-2025")</f>
        <v/>
      </c>
      <c r="T793">
        <f>HYPERLINK("https://klasma.github.io/Logging_2284/kartor/A 61395-2025 karta.png", "A 61395-2025")</f>
        <v/>
      </c>
      <c r="V793">
        <f>HYPERLINK("https://klasma.github.io/Logging_2284/klagomål/A 61395-2025 FSC-klagomål.docx", "A 61395-2025")</f>
        <v/>
      </c>
      <c r="W793">
        <f>HYPERLINK("https://klasma.github.io/Logging_2284/klagomålsmail/A 61395-2025 FSC-klagomål mail.docx", "A 61395-2025")</f>
        <v/>
      </c>
      <c r="X793">
        <f>HYPERLINK("https://klasma.github.io/Logging_2284/tillsyn/A 61395-2025 tillsynsbegäran.docx", "A 61395-2025")</f>
        <v/>
      </c>
      <c r="Y793">
        <f>HYPERLINK("https://klasma.github.io/Logging_2284/tillsynsmail/A 61395-2025 tillsynsbegäran mail.docx", "A 61395-2025")</f>
        <v/>
      </c>
      <c r="Z793">
        <f>HYPERLINK("https://klasma.github.io/Logging_2284/fåglar/A 61395-2025 prioriterade fågelarter.docx", "A 61395-2025")</f>
        <v/>
      </c>
    </row>
    <row r="794" ht="15" customHeight="1">
      <c r="A794" t="inlineStr">
        <is>
          <t>A 11741-2026</t>
        </is>
      </c>
      <c r="B794" s="1" t="n">
        <v>46084</v>
      </c>
      <c r="C794" s="1" t="n">
        <v>46185</v>
      </c>
      <c r="D794" t="inlineStr">
        <is>
          <t>VÄSTERNORRLANDS LÄN</t>
        </is>
      </c>
      <c r="E794" t="inlineStr">
        <is>
          <t>SOLLEFTEÅ</t>
        </is>
      </c>
      <c r="G794" t="n">
        <v>8</v>
      </c>
      <c r="H794" t="n">
        <v>0</v>
      </c>
      <c r="I794" t="n">
        <v>1</v>
      </c>
      <c r="J794" t="n">
        <v>1</v>
      </c>
      <c r="K794" t="n">
        <v>0</v>
      </c>
      <c r="L794" t="n">
        <v>0</v>
      </c>
      <c r="M794" t="n">
        <v>0</v>
      </c>
      <c r="N794" t="n">
        <v>0</v>
      </c>
      <c r="O794" t="n">
        <v>1</v>
      </c>
      <c r="P794" t="n">
        <v>0</v>
      </c>
      <c r="Q794" t="n">
        <v>2</v>
      </c>
      <c r="R794" s="2" t="inlineStr">
        <is>
          <t>Svart taggsvamp agg.
Dropptaggsvamp</t>
        </is>
      </c>
      <c r="S794">
        <f>HYPERLINK("https://klasma.github.io/Logging_2283/artfynd/A 11741-2026 artfynd.xlsx", "A 11741-2026")</f>
        <v/>
      </c>
      <c r="T794">
        <f>HYPERLINK("https://klasma.github.io/Logging_2283/kartor/A 11741-2026 karta.png", "A 11741-2026")</f>
        <v/>
      </c>
      <c r="V794">
        <f>HYPERLINK("https://klasma.github.io/Logging_2283/klagomål/A 11741-2026 FSC-klagomål.docx", "A 11741-2026")</f>
        <v/>
      </c>
      <c r="W794">
        <f>HYPERLINK("https://klasma.github.io/Logging_2283/klagomålsmail/A 11741-2026 FSC-klagomål mail.docx", "A 11741-2026")</f>
        <v/>
      </c>
      <c r="X794">
        <f>HYPERLINK("https://klasma.github.io/Logging_2283/tillsyn/A 11741-2026 tillsynsbegäran.docx", "A 11741-2026")</f>
        <v/>
      </c>
      <c r="Y794">
        <f>HYPERLINK("https://klasma.github.io/Logging_2283/tillsynsmail/A 11741-2026 tillsynsbegäran mail.docx", "A 11741-2026")</f>
        <v/>
      </c>
    </row>
    <row r="795" ht="15" customHeight="1">
      <c r="A795" t="inlineStr">
        <is>
          <t>A 4455-2023</t>
        </is>
      </c>
      <c r="B795" s="1" t="n">
        <v>44956</v>
      </c>
      <c r="C795" s="1" t="n">
        <v>46185</v>
      </c>
      <c r="D795" t="inlineStr">
        <is>
          <t>VÄSTERNORRLANDS LÄN</t>
        </is>
      </c>
      <c r="E795" t="inlineStr">
        <is>
          <t>ÖRNSKÖLDSVIK</t>
        </is>
      </c>
      <c r="F795" t="inlineStr">
        <is>
          <t>Holmen skog AB</t>
        </is>
      </c>
      <c r="G795" t="n">
        <v>22.4</v>
      </c>
      <c r="H795" t="n">
        <v>0</v>
      </c>
      <c r="I795" t="n">
        <v>0</v>
      </c>
      <c r="J795" t="n">
        <v>2</v>
      </c>
      <c r="K795" t="n">
        <v>0</v>
      </c>
      <c r="L795" t="n">
        <v>0</v>
      </c>
      <c r="M795" t="n">
        <v>0</v>
      </c>
      <c r="N795" t="n">
        <v>0</v>
      </c>
      <c r="O795" t="n">
        <v>2</v>
      </c>
      <c r="P795" t="n">
        <v>0</v>
      </c>
      <c r="Q795" t="n">
        <v>2</v>
      </c>
      <c r="R795" s="2" t="inlineStr">
        <is>
          <t>Lunglav
Skrovellav</t>
        </is>
      </c>
      <c r="S795">
        <f>HYPERLINK("https://klasma.github.io/Logging_2284/artfynd/A 4455-2023 artfynd.xlsx", "A 4455-2023")</f>
        <v/>
      </c>
      <c r="T795">
        <f>HYPERLINK("https://klasma.github.io/Logging_2284/kartor/A 4455-2023 karta.png", "A 4455-2023")</f>
        <v/>
      </c>
      <c r="V795">
        <f>HYPERLINK("https://klasma.github.io/Logging_2284/klagomål/A 4455-2023 FSC-klagomål.docx", "A 4455-2023")</f>
        <v/>
      </c>
      <c r="W795">
        <f>HYPERLINK("https://klasma.github.io/Logging_2284/klagomålsmail/A 4455-2023 FSC-klagomål mail.docx", "A 4455-2023")</f>
        <v/>
      </c>
      <c r="X795">
        <f>HYPERLINK("https://klasma.github.io/Logging_2284/tillsyn/A 4455-2023 tillsynsbegäran.docx", "A 4455-2023")</f>
        <v/>
      </c>
      <c r="Y795">
        <f>HYPERLINK("https://klasma.github.io/Logging_2284/tillsynsmail/A 4455-2023 tillsynsbegäran mail.docx", "A 4455-2023")</f>
        <v/>
      </c>
    </row>
    <row r="796" ht="15" customHeight="1">
      <c r="A796" t="inlineStr">
        <is>
          <t>A 63488-2025</t>
        </is>
      </c>
      <c r="B796" s="1" t="n">
        <v>46013.46922453704</v>
      </c>
      <c r="C796" s="1" t="n">
        <v>46185</v>
      </c>
      <c r="D796" t="inlineStr">
        <is>
          <t>VÄSTERNORRLANDS LÄN</t>
        </is>
      </c>
      <c r="E796" t="inlineStr">
        <is>
          <t>SUNDSVALL</t>
        </is>
      </c>
      <c r="F796" t="inlineStr">
        <is>
          <t>SCA</t>
        </is>
      </c>
      <c r="G796" t="n">
        <v>4.8</v>
      </c>
      <c r="H796" t="n">
        <v>0</v>
      </c>
      <c r="I796" t="n">
        <v>0</v>
      </c>
      <c r="J796" t="n">
        <v>2</v>
      </c>
      <c r="K796" t="n">
        <v>0</v>
      </c>
      <c r="L796" t="n">
        <v>0</v>
      </c>
      <c r="M796" t="n">
        <v>0</v>
      </c>
      <c r="N796" t="n">
        <v>0</v>
      </c>
      <c r="O796" t="n">
        <v>2</v>
      </c>
      <c r="P796" t="n">
        <v>0</v>
      </c>
      <c r="Q796" t="n">
        <v>2</v>
      </c>
      <c r="R796" s="2" t="inlineStr">
        <is>
          <t>Granticka
Ullticka</t>
        </is>
      </c>
      <c r="S796">
        <f>HYPERLINK("https://klasma.github.io/Logging_2281/artfynd/A 63488-2025 artfynd.xlsx", "A 63488-2025")</f>
        <v/>
      </c>
      <c r="T796">
        <f>HYPERLINK("https://klasma.github.io/Logging_2281/kartor/A 63488-2025 karta.png", "A 63488-2025")</f>
        <v/>
      </c>
      <c r="V796">
        <f>HYPERLINK("https://klasma.github.io/Logging_2281/klagomål/A 63488-2025 FSC-klagomål.docx", "A 63488-2025")</f>
        <v/>
      </c>
      <c r="W796">
        <f>HYPERLINK("https://klasma.github.io/Logging_2281/klagomålsmail/A 63488-2025 FSC-klagomål mail.docx", "A 63488-2025")</f>
        <v/>
      </c>
      <c r="X796">
        <f>HYPERLINK("https://klasma.github.io/Logging_2281/tillsyn/A 63488-2025 tillsynsbegäran.docx", "A 63488-2025")</f>
        <v/>
      </c>
      <c r="Y796">
        <f>HYPERLINK("https://klasma.github.io/Logging_2281/tillsynsmail/A 63488-2025 tillsynsbegäran mail.docx", "A 63488-2025")</f>
        <v/>
      </c>
    </row>
    <row r="797" ht="15" customHeight="1">
      <c r="A797" t="inlineStr">
        <is>
          <t>A 54994-2025</t>
        </is>
      </c>
      <c r="B797" s="1" t="n">
        <v>45967.59415509259</v>
      </c>
      <c r="C797" s="1" t="n">
        <v>46185</v>
      </c>
      <c r="D797" t="inlineStr">
        <is>
          <t>VÄSTERNORRLANDS LÄN</t>
        </is>
      </c>
      <c r="E797" t="inlineStr">
        <is>
          <t>TIMRÅ</t>
        </is>
      </c>
      <c r="F797" t="inlineStr">
        <is>
          <t>SCA</t>
        </is>
      </c>
      <c r="G797" t="n">
        <v>3.2</v>
      </c>
      <c r="H797" t="n">
        <v>0</v>
      </c>
      <c r="I797" t="n">
        <v>1</v>
      </c>
      <c r="J797" t="n">
        <v>1</v>
      </c>
      <c r="K797" t="n">
        <v>0</v>
      </c>
      <c r="L797" t="n">
        <v>0</v>
      </c>
      <c r="M797" t="n">
        <v>0</v>
      </c>
      <c r="N797" t="n">
        <v>0</v>
      </c>
      <c r="O797" t="n">
        <v>1</v>
      </c>
      <c r="P797" t="n">
        <v>0</v>
      </c>
      <c r="Q797" t="n">
        <v>2</v>
      </c>
      <c r="R797" s="2" t="inlineStr">
        <is>
          <t>Garnlav
Skinnlav</t>
        </is>
      </c>
      <c r="S797">
        <f>HYPERLINK("https://klasma.github.io/Logging_2262/artfynd/A 54994-2025 artfynd.xlsx", "A 54994-2025")</f>
        <v/>
      </c>
      <c r="T797">
        <f>HYPERLINK("https://klasma.github.io/Logging_2262/kartor/A 54994-2025 karta.png", "A 54994-2025")</f>
        <v/>
      </c>
      <c r="V797">
        <f>HYPERLINK("https://klasma.github.io/Logging_2262/klagomål/A 54994-2025 FSC-klagomål.docx", "A 54994-2025")</f>
        <v/>
      </c>
      <c r="W797">
        <f>HYPERLINK("https://klasma.github.io/Logging_2262/klagomålsmail/A 54994-2025 FSC-klagomål mail.docx", "A 54994-2025")</f>
        <v/>
      </c>
      <c r="X797">
        <f>HYPERLINK("https://klasma.github.io/Logging_2262/tillsyn/A 54994-2025 tillsynsbegäran.docx", "A 54994-2025")</f>
        <v/>
      </c>
      <c r="Y797">
        <f>HYPERLINK("https://klasma.github.io/Logging_2262/tillsynsmail/A 54994-2025 tillsynsbegäran mail.docx", "A 54994-2025")</f>
        <v/>
      </c>
    </row>
    <row r="798" ht="15" customHeight="1">
      <c r="A798" t="inlineStr">
        <is>
          <t>A 14644-2026</t>
        </is>
      </c>
      <c r="B798" s="1" t="n">
        <v>46101.41597222222</v>
      </c>
      <c r="C798" s="1" t="n">
        <v>46185</v>
      </c>
      <c r="D798" t="inlineStr">
        <is>
          <t>VÄSTERNORRLANDS LÄN</t>
        </is>
      </c>
      <c r="E798" t="inlineStr">
        <is>
          <t>TIMRÅ</t>
        </is>
      </c>
      <c r="G798" t="n">
        <v>28</v>
      </c>
      <c r="H798" t="n">
        <v>2</v>
      </c>
      <c r="I798" t="n">
        <v>0</v>
      </c>
      <c r="J798" t="n">
        <v>1</v>
      </c>
      <c r="K798" t="n">
        <v>0</v>
      </c>
      <c r="L798" t="n">
        <v>0</v>
      </c>
      <c r="M798" t="n">
        <v>0</v>
      </c>
      <c r="N798" t="n">
        <v>0</v>
      </c>
      <c r="O798" t="n">
        <v>1</v>
      </c>
      <c r="P798" t="n">
        <v>0</v>
      </c>
      <c r="Q798" t="n">
        <v>2</v>
      </c>
      <c r="R798" s="2" t="inlineStr">
        <is>
          <t>Järpe
Enkelbeckasin</t>
        </is>
      </c>
      <c r="S798">
        <f>HYPERLINK("https://klasma.github.io/Logging_2262/artfynd/A 14644-2026 artfynd.xlsx", "A 14644-2026")</f>
        <v/>
      </c>
      <c r="T798">
        <f>HYPERLINK("https://klasma.github.io/Logging_2262/kartor/A 14644-2026 karta.png", "A 14644-2026")</f>
        <v/>
      </c>
      <c r="V798">
        <f>HYPERLINK("https://klasma.github.io/Logging_2262/klagomål/A 14644-2026 FSC-klagomål.docx", "A 14644-2026")</f>
        <v/>
      </c>
      <c r="W798">
        <f>HYPERLINK("https://klasma.github.io/Logging_2262/klagomålsmail/A 14644-2026 FSC-klagomål mail.docx", "A 14644-2026")</f>
        <v/>
      </c>
      <c r="X798">
        <f>HYPERLINK("https://klasma.github.io/Logging_2262/tillsyn/A 14644-2026 tillsynsbegäran.docx", "A 14644-2026")</f>
        <v/>
      </c>
      <c r="Y798">
        <f>HYPERLINK("https://klasma.github.io/Logging_2262/tillsynsmail/A 14644-2026 tillsynsbegäran mail.docx", "A 14644-2026")</f>
        <v/>
      </c>
      <c r="Z798">
        <f>HYPERLINK("https://klasma.github.io/Logging_2262/fåglar/A 14644-2026 prioriterade fågelarter.docx", "A 14644-2026")</f>
        <v/>
      </c>
    </row>
    <row r="799" ht="15" customHeight="1">
      <c r="A799" t="inlineStr">
        <is>
          <t>A 58191-2022</t>
        </is>
      </c>
      <c r="B799" s="1" t="n">
        <v>44900</v>
      </c>
      <c r="C799" s="1" t="n">
        <v>46185</v>
      </c>
      <c r="D799" t="inlineStr">
        <is>
          <t>VÄSTERNORRLANDS LÄN</t>
        </is>
      </c>
      <c r="E799" t="inlineStr">
        <is>
          <t>SUNDSVALL</t>
        </is>
      </c>
      <c r="F799" t="inlineStr">
        <is>
          <t>SCA</t>
        </is>
      </c>
      <c r="G799" t="n">
        <v>2</v>
      </c>
      <c r="H799" t="n">
        <v>1</v>
      </c>
      <c r="I799" t="n">
        <v>2</v>
      </c>
      <c r="J799" t="n">
        <v>0</v>
      </c>
      <c r="K799" t="n">
        <v>0</v>
      </c>
      <c r="L799" t="n">
        <v>0</v>
      </c>
      <c r="M799" t="n">
        <v>0</v>
      </c>
      <c r="N799" t="n">
        <v>0</v>
      </c>
      <c r="O799" t="n">
        <v>0</v>
      </c>
      <c r="P799" t="n">
        <v>0</v>
      </c>
      <c r="Q799" t="n">
        <v>2</v>
      </c>
      <c r="R799" s="2" t="inlineStr">
        <is>
          <t>Korallrot
Vedticka</t>
        </is>
      </c>
      <c r="S799">
        <f>HYPERLINK("https://klasma.github.io/Logging_2281/artfynd/A 58191-2022 artfynd.xlsx", "A 58191-2022")</f>
        <v/>
      </c>
      <c r="T799">
        <f>HYPERLINK("https://klasma.github.io/Logging_2281/kartor/A 58191-2022 karta.png", "A 58191-2022")</f>
        <v/>
      </c>
      <c r="U799">
        <f>HYPERLINK("https://klasma.github.io/Logging_2281/knärot/A 58191-2022 karta knärot.png", "A 58191-2022")</f>
        <v/>
      </c>
      <c r="V799">
        <f>HYPERLINK("https://klasma.github.io/Logging_2281/klagomål/A 58191-2022 FSC-klagomål.docx", "A 58191-2022")</f>
        <v/>
      </c>
      <c r="W799">
        <f>HYPERLINK("https://klasma.github.io/Logging_2281/klagomålsmail/A 58191-2022 FSC-klagomål mail.docx", "A 58191-2022")</f>
        <v/>
      </c>
      <c r="X799">
        <f>HYPERLINK("https://klasma.github.io/Logging_2281/tillsyn/A 58191-2022 tillsynsbegäran.docx", "A 58191-2022")</f>
        <v/>
      </c>
      <c r="Y799">
        <f>HYPERLINK("https://klasma.github.io/Logging_2281/tillsynsmail/A 58191-2022 tillsynsbegäran mail.docx", "A 58191-2022")</f>
        <v/>
      </c>
    </row>
    <row r="800" ht="15" customHeight="1">
      <c r="A800" t="inlineStr">
        <is>
          <t>A 44901-2024</t>
        </is>
      </c>
      <c r="B800" s="1" t="n">
        <v>45575.37862268519</v>
      </c>
      <c r="C800" s="1" t="n">
        <v>46185</v>
      </c>
      <c r="D800" t="inlineStr">
        <is>
          <t>VÄSTERNORRLANDS LÄN</t>
        </is>
      </c>
      <c r="E800" t="inlineStr">
        <is>
          <t>HÄRNÖSAND</t>
        </is>
      </c>
      <c r="G800" t="n">
        <v>3.3</v>
      </c>
      <c r="H800" t="n">
        <v>0</v>
      </c>
      <c r="I800" t="n">
        <v>1</v>
      </c>
      <c r="J800" t="n">
        <v>1</v>
      </c>
      <c r="K800" t="n">
        <v>0</v>
      </c>
      <c r="L800" t="n">
        <v>0</v>
      </c>
      <c r="M800" t="n">
        <v>0</v>
      </c>
      <c r="N800" t="n">
        <v>0</v>
      </c>
      <c r="O800" t="n">
        <v>1</v>
      </c>
      <c r="P800" t="n">
        <v>0</v>
      </c>
      <c r="Q800" t="n">
        <v>2</v>
      </c>
      <c r="R800" s="2" t="inlineStr">
        <is>
          <t>Garnlav
Vedticka</t>
        </is>
      </c>
      <c r="S800">
        <f>HYPERLINK("https://klasma.github.io/Logging_2280/artfynd/A 44901-2024 artfynd.xlsx", "A 44901-2024")</f>
        <v/>
      </c>
      <c r="T800">
        <f>HYPERLINK("https://klasma.github.io/Logging_2280/kartor/A 44901-2024 karta.png", "A 44901-2024")</f>
        <v/>
      </c>
      <c r="V800">
        <f>HYPERLINK("https://klasma.github.io/Logging_2280/klagomål/A 44901-2024 FSC-klagomål.docx", "A 44901-2024")</f>
        <v/>
      </c>
      <c r="W800">
        <f>HYPERLINK("https://klasma.github.io/Logging_2280/klagomålsmail/A 44901-2024 FSC-klagomål mail.docx", "A 44901-2024")</f>
        <v/>
      </c>
      <c r="X800">
        <f>HYPERLINK("https://klasma.github.io/Logging_2280/tillsyn/A 44901-2024 tillsynsbegäran.docx", "A 44901-2024")</f>
        <v/>
      </c>
      <c r="Y800">
        <f>HYPERLINK("https://klasma.github.io/Logging_2280/tillsynsmail/A 44901-2024 tillsynsbegäran mail.docx", "A 44901-2024")</f>
        <v/>
      </c>
    </row>
    <row r="801" ht="15" customHeight="1">
      <c r="A801" t="inlineStr">
        <is>
          <t>A 4093-2025</t>
        </is>
      </c>
      <c r="B801" s="1" t="n">
        <v>45684.67762731481</v>
      </c>
      <c r="C801" s="1" t="n">
        <v>46185</v>
      </c>
      <c r="D801" t="inlineStr">
        <is>
          <t>VÄSTERNORRLANDS LÄN</t>
        </is>
      </c>
      <c r="E801" t="inlineStr">
        <is>
          <t>ÅNGE</t>
        </is>
      </c>
      <c r="F801" t="inlineStr">
        <is>
          <t>SCA</t>
        </is>
      </c>
      <c r="G801" t="n">
        <v>2.6</v>
      </c>
      <c r="H801" t="n">
        <v>1</v>
      </c>
      <c r="I801" t="n">
        <v>2</v>
      </c>
      <c r="J801" t="n">
        <v>0</v>
      </c>
      <c r="K801" t="n">
        <v>0</v>
      </c>
      <c r="L801" t="n">
        <v>0</v>
      </c>
      <c r="M801" t="n">
        <v>0</v>
      </c>
      <c r="N801" t="n">
        <v>0</v>
      </c>
      <c r="O801" t="n">
        <v>0</v>
      </c>
      <c r="P801" t="n">
        <v>0</v>
      </c>
      <c r="Q801" t="n">
        <v>2</v>
      </c>
      <c r="R801" s="2" t="inlineStr">
        <is>
          <t>Kransrams
Spindelblomster</t>
        </is>
      </c>
      <c r="S801">
        <f>HYPERLINK("https://klasma.github.io/Logging_2260/artfynd/A 4093-2025 artfynd.xlsx", "A 4093-2025")</f>
        <v/>
      </c>
      <c r="T801">
        <f>HYPERLINK("https://klasma.github.io/Logging_2260/kartor/A 4093-2025 karta.png", "A 4093-2025")</f>
        <v/>
      </c>
      <c r="V801">
        <f>HYPERLINK("https://klasma.github.io/Logging_2260/klagomål/A 4093-2025 FSC-klagomål.docx", "A 4093-2025")</f>
        <v/>
      </c>
      <c r="W801">
        <f>HYPERLINK("https://klasma.github.io/Logging_2260/klagomålsmail/A 4093-2025 FSC-klagomål mail.docx", "A 4093-2025")</f>
        <v/>
      </c>
      <c r="X801">
        <f>HYPERLINK("https://klasma.github.io/Logging_2260/tillsyn/A 4093-2025 tillsynsbegäran.docx", "A 4093-2025")</f>
        <v/>
      </c>
      <c r="Y801">
        <f>HYPERLINK("https://klasma.github.io/Logging_2260/tillsynsmail/A 4093-2025 tillsynsbegäran mail.docx", "A 4093-2025")</f>
        <v/>
      </c>
    </row>
    <row r="802" ht="15" customHeight="1">
      <c r="A802" t="inlineStr">
        <is>
          <t>A 21592-2026</t>
        </is>
      </c>
      <c r="B802" s="1" t="n">
        <v>46149.34606481482</v>
      </c>
      <c r="C802" s="1" t="n">
        <v>46185</v>
      </c>
      <c r="D802" t="inlineStr">
        <is>
          <t>VÄSTERNORRLANDS LÄN</t>
        </is>
      </c>
      <c r="E802" t="inlineStr">
        <is>
          <t>ÅNGE</t>
        </is>
      </c>
      <c r="F802" t="inlineStr">
        <is>
          <t>SCA</t>
        </is>
      </c>
      <c r="G802" t="n">
        <v>19.7</v>
      </c>
      <c r="H802" t="n">
        <v>1</v>
      </c>
      <c r="I802" t="n">
        <v>0</v>
      </c>
      <c r="J802" t="n">
        <v>1</v>
      </c>
      <c r="K802" t="n">
        <v>1</v>
      </c>
      <c r="L802" t="n">
        <v>0</v>
      </c>
      <c r="M802" t="n">
        <v>0</v>
      </c>
      <c r="N802" t="n">
        <v>0</v>
      </c>
      <c r="O802" t="n">
        <v>2</v>
      </c>
      <c r="P802" t="n">
        <v>1</v>
      </c>
      <c r="Q802" t="n">
        <v>2</v>
      </c>
      <c r="R802" s="2" t="inlineStr">
        <is>
          <t>Långskägg
Garnlav</t>
        </is>
      </c>
      <c r="S802">
        <f>HYPERLINK("https://klasma.github.io/Logging_2260/artfynd/A 21592-2026 artfynd.xlsx", "A 21592-2026")</f>
        <v/>
      </c>
      <c r="T802">
        <f>HYPERLINK("https://klasma.github.io/Logging_2260/kartor/A 21592-2026 karta.png", "A 21592-2026")</f>
        <v/>
      </c>
      <c r="V802">
        <f>HYPERLINK("https://klasma.github.io/Logging_2260/klagomål/A 21592-2026 FSC-klagomål.docx", "A 21592-2026")</f>
        <v/>
      </c>
      <c r="W802">
        <f>HYPERLINK("https://klasma.github.io/Logging_2260/klagomålsmail/A 21592-2026 FSC-klagomål mail.docx", "A 21592-2026")</f>
        <v/>
      </c>
      <c r="X802">
        <f>HYPERLINK("https://klasma.github.io/Logging_2260/tillsyn/A 21592-2026 tillsynsbegäran.docx", "A 21592-2026")</f>
        <v/>
      </c>
      <c r="Y802">
        <f>HYPERLINK("https://klasma.github.io/Logging_2260/tillsynsmail/A 21592-2026 tillsynsbegäran mail.docx", "A 21592-2026")</f>
        <v/>
      </c>
    </row>
    <row r="803" ht="15" customHeight="1">
      <c r="A803" t="inlineStr">
        <is>
          <t>A 21364-2024</t>
        </is>
      </c>
      <c r="B803" s="1" t="n">
        <v>45440.95248842592</v>
      </c>
      <c r="C803" s="1" t="n">
        <v>46185</v>
      </c>
      <c r="D803" t="inlineStr">
        <is>
          <t>VÄSTERNORRLANDS LÄN</t>
        </is>
      </c>
      <c r="E803" t="inlineStr">
        <is>
          <t>SOLLEFTEÅ</t>
        </is>
      </c>
      <c r="F803" t="inlineStr">
        <is>
          <t>SCA</t>
        </is>
      </c>
      <c r="G803" t="n">
        <v>2.1</v>
      </c>
      <c r="H803" t="n">
        <v>0</v>
      </c>
      <c r="I803" t="n">
        <v>0</v>
      </c>
      <c r="J803" t="n">
        <v>2</v>
      </c>
      <c r="K803" t="n">
        <v>0</v>
      </c>
      <c r="L803" t="n">
        <v>0</v>
      </c>
      <c r="M803" t="n">
        <v>0</v>
      </c>
      <c r="N803" t="n">
        <v>0</v>
      </c>
      <c r="O803" t="n">
        <v>2</v>
      </c>
      <c r="P803" t="n">
        <v>0</v>
      </c>
      <c r="Q803" t="n">
        <v>2</v>
      </c>
      <c r="R803" s="2" t="inlineStr">
        <is>
          <t>Garnlav
Granticka</t>
        </is>
      </c>
      <c r="S803">
        <f>HYPERLINK("https://klasma.github.io/Logging_2283/artfynd/A 21364-2024 artfynd.xlsx", "A 21364-2024")</f>
        <v/>
      </c>
      <c r="T803">
        <f>HYPERLINK("https://klasma.github.io/Logging_2283/kartor/A 21364-2024 karta.png", "A 21364-2024")</f>
        <v/>
      </c>
      <c r="V803">
        <f>HYPERLINK("https://klasma.github.io/Logging_2283/klagomål/A 21364-2024 FSC-klagomål.docx", "A 21364-2024")</f>
        <v/>
      </c>
      <c r="W803">
        <f>HYPERLINK("https://klasma.github.io/Logging_2283/klagomålsmail/A 21364-2024 FSC-klagomål mail.docx", "A 21364-2024")</f>
        <v/>
      </c>
      <c r="X803">
        <f>HYPERLINK("https://klasma.github.io/Logging_2283/tillsyn/A 21364-2024 tillsynsbegäran.docx", "A 21364-2024")</f>
        <v/>
      </c>
      <c r="Y803">
        <f>HYPERLINK("https://klasma.github.io/Logging_2283/tillsynsmail/A 21364-2024 tillsynsbegäran mail.docx", "A 21364-2024")</f>
        <v/>
      </c>
    </row>
    <row r="804" ht="15" customHeight="1">
      <c r="A804" t="inlineStr">
        <is>
          <t>A 36126-2025</t>
        </is>
      </c>
      <c r="B804" s="1" t="n">
        <v>45866</v>
      </c>
      <c r="C804" s="1" t="n">
        <v>46185</v>
      </c>
      <c r="D804" t="inlineStr">
        <is>
          <t>VÄSTERNORRLANDS LÄN</t>
        </is>
      </c>
      <c r="E804" t="inlineStr">
        <is>
          <t>TIMRÅ</t>
        </is>
      </c>
      <c r="F804" t="inlineStr">
        <is>
          <t>SCA</t>
        </is>
      </c>
      <c r="G804" t="n">
        <v>3.5</v>
      </c>
      <c r="H804" t="n">
        <v>0</v>
      </c>
      <c r="I804" t="n">
        <v>0</v>
      </c>
      <c r="J804" t="n">
        <v>2</v>
      </c>
      <c r="K804" t="n">
        <v>0</v>
      </c>
      <c r="L804" t="n">
        <v>0</v>
      </c>
      <c r="M804" t="n">
        <v>0</v>
      </c>
      <c r="N804" t="n">
        <v>0</v>
      </c>
      <c r="O804" t="n">
        <v>2</v>
      </c>
      <c r="P804" t="n">
        <v>0</v>
      </c>
      <c r="Q804" t="n">
        <v>2</v>
      </c>
      <c r="R804" s="2" t="inlineStr">
        <is>
          <t>Garnlav
Vedflamlav</t>
        </is>
      </c>
      <c r="S804">
        <f>HYPERLINK("https://klasma.github.io/Logging_2262/artfynd/A 36126-2025 artfynd.xlsx", "A 36126-2025")</f>
        <v/>
      </c>
      <c r="T804">
        <f>HYPERLINK("https://klasma.github.io/Logging_2262/kartor/A 36126-2025 karta.png", "A 36126-2025")</f>
        <v/>
      </c>
      <c r="U804">
        <f>HYPERLINK("https://klasma.github.io/Logging_2262/knärot/A 36126-2025 karta knärot.png", "A 36126-2025")</f>
        <v/>
      </c>
      <c r="V804">
        <f>HYPERLINK("https://klasma.github.io/Logging_2262/klagomål/A 36126-2025 FSC-klagomål.docx", "A 36126-2025")</f>
        <v/>
      </c>
      <c r="W804">
        <f>HYPERLINK("https://klasma.github.io/Logging_2262/klagomålsmail/A 36126-2025 FSC-klagomål mail.docx", "A 36126-2025")</f>
        <v/>
      </c>
      <c r="X804">
        <f>HYPERLINK("https://klasma.github.io/Logging_2262/tillsyn/A 36126-2025 tillsynsbegäran.docx", "A 36126-2025")</f>
        <v/>
      </c>
      <c r="Y804">
        <f>HYPERLINK("https://klasma.github.io/Logging_2262/tillsynsmail/A 36126-2025 tillsynsbegäran mail.docx", "A 36126-2025")</f>
        <v/>
      </c>
    </row>
    <row r="805" ht="15" customHeight="1">
      <c r="A805" t="inlineStr">
        <is>
          <t>A 25034-2024</t>
        </is>
      </c>
      <c r="B805" s="1" t="n">
        <v>45461.96458333333</v>
      </c>
      <c r="C805" s="1" t="n">
        <v>46185</v>
      </c>
      <c r="D805" t="inlineStr">
        <is>
          <t>VÄSTERNORRLANDS LÄN</t>
        </is>
      </c>
      <c r="E805" t="inlineStr">
        <is>
          <t>ÅNGE</t>
        </is>
      </c>
      <c r="F805" t="inlineStr">
        <is>
          <t>SCA</t>
        </is>
      </c>
      <c r="G805" t="n">
        <v>3.3</v>
      </c>
      <c r="H805" t="n">
        <v>0</v>
      </c>
      <c r="I805" t="n">
        <v>0</v>
      </c>
      <c r="J805" t="n">
        <v>2</v>
      </c>
      <c r="K805" t="n">
        <v>0</v>
      </c>
      <c r="L805" t="n">
        <v>0</v>
      </c>
      <c r="M805" t="n">
        <v>0</v>
      </c>
      <c r="N805" t="n">
        <v>0</v>
      </c>
      <c r="O805" t="n">
        <v>2</v>
      </c>
      <c r="P805" t="n">
        <v>0</v>
      </c>
      <c r="Q805" t="n">
        <v>2</v>
      </c>
      <c r="R805" s="2" t="inlineStr">
        <is>
          <t>Rosenticka
Ullticka</t>
        </is>
      </c>
      <c r="S805">
        <f>HYPERLINK("https://klasma.github.io/Logging_2260/artfynd/A 25034-2024 artfynd.xlsx", "A 25034-2024")</f>
        <v/>
      </c>
      <c r="T805">
        <f>HYPERLINK("https://klasma.github.io/Logging_2260/kartor/A 25034-2024 karta.png", "A 25034-2024")</f>
        <v/>
      </c>
      <c r="V805">
        <f>HYPERLINK("https://klasma.github.io/Logging_2260/klagomål/A 25034-2024 FSC-klagomål.docx", "A 25034-2024")</f>
        <v/>
      </c>
      <c r="W805">
        <f>HYPERLINK("https://klasma.github.io/Logging_2260/klagomålsmail/A 25034-2024 FSC-klagomål mail.docx", "A 25034-2024")</f>
        <v/>
      </c>
      <c r="X805">
        <f>HYPERLINK("https://klasma.github.io/Logging_2260/tillsyn/A 25034-2024 tillsynsbegäran.docx", "A 25034-2024")</f>
        <v/>
      </c>
      <c r="Y805">
        <f>HYPERLINK("https://klasma.github.io/Logging_2260/tillsynsmail/A 25034-2024 tillsynsbegäran mail.docx", "A 25034-2024")</f>
        <v/>
      </c>
    </row>
    <row r="806" ht="15" customHeight="1">
      <c r="A806" t="inlineStr">
        <is>
          <t>A 22522-2026</t>
        </is>
      </c>
      <c r="B806" s="1" t="n">
        <v>46155.46682870371</v>
      </c>
      <c r="C806" s="1" t="n">
        <v>46185</v>
      </c>
      <c r="D806" t="inlineStr">
        <is>
          <t>VÄSTERNORRLANDS LÄN</t>
        </is>
      </c>
      <c r="E806" t="inlineStr">
        <is>
          <t>SUNDSVALL</t>
        </is>
      </c>
      <c r="G806" t="n">
        <v>3.7</v>
      </c>
      <c r="H806" t="n">
        <v>0</v>
      </c>
      <c r="I806" t="n">
        <v>1</v>
      </c>
      <c r="J806" t="n">
        <v>0</v>
      </c>
      <c r="K806" t="n">
        <v>1</v>
      </c>
      <c r="L806" t="n">
        <v>0</v>
      </c>
      <c r="M806" t="n">
        <v>0</v>
      </c>
      <c r="N806" t="n">
        <v>0</v>
      </c>
      <c r="O806" t="n">
        <v>1</v>
      </c>
      <c r="P806" t="n">
        <v>1</v>
      </c>
      <c r="Q806" t="n">
        <v>2</v>
      </c>
      <c r="R806" s="2" t="inlineStr">
        <is>
          <t>Blackticka
Thomsons trägnagare</t>
        </is>
      </c>
      <c r="S806">
        <f>HYPERLINK("https://klasma.github.io/Logging_2281/artfynd/A 22522-2026 artfynd.xlsx", "A 22522-2026")</f>
        <v/>
      </c>
      <c r="T806">
        <f>HYPERLINK("https://klasma.github.io/Logging_2281/kartor/A 22522-2026 karta.png", "A 22522-2026")</f>
        <v/>
      </c>
      <c r="V806">
        <f>HYPERLINK("https://klasma.github.io/Logging_2281/klagomål/A 22522-2026 FSC-klagomål.docx", "A 22522-2026")</f>
        <v/>
      </c>
      <c r="W806">
        <f>HYPERLINK("https://klasma.github.io/Logging_2281/klagomålsmail/A 22522-2026 FSC-klagomål mail.docx", "A 22522-2026")</f>
        <v/>
      </c>
      <c r="X806">
        <f>HYPERLINK("https://klasma.github.io/Logging_2281/tillsyn/A 22522-2026 tillsynsbegäran.docx", "A 22522-2026")</f>
        <v/>
      </c>
      <c r="Y806">
        <f>HYPERLINK("https://klasma.github.io/Logging_2281/tillsynsmail/A 22522-2026 tillsynsbegäran mail.docx", "A 22522-2026")</f>
        <v/>
      </c>
    </row>
    <row r="807" ht="15" customHeight="1">
      <c r="A807" t="inlineStr">
        <is>
          <t>A 22645-2026</t>
        </is>
      </c>
      <c r="B807" s="1" t="n">
        <v>46155.65704861111</v>
      </c>
      <c r="C807" s="1" t="n">
        <v>46185</v>
      </c>
      <c r="D807" t="inlineStr">
        <is>
          <t>VÄSTERNORRLANDS LÄN</t>
        </is>
      </c>
      <c r="E807" t="inlineStr">
        <is>
          <t>SOLLEFTEÅ</t>
        </is>
      </c>
      <c r="F807" t="inlineStr">
        <is>
          <t>SCA</t>
        </is>
      </c>
      <c r="G807" t="n">
        <v>3.8</v>
      </c>
      <c r="H807" t="n">
        <v>2</v>
      </c>
      <c r="I807" t="n">
        <v>0</v>
      </c>
      <c r="J807" t="n">
        <v>1</v>
      </c>
      <c r="K807" t="n">
        <v>0</v>
      </c>
      <c r="L807" t="n">
        <v>0</v>
      </c>
      <c r="M807" t="n">
        <v>0</v>
      </c>
      <c r="N807" t="n">
        <v>0</v>
      </c>
      <c r="O807" t="n">
        <v>1</v>
      </c>
      <c r="P807" t="n">
        <v>0</v>
      </c>
      <c r="Q807" t="n">
        <v>2</v>
      </c>
      <c r="R807" s="2" t="inlineStr">
        <is>
          <t>Duvhök
Orre</t>
        </is>
      </c>
      <c r="S807">
        <f>HYPERLINK("https://klasma.github.io/Logging_2283/artfynd/A 22645-2026 artfynd.xlsx", "A 22645-2026")</f>
        <v/>
      </c>
      <c r="T807">
        <f>HYPERLINK("https://klasma.github.io/Logging_2283/kartor/A 22645-2026 karta.png", "A 22645-2026")</f>
        <v/>
      </c>
      <c r="V807">
        <f>HYPERLINK("https://klasma.github.io/Logging_2283/klagomål/A 22645-2026 FSC-klagomål.docx", "A 22645-2026")</f>
        <v/>
      </c>
      <c r="W807">
        <f>HYPERLINK("https://klasma.github.io/Logging_2283/klagomålsmail/A 22645-2026 FSC-klagomål mail.docx", "A 22645-2026")</f>
        <v/>
      </c>
      <c r="X807">
        <f>HYPERLINK("https://klasma.github.io/Logging_2283/tillsyn/A 22645-2026 tillsynsbegäran.docx", "A 22645-2026")</f>
        <v/>
      </c>
      <c r="Y807">
        <f>HYPERLINK("https://klasma.github.io/Logging_2283/tillsynsmail/A 22645-2026 tillsynsbegäran mail.docx", "A 22645-2026")</f>
        <v/>
      </c>
      <c r="Z807">
        <f>HYPERLINK("https://klasma.github.io/Logging_2283/fåglar/A 22645-2026 prioriterade fågelarter.docx", "A 22645-2026")</f>
        <v/>
      </c>
    </row>
    <row r="808" ht="15" customHeight="1">
      <c r="A808" t="inlineStr">
        <is>
          <t>A 13675-2024</t>
        </is>
      </c>
      <c r="B808" s="1" t="n">
        <v>45390</v>
      </c>
      <c r="C808" s="1" t="n">
        <v>46185</v>
      </c>
      <c r="D808" t="inlineStr">
        <is>
          <t>VÄSTERNORRLANDS LÄN</t>
        </is>
      </c>
      <c r="E808" t="inlineStr">
        <is>
          <t>SUNDSVALL</t>
        </is>
      </c>
      <c r="G808" t="n">
        <v>1.7</v>
      </c>
      <c r="H808" t="n">
        <v>0</v>
      </c>
      <c r="I808" t="n">
        <v>2</v>
      </c>
      <c r="J808" t="n">
        <v>0</v>
      </c>
      <c r="K808" t="n">
        <v>0</v>
      </c>
      <c r="L808" t="n">
        <v>0</v>
      </c>
      <c r="M808" t="n">
        <v>0</v>
      </c>
      <c r="N808" t="n">
        <v>0</v>
      </c>
      <c r="O808" t="n">
        <v>0</v>
      </c>
      <c r="P808" t="n">
        <v>0</v>
      </c>
      <c r="Q808" t="n">
        <v>2</v>
      </c>
      <c r="R808" s="2" t="inlineStr">
        <is>
          <t>Svart trolldruva
Tibast</t>
        </is>
      </c>
      <c r="S808">
        <f>HYPERLINK("https://klasma.github.io/Logging_2281/artfynd/A 13675-2024 artfynd.xlsx", "A 13675-2024")</f>
        <v/>
      </c>
      <c r="T808">
        <f>HYPERLINK("https://klasma.github.io/Logging_2281/kartor/A 13675-2024 karta.png", "A 13675-2024")</f>
        <v/>
      </c>
      <c r="V808">
        <f>HYPERLINK("https://klasma.github.io/Logging_2281/klagomål/A 13675-2024 FSC-klagomål.docx", "A 13675-2024")</f>
        <v/>
      </c>
      <c r="W808">
        <f>HYPERLINK("https://klasma.github.io/Logging_2281/klagomålsmail/A 13675-2024 FSC-klagomål mail.docx", "A 13675-2024")</f>
        <v/>
      </c>
      <c r="X808">
        <f>HYPERLINK("https://klasma.github.io/Logging_2281/tillsyn/A 13675-2024 tillsynsbegäran.docx", "A 13675-2024")</f>
        <v/>
      </c>
      <c r="Y808">
        <f>HYPERLINK("https://klasma.github.io/Logging_2281/tillsynsmail/A 13675-2024 tillsynsbegäran mail.docx", "A 13675-2024")</f>
        <v/>
      </c>
    </row>
    <row r="809" ht="15" customHeight="1">
      <c r="A809" t="inlineStr">
        <is>
          <t>A 32524-2024</t>
        </is>
      </c>
      <c r="B809" s="1" t="n">
        <v>45513.47335648148</v>
      </c>
      <c r="C809" s="1" t="n">
        <v>46185</v>
      </c>
      <c r="D809" t="inlineStr">
        <is>
          <t>VÄSTERNORRLANDS LÄN</t>
        </is>
      </c>
      <c r="E809" t="inlineStr">
        <is>
          <t>ÖRNSKÖLDSVIK</t>
        </is>
      </c>
      <c r="F809" t="inlineStr">
        <is>
          <t>Holmen skog AB</t>
        </is>
      </c>
      <c r="G809" t="n">
        <v>2.3</v>
      </c>
      <c r="H809" t="n">
        <v>0</v>
      </c>
      <c r="I809" t="n">
        <v>0</v>
      </c>
      <c r="J809" t="n">
        <v>2</v>
      </c>
      <c r="K809" t="n">
        <v>0</v>
      </c>
      <c r="L809" t="n">
        <v>0</v>
      </c>
      <c r="M809" t="n">
        <v>0</v>
      </c>
      <c r="N809" t="n">
        <v>0</v>
      </c>
      <c r="O809" t="n">
        <v>2</v>
      </c>
      <c r="P809" t="n">
        <v>0</v>
      </c>
      <c r="Q809" t="n">
        <v>2</v>
      </c>
      <c r="R809" s="2" t="inlineStr">
        <is>
          <t>Granticka
Kolflarnlav</t>
        </is>
      </c>
      <c r="S809">
        <f>HYPERLINK("https://klasma.github.io/Logging_2284/artfynd/A 32524-2024 artfynd.xlsx", "A 32524-2024")</f>
        <v/>
      </c>
      <c r="T809">
        <f>HYPERLINK("https://klasma.github.io/Logging_2284/kartor/A 32524-2024 karta.png", "A 32524-2024")</f>
        <v/>
      </c>
      <c r="V809">
        <f>HYPERLINK("https://klasma.github.io/Logging_2284/klagomål/A 32524-2024 FSC-klagomål.docx", "A 32524-2024")</f>
        <v/>
      </c>
      <c r="W809">
        <f>HYPERLINK("https://klasma.github.io/Logging_2284/klagomålsmail/A 32524-2024 FSC-klagomål mail.docx", "A 32524-2024")</f>
        <v/>
      </c>
      <c r="X809">
        <f>HYPERLINK("https://klasma.github.io/Logging_2284/tillsyn/A 32524-2024 tillsynsbegäran.docx", "A 32524-2024")</f>
        <v/>
      </c>
      <c r="Y809">
        <f>HYPERLINK("https://klasma.github.io/Logging_2284/tillsynsmail/A 32524-2024 tillsynsbegäran mail.docx", "A 32524-2024")</f>
        <v/>
      </c>
    </row>
    <row r="810" ht="15" customHeight="1">
      <c r="A810" t="inlineStr">
        <is>
          <t>A 57089-2024</t>
        </is>
      </c>
      <c r="B810" s="1" t="n">
        <v>45629.35665509259</v>
      </c>
      <c r="C810" s="1" t="n">
        <v>46185</v>
      </c>
      <c r="D810" t="inlineStr">
        <is>
          <t>VÄSTERNORRLANDS LÄN</t>
        </is>
      </c>
      <c r="E810" t="inlineStr">
        <is>
          <t>ÅNGE</t>
        </is>
      </c>
      <c r="F810" t="inlineStr">
        <is>
          <t>SCA</t>
        </is>
      </c>
      <c r="G810" t="n">
        <v>1.5</v>
      </c>
      <c r="H810" t="n">
        <v>0</v>
      </c>
      <c r="I810" t="n">
        <v>0</v>
      </c>
      <c r="J810" t="n">
        <v>2</v>
      </c>
      <c r="K810" t="n">
        <v>0</v>
      </c>
      <c r="L810" t="n">
        <v>0</v>
      </c>
      <c r="M810" t="n">
        <v>0</v>
      </c>
      <c r="N810" t="n">
        <v>0</v>
      </c>
      <c r="O810" t="n">
        <v>2</v>
      </c>
      <c r="P810" t="n">
        <v>0</v>
      </c>
      <c r="Q810" t="n">
        <v>2</v>
      </c>
      <c r="R810" s="2" t="inlineStr">
        <is>
          <t>Lunglav
Ullticka</t>
        </is>
      </c>
      <c r="S810">
        <f>HYPERLINK("https://klasma.github.io/Logging_2260/artfynd/A 57089-2024 artfynd.xlsx", "A 57089-2024")</f>
        <v/>
      </c>
      <c r="T810">
        <f>HYPERLINK("https://klasma.github.io/Logging_2260/kartor/A 57089-2024 karta.png", "A 57089-2024")</f>
        <v/>
      </c>
      <c r="V810">
        <f>HYPERLINK("https://klasma.github.io/Logging_2260/klagomål/A 57089-2024 FSC-klagomål.docx", "A 57089-2024")</f>
        <v/>
      </c>
      <c r="W810">
        <f>HYPERLINK("https://klasma.github.io/Logging_2260/klagomålsmail/A 57089-2024 FSC-klagomål mail.docx", "A 57089-2024")</f>
        <v/>
      </c>
      <c r="X810">
        <f>HYPERLINK("https://klasma.github.io/Logging_2260/tillsyn/A 57089-2024 tillsynsbegäran.docx", "A 57089-2024")</f>
        <v/>
      </c>
      <c r="Y810">
        <f>HYPERLINK("https://klasma.github.io/Logging_2260/tillsynsmail/A 57089-2024 tillsynsbegäran mail.docx", "A 57089-2024")</f>
        <v/>
      </c>
    </row>
    <row r="811" ht="15" customHeight="1">
      <c r="A811" t="inlineStr">
        <is>
          <t>A 165-2025</t>
        </is>
      </c>
      <c r="B811" s="1" t="n">
        <v>45659</v>
      </c>
      <c r="C811" s="1" t="n">
        <v>46185</v>
      </c>
      <c r="D811" t="inlineStr">
        <is>
          <t>VÄSTERNORRLANDS LÄN</t>
        </is>
      </c>
      <c r="E811" t="inlineStr">
        <is>
          <t>ÅNGE</t>
        </is>
      </c>
      <c r="G811" t="n">
        <v>13.9</v>
      </c>
      <c r="H811" t="n">
        <v>1</v>
      </c>
      <c r="I811" t="n">
        <v>0</v>
      </c>
      <c r="J811" t="n">
        <v>2</v>
      </c>
      <c r="K811" t="n">
        <v>0</v>
      </c>
      <c r="L811" t="n">
        <v>0</v>
      </c>
      <c r="M811" t="n">
        <v>0</v>
      </c>
      <c r="N811" t="n">
        <v>0</v>
      </c>
      <c r="O811" t="n">
        <v>2</v>
      </c>
      <c r="P811" t="n">
        <v>0</v>
      </c>
      <c r="Q811" t="n">
        <v>2</v>
      </c>
      <c r="R811" s="2" t="inlineStr">
        <is>
          <t>Doftskinn
Tretåig hackspett</t>
        </is>
      </c>
      <c r="S811">
        <f>HYPERLINK("https://klasma.github.io/Logging_2260/artfynd/A 165-2025 artfynd.xlsx", "A 165-2025")</f>
        <v/>
      </c>
      <c r="T811">
        <f>HYPERLINK("https://klasma.github.io/Logging_2260/kartor/A 165-2025 karta.png", "A 165-2025")</f>
        <v/>
      </c>
      <c r="V811">
        <f>HYPERLINK("https://klasma.github.io/Logging_2260/klagomål/A 165-2025 FSC-klagomål.docx", "A 165-2025")</f>
        <v/>
      </c>
      <c r="W811">
        <f>HYPERLINK("https://klasma.github.io/Logging_2260/klagomålsmail/A 165-2025 FSC-klagomål mail.docx", "A 165-2025")</f>
        <v/>
      </c>
      <c r="X811">
        <f>HYPERLINK("https://klasma.github.io/Logging_2260/tillsyn/A 165-2025 tillsynsbegäran.docx", "A 165-2025")</f>
        <v/>
      </c>
      <c r="Y811">
        <f>HYPERLINK("https://klasma.github.io/Logging_2260/tillsynsmail/A 165-2025 tillsynsbegäran mail.docx", "A 165-2025")</f>
        <v/>
      </c>
      <c r="Z811">
        <f>HYPERLINK("https://klasma.github.io/Logging_2260/fåglar/A 165-2025 prioriterade fågelarter.docx", "A 165-2025")</f>
        <v/>
      </c>
    </row>
    <row r="812" ht="15" customHeight="1">
      <c r="A812" t="inlineStr">
        <is>
          <t>A 55709-2024</t>
        </is>
      </c>
      <c r="B812" s="1" t="n">
        <v>45622.69840277778</v>
      </c>
      <c r="C812" s="1" t="n">
        <v>46185</v>
      </c>
      <c r="D812" t="inlineStr">
        <is>
          <t>VÄSTERNORRLANDS LÄN</t>
        </is>
      </c>
      <c r="E812" t="inlineStr">
        <is>
          <t>TIMRÅ</t>
        </is>
      </c>
      <c r="F812" t="inlineStr">
        <is>
          <t>SCA</t>
        </is>
      </c>
      <c r="G812" t="n">
        <v>1.8</v>
      </c>
      <c r="H812" t="n">
        <v>0</v>
      </c>
      <c r="I812" t="n">
        <v>1</v>
      </c>
      <c r="J812" t="n">
        <v>1</v>
      </c>
      <c r="K812" t="n">
        <v>0</v>
      </c>
      <c r="L812" t="n">
        <v>0</v>
      </c>
      <c r="M812" t="n">
        <v>0</v>
      </c>
      <c r="N812" t="n">
        <v>0</v>
      </c>
      <c r="O812" t="n">
        <v>1</v>
      </c>
      <c r="P812" t="n">
        <v>0</v>
      </c>
      <c r="Q812" t="n">
        <v>2</v>
      </c>
      <c r="R812" s="2" t="inlineStr">
        <is>
          <t>Lunglav
Skinnlav</t>
        </is>
      </c>
      <c r="S812">
        <f>HYPERLINK("https://klasma.github.io/Logging_2262/artfynd/A 55709-2024 artfynd.xlsx", "A 55709-2024")</f>
        <v/>
      </c>
      <c r="T812">
        <f>HYPERLINK("https://klasma.github.io/Logging_2262/kartor/A 55709-2024 karta.png", "A 55709-2024")</f>
        <v/>
      </c>
      <c r="V812">
        <f>HYPERLINK("https://klasma.github.io/Logging_2262/klagomål/A 55709-2024 FSC-klagomål.docx", "A 55709-2024")</f>
        <v/>
      </c>
      <c r="W812">
        <f>HYPERLINK("https://klasma.github.io/Logging_2262/klagomålsmail/A 55709-2024 FSC-klagomål mail.docx", "A 55709-2024")</f>
        <v/>
      </c>
      <c r="X812">
        <f>HYPERLINK("https://klasma.github.io/Logging_2262/tillsyn/A 55709-2024 tillsynsbegäran.docx", "A 55709-2024")</f>
        <v/>
      </c>
      <c r="Y812">
        <f>HYPERLINK("https://klasma.github.io/Logging_2262/tillsynsmail/A 55709-2024 tillsynsbegäran mail.docx", "A 55709-2024")</f>
        <v/>
      </c>
    </row>
    <row r="813" ht="15" customHeight="1">
      <c r="A813" t="inlineStr">
        <is>
          <t>A 45016-2023</t>
        </is>
      </c>
      <c r="B813" s="1" t="n">
        <v>45190.96188657408</v>
      </c>
      <c r="C813" s="1" t="n">
        <v>46185</v>
      </c>
      <c r="D813" t="inlineStr">
        <is>
          <t>VÄSTERNORRLANDS LÄN</t>
        </is>
      </c>
      <c r="E813" t="inlineStr">
        <is>
          <t>SOLLEFTEÅ</t>
        </is>
      </c>
      <c r="F813" t="inlineStr">
        <is>
          <t>SCA</t>
        </is>
      </c>
      <c r="G813" t="n">
        <v>1.5</v>
      </c>
      <c r="H813" t="n">
        <v>0</v>
      </c>
      <c r="I813" t="n">
        <v>0</v>
      </c>
      <c r="J813" t="n">
        <v>2</v>
      </c>
      <c r="K813" t="n">
        <v>0</v>
      </c>
      <c r="L813" t="n">
        <v>0</v>
      </c>
      <c r="M813" t="n">
        <v>0</v>
      </c>
      <c r="N813" t="n">
        <v>0</v>
      </c>
      <c r="O813" t="n">
        <v>2</v>
      </c>
      <c r="P813" t="n">
        <v>0</v>
      </c>
      <c r="Q813" t="n">
        <v>2</v>
      </c>
      <c r="R813" s="2" t="inlineStr">
        <is>
          <t>Garnlav
Lunglav</t>
        </is>
      </c>
      <c r="S813">
        <f>HYPERLINK("https://klasma.github.io/Logging_2283/artfynd/A 45016-2023 artfynd.xlsx", "A 45016-2023")</f>
        <v/>
      </c>
      <c r="T813">
        <f>HYPERLINK("https://klasma.github.io/Logging_2283/kartor/A 45016-2023 karta.png", "A 45016-2023")</f>
        <v/>
      </c>
      <c r="V813">
        <f>HYPERLINK("https://klasma.github.io/Logging_2283/klagomål/A 45016-2023 FSC-klagomål.docx", "A 45016-2023")</f>
        <v/>
      </c>
      <c r="W813">
        <f>HYPERLINK("https://klasma.github.io/Logging_2283/klagomålsmail/A 45016-2023 FSC-klagomål mail.docx", "A 45016-2023")</f>
        <v/>
      </c>
      <c r="X813">
        <f>HYPERLINK("https://klasma.github.io/Logging_2283/tillsyn/A 45016-2023 tillsynsbegäran.docx", "A 45016-2023")</f>
        <v/>
      </c>
      <c r="Y813">
        <f>HYPERLINK("https://klasma.github.io/Logging_2283/tillsynsmail/A 45016-2023 tillsynsbegäran mail.docx", "A 45016-2023")</f>
        <v/>
      </c>
    </row>
    <row r="814" ht="15" customHeight="1">
      <c r="A814" t="inlineStr">
        <is>
          <t>A 3594-2026</t>
        </is>
      </c>
      <c r="B814" s="1" t="n">
        <v>46042</v>
      </c>
      <c r="C814" s="1" t="n">
        <v>46185</v>
      </c>
      <c r="D814" t="inlineStr">
        <is>
          <t>VÄSTERNORRLANDS LÄN</t>
        </is>
      </c>
      <c r="E814" t="inlineStr">
        <is>
          <t>SUNDSVALL</t>
        </is>
      </c>
      <c r="G814" t="n">
        <v>1.5</v>
      </c>
      <c r="H814" t="n">
        <v>1</v>
      </c>
      <c r="I814" t="n">
        <v>0</v>
      </c>
      <c r="J814" t="n">
        <v>2</v>
      </c>
      <c r="K814" t="n">
        <v>0</v>
      </c>
      <c r="L814" t="n">
        <v>0</v>
      </c>
      <c r="M814" t="n">
        <v>0</v>
      </c>
      <c r="N814" t="n">
        <v>0</v>
      </c>
      <c r="O814" t="n">
        <v>2</v>
      </c>
      <c r="P814" t="n">
        <v>0</v>
      </c>
      <c r="Q814" t="n">
        <v>2</v>
      </c>
      <c r="R814" s="2" t="inlineStr">
        <is>
          <t>Garnlav
Tretåig hackspett</t>
        </is>
      </c>
      <c r="S814">
        <f>HYPERLINK("https://klasma.github.io/Logging_2281/artfynd/A 3594-2026 artfynd.xlsx", "A 3594-2026")</f>
        <v/>
      </c>
      <c r="T814">
        <f>HYPERLINK("https://klasma.github.io/Logging_2281/kartor/A 3594-2026 karta.png", "A 3594-2026")</f>
        <v/>
      </c>
      <c r="V814">
        <f>HYPERLINK("https://klasma.github.io/Logging_2281/klagomål/A 3594-2026 FSC-klagomål.docx", "A 3594-2026")</f>
        <v/>
      </c>
      <c r="W814">
        <f>HYPERLINK("https://klasma.github.io/Logging_2281/klagomålsmail/A 3594-2026 FSC-klagomål mail.docx", "A 3594-2026")</f>
        <v/>
      </c>
      <c r="X814">
        <f>HYPERLINK("https://klasma.github.io/Logging_2281/tillsyn/A 3594-2026 tillsynsbegäran.docx", "A 3594-2026")</f>
        <v/>
      </c>
      <c r="Y814">
        <f>HYPERLINK("https://klasma.github.io/Logging_2281/tillsynsmail/A 3594-2026 tillsynsbegäran mail.docx", "A 3594-2026")</f>
        <v/>
      </c>
      <c r="Z814">
        <f>HYPERLINK("https://klasma.github.io/Logging_2281/fåglar/A 3594-2026 prioriterade fågelarter.docx", "A 3594-2026")</f>
        <v/>
      </c>
    </row>
    <row r="815" ht="15" customHeight="1">
      <c r="A815" t="inlineStr">
        <is>
          <t>A 52350-2022</t>
        </is>
      </c>
      <c r="B815" s="1" t="n">
        <v>44873</v>
      </c>
      <c r="C815" s="1" t="n">
        <v>46185</v>
      </c>
      <c r="D815" t="inlineStr">
        <is>
          <t>VÄSTERNORRLANDS LÄN</t>
        </is>
      </c>
      <c r="E815" t="inlineStr">
        <is>
          <t>SUNDSVALL</t>
        </is>
      </c>
      <c r="F815" t="inlineStr">
        <is>
          <t>SCA</t>
        </is>
      </c>
      <c r="G815" t="n">
        <v>4.4</v>
      </c>
      <c r="H815" t="n">
        <v>0</v>
      </c>
      <c r="I815" t="n">
        <v>0</v>
      </c>
      <c r="J815" t="n">
        <v>2</v>
      </c>
      <c r="K815" t="n">
        <v>0</v>
      </c>
      <c r="L815" t="n">
        <v>0</v>
      </c>
      <c r="M815" t="n">
        <v>0</v>
      </c>
      <c r="N815" t="n">
        <v>0</v>
      </c>
      <c r="O815" t="n">
        <v>2</v>
      </c>
      <c r="P815" t="n">
        <v>0</v>
      </c>
      <c r="Q815" t="n">
        <v>2</v>
      </c>
      <c r="R815" s="2" t="inlineStr">
        <is>
          <t>Lunglav
Ullticka</t>
        </is>
      </c>
      <c r="S815">
        <f>HYPERLINK("https://klasma.github.io/Logging_2281/artfynd/A 52350-2022 artfynd.xlsx", "A 52350-2022")</f>
        <v/>
      </c>
      <c r="T815">
        <f>HYPERLINK("https://klasma.github.io/Logging_2281/kartor/A 52350-2022 karta.png", "A 52350-2022")</f>
        <v/>
      </c>
      <c r="V815">
        <f>HYPERLINK("https://klasma.github.io/Logging_2281/klagomål/A 52350-2022 FSC-klagomål.docx", "A 52350-2022")</f>
        <v/>
      </c>
      <c r="W815">
        <f>HYPERLINK("https://klasma.github.io/Logging_2281/klagomålsmail/A 52350-2022 FSC-klagomål mail.docx", "A 52350-2022")</f>
        <v/>
      </c>
      <c r="X815">
        <f>HYPERLINK("https://klasma.github.io/Logging_2281/tillsyn/A 52350-2022 tillsynsbegäran.docx", "A 52350-2022")</f>
        <v/>
      </c>
      <c r="Y815">
        <f>HYPERLINK("https://klasma.github.io/Logging_2281/tillsynsmail/A 52350-2022 tillsynsbegäran mail.docx", "A 52350-2022")</f>
        <v/>
      </c>
    </row>
    <row r="816" ht="15" customHeight="1">
      <c r="A816" t="inlineStr">
        <is>
          <t>A 19637-2026</t>
        </is>
      </c>
      <c r="B816" s="1" t="n">
        <v>46134.5735300926</v>
      </c>
      <c r="C816" s="1" t="n">
        <v>46185</v>
      </c>
      <c r="D816" t="inlineStr">
        <is>
          <t>VÄSTERNORRLANDS LÄN</t>
        </is>
      </c>
      <c r="E816" t="inlineStr">
        <is>
          <t>SUNDSVALL</t>
        </is>
      </c>
      <c r="F816" t="inlineStr">
        <is>
          <t>SCA</t>
        </is>
      </c>
      <c r="G816" t="n">
        <v>1</v>
      </c>
      <c r="H816" t="n">
        <v>0</v>
      </c>
      <c r="I816" t="n">
        <v>0</v>
      </c>
      <c r="J816" t="n">
        <v>2</v>
      </c>
      <c r="K816" t="n">
        <v>0</v>
      </c>
      <c r="L816" t="n">
        <v>0</v>
      </c>
      <c r="M816" t="n">
        <v>0</v>
      </c>
      <c r="N816" t="n">
        <v>0</v>
      </c>
      <c r="O816" t="n">
        <v>2</v>
      </c>
      <c r="P816" t="n">
        <v>0</v>
      </c>
      <c r="Q816" t="n">
        <v>2</v>
      </c>
      <c r="R816" s="2" t="inlineStr">
        <is>
          <t>Stjärntagging
Ullticka</t>
        </is>
      </c>
      <c r="S816">
        <f>HYPERLINK("https://klasma.github.io/Logging_2281/artfynd/A 19637-2026 artfynd.xlsx", "A 19637-2026")</f>
        <v/>
      </c>
      <c r="T816">
        <f>HYPERLINK("https://klasma.github.io/Logging_2281/kartor/A 19637-2026 karta.png", "A 19637-2026")</f>
        <v/>
      </c>
      <c r="U816">
        <f>HYPERLINK("https://klasma.github.io/Logging_2281/knärot/A 19637-2026 karta knärot.png", "A 19637-2026")</f>
        <v/>
      </c>
      <c r="V816">
        <f>HYPERLINK("https://klasma.github.io/Logging_2281/klagomål/A 19637-2026 FSC-klagomål.docx", "A 19637-2026")</f>
        <v/>
      </c>
      <c r="W816">
        <f>HYPERLINK("https://klasma.github.io/Logging_2281/klagomålsmail/A 19637-2026 FSC-klagomål mail.docx", "A 19637-2026")</f>
        <v/>
      </c>
      <c r="X816">
        <f>HYPERLINK("https://klasma.github.io/Logging_2281/tillsyn/A 19637-2026 tillsynsbegäran.docx", "A 19637-2026")</f>
        <v/>
      </c>
      <c r="Y816">
        <f>HYPERLINK("https://klasma.github.io/Logging_2281/tillsynsmail/A 19637-2026 tillsynsbegäran mail.docx", "A 19637-2026")</f>
        <v/>
      </c>
    </row>
    <row r="817" ht="15" customHeight="1">
      <c r="A817" t="inlineStr">
        <is>
          <t>A 19546-2026</t>
        </is>
      </c>
      <c r="B817" s="1" t="n">
        <v>46134.3858912037</v>
      </c>
      <c r="C817" s="1" t="n">
        <v>46185</v>
      </c>
      <c r="D817" t="inlineStr">
        <is>
          <t>VÄSTERNORRLANDS LÄN</t>
        </is>
      </c>
      <c r="E817" t="inlineStr">
        <is>
          <t>SUNDSVALL</t>
        </is>
      </c>
      <c r="F817" t="inlineStr">
        <is>
          <t>SCA</t>
        </is>
      </c>
      <c r="G817" t="n">
        <v>0.9</v>
      </c>
      <c r="H817" t="n">
        <v>1</v>
      </c>
      <c r="I817" t="n">
        <v>0</v>
      </c>
      <c r="J817" t="n">
        <v>1</v>
      </c>
      <c r="K817" t="n">
        <v>0</v>
      </c>
      <c r="L817" t="n">
        <v>0</v>
      </c>
      <c r="M817" t="n">
        <v>0</v>
      </c>
      <c r="N817" t="n">
        <v>0</v>
      </c>
      <c r="O817" t="n">
        <v>1</v>
      </c>
      <c r="P817" t="n">
        <v>0</v>
      </c>
      <c r="Q817" t="n">
        <v>2</v>
      </c>
      <c r="R817" s="2" t="inlineStr">
        <is>
          <t>Granticka
Blåsippa</t>
        </is>
      </c>
      <c r="S817">
        <f>HYPERLINK("https://klasma.github.io/Logging_2281/artfynd/A 19546-2026 artfynd.xlsx", "A 19546-2026")</f>
        <v/>
      </c>
      <c r="T817">
        <f>HYPERLINK("https://klasma.github.io/Logging_2281/kartor/A 19546-2026 karta.png", "A 19546-2026")</f>
        <v/>
      </c>
      <c r="U817">
        <f>HYPERLINK("https://klasma.github.io/Logging_2281/knärot/A 19546-2026 karta knärot.png", "A 19546-2026")</f>
        <v/>
      </c>
      <c r="V817">
        <f>HYPERLINK("https://klasma.github.io/Logging_2281/klagomål/A 19546-2026 FSC-klagomål.docx", "A 19546-2026")</f>
        <v/>
      </c>
      <c r="W817">
        <f>HYPERLINK("https://klasma.github.io/Logging_2281/klagomålsmail/A 19546-2026 FSC-klagomål mail.docx", "A 19546-2026")</f>
        <v/>
      </c>
      <c r="X817">
        <f>HYPERLINK("https://klasma.github.io/Logging_2281/tillsyn/A 19546-2026 tillsynsbegäran.docx", "A 19546-2026")</f>
        <v/>
      </c>
      <c r="Y817">
        <f>HYPERLINK("https://klasma.github.io/Logging_2281/tillsynsmail/A 19546-2026 tillsynsbegäran mail.docx", "A 19546-2026")</f>
        <v/>
      </c>
    </row>
    <row r="818" ht="15" customHeight="1">
      <c r="A818" t="inlineStr">
        <is>
          <t>A 31493-2024</t>
        </is>
      </c>
      <c r="B818" s="1" t="n">
        <v>45505</v>
      </c>
      <c r="C818" s="1" t="n">
        <v>46185</v>
      </c>
      <c r="D818" t="inlineStr">
        <is>
          <t>VÄSTERNORRLANDS LÄN</t>
        </is>
      </c>
      <c r="E818" t="inlineStr">
        <is>
          <t>ÅNGE</t>
        </is>
      </c>
      <c r="F818" t="inlineStr">
        <is>
          <t>SCA</t>
        </is>
      </c>
      <c r="G818" t="n">
        <v>4.4</v>
      </c>
      <c r="H818" t="n">
        <v>1</v>
      </c>
      <c r="I818" t="n">
        <v>1</v>
      </c>
      <c r="J818" t="n">
        <v>0</v>
      </c>
      <c r="K818" t="n">
        <v>1</v>
      </c>
      <c r="L818" t="n">
        <v>0</v>
      </c>
      <c r="M818" t="n">
        <v>0</v>
      </c>
      <c r="N818" t="n">
        <v>0</v>
      </c>
      <c r="O818" t="n">
        <v>1</v>
      </c>
      <c r="P818" t="n">
        <v>1</v>
      </c>
      <c r="Q818" t="n">
        <v>2</v>
      </c>
      <c r="R818" s="2" t="inlineStr">
        <is>
          <t>Knärot
Korallblylav</t>
        </is>
      </c>
      <c r="S818">
        <f>HYPERLINK("https://klasma.github.io/Logging_2260/artfynd/A 31493-2024 artfynd.xlsx", "A 31493-2024")</f>
        <v/>
      </c>
      <c r="T818">
        <f>HYPERLINK("https://klasma.github.io/Logging_2260/kartor/A 31493-2024 karta.png", "A 31493-2024")</f>
        <v/>
      </c>
      <c r="U818">
        <f>HYPERLINK("https://klasma.github.io/Logging_2260/knärot/A 31493-2024 karta knärot.png", "A 31493-2024")</f>
        <v/>
      </c>
      <c r="V818">
        <f>HYPERLINK("https://klasma.github.io/Logging_2260/klagomål/A 31493-2024 FSC-klagomål.docx", "A 31493-2024")</f>
        <v/>
      </c>
      <c r="W818">
        <f>HYPERLINK("https://klasma.github.io/Logging_2260/klagomålsmail/A 31493-2024 FSC-klagomål mail.docx", "A 31493-2024")</f>
        <v/>
      </c>
      <c r="X818">
        <f>HYPERLINK("https://klasma.github.io/Logging_2260/tillsyn/A 31493-2024 tillsynsbegäran.docx", "A 31493-2024")</f>
        <v/>
      </c>
      <c r="Y818">
        <f>HYPERLINK("https://klasma.github.io/Logging_2260/tillsynsmail/A 31493-2024 tillsynsbegäran mail.docx", "A 31493-2024")</f>
        <v/>
      </c>
    </row>
    <row r="819" ht="15" customHeight="1">
      <c r="A819" t="inlineStr">
        <is>
          <t>A 20771-2026</t>
        </is>
      </c>
      <c r="B819" s="1" t="n">
        <v>46141</v>
      </c>
      <c r="C819" s="1" t="n">
        <v>46185</v>
      </c>
      <c r="D819" t="inlineStr">
        <is>
          <t>VÄSTERNORRLANDS LÄN</t>
        </is>
      </c>
      <c r="E819" t="inlineStr">
        <is>
          <t>HÄRNÖSAND</t>
        </is>
      </c>
      <c r="G819" t="n">
        <v>1</v>
      </c>
      <c r="H819" t="n">
        <v>2</v>
      </c>
      <c r="I819" t="n">
        <v>0</v>
      </c>
      <c r="J819" t="n">
        <v>1</v>
      </c>
      <c r="K819" t="n">
        <v>0</v>
      </c>
      <c r="L819" t="n">
        <v>0</v>
      </c>
      <c r="M819" t="n">
        <v>0</v>
      </c>
      <c r="N819" t="n">
        <v>0</v>
      </c>
      <c r="O819" t="n">
        <v>1</v>
      </c>
      <c r="P819" t="n">
        <v>0</v>
      </c>
      <c r="Q819" t="n">
        <v>2</v>
      </c>
      <c r="R819" s="2" t="inlineStr">
        <is>
          <t>Nordfladdermus
Tajgafladdermus</t>
        </is>
      </c>
      <c r="S819">
        <f>HYPERLINK("https://klasma.github.io/Logging_2280/artfynd/A 20771-2026 artfynd.xlsx", "A 20771-2026")</f>
        <v/>
      </c>
      <c r="T819">
        <f>HYPERLINK("https://klasma.github.io/Logging_2280/kartor/A 20771-2026 karta.png", "A 20771-2026")</f>
        <v/>
      </c>
      <c r="V819">
        <f>HYPERLINK("https://klasma.github.io/Logging_2280/klagomål/A 20771-2026 FSC-klagomål.docx", "A 20771-2026")</f>
        <v/>
      </c>
      <c r="W819">
        <f>HYPERLINK("https://klasma.github.io/Logging_2280/klagomålsmail/A 20771-2026 FSC-klagomål mail.docx", "A 20771-2026")</f>
        <v/>
      </c>
      <c r="X819">
        <f>HYPERLINK("https://klasma.github.io/Logging_2280/tillsyn/A 20771-2026 tillsynsbegäran.docx", "A 20771-2026")</f>
        <v/>
      </c>
      <c r="Y819">
        <f>HYPERLINK("https://klasma.github.io/Logging_2280/tillsynsmail/A 20771-2026 tillsynsbegäran mail.docx", "A 20771-2026")</f>
        <v/>
      </c>
    </row>
    <row r="820" ht="15" customHeight="1">
      <c r="A820" t="inlineStr">
        <is>
          <t>A 58070-2022</t>
        </is>
      </c>
      <c r="B820" s="1" t="n">
        <v>44893</v>
      </c>
      <c r="C820" s="1" t="n">
        <v>46185</v>
      </c>
      <c r="D820" t="inlineStr">
        <is>
          <t>VÄSTERNORRLANDS LÄN</t>
        </is>
      </c>
      <c r="E820" t="inlineStr">
        <is>
          <t>ÖRNSKÖLDSVIK</t>
        </is>
      </c>
      <c r="G820" t="n">
        <v>3.1</v>
      </c>
      <c r="H820" t="n">
        <v>1</v>
      </c>
      <c r="I820" t="n">
        <v>1</v>
      </c>
      <c r="J820" t="n">
        <v>1</v>
      </c>
      <c r="K820" t="n">
        <v>0</v>
      </c>
      <c r="L820" t="n">
        <v>0</v>
      </c>
      <c r="M820" t="n">
        <v>0</v>
      </c>
      <c r="N820" t="n">
        <v>0</v>
      </c>
      <c r="O820" t="n">
        <v>1</v>
      </c>
      <c r="P820" t="n">
        <v>0</v>
      </c>
      <c r="Q820" t="n">
        <v>2</v>
      </c>
      <c r="R820" s="2" t="inlineStr">
        <is>
          <t>Ärtsångare
Dropptaggsvamp</t>
        </is>
      </c>
      <c r="S820">
        <f>HYPERLINK("https://klasma.github.io/Logging_2284/artfynd/A 58070-2022 artfynd.xlsx", "A 58070-2022")</f>
        <v/>
      </c>
      <c r="T820">
        <f>HYPERLINK("https://klasma.github.io/Logging_2284/kartor/A 58070-2022 karta.png", "A 58070-2022")</f>
        <v/>
      </c>
      <c r="V820">
        <f>HYPERLINK("https://klasma.github.io/Logging_2284/klagomål/A 58070-2022 FSC-klagomål.docx", "A 58070-2022")</f>
        <v/>
      </c>
      <c r="W820">
        <f>HYPERLINK("https://klasma.github.io/Logging_2284/klagomålsmail/A 58070-2022 FSC-klagomål mail.docx", "A 58070-2022")</f>
        <v/>
      </c>
      <c r="X820">
        <f>HYPERLINK("https://klasma.github.io/Logging_2284/tillsyn/A 58070-2022 tillsynsbegäran.docx", "A 58070-2022")</f>
        <v/>
      </c>
      <c r="Y820">
        <f>HYPERLINK("https://klasma.github.io/Logging_2284/tillsynsmail/A 58070-2022 tillsynsbegäran mail.docx", "A 58070-2022")</f>
        <v/>
      </c>
      <c r="Z820">
        <f>HYPERLINK("https://klasma.github.io/Logging_2284/fåglar/A 58070-2022 prioriterade fågelarter.docx", "A 58070-2022")</f>
        <v/>
      </c>
    </row>
    <row r="821" ht="15" customHeight="1">
      <c r="A821" t="inlineStr">
        <is>
          <t>A 54486-2024</t>
        </is>
      </c>
      <c r="B821" s="1" t="n">
        <v>45617</v>
      </c>
      <c r="C821" s="1" t="n">
        <v>46185</v>
      </c>
      <c r="D821" t="inlineStr">
        <is>
          <t>VÄSTERNORRLANDS LÄN</t>
        </is>
      </c>
      <c r="E821" t="inlineStr">
        <is>
          <t>SOLLEFTEÅ</t>
        </is>
      </c>
      <c r="G821" t="n">
        <v>18.3</v>
      </c>
      <c r="H821" t="n">
        <v>2</v>
      </c>
      <c r="I821" t="n">
        <v>1</v>
      </c>
      <c r="J821" t="n">
        <v>0</v>
      </c>
      <c r="K821" t="n">
        <v>0</v>
      </c>
      <c r="L821" t="n">
        <v>0</v>
      </c>
      <c r="M821" t="n">
        <v>0</v>
      </c>
      <c r="N821" t="n">
        <v>0</v>
      </c>
      <c r="O821" t="n">
        <v>0</v>
      </c>
      <c r="P821" t="n">
        <v>0</v>
      </c>
      <c r="Q821" t="n">
        <v>2</v>
      </c>
      <c r="R821" s="2" t="inlineStr">
        <is>
          <t>Tvåblad
Ängsnycklar</t>
        </is>
      </c>
      <c r="S821">
        <f>HYPERLINK("https://klasma.github.io/Logging_2283/artfynd/A 54486-2024 artfynd.xlsx", "A 54486-2024")</f>
        <v/>
      </c>
      <c r="T821">
        <f>HYPERLINK("https://klasma.github.io/Logging_2283/kartor/A 54486-2024 karta.png", "A 54486-2024")</f>
        <v/>
      </c>
      <c r="V821">
        <f>HYPERLINK("https://klasma.github.io/Logging_2283/klagomål/A 54486-2024 FSC-klagomål.docx", "A 54486-2024")</f>
        <v/>
      </c>
      <c r="W821">
        <f>HYPERLINK("https://klasma.github.io/Logging_2283/klagomålsmail/A 54486-2024 FSC-klagomål mail.docx", "A 54486-2024")</f>
        <v/>
      </c>
      <c r="X821">
        <f>HYPERLINK("https://klasma.github.io/Logging_2283/tillsyn/A 54486-2024 tillsynsbegäran.docx", "A 54486-2024")</f>
        <v/>
      </c>
      <c r="Y821">
        <f>HYPERLINK("https://klasma.github.io/Logging_2283/tillsynsmail/A 54486-2024 tillsynsbegäran mail.docx", "A 54486-2024")</f>
        <v/>
      </c>
    </row>
    <row r="822" ht="15" customHeight="1">
      <c r="A822" t="inlineStr">
        <is>
          <t>A 18399-2025</t>
        </is>
      </c>
      <c r="B822" s="1" t="n">
        <v>45762.595</v>
      </c>
      <c r="C822" s="1" t="n">
        <v>46185</v>
      </c>
      <c r="D822" t="inlineStr">
        <is>
          <t>VÄSTERNORRLANDS LÄN</t>
        </is>
      </c>
      <c r="E822" t="inlineStr">
        <is>
          <t>TIMRÅ</t>
        </is>
      </c>
      <c r="G822" t="n">
        <v>1.8</v>
      </c>
      <c r="H822" t="n">
        <v>1</v>
      </c>
      <c r="I822" t="n">
        <v>0</v>
      </c>
      <c r="J822" t="n">
        <v>1</v>
      </c>
      <c r="K822" t="n">
        <v>0</v>
      </c>
      <c r="L822" t="n">
        <v>0</v>
      </c>
      <c r="M822" t="n">
        <v>0</v>
      </c>
      <c r="N822" t="n">
        <v>0</v>
      </c>
      <c r="O822" t="n">
        <v>1</v>
      </c>
      <c r="P822" t="n">
        <v>0</v>
      </c>
      <c r="Q822" t="n">
        <v>2</v>
      </c>
      <c r="R822" s="2" t="inlineStr">
        <is>
          <t>Slåtterfibbla
Kopparödla</t>
        </is>
      </c>
      <c r="S822">
        <f>HYPERLINK("https://klasma.github.io/Logging_2262/artfynd/A 18399-2025 artfynd.xlsx", "A 18399-2025")</f>
        <v/>
      </c>
      <c r="T822">
        <f>HYPERLINK("https://klasma.github.io/Logging_2262/kartor/A 18399-2025 karta.png", "A 18399-2025")</f>
        <v/>
      </c>
      <c r="V822">
        <f>HYPERLINK("https://klasma.github.io/Logging_2262/klagomål/A 18399-2025 FSC-klagomål.docx", "A 18399-2025")</f>
        <v/>
      </c>
      <c r="W822">
        <f>HYPERLINK("https://klasma.github.io/Logging_2262/klagomålsmail/A 18399-2025 FSC-klagomål mail.docx", "A 18399-2025")</f>
        <v/>
      </c>
      <c r="X822">
        <f>HYPERLINK("https://klasma.github.io/Logging_2262/tillsyn/A 18399-2025 tillsynsbegäran.docx", "A 18399-2025")</f>
        <v/>
      </c>
      <c r="Y822">
        <f>HYPERLINK("https://klasma.github.io/Logging_2262/tillsynsmail/A 18399-2025 tillsynsbegäran mail.docx", "A 18399-2025")</f>
        <v/>
      </c>
    </row>
    <row r="823" ht="15" customHeight="1">
      <c r="A823" t="inlineStr">
        <is>
          <t>A 42864-2025</t>
        </is>
      </c>
      <c r="B823" s="1" t="n">
        <v>45908</v>
      </c>
      <c r="C823" s="1" t="n">
        <v>46185</v>
      </c>
      <c r="D823" t="inlineStr">
        <is>
          <t>VÄSTERNORRLANDS LÄN</t>
        </is>
      </c>
      <c r="E823" t="inlineStr">
        <is>
          <t>ÅNGE</t>
        </is>
      </c>
      <c r="G823" t="n">
        <v>2.9</v>
      </c>
      <c r="H823" t="n">
        <v>0</v>
      </c>
      <c r="I823" t="n">
        <v>0</v>
      </c>
      <c r="J823" t="n">
        <v>2</v>
      </c>
      <c r="K823" t="n">
        <v>0</v>
      </c>
      <c r="L823" t="n">
        <v>0</v>
      </c>
      <c r="M823" t="n">
        <v>0</v>
      </c>
      <c r="N823" t="n">
        <v>0</v>
      </c>
      <c r="O823" t="n">
        <v>2</v>
      </c>
      <c r="P823" t="n">
        <v>0</v>
      </c>
      <c r="Q823" t="n">
        <v>2</v>
      </c>
      <c r="R823" s="2" t="inlineStr">
        <is>
          <t>Mörk kolflarnlav
Vedflamlav</t>
        </is>
      </c>
      <c r="S823">
        <f>HYPERLINK("https://klasma.github.io/Logging_2260/artfynd/A 42864-2025 artfynd.xlsx", "A 42864-2025")</f>
        <v/>
      </c>
      <c r="T823">
        <f>HYPERLINK("https://klasma.github.io/Logging_2260/kartor/A 42864-2025 karta.png", "A 42864-2025")</f>
        <v/>
      </c>
      <c r="V823">
        <f>HYPERLINK("https://klasma.github.io/Logging_2260/klagomål/A 42864-2025 FSC-klagomål.docx", "A 42864-2025")</f>
        <v/>
      </c>
      <c r="W823">
        <f>HYPERLINK("https://klasma.github.io/Logging_2260/klagomålsmail/A 42864-2025 FSC-klagomål mail.docx", "A 42864-2025")</f>
        <v/>
      </c>
      <c r="X823">
        <f>HYPERLINK("https://klasma.github.io/Logging_2260/tillsyn/A 42864-2025 tillsynsbegäran.docx", "A 42864-2025")</f>
        <v/>
      </c>
      <c r="Y823">
        <f>HYPERLINK("https://klasma.github.io/Logging_2260/tillsynsmail/A 42864-2025 tillsynsbegäran mail.docx", "A 42864-2025")</f>
        <v/>
      </c>
    </row>
    <row r="824" ht="15" customHeight="1">
      <c r="A824" t="inlineStr">
        <is>
          <t>A 17861-2023</t>
        </is>
      </c>
      <c r="B824" s="1" t="n">
        <v>45037.94171296297</v>
      </c>
      <c r="C824" s="1" t="n">
        <v>46185</v>
      </c>
      <c r="D824" t="inlineStr">
        <is>
          <t>VÄSTERNORRLANDS LÄN</t>
        </is>
      </c>
      <c r="E824" t="inlineStr">
        <is>
          <t>ÅNGE</t>
        </is>
      </c>
      <c r="F824" t="inlineStr">
        <is>
          <t>SCA</t>
        </is>
      </c>
      <c r="G824" t="n">
        <v>1.1</v>
      </c>
      <c r="H824" t="n">
        <v>0</v>
      </c>
      <c r="I824" t="n">
        <v>1</v>
      </c>
      <c r="J824" t="n">
        <v>1</v>
      </c>
      <c r="K824" t="n">
        <v>0</v>
      </c>
      <c r="L824" t="n">
        <v>0</v>
      </c>
      <c r="M824" t="n">
        <v>0</v>
      </c>
      <c r="N824" t="n">
        <v>0</v>
      </c>
      <c r="O824" t="n">
        <v>1</v>
      </c>
      <c r="P824" t="n">
        <v>0</v>
      </c>
      <c r="Q824" t="n">
        <v>2</v>
      </c>
      <c r="R824" s="2" t="inlineStr">
        <is>
          <t>Skrovlig taggsvamp
Dropptaggsvamp</t>
        </is>
      </c>
      <c r="S824">
        <f>HYPERLINK("https://klasma.github.io/Logging_2260/artfynd/A 17861-2023 artfynd.xlsx", "A 17861-2023")</f>
        <v/>
      </c>
      <c r="T824">
        <f>HYPERLINK("https://klasma.github.io/Logging_2260/kartor/A 17861-2023 karta.png", "A 17861-2023")</f>
        <v/>
      </c>
      <c r="V824">
        <f>HYPERLINK("https://klasma.github.io/Logging_2260/klagomål/A 17861-2023 FSC-klagomål.docx", "A 17861-2023")</f>
        <v/>
      </c>
      <c r="W824">
        <f>HYPERLINK("https://klasma.github.io/Logging_2260/klagomålsmail/A 17861-2023 FSC-klagomål mail.docx", "A 17861-2023")</f>
        <v/>
      </c>
      <c r="X824">
        <f>HYPERLINK("https://klasma.github.io/Logging_2260/tillsyn/A 17861-2023 tillsynsbegäran.docx", "A 17861-2023")</f>
        <v/>
      </c>
      <c r="Y824">
        <f>HYPERLINK("https://klasma.github.io/Logging_2260/tillsynsmail/A 17861-2023 tillsynsbegäran mail.docx", "A 17861-2023")</f>
        <v/>
      </c>
    </row>
    <row r="825" ht="15" customHeight="1">
      <c r="A825" t="inlineStr">
        <is>
          <t>A 26086-2026</t>
        </is>
      </c>
      <c r="B825" s="1" t="n">
        <v>46181</v>
      </c>
      <c r="C825" s="1" t="n">
        <v>46185</v>
      </c>
      <c r="D825" t="inlineStr">
        <is>
          <t>VÄSTERNORRLANDS LÄN</t>
        </is>
      </c>
      <c r="E825" t="inlineStr">
        <is>
          <t>KRAMFORS</t>
        </is>
      </c>
      <c r="G825" t="n">
        <v>3.2</v>
      </c>
      <c r="H825" t="n">
        <v>1</v>
      </c>
      <c r="I825" t="n">
        <v>1</v>
      </c>
      <c r="J825" t="n">
        <v>0</v>
      </c>
      <c r="K825" t="n">
        <v>0</v>
      </c>
      <c r="L825" t="n">
        <v>0</v>
      </c>
      <c r="M825" t="n">
        <v>0</v>
      </c>
      <c r="N825" t="n">
        <v>0</v>
      </c>
      <c r="O825" t="n">
        <v>0</v>
      </c>
      <c r="P825" t="n">
        <v>0</v>
      </c>
      <c r="Q825" t="n">
        <v>2</v>
      </c>
      <c r="R825" s="2" t="inlineStr">
        <is>
          <t>Vedticka
Revlummer</t>
        </is>
      </c>
      <c r="S825">
        <f>HYPERLINK("https://klasma.github.io/Logging_2282/artfynd/A 26086-2026 artfynd.xlsx", "A 26086-2026")</f>
        <v/>
      </c>
      <c r="T825">
        <f>HYPERLINK("https://klasma.github.io/Logging_2282/kartor/A 26086-2026 karta.png", "A 26086-2026")</f>
        <v/>
      </c>
      <c r="U825">
        <f>HYPERLINK("https://klasma.github.io/Logging_2282/knärot/A 26086-2026 karta knärot.png", "A 26086-2026")</f>
        <v/>
      </c>
      <c r="V825">
        <f>HYPERLINK("https://klasma.github.io/Logging_2282/klagomål/A 26086-2026 FSC-klagomål.docx", "A 26086-2026")</f>
        <v/>
      </c>
      <c r="W825">
        <f>HYPERLINK("https://klasma.github.io/Logging_2282/klagomålsmail/A 26086-2026 FSC-klagomål mail.docx", "A 26086-2026")</f>
        <v/>
      </c>
      <c r="X825">
        <f>HYPERLINK("https://klasma.github.io/Logging_2282/tillsyn/A 26086-2026 tillsynsbegäran.docx", "A 26086-2026")</f>
        <v/>
      </c>
      <c r="Y825">
        <f>HYPERLINK("https://klasma.github.io/Logging_2282/tillsynsmail/A 26086-2026 tillsynsbegäran mail.docx", "A 26086-2026")</f>
        <v/>
      </c>
    </row>
    <row r="826" ht="15" customHeight="1">
      <c r="A826" t="inlineStr">
        <is>
          <t>A 7108-2024</t>
        </is>
      </c>
      <c r="B826" s="1" t="n">
        <v>45343</v>
      </c>
      <c r="C826" s="1" t="n">
        <v>46185</v>
      </c>
      <c r="D826" t="inlineStr">
        <is>
          <t>VÄSTERNORRLANDS LÄN</t>
        </is>
      </c>
      <c r="E826" t="inlineStr">
        <is>
          <t>SOLLEFTEÅ</t>
        </is>
      </c>
      <c r="F826" t="inlineStr">
        <is>
          <t>SCA</t>
        </is>
      </c>
      <c r="G826" t="n">
        <v>3.8</v>
      </c>
      <c r="H826" t="n">
        <v>2</v>
      </c>
      <c r="I826" t="n">
        <v>0</v>
      </c>
      <c r="J826" t="n">
        <v>1</v>
      </c>
      <c r="K826" t="n">
        <v>0</v>
      </c>
      <c r="L826" t="n">
        <v>0</v>
      </c>
      <c r="M826" t="n">
        <v>0</v>
      </c>
      <c r="N826" t="n">
        <v>0</v>
      </c>
      <c r="O826" t="n">
        <v>1</v>
      </c>
      <c r="P826" t="n">
        <v>0</v>
      </c>
      <c r="Q826" t="n">
        <v>2</v>
      </c>
      <c r="R826" s="2" t="inlineStr">
        <is>
          <t>Nordfladdermus
Vattenfladdermus</t>
        </is>
      </c>
      <c r="S826">
        <f>HYPERLINK("https://klasma.github.io/Logging_2283/artfynd/A 7108-2024 artfynd.xlsx", "A 7108-2024")</f>
        <v/>
      </c>
      <c r="T826">
        <f>HYPERLINK("https://klasma.github.io/Logging_2283/kartor/A 7108-2024 karta.png", "A 7108-2024")</f>
        <v/>
      </c>
      <c r="V826">
        <f>HYPERLINK("https://klasma.github.io/Logging_2283/klagomål/A 7108-2024 FSC-klagomål.docx", "A 7108-2024")</f>
        <v/>
      </c>
      <c r="W826">
        <f>HYPERLINK("https://klasma.github.io/Logging_2283/klagomålsmail/A 7108-2024 FSC-klagomål mail.docx", "A 7108-2024")</f>
        <v/>
      </c>
      <c r="X826">
        <f>HYPERLINK("https://klasma.github.io/Logging_2283/tillsyn/A 7108-2024 tillsynsbegäran.docx", "A 7108-2024")</f>
        <v/>
      </c>
      <c r="Y826">
        <f>HYPERLINK("https://klasma.github.io/Logging_2283/tillsynsmail/A 7108-2024 tillsynsbegäran mail.docx", "A 7108-2024")</f>
        <v/>
      </c>
    </row>
    <row r="827" ht="15" customHeight="1">
      <c r="A827" t="inlineStr">
        <is>
          <t>A 62861-2021</t>
        </is>
      </c>
      <c r="B827" s="1" t="n">
        <v>44503</v>
      </c>
      <c r="C827" s="1" t="n">
        <v>46185</v>
      </c>
      <c r="D827" t="inlineStr">
        <is>
          <t>VÄSTERNORRLANDS LÄN</t>
        </is>
      </c>
      <c r="E827" t="inlineStr">
        <is>
          <t>ÅNGE</t>
        </is>
      </c>
      <c r="F827" t="inlineStr">
        <is>
          <t>Övriga statliga verk och myndigheter</t>
        </is>
      </c>
      <c r="G827" t="n">
        <v>12.1</v>
      </c>
      <c r="H827" t="n">
        <v>1</v>
      </c>
      <c r="I827" t="n">
        <v>0</v>
      </c>
      <c r="J827" t="n">
        <v>1</v>
      </c>
      <c r="K827" t="n">
        <v>1</v>
      </c>
      <c r="L827" t="n">
        <v>0</v>
      </c>
      <c r="M827" t="n">
        <v>0</v>
      </c>
      <c r="N827" t="n">
        <v>0</v>
      </c>
      <c r="O827" t="n">
        <v>2</v>
      </c>
      <c r="P827" t="n">
        <v>1</v>
      </c>
      <c r="Q827" t="n">
        <v>2</v>
      </c>
      <c r="R827" s="2" t="inlineStr">
        <is>
          <t>Knärot
Rosenticka</t>
        </is>
      </c>
      <c r="S827">
        <f>HYPERLINK("https://klasma.github.io/Logging_2260/artfynd/A 62861-2021 artfynd.xlsx", "A 62861-2021")</f>
        <v/>
      </c>
      <c r="T827">
        <f>HYPERLINK("https://klasma.github.io/Logging_2260/kartor/A 62861-2021 karta.png", "A 62861-2021")</f>
        <v/>
      </c>
      <c r="U827">
        <f>HYPERLINK("https://klasma.github.io/Logging_2260/knärot/A 62861-2021 karta knärot.png", "A 62861-2021")</f>
        <v/>
      </c>
      <c r="V827">
        <f>HYPERLINK("https://klasma.github.io/Logging_2260/klagomål/A 62861-2021 FSC-klagomål.docx", "A 62861-2021")</f>
        <v/>
      </c>
      <c r="W827">
        <f>HYPERLINK("https://klasma.github.io/Logging_2260/klagomålsmail/A 62861-2021 FSC-klagomål mail.docx", "A 62861-2021")</f>
        <v/>
      </c>
      <c r="X827">
        <f>HYPERLINK("https://klasma.github.io/Logging_2260/tillsyn/A 62861-2021 tillsynsbegäran.docx", "A 62861-2021")</f>
        <v/>
      </c>
      <c r="Y827">
        <f>HYPERLINK("https://klasma.github.io/Logging_2260/tillsynsmail/A 62861-2021 tillsynsbegäran mail.docx", "A 62861-2021")</f>
        <v/>
      </c>
    </row>
    <row r="828" ht="15" customHeight="1">
      <c r="A828" t="inlineStr">
        <is>
          <t>A 55178-2024</t>
        </is>
      </c>
      <c r="B828" s="1" t="n">
        <v>45621</v>
      </c>
      <c r="C828" s="1" t="n">
        <v>46185</v>
      </c>
      <c r="D828" t="inlineStr">
        <is>
          <t>VÄSTERNORRLANDS LÄN</t>
        </is>
      </c>
      <c r="E828" t="inlineStr">
        <is>
          <t>ÅNGE</t>
        </is>
      </c>
      <c r="F828" t="inlineStr">
        <is>
          <t>SCA</t>
        </is>
      </c>
      <c r="G828" t="n">
        <v>4.8</v>
      </c>
      <c r="H828" t="n">
        <v>1</v>
      </c>
      <c r="I828" t="n">
        <v>0</v>
      </c>
      <c r="J828" t="n">
        <v>1</v>
      </c>
      <c r="K828" t="n">
        <v>1</v>
      </c>
      <c r="L828" t="n">
        <v>0</v>
      </c>
      <c r="M828" t="n">
        <v>0</v>
      </c>
      <c r="N828" t="n">
        <v>0</v>
      </c>
      <c r="O828" t="n">
        <v>2</v>
      </c>
      <c r="P828" t="n">
        <v>1</v>
      </c>
      <c r="Q828" t="n">
        <v>2</v>
      </c>
      <c r="R828" s="2" t="inlineStr">
        <is>
          <t>Knärot
Stiftgelélav</t>
        </is>
      </c>
      <c r="S828">
        <f>HYPERLINK("https://klasma.github.io/Logging_2260/artfynd/A 55178-2024 artfynd.xlsx", "A 55178-2024")</f>
        <v/>
      </c>
      <c r="T828">
        <f>HYPERLINK("https://klasma.github.io/Logging_2260/kartor/A 55178-2024 karta.png", "A 55178-2024")</f>
        <v/>
      </c>
      <c r="U828">
        <f>HYPERLINK("https://klasma.github.io/Logging_2260/knärot/A 55178-2024 karta knärot.png", "A 55178-2024")</f>
        <v/>
      </c>
      <c r="V828">
        <f>HYPERLINK("https://klasma.github.io/Logging_2260/klagomål/A 55178-2024 FSC-klagomål.docx", "A 55178-2024")</f>
        <v/>
      </c>
      <c r="W828">
        <f>HYPERLINK("https://klasma.github.io/Logging_2260/klagomålsmail/A 55178-2024 FSC-klagomål mail.docx", "A 55178-2024")</f>
        <v/>
      </c>
      <c r="X828">
        <f>HYPERLINK("https://klasma.github.io/Logging_2260/tillsyn/A 55178-2024 tillsynsbegäran.docx", "A 55178-2024")</f>
        <v/>
      </c>
      <c r="Y828">
        <f>HYPERLINK("https://klasma.github.io/Logging_2260/tillsynsmail/A 55178-2024 tillsynsbegäran mail.docx", "A 55178-2024")</f>
        <v/>
      </c>
    </row>
    <row r="829" ht="15" customHeight="1">
      <c r="A829" t="inlineStr">
        <is>
          <t>A 7763-2026</t>
        </is>
      </c>
      <c r="B829" s="1" t="n">
        <v>46062</v>
      </c>
      <c r="C829" s="1" t="n">
        <v>46185</v>
      </c>
      <c r="D829" t="inlineStr">
        <is>
          <t>VÄSTERNORRLANDS LÄN</t>
        </is>
      </c>
      <c r="E829" t="inlineStr">
        <is>
          <t>SUNDSVALL</t>
        </is>
      </c>
      <c r="G829" t="n">
        <v>2.1</v>
      </c>
      <c r="H829" t="n">
        <v>1</v>
      </c>
      <c r="I829" t="n">
        <v>0</v>
      </c>
      <c r="J829" t="n">
        <v>2</v>
      </c>
      <c r="K829" t="n">
        <v>0</v>
      </c>
      <c r="L829" t="n">
        <v>0</v>
      </c>
      <c r="M829" t="n">
        <v>0</v>
      </c>
      <c r="N829" t="n">
        <v>0</v>
      </c>
      <c r="O829" t="n">
        <v>2</v>
      </c>
      <c r="P829" t="n">
        <v>0</v>
      </c>
      <c r="Q829" t="n">
        <v>2</v>
      </c>
      <c r="R829" s="2" t="inlineStr">
        <is>
          <t>Garnlav
Tretåig hackspett</t>
        </is>
      </c>
      <c r="S829">
        <f>HYPERLINK("https://klasma.github.io/Logging_2281/artfynd/A 7763-2026 artfynd.xlsx", "A 7763-2026")</f>
        <v/>
      </c>
      <c r="T829">
        <f>HYPERLINK("https://klasma.github.io/Logging_2281/kartor/A 7763-2026 karta.png", "A 7763-2026")</f>
        <v/>
      </c>
      <c r="V829">
        <f>HYPERLINK("https://klasma.github.io/Logging_2281/klagomål/A 7763-2026 FSC-klagomål.docx", "A 7763-2026")</f>
        <v/>
      </c>
      <c r="W829">
        <f>HYPERLINK("https://klasma.github.io/Logging_2281/klagomålsmail/A 7763-2026 FSC-klagomål mail.docx", "A 7763-2026")</f>
        <v/>
      </c>
      <c r="X829">
        <f>HYPERLINK("https://klasma.github.io/Logging_2281/tillsyn/A 7763-2026 tillsynsbegäran.docx", "A 7763-2026")</f>
        <v/>
      </c>
      <c r="Y829">
        <f>HYPERLINK("https://klasma.github.io/Logging_2281/tillsynsmail/A 7763-2026 tillsynsbegäran mail.docx", "A 7763-2026")</f>
        <v/>
      </c>
      <c r="Z829">
        <f>HYPERLINK("https://klasma.github.io/Logging_2281/fåglar/A 7763-2026 prioriterade fågelarter.docx", "A 7763-2026")</f>
        <v/>
      </c>
    </row>
    <row r="830" ht="15" customHeight="1">
      <c r="A830" t="inlineStr">
        <is>
          <t>A 55591-2021</t>
        </is>
      </c>
      <c r="B830" s="1" t="n">
        <v>44475</v>
      </c>
      <c r="C830" s="1" t="n">
        <v>46185</v>
      </c>
      <c r="D830" t="inlineStr">
        <is>
          <t>VÄSTERNORRLANDS LÄN</t>
        </is>
      </c>
      <c r="E830" t="inlineStr">
        <is>
          <t>ÅNGE</t>
        </is>
      </c>
      <c r="G830" t="n">
        <v>3.6</v>
      </c>
      <c r="H830" t="n">
        <v>0</v>
      </c>
      <c r="I830" t="n">
        <v>0</v>
      </c>
      <c r="J830" t="n">
        <v>2</v>
      </c>
      <c r="K830" t="n">
        <v>0</v>
      </c>
      <c r="L830" t="n">
        <v>0</v>
      </c>
      <c r="M830" t="n">
        <v>0</v>
      </c>
      <c r="N830" t="n">
        <v>0</v>
      </c>
      <c r="O830" t="n">
        <v>2</v>
      </c>
      <c r="P830" t="n">
        <v>0</v>
      </c>
      <c r="Q830" t="n">
        <v>2</v>
      </c>
      <c r="R830" s="2" t="inlineStr">
        <is>
          <t>Kolflarnlav
Skrovlig taggsvamp</t>
        </is>
      </c>
      <c r="S830">
        <f>HYPERLINK("https://klasma.github.io/Logging_2260/artfynd/A 55591-2021 artfynd.xlsx", "A 55591-2021")</f>
        <v/>
      </c>
      <c r="T830">
        <f>HYPERLINK("https://klasma.github.io/Logging_2260/kartor/A 55591-2021 karta.png", "A 55591-2021")</f>
        <v/>
      </c>
      <c r="V830">
        <f>HYPERLINK("https://klasma.github.io/Logging_2260/klagomål/A 55591-2021 FSC-klagomål.docx", "A 55591-2021")</f>
        <v/>
      </c>
      <c r="W830">
        <f>HYPERLINK("https://klasma.github.io/Logging_2260/klagomålsmail/A 55591-2021 FSC-klagomål mail.docx", "A 55591-2021")</f>
        <v/>
      </c>
      <c r="X830">
        <f>HYPERLINK("https://klasma.github.io/Logging_2260/tillsyn/A 55591-2021 tillsynsbegäran.docx", "A 55591-2021")</f>
        <v/>
      </c>
      <c r="Y830">
        <f>HYPERLINK("https://klasma.github.io/Logging_2260/tillsynsmail/A 55591-2021 tillsynsbegäran mail.docx", "A 55591-2021")</f>
        <v/>
      </c>
    </row>
    <row r="831" ht="15" customHeight="1">
      <c r="A831" t="inlineStr">
        <is>
          <t>A 25401-2026</t>
        </is>
      </c>
      <c r="B831" s="1" t="n">
        <v>46176</v>
      </c>
      <c r="C831" s="1" t="n">
        <v>46185</v>
      </c>
      <c r="D831" t="inlineStr">
        <is>
          <t>VÄSTERNORRLANDS LÄN</t>
        </is>
      </c>
      <c r="E831" t="inlineStr">
        <is>
          <t>SUNDSVALL</t>
        </is>
      </c>
      <c r="G831" t="n">
        <v>1.3</v>
      </c>
      <c r="H831" t="n">
        <v>2</v>
      </c>
      <c r="I831" t="n">
        <v>0</v>
      </c>
      <c r="J831" t="n">
        <v>1</v>
      </c>
      <c r="K831" t="n">
        <v>1</v>
      </c>
      <c r="L831" t="n">
        <v>0</v>
      </c>
      <c r="M831" t="n">
        <v>0</v>
      </c>
      <c r="N831" t="n">
        <v>0</v>
      </c>
      <c r="O831" t="n">
        <v>2</v>
      </c>
      <c r="P831" t="n">
        <v>1</v>
      </c>
      <c r="Q831" t="n">
        <v>2</v>
      </c>
      <c r="R831" s="2" t="inlineStr">
        <is>
          <t>Knärot
Spillkråka</t>
        </is>
      </c>
      <c r="S831">
        <f>HYPERLINK("https://klasma.github.io/Logging_2281/artfynd/A 25401-2026 artfynd.xlsx", "A 25401-2026")</f>
        <v/>
      </c>
      <c r="T831">
        <f>HYPERLINK("https://klasma.github.io/Logging_2281/kartor/A 25401-2026 karta.png", "A 25401-2026")</f>
        <v/>
      </c>
      <c r="U831">
        <f>HYPERLINK("https://klasma.github.io/Logging_2281/knärot/A 25401-2026 karta knärot.png", "A 25401-2026")</f>
        <v/>
      </c>
      <c r="V831">
        <f>HYPERLINK("https://klasma.github.io/Logging_2281/klagomål/A 25401-2026 FSC-klagomål.docx", "A 25401-2026")</f>
        <v/>
      </c>
      <c r="W831">
        <f>HYPERLINK("https://klasma.github.io/Logging_2281/klagomålsmail/A 25401-2026 FSC-klagomål mail.docx", "A 25401-2026")</f>
        <v/>
      </c>
      <c r="X831">
        <f>HYPERLINK("https://klasma.github.io/Logging_2281/tillsyn/A 25401-2026 tillsynsbegäran.docx", "A 25401-2026")</f>
        <v/>
      </c>
      <c r="Y831">
        <f>HYPERLINK("https://klasma.github.io/Logging_2281/tillsynsmail/A 25401-2026 tillsynsbegäran mail.docx", "A 25401-2026")</f>
        <v/>
      </c>
      <c r="Z831">
        <f>HYPERLINK("https://klasma.github.io/Logging_2281/fåglar/A 25401-2026 prioriterade fågelarter.docx", "A 25401-2026")</f>
        <v/>
      </c>
    </row>
    <row r="832" ht="15" customHeight="1">
      <c r="A832" t="inlineStr">
        <is>
          <t>A 41090-2024</t>
        </is>
      </c>
      <c r="B832" s="1" t="n">
        <v>45559.42744212963</v>
      </c>
      <c r="C832" s="1" t="n">
        <v>46185</v>
      </c>
      <c r="D832" t="inlineStr">
        <is>
          <t>VÄSTERNORRLANDS LÄN</t>
        </is>
      </c>
      <c r="E832" t="inlineStr">
        <is>
          <t>SUNDSVALL</t>
        </is>
      </c>
      <c r="F832" t="inlineStr">
        <is>
          <t>SCA</t>
        </is>
      </c>
      <c r="G832" t="n">
        <v>1.7</v>
      </c>
      <c r="H832" t="n">
        <v>0</v>
      </c>
      <c r="I832" t="n">
        <v>1</v>
      </c>
      <c r="J832" t="n">
        <v>1</v>
      </c>
      <c r="K832" t="n">
        <v>0</v>
      </c>
      <c r="L832" t="n">
        <v>0</v>
      </c>
      <c r="M832" t="n">
        <v>0</v>
      </c>
      <c r="N832" t="n">
        <v>0</v>
      </c>
      <c r="O832" t="n">
        <v>1</v>
      </c>
      <c r="P832" t="n">
        <v>0</v>
      </c>
      <c r="Q832" t="n">
        <v>2</v>
      </c>
      <c r="R832" s="2" t="inlineStr">
        <is>
          <t>Lunglav
Stuplav</t>
        </is>
      </c>
      <c r="S832">
        <f>HYPERLINK("https://klasma.github.io/Logging_2281/artfynd/A 41090-2024 artfynd.xlsx", "A 41090-2024")</f>
        <v/>
      </c>
      <c r="T832">
        <f>HYPERLINK("https://klasma.github.io/Logging_2281/kartor/A 41090-2024 karta.png", "A 41090-2024")</f>
        <v/>
      </c>
      <c r="V832">
        <f>HYPERLINK("https://klasma.github.io/Logging_2281/klagomål/A 41090-2024 FSC-klagomål.docx", "A 41090-2024")</f>
        <v/>
      </c>
      <c r="W832">
        <f>HYPERLINK("https://klasma.github.io/Logging_2281/klagomålsmail/A 41090-2024 FSC-klagomål mail.docx", "A 41090-2024")</f>
        <v/>
      </c>
      <c r="X832">
        <f>HYPERLINK("https://klasma.github.io/Logging_2281/tillsyn/A 41090-2024 tillsynsbegäran.docx", "A 41090-2024")</f>
        <v/>
      </c>
      <c r="Y832">
        <f>HYPERLINK("https://klasma.github.io/Logging_2281/tillsynsmail/A 41090-2024 tillsynsbegäran mail.docx", "A 41090-2024")</f>
        <v/>
      </c>
    </row>
    <row r="833" ht="15" customHeight="1">
      <c r="A833" t="inlineStr">
        <is>
          <t>A 41784-2024</t>
        </is>
      </c>
      <c r="B833" s="1" t="n">
        <v>45561</v>
      </c>
      <c r="C833" s="1" t="n">
        <v>46185</v>
      </c>
      <c r="D833" t="inlineStr">
        <is>
          <t>VÄSTERNORRLANDS LÄN</t>
        </is>
      </c>
      <c r="E833" t="inlineStr">
        <is>
          <t>TIMRÅ</t>
        </is>
      </c>
      <c r="F833" t="inlineStr">
        <is>
          <t>SCA</t>
        </is>
      </c>
      <c r="G833" t="n">
        <v>10.7</v>
      </c>
      <c r="H833" t="n">
        <v>1</v>
      </c>
      <c r="I833" t="n">
        <v>0</v>
      </c>
      <c r="J833" t="n">
        <v>1</v>
      </c>
      <c r="K833" t="n">
        <v>1</v>
      </c>
      <c r="L833" t="n">
        <v>0</v>
      </c>
      <c r="M833" t="n">
        <v>0</v>
      </c>
      <c r="N833" t="n">
        <v>0</v>
      </c>
      <c r="O833" t="n">
        <v>2</v>
      </c>
      <c r="P833" t="n">
        <v>1</v>
      </c>
      <c r="Q833" t="n">
        <v>2</v>
      </c>
      <c r="R833" s="2" t="inlineStr">
        <is>
          <t>Knärot
Koralltaggsvamp</t>
        </is>
      </c>
      <c r="S833">
        <f>HYPERLINK("https://klasma.github.io/Logging_2262/artfynd/A 41784-2024 artfynd.xlsx", "A 41784-2024")</f>
        <v/>
      </c>
      <c r="T833">
        <f>HYPERLINK("https://klasma.github.io/Logging_2262/kartor/A 41784-2024 karta.png", "A 41784-2024")</f>
        <v/>
      </c>
      <c r="U833">
        <f>HYPERLINK("https://klasma.github.io/Logging_2262/knärot/A 41784-2024 karta knärot.png", "A 41784-2024")</f>
        <v/>
      </c>
      <c r="V833">
        <f>HYPERLINK("https://klasma.github.io/Logging_2262/klagomål/A 41784-2024 FSC-klagomål.docx", "A 41784-2024")</f>
        <v/>
      </c>
      <c r="W833">
        <f>HYPERLINK("https://klasma.github.io/Logging_2262/klagomålsmail/A 41784-2024 FSC-klagomål mail.docx", "A 41784-2024")</f>
        <v/>
      </c>
      <c r="X833">
        <f>HYPERLINK("https://klasma.github.io/Logging_2262/tillsyn/A 41784-2024 tillsynsbegäran.docx", "A 41784-2024")</f>
        <v/>
      </c>
      <c r="Y833">
        <f>HYPERLINK("https://klasma.github.io/Logging_2262/tillsynsmail/A 41784-2024 tillsynsbegäran mail.docx", "A 41784-2024")</f>
        <v/>
      </c>
    </row>
    <row r="834" ht="15" customHeight="1">
      <c r="A834" t="inlineStr">
        <is>
          <t>A 18075-2026</t>
        </is>
      </c>
      <c r="B834" s="1" t="n">
        <v>46125</v>
      </c>
      <c r="C834" s="1" t="n">
        <v>46185</v>
      </c>
      <c r="D834" t="inlineStr">
        <is>
          <t>VÄSTERNORRLANDS LÄN</t>
        </is>
      </c>
      <c r="E834" t="inlineStr">
        <is>
          <t>SOLLEFTEÅ</t>
        </is>
      </c>
      <c r="G834" t="n">
        <v>7.1</v>
      </c>
      <c r="H834" t="n">
        <v>0</v>
      </c>
      <c r="I834" t="n">
        <v>0</v>
      </c>
      <c r="J834" t="n">
        <v>1</v>
      </c>
      <c r="K834" t="n">
        <v>1</v>
      </c>
      <c r="L834" t="n">
        <v>0</v>
      </c>
      <c r="M834" t="n">
        <v>0</v>
      </c>
      <c r="N834" t="n">
        <v>0</v>
      </c>
      <c r="O834" t="n">
        <v>2</v>
      </c>
      <c r="P834" t="n">
        <v>1</v>
      </c>
      <c r="Q834" t="n">
        <v>2</v>
      </c>
      <c r="R834" s="2" t="inlineStr">
        <is>
          <t>Rynkskinn
Rosenticka</t>
        </is>
      </c>
      <c r="S834">
        <f>HYPERLINK("https://klasma.github.io/Logging_2283/artfynd/A 18075-2026 artfynd.xlsx", "A 18075-2026")</f>
        <v/>
      </c>
      <c r="T834">
        <f>HYPERLINK("https://klasma.github.io/Logging_2283/kartor/A 18075-2026 karta.png", "A 18075-2026")</f>
        <v/>
      </c>
      <c r="V834">
        <f>HYPERLINK("https://klasma.github.io/Logging_2283/klagomål/A 18075-2026 FSC-klagomål.docx", "A 18075-2026")</f>
        <v/>
      </c>
      <c r="W834">
        <f>HYPERLINK("https://klasma.github.io/Logging_2283/klagomålsmail/A 18075-2026 FSC-klagomål mail.docx", "A 18075-2026")</f>
        <v/>
      </c>
      <c r="X834">
        <f>HYPERLINK("https://klasma.github.io/Logging_2283/tillsyn/A 18075-2026 tillsynsbegäran.docx", "A 18075-2026")</f>
        <v/>
      </c>
      <c r="Y834">
        <f>HYPERLINK("https://klasma.github.io/Logging_2283/tillsynsmail/A 18075-2026 tillsynsbegäran mail.docx", "A 18075-2026")</f>
        <v/>
      </c>
    </row>
    <row r="835" ht="15" customHeight="1">
      <c r="A835" t="inlineStr">
        <is>
          <t>A 24202-2024</t>
        </is>
      </c>
      <c r="B835" s="1" t="n">
        <v>45456.9669212963</v>
      </c>
      <c r="C835" s="1" t="n">
        <v>46185</v>
      </c>
      <c r="D835" t="inlineStr">
        <is>
          <t>VÄSTERNORRLANDS LÄN</t>
        </is>
      </c>
      <c r="E835" t="inlineStr">
        <is>
          <t>HÄRNÖSAND</t>
        </is>
      </c>
      <c r="F835" t="inlineStr">
        <is>
          <t>SCA</t>
        </is>
      </c>
      <c r="G835" t="n">
        <v>2.2</v>
      </c>
      <c r="H835" t="n">
        <v>0</v>
      </c>
      <c r="I835" t="n">
        <v>0</v>
      </c>
      <c r="J835" t="n">
        <v>2</v>
      </c>
      <c r="K835" t="n">
        <v>0</v>
      </c>
      <c r="L835" t="n">
        <v>0</v>
      </c>
      <c r="M835" t="n">
        <v>0</v>
      </c>
      <c r="N835" t="n">
        <v>0</v>
      </c>
      <c r="O835" t="n">
        <v>2</v>
      </c>
      <c r="P835" t="n">
        <v>0</v>
      </c>
      <c r="Q835" t="n">
        <v>2</v>
      </c>
      <c r="R835" s="2" t="inlineStr">
        <is>
          <t>Garnlav
Granticka</t>
        </is>
      </c>
      <c r="S835">
        <f>HYPERLINK("https://klasma.github.io/Logging_2280/artfynd/A 24202-2024 artfynd.xlsx", "A 24202-2024")</f>
        <v/>
      </c>
      <c r="T835">
        <f>HYPERLINK("https://klasma.github.io/Logging_2280/kartor/A 24202-2024 karta.png", "A 24202-2024")</f>
        <v/>
      </c>
      <c r="V835">
        <f>HYPERLINK("https://klasma.github.io/Logging_2280/klagomål/A 24202-2024 FSC-klagomål.docx", "A 24202-2024")</f>
        <v/>
      </c>
      <c r="W835">
        <f>HYPERLINK("https://klasma.github.io/Logging_2280/klagomålsmail/A 24202-2024 FSC-klagomål mail.docx", "A 24202-2024")</f>
        <v/>
      </c>
      <c r="X835">
        <f>HYPERLINK("https://klasma.github.io/Logging_2280/tillsyn/A 24202-2024 tillsynsbegäran.docx", "A 24202-2024")</f>
        <v/>
      </c>
      <c r="Y835">
        <f>HYPERLINK("https://klasma.github.io/Logging_2280/tillsynsmail/A 24202-2024 tillsynsbegäran mail.docx", "A 24202-2024")</f>
        <v/>
      </c>
    </row>
    <row r="836" ht="15" customHeight="1">
      <c r="A836" t="inlineStr">
        <is>
          <t>A 53949-2023</t>
        </is>
      </c>
      <c r="B836" s="1" t="n">
        <v>45224</v>
      </c>
      <c r="C836" s="1" t="n">
        <v>46185</v>
      </c>
      <c r="D836" t="inlineStr">
        <is>
          <t>VÄSTERNORRLANDS LÄN</t>
        </is>
      </c>
      <c r="E836" t="inlineStr">
        <is>
          <t>SOLLEFTEÅ</t>
        </is>
      </c>
      <c r="G836" t="n">
        <v>4</v>
      </c>
      <c r="H836" t="n">
        <v>1</v>
      </c>
      <c r="I836" t="n">
        <v>0</v>
      </c>
      <c r="J836" t="n">
        <v>1</v>
      </c>
      <c r="K836" t="n">
        <v>0</v>
      </c>
      <c r="L836" t="n">
        <v>0</v>
      </c>
      <c r="M836" t="n">
        <v>0</v>
      </c>
      <c r="N836" t="n">
        <v>0</v>
      </c>
      <c r="O836" t="n">
        <v>1</v>
      </c>
      <c r="P836" t="n">
        <v>0</v>
      </c>
      <c r="Q836" t="n">
        <v>2</v>
      </c>
      <c r="R836" s="2" t="inlineStr">
        <is>
          <t>Granticka
Fläcknycklar</t>
        </is>
      </c>
      <c r="S836">
        <f>HYPERLINK("https://klasma.github.io/Logging_2283/artfynd/A 53949-2023 artfynd.xlsx", "A 53949-2023")</f>
        <v/>
      </c>
      <c r="T836">
        <f>HYPERLINK("https://klasma.github.io/Logging_2283/kartor/A 53949-2023 karta.png", "A 53949-2023")</f>
        <v/>
      </c>
      <c r="V836">
        <f>HYPERLINK("https://klasma.github.io/Logging_2283/klagomål/A 53949-2023 FSC-klagomål.docx", "A 53949-2023")</f>
        <v/>
      </c>
      <c r="W836">
        <f>HYPERLINK("https://klasma.github.io/Logging_2283/klagomålsmail/A 53949-2023 FSC-klagomål mail.docx", "A 53949-2023")</f>
        <v/>
      </c>
      <c r="X836">
        <f>HYPERLINK("https://klasma.github.io/Logging_2283/tillsyn/A 53949-2023 tillsynsbegäran.docx", "A 53949-2023")</f>
        <v/>
      </c>
      <c r="Y836">
        <f>HYPERLINK("https://klasma.github.io/Logging_2283/tillsynsmail/A 53949-2023 tillsynsbegäran mail.docx", "A 53949-2023")</f>
        <v/>
      </c>
    </row>
    <row r="837" ht="15" customHeight="1">
      <c r="A837" t="inlineStr">
        <is>
          <t>A 23364-2025</t>
        </is>
      </c>
      <c r="B837" s="1" t="n">
        <v>45791</v>
      </c>
      <c r="C837" s="1" t="n">
        <v>46185</v>
      </c>
      <c r="D837" t="inlineStr">
        <is>
          <t>VÄSTERNORRLANDS LÄN</t>
        </is>
      </c>
      <c r="E837" t="inlineStr">
        <is>
          <t>SUNDSVALL</t>
        </is>
      </c>
      <c r="F837" t="inlineStr">
        <is>
          <t>SCA</t>
        </is>
      </c>
      <c r="G837" t="n">
        <v>4</v>
      </c>
      <c r="H837" t="n">
        <v>1</v>
      </c>
      <c r="I837" t="n">
        <v>0</v>
      </c>
      <c r="J837" t="n">
        <v>2</v>
      </c>
      <c r="K837" t="n">
        <v>0</v>
      </c>
      <c r="L837" t="n">
        <v>0</v>
      </c>
      <c r="M837" t="n">
        <v>0</v>
      </c>
      <c r="N837" t="n">
        <v>0</v>
      </c>
      <c r="O837" t="n">
        <v>2</v>
      </c>
      <c r="P837" t="n">
        <v>0</v>
      </c>
      <c r="Q837" t="n">
        <v>2</v>
      </c>
      <c r="R837" s="2" t="inlineStr">
        <is>
          <t>Garnlav
Tretåig hackspett</t>
        </is>
      </c>
      <c r="S837">
        <f>HYPERLINK("https://klasma.github.io/Logging_2281/artfynd/A 23364-2025 artfynd.xlsx", "A 23364-2025")</f>
        <v/>
      </c>
      <c r="T837">
        <f>HYPERLINK("https://klasma.github.io/Logging_2281/kartor/A 23364-2025 karta.png", "A 23364-2025")</f>
        <v/>
      </c>
      <c r="V837">
        <f>HYPERLINK("https://klasma.github.io/Logging_2281/klagomål/A 23364-2025 FSC-klagomål.docx", "A 23364-2025")</f>
        <v/>
      </c>
      <c r="W837">
        <f>HYPERLINK("https://klasma.github.io/Logging_2281/klagomålsmail/A 23364-2025 FSC-klagomål mail.docx", "A 23364-2025")</f>
        <v/>
      </c>
      <c r="X837">
        <f>HYPERLINK("https://klasma.github.io/Logging_2281/tillsyn/A 23364-2025 tillsynsbegäran.docx", "A 23364-2025")</f>
        <v/>
      </c>
      <c r="Y837">
        <f>HYPERLINK("https://klasma.github.io/Logging_2281/tillsynsmail/A 23364-2025 tillsynsbegäran mail.docx", "A 23364-2025")</f>
        <v/>
      </c>
      <c r="Z837">
        <f>HYPERLINK("https://klasma.github.io/Logging_2281/fåglar/A 23364-2025 prioriterade fågelarter.docx", "A 23364-2025")</f>
        <v/>
      </c>
    </row>
    <row r="838" ht="15" customHeight="1">
      <c r="A838" t="inlineStr">
        <is>
          <t>A 14725-2024</t>
        </is>
      </c>
      <c r="B838" s="1" t="n">
        <v>45397</v>
      </c>
      <c r="C838" s="1" t="n">
        <v>46185</v>
      </c>
      <c r="D838" t="inlineStr">
        <is>
          <t>VÄSTERNORRLANDS LÄN</t>
        </is>
      </c>
      <c r="E838" t="inlineStr">
        <is>
          <t>SUNDSVALL</t>
        </is>
      </c>
      <c r="G838" t="n">
        <v>6.9</v>
      </c>
      <c r="H838" t="n">
        <v>1</v>
      </c>
      <c r="I838" t="n">
        <v>1</v>
      </c>
      <c r="J838" t="n">
        <v>0</v>
      </c>
      <c r="K838" t="n">
        <v>1</v>
      </c>
      <c r="L838" t="n">
        <v>0</v>
      </c>
      <c r="M838" t="n">
        <v>0</v>
      </c>
      <c r="N838" t="n">
        <v>0</v>
      </c>
      <c r="O838" t="n">
        <v>1</v>
      </c>
      <c r="P838" t="n">
        <v>1</v>
      </c>
      <c r="Q838" t="n">
        <v>2</v>
      </c>
      <c r="R838" s="2" t="inlineStr">
        <is>
          <t>Knärot
Blodticka</t>
        </is>
      </c>
      <c r="S838">
        <f>HYPERLINK("https://klasma.github.io/Logging_2281/artfynd/A 14725-2024 artfynd.xlsx", "A 14725-2024")</f>
        <v/>
      </c>
      <c r="T838">
        <f>HYPERLINK("https://klasma.github.io/Logging_2281/kartor/A 14725-2024 karta.png", "A 14725-2024")</f>
        <v/>
      </c>
      <c r="U838">
        <f>HYPERLINK("https://klasma.github.io/Logging_2281/knärot/A 14725-2024 karta knärot.png", "A 14725-2024")</f>
        <v/>
      </c>
      <c r="V838">
        <f>HYPERLINK("https://klasma.github.io/Logging_2281/klagomål/A 14725-2024 FSC-klagomål.docx", "A 14725-2024")</f>
        <v/>
      </c>
      <c r="W838">
        <f>HYPERLINK("https://klasma.github.io/Logging_2281/klagomålsmail/A 14725-2024 FSC-klagomål mail.docx", "A 14725-2024")</f>
        <v/>
      </c>
      <c r="X838">
        <f>HYPERLINK("https://klasma.github.io/Logging_2281/tillsyn/A 14725-2024 tillsynsbegäran.docx", "A 14725-2024")</f>
        <v/>
      </c>
      <c r="Y838">
        <f>HYPERLINK("https://klasma.github.io/Logging_2281/tillsynsmail/A 14725-2024 tillsynsbegäran mail.docx", "A 14725-2024")</f>
        <v/>
      </c>
    </row>
    <row r="839" ht="15" customHeight="1">
      <c r="A839" t="inlineStr">
        <is>
          <t>A 39638-2024</t>
        </is>
      </c>
      <c r="B839" s="1" t="n">
        <v>45552</v>
      </c>
      <c r="C839" s="1" t="n">
        <v>46185</v>
      </c>
      <c r="D839" t="inlineStr">
        <is>
          <t>VÄSTERNORRLANDS LÄN</t>
        </is>
      </c>
      <c r="E839" t="inlineStr">
        <is>
          <t>ÅNGE</t>
        </is>
      </c>
      <c r="G839" t="n">
        <v>3</v>
      </c>
      <c r="H839" t="n">
        <v>1</v>
      </c>
      <c r="I839" t="n">
        <v>1</v>
      </c>
      <c r="J839" t="n">
        <v>0</v>
      </c>
      <c r="K839" t="n">
        <v>0</v>
      </c>
      <c r="L839" t="n">
        <v>0</v>
      </c>
      <c r="M839" t="n">
        <v>0</v>
      </c>
      <c r="N839" t="n">
        <v>0</v>
      </c>
      <c r="O839" t="n">
        <v>0</v>
      </c>
      <c r="P839" t="n">
        <v>0</v>
      </c>
      <c r="Q839" t="n">
        <v>2</v>
      </c>
      <c r="R839" s="2" t="inlineStr">
        <is>
          <t>Dropptaggsvamp
Tjäder</t>
        </is>
      </c>
      <c r="S839">
        <f>HYPERLINK("https://klasma.github.io/Logging_2260/artfynd/A 39638-2024 artfynd.xlsx", "A 39638-2024")</f>
        <v/>
      </c>
      <c r="T839">
        <f>HYPERLINK("https://klasma.github.io/Logging_2260/kartor/A 39638-2024 karta.png", "A 39638-2024")</f>
        <v/>
      </c>
      <c r="V839">
        <f>HYPERLINK("https://klasma.github.io/Logging_2260/klagomål/A 39638-2024 FSC-klagomål.docx", "A 39638-2024")</f>
        <v/>
      </c>
      <c r="W839">
        <f>HYPERLINK("https://klasma.github.io/Logging_2260/klagomålsmail/A 39638-2024 FSC-klagomål mail.docx", "A 39638-2024")</f>
        <v/>
      </c>
      <c r="X839">
        <f>HYPERLINK("https://klasma.github.io/Logging_2260/tillsyn/A 39638-2024 tillsynsbegäran.docx", "A 39638-2024")</f>
        <v/>
      </c>
      <c r="Y839">
        <f>HYPERLINK("https://klasma.github.io/Logging_2260/tillsynsmail/A 39638-2024 tillsynsbegäran mail.docx", "A 39638-2024")</f>
        <v/>
      </c>
      <c r="Z839">
        <f>HYPERLINK("https://klasma.github.io/Logging_2260/fåglar/A 39638-2024 prioriterade fågelarter.docx", "A 39638-2024")</f>
        <v/>
      </c>
    </row>
    <row r="840" ht="15" customHeight="1">
      <c r="A840" t="inlineStr">
        <is>
          <t>A 52575-2022</t>
        </is>
      </c>
      <c r="B840" s="1" t="n">
        <v>44874</v>
      </c>
      <c r="C840" s="1" t="n">
        <v>46185</v>
      </c>
      <c r="D840" t="inlineStr">
        <is>
          <t>VÄSTERNORRLANDS LÄN</t>
        </is>
      </c>
      <c r="E840" t="inlineStr">
        <is>
          <t>ÖRNSKÖLDSVIK</t>
        </is>
      </c>
      <c r="F840" t="inlineStr">
        <is>
          <t>Holmen skog AB</t>
        </is>
      </c>
      <c r="G840" t="n">
        <v>1.6</v>
      </c>
      <c r="H840" t="n">
        <v>1</v>
      </c>
      <c r="I840" t="n">
        <v>0</v>
      </c>
      <c r="J840" t="n">
        <v>1</v>
      </c>
      <c r="K840" t="n">
        <v>0</v>
      </c>
      <c r="L840" t="n">
        <v>0</v>
      </c>
      <c r="M840" t="n">
        <v>0</v>
      </c>
      <c r="N840" t="n">
        <v>0</v>
      </c>
      <c r="O840" t="n">
        <v>1</v>
      </c>
      <c r="P840" t="n">
        <v>0</v>
      </c>
      <c r="Q840" t="n">
        <v>2</v>
      </c>
      <c r="R840" s="2" t="inlineStr">
        <is>
          <t>Granticka
Vanlig groda</t>
        </is>
      </c>
      <c r="S840">
        <f>HYPERLINK("https://klasma.github.io/Logging_2284/artfynd/A 52575-2022 artfynd.xlsx", "A 52575-2022")</f>
        <v/>
      </c>
      <c r="T840">
        <f>HYPERLINK("https://klasma.github.io/Logging_2284/kartor/A 52575-2022 karta.png", "A 52575-2022")</f>
        <v/>
      </c>
      <c r="V840">
        <f>HYPERLINK("https://klasma.github.io/Logging_2284/klagomål/A 52575-2022 FSC-klagomål.docx", "A 52575-2022")</f>
        <v/>
      </c>
      <c r="W840">
        <f>HYPERLINK("https://klasma.github.io/Logging_2284/klagomålsmail/A 52575-2022 FSC-klagomål mail.docx", "A 52575-2022")</f>
        <v/>
      </c>
      <c r="X840">
        <f>HYPERLINK("https://klasma.github.io/Logging_2284/tillsyn/A 52575-2022 tillsynsbegäran.docx", "A 52575-2022")</f>
        <v/>
      </c>
      <c r="Y840">
        <f>HYPERLINK("https://klasma.github.io/Logging_2284/tillsynsmail/A 52575-2022 tillsynsbegäran mail.docx", "A 52575-2022")</f>
        <v/>
      </c>
    </row>
    <row r="841" ht="15" customHeight="1">
      <c r="A841" t="inlineStr">
        <is>
          <t>A 27380-2023</t>
        </is>
      </c>
      <c r="B841" s="1" t="n">
        <v>45096</v>
      </c>
      <c r="C841" s="1" t="n">
        <v>46185</v>
      </c>
      <c r="D841" t="inlineStr">
        <is>
          <t>VÄSTERNORRLANDS LÄN</t>
        </is>
      </c>
      <c r="E841" t="inlineStr">
        <is>
          <t>SUNDSVALL</t>
        </is>
      </c>
      <c r="F841" t="inlineStr">
        <is>
          <t>Naturvårdsverket</t>
        </is>
      </c>
      <c r="G841" t="n">
        <v>6.2</v>
      </c>
      <c r="H841" t="n">
        <v>0</v>
      </c>
      <c r="I841" t="n">
        <v>0</v>
      </c>
      <c r="J841" t="n">
        <v>2</v>
      </c>
      <c r="K841" t="n">
        <v>0</v>
      </c>
      <c r="L841" t="n">
        <v>0</v>
      </c>
      <c r="M841" t="n">
        <v>0</v>
      </c>
      <c r="N841" t="n">
        <v>0</v>
      </c>
      <c r="O841" t="n">
        <v>2</v>
      </c>
      <c r="P841" t="n">
        <v>0</v>
      </c>
      <c r="Q841" t="n">
        <v>2</v>
      </c>
      <c r="R841" s="2" t="inlineStr">
        <is>
          <t>Granticka
Gränsticka</t>
        </is>
      </c>
      <c r="S841">
        <f>HYPERLINK("https://klasma.github.io/Logging_2281/artfynd/A 27380-2023 artfynd.xlsx", "A 27380-2023")</f>
        <v/>
      </c>
      <c r="T841">
        <f>HYPERLINK("https://klasma.github.io/Logging_2281/kartor/A 27380-2023 karta.png", "A 27380-2023")</f>
        <v/>
      </c>
      <c r="V841">
        <f>HYPERLINK("https://klasma.github.io/Logging_2281/klagomål/A 27380-2023 FSC-klagomål.docx", "A 27380-2023")</f>
        <v/>
      </c>
      <c r="W841">
        <f>HYPERLINK("https://klasma.github.io/Logging_2281/klagomålsmail/A 27380-2023 FSC-klagomål mail.docx", "A 27380-2023")</f>
        <v/>
      </c>
      <c r="X841">
        <f>HYPERLINK("https://klasma.github.io/Logging_2281/tillsyn/A 27380-2023 tillsynsbegäran.docx", "A 27380-2023")</f>
        <v/>
      </c>
      <c r="Y841">
        <f>HYPERLINK("https://klasma.github.io/Logging_2281/tillsynsmail/A 27380-2023 tillsynsbegäran mail.docx", "A 27380-2023")</f>
        <v/>
      </c>
    </row>
    <row r="842" ht="15" customHeight="1">
      <c r="A842" t="inlineStr">
        <is>
          <t>A 18081-2025</t>
        </is>
      </c>
      <c r="B842" s="1" t="n">
        <v>45761.51086805556</v>
      </c>
      <c r="C842" s="1" t="n">
        <v>46185</v>
      </c>
      <c r="D842" t="inlineStr">
        <is>
          <t>VÄSTERNORRLANDS LÄN</t>
        </is>
      </c>
      <c r="E842" t="inlineStr">
        <is>
          <t>ÅNGE</t>
        </is>
      </c>
      <c r="F842" t="inlineStr">
        <is>
          <t>SCA</t>
        </is>
      </c>
      <c r="G842" t="n">
        <v>2.6</v>
      </c>
      <c r="H842" t="n">
        <v>1</v>
      </c>
      <c r="I842" t="n">
        <v>1</v>
      </c>
      <c r="J842" t="n">
        <v>0</v>
      </c>
      <c r="K842" t="n">
        <v>1</v>
      </c>
      <c r="L842" t="n">
        <v>0</v>
      </c>
      <c r="M842" t="n">
        <v>0</v>
      </c>
      <c r="N842" t="n">
        <v>0</v>
      </c>
      <c r="O842" t="n">
        <v>1</v>
      </c>
      <c r="P842" t="n">
        <v>1</v>
      </c>
      <c r="Q842" t="n">
        <v>2</v>
      </c>
      <c r="R842" s="2" t="inlineStr">
        <is>
          <t>Knärot
Dropptaggsvamp</t>
        </is>
      </c>
      <c r="S842">
        <f>HYPERLINK("https://klasma.github.io/Logging_2260/artfynd/A 18081-2025 artfynd.xlsx", "A 18081-2025")</f>
        <v/>
      </c>
      <c r="T842">
        <f>HYPERLINK("https://klasma.github.io/Logging_2260/kartor/A 18081-2025 karta.png", "A 18081-2025")</f>
        <v/>
      </c>
      <c r="U842">
        <f>HYPERLINK("https://klasma.github.io/Logging_2260/knärot/A 18081-2025 karta knärot.png", "A 18081-2025")</f>
        <v/>
      </c>
      <c r="V842">
        <f>HYPERLINK("https://klasma.github.io/Logging_2260/klagomål/A 18081-2025 FSC-klagomål.docx", "A 18081-2025")</f>
        <v/>
      </c>
      <c r="W842">
        <f>HYPERLINK("https://klasma.github.io/Logging_2260/klagomålsmail/A 18081-2025 FSC-klagomål mail.docx", "A 18081-2025")</f>
        <v/>
      </c>
      <c r="X842">
        <f>HYPERLINK("https://klasma.github.io/Logging_2260/tillsyn/A 18081-2025 tillsynsbegäran.docx", "A 18081-2025")</f>
        <v/>
      </c>
      <c r="Y842">
        <f>HYPERLINK("https://klasma.github.io/Logging_2260/tillsynsmail/A 18081-2025 tillsynsbegäran mail.docx", "A 18081-2025")</f>
        <v/>
      </c>
    </row>
    <row r="843" ht="15" customHeight="1">
      <c r="A843" t="inlineStr">
        <is>
          <t>A 33210-2023</t>
        </is>
      </c>
      <c r="B843" s="1" t="n">
        <v>45114</v>
      </c>
      <c r="C843" s="1" t="n">
        <v>46185</v>
      </c>
      <c r="D843" t="inlineStr">
        <is>
          <t>VÄSTERNORRLANDS LÄN</t>
        </is>
      </c>
      <c r="E843" t="inlineStr">
        <is>
          <t>KRAMFORS</t>
        </is>
      </c>
      <c r="G843" t="n">
        <v>20.1</v>
      </c>
      <c r="H843" t="n">
        <v>1</v>
      </c>
      <c r="I843" t="n">
        <v>1</v>
      </c>
      <c r="J843" t="n">
        <v>0</v>
      </c>
      <c r="K843" t="n">
        <v>0</v>
      </c>
      <c r="L843" t="n">
        <v>0</v>
      </c>
      <c r="M843" t="n">
        <v>0</v>
      </c>
      <c r="N843" t="n">
        <v>0</v>
      </c>
      <c r="O843" t="n">
        <v>0</v>
      </c>
      <c r="P843" t="n">
        <v>0</v>
      </c>
      <c r="Q843" t="n">
        <v>2</v>
      </c>
      <c r="R843" s="2" t="inlineStr">
        <is>
          <t>Svart trolldruva
Blåsippa</t>
        </is>
      </c>
      <c r="S843">
        <f>HYPERLINK("https://klasma.github.io/Logging_2282/artfynd/A 33210-2023 artfynd.xlsx", "A 33210-2023")</f>
        <v/>
      </c>
      <c r="T843">
        <f>HYPERLINK("https://klasma.github.io/Logging_2282/kartor/A 33210-2023 karta.png", "A 33210-2023")</f>
        <v/>
      </c>
      <c r="V843">
        <f>HYPERLINK("https://klasma.github.io/Logging_2282/klagomål/A 33210-2023 FSC-klagomål.docx", "A 33210-2023")</f>
        <v/>
      </c>
      <c r="W843">
        <f>HYPERLINK("https://klasma.github.io/Logging_2282/klagomålsmail/A 33210-2023 FSC-klagomål mail.docx", "A 33210-2023")</f>
        <v/>
      </c>
      <c r="X843">
        <f>HYPERLINK("https://klasma.github.io/Logging_2282/tillsyn/A 33210-2023 tillsynsbegäran.docx", "A 33210-2023")</f>
        <v/>
      </c>
      <c r="Y843">
        <f>HYPERLINK("https://klasma.github.io/Logging_2282/tillsynsmail/A 33210-2023 tillsynsbegäran mail.docx", "A 33210-2023")</f>
        <v/>
      </c>
    </row>
    <row r="844" ht="15" customHeight="1">
      <c r="A844" t="inlineStr">
        <is>
          <t>A 44401-2023</t>
        </is>
      </c>
      <c r="B844" s="1" t="n">
        <v>45188</v>
      </c>
      <c r="C844" s="1" t="n">
        <v>46185</v>
      </c>
      <c r="D844" t="inlineStr">
        <is>
          <t>VÄSTERNORRLANDS LÄN</t>
        </is>
      </c>
      <c r="E844" t="inlineStr">
        <is>
          <t>HÄRNÖSAND</t>
        </is>
      </c>
      <c r="F844" t="inlineStr">
        <is>
          <t>SCA</t>
        </is>
      </c>
      <c r="G844" t="n">
        <v>5.9</v>
      </c>
      <c r="H844" t="n">
        <v>1</v>
      </c>
      <c r="I844" t="n">
        <v>0</v>
      </c>
      <c r="J844" t="n">
        <v>2</v>
      </c>
      <c r="K844" t="n">
        <v>0</v>
      </c>
      <c r="L844" t="n">
        <v>0</v>
      </c>
      <c r="M844" t="n">
        <v>0</v>
      </c>
      <c r="N844" t="n">
        <v>0</v>
      </c>
      <c r="O844" t="n">
        <v>2</v>
      </c>
      <c r="P844" t="n">
        <v>0</v>
      </c>
      <c r="Q844" t="n">
        <v>2</v>
      </c>
      <c r="R844" s="2" t="inlineStr">
        <is>
          <t>Spillkråka
Ullticka</t>
        </is>
      </c>
      <c r="S844">
        <f>HYPERLINK("https://klasma.github.io/Logging_2280/artfynd/A 44401-2023 artfynd.xlsx", "A 44401-2023")</f>
        <v/>
      </c>
      <c r="T844">
        <f>HYPERLINK("https://klasma.github.io/Logging_2280/kartor/A 44401-2023 karta.png", "A 44401-2023")</f>
        <v/>
      </c>
      <c r="V844">
        <f>HYPERLINK("https://klasma.github.io/Logging_2280/klagomål/A 44401-2023 FSC-klagomål.docx", "A 44401-2023")</f>
        <v/>
      </c>
      <c r="W844">
        <f>HYPERLINK("https://klasma.github.io/Logging_2280/klagomålsmail/A 44401-2023 FSC-klagomål mail.docx", "A 44401-2023")</f>
        <v/>
      </c>
      <c r="X844">
        <f>HYPERLINK("https://klasma.github.io/Logging_2280/tillsyn/A 44401-2023 tillsynsbegäran.docx", "A 44401-2023")</f>
        <v/>
      </c>
      <c r="Y844">
        <f>HYPERLINK("https://klasma.github.io/Logging_2280/tillsynsmail/A 44401-2023 tillsynsbegäran mail.docx", "A 44401-2023")</f>
        <v/>
      </c>
      <c r="Z844">
        <f>HYPERLINK("https://klasma.github.io/Logging_2280/fåglar/A 44401-2023 prioriterade fågelarter.docx", "A 44401-2023")</f>
        <v/>
      </c>
    </row>
    <row r="845" ht="15" customHeight="1">
      <c r="A845" t="inlineStr">
        <is>
          <t>A 2515-2024</t>
        </is>
      </c>
      <c r="B845" s="1" t="n">
        <v>45313</v>
      </c>
      <c r="C845" s="1" t="n">
        <v>46185</v>
      </c>
      <c r="D845" t="inlineStr">
        <is>
          <t>VÄSTERNORRLANDS LÄN</t>
        </is>
      </c>
      <c r="E845" t="inlineStr">
        <is>
          <t>SOLLEFTEÅ</t>
        </is>
      </c>
      <c r="F845" t="inlineStr">
        <is>
          <t>Kommuner</t>
        </is>
      </c>
      <c r="G845" t="n">
        <v>8.699999999999999</v>
      </c>
      <c r="H845" t="n">
        <v>1</v>
      </c>
      <c r="I845" t="n">
        <v>0</v>
      </c>
      <c r="J845" t="n">
        <v>2</v>
      </c>
      <c r="K845" t="n">
        <v>0</v>
      </c>
      <c r="L845" t="n">
        <v>0</v>
      </c>
      <c r="M845" t="n">
        <v>0</v>
      </c>
      <c r="N845" t="n">
        <v>0</v>
      </c>
      <c r="O845" t="n">
        <v>2</v>
      </c>
      <c r="P845" t="n">
        <v>0</v>
      </c>
      <c r="Q845" t="n">
        <v>2</v>
      </c>
      <c r="R845" s="2" t="inlineStr">
        <is>
          <t>Granticka
Talltita</t>
        </is>
      </c>
      <c r="S845">
        <f>HYPERLINK("https://klasma.github.io/Logging_2283/artfynd/A 2515-2024 artfynd.xlsx", "A 2515-2024")</f>
        <v/>
      </c>
      <c r="T845">
        <f>HYPERLINK("https://klasma.github.io/Logging_2283/kartor/A 2515-2024 karta.png", "A 2515-2024")</f>
        <v/>
      </c>
      <c r="V845">
        <f>HYPERLINK("https://klasma.github.io/Logging_2283/klagomål/A 2515-2024 FSC-klagomål.docx", "A 2515-2024")</f>
        <v/>
      </c>
      <c r="W845">
        <f>HYPERLINK("https://klasma.github.io/Logging_2283/klagomålsmail/A 2515-2024 FSC-klagomål mail.docx", "A 2515-2024")</f>
        <v/>
      </c>
      <c r="X845">
        <f>HYPERLINK("https://klasma.github.io/Logging_2283/tillsyn/A 2515-2024 tillsynsbegäran.docx", "A 2515-2024")</f>
        <v/>
      </c>
      <c r="Y845">
        <f>HYPERLINK("https://klasma.github.io/Logging_2283/tillsynsmail/A 2515-2024 tillsynsbegäran mail.docx", "A 2515-2024")</f>
        <v/>
      </c>
      <c r="Z845">
        <f>HYPERLINK("https://klasma.github.io/Logging_2283/fåglar/A 2515-2024 prioriterade fågelarter.docx", "A 2515-2024")</f>
        <v/>
      </c>
    </row>
    <row r="846" ht="15" customHeight="1">
      <c r="A846" t="inlineStr">
        <is>
          <t>A 48695-2024</t>
        </is>
      </c>
      <c r="B846" s="1" t="n">
        <v>45593.5109837963</v>
      </c>
      <c r="C846" s="1" t="n">
        <v>46185</v>
      </c>
      <c r="D846" t="inlineStr">
        <is>
          <t>VÄSTERNORRLANDS LÄN</t>
        </is>
      </c>
      <c r="E846" t="inlineStr">
        <is>
          <t>ÅNGE</t>
        </is>
      </c>
      <c r="F846" t="inlineStr">
        <is>
          <t>SCA</t>
        </is>
      </c>
      <c r="G846" t="n">
        <v>1.2</v>
      </c>
      <c r="H846" t="n">
        <v>0</v>
      </c>
      <c r="I846" t="n">
        <v>0</v>
      </c>
      <c r="J846" t="n">
        <v>2</v>
      </c>
      <c r="K846" t="n">
        <v>0</v>
      </c>
      <c r="L846" t="n">
        <v>0</v>
      </c>
      <c r="M846" t="n">
        <v>0</v>
      </c>
      <c r="N846" t="n">
        <v>0</v>
      </c>
      <c r="O846" t="n">
        <v>2</v>
      </c>
      <c r="P846" t="n">
        <v>0</v>
      </c>
      <c r="Q846" t="n">
        <v>2</v>
      </c>
      <c r="R846" s="2" t="inlineStr">
        <is>
          <t>Lunglav
Ullticka</t>
        </is>
      </c>
      <c r="S846">
        <f>HYPERLINK("https://klasma.github.io/Logging_2260/artfynd/A 48695-2024 artfynd.xlsx", "A 48695-2024")</f>
        <v/>
      </c>
      <c r="T846">
        <f>HYPERLINK("https://klasma.github.io/Logging_2260/kartor/A 48695-2024 karta.png", "A 48695-2024")</f>
        <v/>
      </c>
      <c r="V846">
        <f>HYPERLINK("https://klasma.github.io/Logging_2260/klagomål/A 48695-2024 FSC-klagomål.docx", "A 48695-2024")</f>
        <v/>
      </c>
      <c r="W846">
        <f>HYPERLINK("https://klasma.github.io/Logging_2260/klagomålsmail/A 48695-2024 FSC-klagomål mail.docx", "A 48695-2024")</f>
        <v/>
      </c>
      <c r="X846">
        <f>HYPERLINK("https://klasma.github.io/Logging_2260/tillsyn/A 48695-2024 tillsynsbegäran.docx", "A 48695-2024")</f>
        <v/>
      </c>
      <c r="Y846">
        <f>HYPERLINK("https://klasma.github.io/Logging_2260/tillsynsmail/A 48695-2024 tillsynsbegäran mail.docx", "A 48695-2024")</f>
        <v/>
      </c>
    </row>
    <row r="847" ht="15" customHeight="1">
      <c r="A847" t="inlineStr">
        <is>
          <t>A 37479-2024</t>
        </is>
      </c>
      <c r="B847" s="1" t="n">
        <v>45541.32978009259</v>
      </c>
      <c r="C847" s="1" t="n">
        <v>46185</v>
      </c>
      <c r="D847" t="inlineStr">
        <is>
          <t>VÄSTERNORRLANDS LÄN</t>
        </is>
      </c>
      <c r="E847" t="inlineStr">
        <is>
          <t>ÖRNSKÖLDSVIK</t>
        </is>
      </c>
      <c r="F847" t="inlineStr">
        <is>
          <t>Holmen skog AB</t>
        </is>
      </c>
      <c r="G847" t="n">
        <v>1.9</v>
      </c>
      <c r="H847" t="n">
        <v>0</v>
      </c>
      <c r="I847" t="n">
        <v>0</v>
      </c>
      <c r="J847" t="n">
        <v>2</v>
      </c>
      <c r="K847" t="n">
        <v>0</v>
      </c>
      <c r="L847" t="n">
        <v>0</v>
      </c>
      <c r="M847" t="n">
        <v>0</v>
      </c>
      <c r="N847" t="n">
        <v>0</v>
      </c>
      <c r="O847" t="n">
        <v>2</v>
      </c>
      <c r="P847" t="n">
        <v>0</v>
      </c>
      <c r="Q847" t="n">
        <v>2</v>
      </c>
      <c r="R847" s="2" t="inlineStr">
        <is>
          <t>Garnlav
Lunglav</t>
        </is>
      </c>
      <c r="S847">
        <f>HYPERLINK("https://klasma.github.io/Logging_2284/artfynd/A 37479-2024 artfynd.xlsx", "A 37479-2024")</f>
        <v/>
      </c>
      <c r="T847">
        <f>HYPERLINK("https://klasma.github.io/Logging_2284/kartor/A 37479-2024 karta.png", "A 37479-2024")</f>
        <v/>
      </c>
      <c r="V847">
        <f>HYPERLINK("https://klasma.github.io/Logging_2284/klagomål/A 37479-2024 FSC-klagomål.docx", "A 37479-2024")</f>
        <v/>
      </c>
      <c r="W847">
        <f>HYPERLINK("https://klasma.github.io/Logging_2284/klagomålsmail/A 37479-2024 FSC-klagomål mail.docx", "A 37479-2024")</f>
        <v/>
      </c>
      <c r="X847">
        <f>HYPERLINK("https://klasma.github.io/Logging_2284/tillsyn/A 37479-2024 tillsynsbegäran.docx", "A 37479-2024")</f>
        <v/>
      </c>
      <c r="Y847">
        <f>HYPERLINK("https://klasma.github.io/Logging_2284/tillsynsmail/A 37479-2024 tillsynsbegäran mail.docx", "A 37479-2024")</f>
        <v/>
      </c>
    </row>
    <row r="848" ht="15" customHeight="1">
      <c r="A848" t="inlineStr">
        <is>
          <t>A 27644-2024</t>
        </is>
      </c>
      <c r="B848" s="1" t="n">
        <v>45474</v>
      </c>
      <c r="C848" s="1" t="n">
        <v>46185</v>
      </c>
      <c r="D848" t="inlineStr">
        <is>
          <t>VÄSTERNORRLANDS LÄN</t>
        </is>
      </c>
      <c r="E848" t="inlineStr">
        <is>
          <t>SOLLEFTEÅ</t>
        </is>
      </c>
      <c r="F848" t="inlineStr">
        <is>
          <t>SCA</t>
        </is>
      </c>
      <c r="G848" t="n">
        <v>2.8</v>
      </c>
      <c r="H848" t="n">
        <v>1</v>
      </c>
      <c r="I848" t="n">
        <v>0</v>
      </c>
      <c r="J848" t="n">
        <v>1</v>
      </c>
      <c r="K848" t="n">
        <v>0</v>
      </c>
      <c r="L848" t="n">
        <v>0</v>
      </c>
      <c r="M848" t="n">
        <v>0</v>
      </c>
      <c r="N848" t="n">
        <v>0</v>
      </c>
      <c r="O848" t="n">
        <v>1</v>
      </c>
      <c r="P848" t="n">
        <v>0</v>
      </c>
      <c r="Q848" t="n">
        <v>2</v>
      </c>
      <c r="R848" s="2" t="inlineStr">
        <is>
          <t>Granticka
Fläcknycklar</t>
        </is>
      </c>
      <c r="S848">
        <f>HYPERLINK("https://klasma.github.io/Logging_2283/artfynd/A 27644-2024 artfynd.xlsx", "A 27644-2024")</f>
        <v/>
      </c>
      <c r="T848">
        <f>HYPERLINK("https://klasma.github.io/Logging_2283/kartor/A 27644-2024 karta.png", "A 27644-2024")</f>
        <v/>
      </c>
      <c r="V848">
        <f>HYPERLINK("https://klasma.github.io/Logging_2283/klagomål/A 27644-2024 FSC-klagomål.docx", "A 27644-2024")</f>
        <v/>
      </c>
      <c r="W848">
        <f>HYPERLINK("https://klasma.github.io/Logging_2283/klagomålsmail/A 27644-2024 FSC-klagomål mail.docx", "A 27644-2024")</f>
        <v/>
      </c>
      <c r="X848">
        <f>HYPERLINK("https://klasma.github.io/Logging_2283/tillsyn/A 27644-2024 tillsynsbegäran.docx", "A 27644-2024")</f>
        <v/>
      </c>
      <c r="Y848">
        <f>HYPERLINK("https://klasma.github.io/Logging_2283/tillsynsmail/A 27644-2024 tillsynsbegäran mail.docx", "A 27644-2024")</f>
        <v/>
      </c>
    </row>
    <row r="849" ht="15" customHeight="1">
      <c r="A849" t="inlineStr">
        <is>
          <t>A 49871-2024</t>
        </is>
      </c>
      <c r="B849" s="1" t="n">
        <v>45597.4903125</v>
      </c>
      <c r="C849" s="1" t="n">
        <v>46185</v>
      </c>
      <c r="D849" t="inlineStr">
        <is>
          <t>VÄSTERNORRLANDS LÄN</t>
        </is>
      </c>
      <c r="E849" t="inlineStr">
        <is>
          <t>ÅNGE</t>
        </is>
      </c>
      <c r="F849" t="inlineStr">
        <is>
          <t>SCA</t>
        </is>
      </c>
      <c r="G849" t="n">
        <v>6.3</v>
      </c>
      <c r="H849" t="n">
        <v>1</v>
      </c>
      <c r="I849" t="n">
        <v>0</v>
      </c>
      <c r="J849" t="n">
        <v>1</v>
      </c>
      <c r="K849" t="n">
        <v>1</v>
      </c>
      <c r="L849" t="n">
        <v>0</v>
      </c>
      <c r="M849" t="n">
        <v>0</v>
      </c>
      <c r="N849" t="n">
        <v>0</v>
      </c>
      <c r="O849" t="n">
        <v>2</v>
      </c>
      <c r="P849" t="n">
        <v>1</v>
      </c>
      <c r="Q849" t="n">
        <v>2</v>
      </c>
      <c r="R849" s="2" t="inlineStr">
        <is>
          <t>Knärot
Garnlav</t>
        </is>
      </c>
      <c r="S849">
        <f>HYPERLINK("https://klasma.github.io/Logging_2260/artfynd/A 49871-2024 artfynd.xlsx", "A 49871-2024")</f>
        <v/>
      </c>
      <c r="T849">
        <f>HYPERLINK("https://klasma.github.io/Logging_2260/kartor/A 49871-2024 karta.png", "A 49871-2024")</f>
        <v/>
      </c>
      <c r="U849">
        <f>HYPERLINK("https://klasma.github.io/Logging_2260/knärot/A 49871-2024 karta knärot.png", "A 49871-2024")</f>
        <v/>
      </c>
      <c r="V849">
        <f>HYPERLINK("https://klasma.github.io/Logging_2260/klagomål/A 49871-2024 FSC-klagomål.docx", "A 49871-2024")</f>
        <v/>
      </c>
      <c r="W849">
        <f>HYPERLINK("https://klasma.github.io/Logging_2260/klagomålsmail/A 49871-2024 FSC-klagomål mail.docx", "A 49871-2024")</f>
        <v/>
      </c>
      <c r="X849">
        <f>HYPERLINK("https://klasma.github.io/Logging_2260/tillsyn/A 49871-2024 tillsynsbegäran.docx", "A 49871-2024")</f>
        <v/>
      </c>
      <c r="Y849">
        <f>HYPERLINK("https://klasma.github.io/Logging_2260/tillsynsmail/A 49871-2024 tillsynsbegäran mail.docx", "A 49871-2024")</f>
        <v/>
      </c>
    </row>
    <row r="850" ht="15" customHeight="1">
      <c r="A850" t="inlineStr">
        <is>
          <t>A 8541-2024</t>
        </is>
      </c>
      <c r="B850" s="1" t="n">
        <v>45351</v>
      </c>
      <c r="C850" s="1" t="n">
        <v>46185</v>
      </c>
      <c r="D850" t="inlineStr">
        <is>
          <t>VÄSTERNORRLANDS LÄN</t>
        </is>
      </c>
      <c r="E850" t="inlineStr">
        <is>
          <t>SOLLEFTEÅ</t>
        </is>
      </c>
      <c r="F850" t="inlineStr">
        <is>
          <t>Kommuner</t>
        </is>
      </c>
      <c r="G850" t="n">
        <v>0.6</v>
      </c>
      <c r="H850" t="n">
        <v>1</v>
      </c>
      <c r="I850" t="n">
        <v>0</v>
      </c>
      <c r="J850" t="n">
        <v>1</v>
      </c>
      <c r="K850" t="n">
        <v>0</v>
      </c>
      <c r="L850" t="n">
        <v>0</v>
      </c>
      <c r="M850" t="n">
        <v>0</v>
      </c>
      <c r="N850" t="n">
        <v>0</v>
      </c>
      <c r="O850" t="n">
        <v>1</v>
      </c>
      <c r="P850" t="n">
        <v>0</v>
      </c>
      <c r="Q850" t="n">
        <v>2</v>
      </c>
      <c r="R850" s="2" t="inlineStr">
        <is>
          <t>Granticka
Järnsparv</t>
        </is>
      </c>
      <c r="S850">
        <f>HYPERLINK("https://klasma.github.io/Logging_2283/artfynd/A 8541-2024 artfynd.xlsx", "A 8541-2024")</f>
        <v/>
      </c>
      <c r="T850">
        <f>HYPERLINK("https://klasma.github.io/Logging_2283/kartor/A 8541-2024 karta.png", "A 8541-2024")</f>
        <v/>
      </c>
      <c r="V850">
        <f>HYPERLINK("https://klasma.github.io/Logging_2283/klagomål/A 8541-2024 FSC-klagomål.docx", "A 8541-2024")</f>
        <v/>
      </c>
      <c r="W850">
        <f>HYPERLINK("https://klasma.github.io/Logging_2283/klagomålsmail/A 8541-2024 FSC-klagomål mail.docx", "A 8541-2024")</f>
        <v/>
      </c>
      <c r="X850">
        <f>HYPERLINK("https://klasma.github.io/Logging_2283/tillsyn/A 8541-2024 tillsynsbegäran.docx", "A 8541-2024")</f>
        <v/>
      </c>
      <c r="Y850">
        <f>HYPERLINK("https://klasma.github.io/Logging_2283/tillsynsmail/A 8541-2024 tillsynsbegäran mail.docx", "A 8541-2024")</f>
        <v/>
      </c>
      <c r="Z850">
        <f>HYPERLINK("https://klasma.github.io/Logging_2283/fåglar/A 8541-2024 prioriterade fågelarter.docx", "A 8541-2024")</f>
        <v/>
      </c>
    </row>
    <row r="851" ht="15" customHeight="1">
      <c r="A851" t="inlineStr">
        <is>
          <t>A 58314-2024</t>
        </is>
      </c>
      <c r="B851" s="1" t="n">
        <v>45632.61516203704</v>
      </c>
      <c r="C851" s="1" t="n">
        <v>46185</v>
      </c>
      <c r="D851" t="inlineStr">
        <is>
          <t>VÄSTERNORRLANDS LÄN</t>
        </is>
      </c>
      <c r="E851" t="inlineStr">
        <is>
          <t>SOLLEFTEÅ</t>
        </is>
      </c>
      <c r="F851" t="inlineStr">
        <is>
          <t>SCA</t>
        </is>
      </c>
      <c r="G851" t="n">
        <v>3.3</v>
      </c>
      <c r="H851" t="n">
        <v>0</v>
      </c>
      <c r="I851" t="n">
        <v>0</v>
      </c>
      <c r="J851" t="n">
        <v>2</v>
      </c>
      <c r="K851" t="n">
        <v>0</v>
      </c>
      <c r="L851" t="n">
        <v>0</v>
      </c>
      <c r="M851" t="n">
        <v>0</v>
      </c>
      <c r="N851" t="n">
        <v>0</v>
      </c>
      <c r="O851" t="n">
        <v>2</v>
      </c>
      <c r="P851" t="n">
        <v>0</v>
      </c>
      <c r="Q851" t="n">
        <v>2</v>
      </c>
      <c r="R851" s="2" t="inlineStr">
        <is>
          <t>Garnlav
Gränsticka</t>
        </is>
      </c>
      <c r="S851">
        <f>HYPERLINK("https://klasma.github.io/Logging_2283/artfynd/A 58314-2024 artfynd.xlsx", "A 58314-2024")</f>
        <v/>
      </c>
      <c r="T851">
        <f>HYPERLINK("https://klasma.github.io/Logging_2283/kartor/A 58314-2024 karta.png", "A 58314-2024")</f>
        <v/>
      </c>
      <c r="V851">
        <f>HYPERLINK("https://klasma.github.io/Logging_2283/klagomål/A 58314-2024 FSC-klagomål.docx", "A 58314-2024")</f>
        <v/>
      </c>
      <c r="W851">
        <f>HYPERLINK("https://klasma.github.io/Logging_2283/klagomålsmail/A 58314-2024 FSC-klagomål mail.docx", "A 58314-2024")</f>
        <v/>
      </c>
      <c r="X851">
        <f>HYPERLINK("https://klasma.github.io/Logging_2283/tillsyn/A 58314-2024 tillsynsbegäran.docx", "A 58314-2024")</f>
        <v/>
      </c>
      <c r="Y851">
        <f>HYPERLINK("https://klasma.github.io/Logging_2283/tillsynsmail/A 58314-2024 tillsynsbegäran mail.docx", "A 58314-2024")</f>
        <v/>
      </c>
    </row>
    <row r="852" ht="15" customHeight="1">
      <c r="A852" t="inlineStr">
        <is>
          <t>A 61515-2024</t>
        </is>
      </c>
      <c r="B852" s="1" t="n">
        <v>45646.57324074074</v>
      </c>
      <c r="C852" s="1" t="n">
        <v>46185</v>
      </c>
      <c r="D852" t="inlineStr">
        <is>
          <t>VÄSTERNORRLANDS LÄN</t>
        </is>
      </c>
      <c r="E852" t="inlineStr">
        <is>
          <t>ÖRNSKÖLDSVIK</t>
        </is>
      </c>
      <c r="F852" t="inlineStr">
        <is>
          <t>SCA</t>
        </is>
      </c>
      <c r="G852" t="n">
        <v>2.5</v>
      </c>
      <c r="H852" t="n">
        <v>0</v>
      </c>
      <c r="I852" t="n">
        <v>1</v>
      </c>
      <c r="J852" t="n">
        <v>1</v>
      </c>
      <c r="K852" t="n">
        <v>0</v>
      </c>
      <c r="L852" t="n">
        <v>0</v>
      </c>
      <c r="M852" t="n">
        <v>0</v>
      </c>
      <c r="N852" t="n">
        <v>0</v>
      </c>
      <c r="O852" t="n">
        <v>1</v>
      </c>
      <c r="P852" t="n">
        <v>0</v>
      </c>
      <c r="Q852" t="n">
        <v>2</v>
      </c>
      <c r="R852" s="2" t="inlineStr">
        <is>
          <t>Motaggsvamp
Dropptaggsvamp</t>
        </is>
      </c>
      <c r="S852">
        <f>HYPERLINK("https://klasma.github.io/Logging_2284/artfynd/A 61515-2024 artfynd.xlsx", "A 61515-2024")</f>
        <v/>
      </c>
      <c r="T852">
        <f>HYPERLINK("https://klasma.github.io/Logging_2284/kartor/A 61515-2024 karta.png", "A 61515-2024")</f>
        <v/>
      </c>
      <c r="V852">
        <f>HYPERLINK("https://klasma.github.io/Logging_2284/klagomål/A 61515-2024 FSC-klagomål.docx", "A 61515-2024")</f>
        <v/>
      </c>
      <c r="W852">
        <f>HYPERLINK("https://klasma.github.io/Logging_2284/klagomålsmail/A 61515-2024 FSC-klagomål mail.docx", "A 61515-2024")</f>
        <v/>
      </c>
      <c r="X852">
        <f>HYPERLINK("https://klasma.github.io/Logging_2284/tillsyn/A 61515-2024 tillsynsbegäran.docx", "A 61515-2024")</f>
        <v/>
      </c>
      <c r="Y852">
        <f>HYPERLINK("https://klasma.github.io/Logging_2284/tillsynsmail/A 61515-2024 tillsynsbegäran mail.docx", "A 61515-2024")</f>
        <v/>
      </c>
    </row>
    <row r="853" ht="15" customHeight="1">
      <c r="A853" t="inlineStr">
        <is>
          <t>A 52741-2022</t>
        </is>
      </c>
      <c r="B853" s="1" t="n">
        <v>44874</v>
      </c>
      <c r="C853" s="1" t="n">
        <v>46185</v>
      </c>
      <c r="D853" t="inlineStr">
        <is>
          <t>VÄSTERNORRLANDS LÄN</t>
        </is>
      </c>
      <c r="E853" t="inlineStr">
        <is>
          <t>SUNDSVALL</t>
        </is>
      </c>
      <c r="F853" t="inlineStr">
        <is>
          <t>SCA</t>
        </is>
      </c>
      <c r="G853" t="n">
        <v>5.2</v>
      </c>
      <c r="H853" t="n">
        <v>1</v>
      </c>
      <c r="I853" t="n">
        <v>1</v>
      </c>
      <c r="J853" t="n">
        <v>1</v>
      </c>
      <c r="K853" t="n">
        <v>0</v>
      </c>
      <c r="L853" t="n">
        <v>0</v>
      </c>
      <c r="M853" t="n">
        <v>0</v>
      </c>
      <c r="N853" t="n">
        <v>0</v>
      </c>
      <c r="O853" t="n">
        <v>1</v>
      </c>
      <c r="P853" t="n">
        <v>0</v>
      </c>
      <c r="Q853" t="n">
        <v>2</v>
      </c>
      <c r="R853" s="2" t="inlineStr">
        <is>
          <t>Videsparv
Skuggblåslav</t>
        </is>
      </c>
      <c r="S853">
        <f>HYPERLINK("https://klasma.github.io/Logging_2281/artfynd/A 52741-2022 artfynd.xlsx", "A 52741-2022")</f>
        <v/>
      </c>
      <c r="T853">
        <f>HYPERLINK("https://klasma.github.io/Logging_2281/kartor/A 52741-2022 karta.png", "A 52741-2022")</f>
        <v/>
      </c>
      <c r="V853">
        <f>HYPERLINK("https://klasma.github.io/Logging_2281/klagomål/A 52741-2022 FSC-klagomål.docx", "A 52741-2022")</f>
        <v/>
      </c>
      <c r="W853">
        <f>HYPERLINK("https://klasma.github.io/Logging_2281/klagomålsmail/A 52741-2022 FSC-klagomål mail.docx", "A 52741-2022")</f>
        <v/>
      </c>
      <c r="X853">
        <f>HYPERLINK("https://klasma.github.io/Logging_2281/tillsyn/A 52741-2022 tillsynsbegäran.docx", "A 52741-2022")</f>
        <v/>
      </c>
      <c r="Y853">
        <f>HYPERLINK("https://klasma.github.io/Logging_2281/tillsynsmail/A 52741-2022 tillsynsbegäran mail.docx", "A 52741-2022")</f>
        <v/>
      </c>
      <c r="Z853">
        <f>HYPERLINK("https://klasma.github.io/Logging_2281/fåglar/A 52741-2022 prioriterade fågelarter.docx", "A 52741-2022")</f>
        <v/>
      </c>
    </row>
    <row r="854" ht="15" customHeight="1">
      <c r="A854" t="inlineStr">
        <is>
          <t>A 62256-2022</t>
        </is>
      </c>
      <c r="B854" s="1" t="n">
        <v>44922.94278935185</v>
      </c>
      <c r="C854" s="1" t="n">
        <v>46185</v>
      </c>
      <c r="D854" t="inlineStr">
        <is>
          <t>VÄSTERNORRLANDS LÄN</t>
        </is>
      </c>
      <c r="E854" t="inlineStr">
        <is>
          <t>ÖRNSKÖLDSVIK</t>
        </is>
      </c>
      <c r="F854" t="inlineStr">
        <is>
          <t>SCA</t>
        </is>
      </c>
      <c r="G854" t="n">
        <v>2.4</v>
      </c>
      <c r="H854" t="n">
        <v>1</v>
      </c>
      <c r="I854" t="n">
        <v>0</v>
      </c>
      <c r="J854" t="n">
        <v>2</v>
      </c>
      <c r="K854" t="n">
        <v>0</v>
      </c>
      <c r="L854" t="n">
        <v>0</v>
      </c>
      <c r="M854" t="n">
        <v>0</v>
      </c>
      <c r="N854" t="n">
        <v>0</v>
      </c>
      <c r="O854" t="n">
        <v>2</v>
      </c>
      <c r="P854" t="n">
        <v>0</v>
      </c>
      <c r="Q854" t="n">
        <v>2</v>
      </c>
      <c r="R854" s="2" t="inlineStr">
        <is>
          <t>Granticka
Tretåig hackspett</t>
        </is>
      </c>
      <c r="S854">
        <f>HYPERLINK("https://klasma.github.io/Logging_2284/artfynd/A 62256-2022 artfynd.xlsx", "A 62256-2022")</f>
        <v/>
      </c>
      <c r="T854">
        <f>HYPERLINK("https://klasma.github.io/Logging_2284/kartor/A 62256-2022 karta.png", "A 62256-2022")</f>
        <v/>
      </c>
      <c r="V854">
        <f>HYPERLINK("https://klasma.github.io/Logging_2284/klagomål/A 62256-2022 FSC-klagomål.docx", "A 62256-2022")</f>
        <v/>
      </c>
      <c r="W854">
        <f>HYPERLINK("https://klasma.github.io/Logging_2284/klagomålsmail/A 62256-2022 FSC-klagomål mail.docx", "A 62256-2022")</f>
        <v/>
      </c>
      <c r="X854">
        <f>HYPERLINK("https://klasma.github.io/Logging_2284/tillsyn/A 62256-2022 tillsynsbegäran.docx", "A 62256-2022")</f>
        <v/>
      </c>
      <c r="Y854">
        <f>HYPERLINK("https://klasma.github.io/Logging_2284/tillsynsmail/A 62256-2022 tillsynsbegäran mail.docx", "A 62256-2022")</f>
        <v/>
      </c>
      <c r="Z854">
        <f>HYPERLINK("https://klasma.github.io/Logging_2284/fåglar/A 62256-2022 prioriterade fågelarter.docx", "A 62256-2022")</f>
        <v/>
      </c>
    </row>
    <row r="855" ht="15" customHeight="1">
      <c r="A855" t="inlineStr">
        <is>
          <t>A 20882-2025</t>
        </is>
      </c>
      <c r="B855" s="1" t="n">
        <v>45777.36506944444</v>
      </c>
      <c r="C855" s="1" t="n">
        <v>46185</v>
      </c>
      <c r="D855" t="inlineStr">
        <is>
          <t>VÄSTERNORRLANDS LÄN</t>
        </is>
      </c>
      <c r="E855" t="inlineStr">
        <is>
          <t>TIMRÅ</t>
        </is>
      </c>
      <c r="F855" t="inlineStr">
        <is>
          <t>SCA</t>
        </is>
      </c>
      <c r="G855" t="n">
        <v>3.3</v>
      </c>
      <c r="H855" t="n">
        <v>0</v>
      </c>
      <c r="I855" t="n">
        <v>0</v>
      </c>
      <c r="J855" t="n">
        <v>2</v>
      </c>
      <c r="K855" t="n">
        <v>0</v>
      </c>
      <c r="L855" t="n">
        <v>0</v>
      </c>
      <c r="M855" t="n">
        <v>0</v>
      </c>
      <c r="N855" t="n">
        <v>0</v>
      </c>
      <c r="O855" t="n">
        <v>2</v>
      </c>
      <c r="P855" t="n">
        <v>0</v>
      </c>
      <c r="Q855" t="n">
        <v>2</v>
      </c>
      <c r="R855" s="2" t="inlineStr">
        <is>
          <t>Garnlav
Lunglav</t>
        </is>
      </c>
      <c r="S855">
        <f>HYPERLINK("https://klasma.github.io/Logging_2262/artfynd/A 20882-2025 artfynd.xlsx", "A 20882-2025")</f>
        <v/>
      </c>
      <c r="T855">
        <f>HYPERLINK("https://klasma.github.io/Logging_2262/kartor/A 20882-2025 karta.png", "A 20882-2025")</f>
        <v/>
      </c>
      <c r="V855">
        <f>HYPERLINK("https://klasma.github.io/Logging_2262/klagomål/A 20882-2025 FSC-klagomål.docx", "A 20882-2025")</f>
        <v/>
      </c>
      <c r="W855">
        <f>HYPERLINK("https://klasma.github.io/Logging_2262/klagomålsmail/A 20882-2025 FSC-klagomål mail.docx", "A 20882-2025")</f>
        <v/>
      </c>
      <c r="X855">
        <f>HYPERLINK("https://klasma.github.io/Logging_2262/tillsyn/A 20882-2025 tillsynsbegäran.docx", "A 20882-2025")</f>
        <v/>
      </c>
      <c r="Y855">
        <f>HYPERLINK("https://klasma.github.io/Logging_2262/tillsynsmail/A 20882-2025 tillsynsbegäran mail.docx", "A 20882-2025")</f>
        <v/>
      </c>
    </row>
    <row r="856" ht="15" customHeight="1">
      <c r="A856" t="inlineStr">
        <is>
          <t>A 21321-2025</t>
        </is>
      </c>
      <c r="B856" s="1" t="n">
        <v>45782.34512731482</v>
      </c>
      <c r="C856" s="1" t="n">
        <v>46185</v>
      </c>
      <c r="D856" t="inlineStr">
        <is>
          <t>VÄSTERNORRLANDS LÄN</t>
        </is>
      </c>
      <c r="E856" t="inlineStr">
        <is>
          <t>SUNDSVALL</t>
        </is>
      </c>
      <c r="F856" t="inlineStr">
        <is>
          <t>Naturvårdsverket</t>
        </is>
      </c>
      <c r="G856" t="n">
        <v>1.4</v>
      </c>
      <c r="H856" t="n">
        <v>0</v>
      </c>
      <c r="I856" t="n">
        <v>0</v>
      </c>
      <c r="J856" t="n">
        <v>2</v>
      </c>
      <c r="K856" t="n">
        <v>0</v>
      </c>
      <c r="L856" t="n">
        <v>0</v>
      </c>
      <c r="M856" t="n">
        <v>0</v>
      </c>
      <c r="N856" t="n">
        <v>0</v>
      </c>
      <c r="O856" t="n">
        <v>2</v>
      </c>
      <c r="P856" t="n">
        <v>0</v>
      </c>
      <c r="Q856" t="n">
        <v>2</v>
      </c>
      <c r="R856" s="2" t="inlineStr">
        <is>
          <t>Tallticka
Vedskivlav</t>
        </is>
      </c>
      <c r="S856">
        <f>HYPERLINK("https://klasma.github.io/Logging_2281/artfynd/A 21321-2025 artfynd.xlsx", "A 21321-2025")</f>
        <v/>
      </c>
      <c r="T856">
        <f>HYPERLINK("https://klasma.github.io/Logging_2281/kartor/A 21321-2025 karta.png", "A 21321-2025")</f>
        <v/>
      </c>
      <c r="V856">
        <f>HYPERLINK("https://klasma.github.io/Logging_2281/klagomål/A 21321-2025 FSC-klagomål.docx", "A 21321-2025")</f>
        <v/>
      </c>
      <c r="W856">
        <f>HYPERLINK("https://klasma.github.io/Logging_2281/klagomålsmail/A 21321-2025 FSC-klagomål mail.docx", "A 21321-2025")</f>
        <v/>
      </c>
      <c r="X856">
        <f>HYPERLINK("https://klasma.github.io/Logging_2281/tillsyn/A 21321-2025 tillsynsbegäran.docx", "A 21321-2025")</f>
        <v/>
      </c>
      <c r="Y856">
        <f>HYPERLINK("https://klasma.github.io/Logging_2281/tillsynsmail/A 21321-2025 tillsynsbegäran mail.docx", "A 21321-2025")</f>
        <v/>
      </c>
    </row>
    <row r="857" ht="15" customHeight="1">
      <c r="A857" t="inlineStr">
        <is>
          <t>A 21373-2025</t>
        </is>
      </c>
      <c r="B857" s="1" t="n">
        <v>45782.44880787037</v>
      </c>
      <c r="C857" s="1" t="n">
        <v>46185</v>
      </c>
      <c r="D857" t="inlineStr">
        <is>
          <t>VÄSTERNORRLANDS LÄN</t>
        </is>
      </c>
      <c r="E857" t="inlineStr">
        <is>
          <t>SUNDSVALL</t>
        </is>
      </c>
      <c r="F857" t="inlineStr">
        <is>
          <t>Naturvårdsverket</t>
        </is>
      </c>
      <c r="G857" t="n">
        <v>3.1</v>
      </c>
      <c r="H857" t="n">
        <v>0</v>
      </c>
      <c r="I857" t="n">
        <v>0</v>
      </c>
      <c r="J857" t="n">
        <v>2</v>
      </c>
      <c r="K857" t="n">
        <v>0</v>
      </c>
      <c r="L857" t="n">
        <v>0</v>
      </c>
      <c r="M857" t="n">
        <v>0</v>
      </c>
      <c r="N857" t="n">
        <v>0</v>
      </c>
      <c r="O857" t="n">
        <v>2</v>
      </c>
      <c r="P857" t="n">
        <v>0</v>
      </c>
      <c r="Q857" t="n">
        <v>2</v>
      </c>
      <c r="R857" s="2" t="inlineStr">
        <is>
          <t>Kolflarnlav
Lunglav</t>
        </is>
      </c>
      <c r="S857">
        <f>HYPERLINK("https://klasma.github.io/Logging_2281/artfynd/A 21373-2025 artfynd.xlsx", "A 21373-2025")</f>
        <v/>
      </c>
      <c r="T857">
        <f>HYPERLINK("https://klasma.github.io/Logging_2281/kartor/A 21373-2025 karta.png", "A 21373-2025")</f>
        <v/>
      </c>
      <c r="V857">
        <f>HYPERLINK("https://klasma.github.io/Logging_2281/klagomål/A 21373-2025 FSC-klagomål.docx", "A 21373-2025")</f>
        <v/>
      </c>
      <c r="W857">
        <f>HYPERLINK("https://klasma.github.io/Logging_2281/klagomålsmail/A 21373-2025 FSC-klagomål mail.docx", "A 21373-2025")</f>
        <v/>
      </c>
      <c r="X857">
        <f>HYPERLINK("https://klasma.github.io/Logging_2281/tillsyn/A 21373-2025 tillsynsbegäran.docx", "A 21373-2025")</f>
        <v/>
      </c>
      <c r="Y857">
        <f>HYPERLINK("https://klasma.github.io/Logging_2281/tillsynsmail/A 21373-2025 tillsynsbegäran mail.docx", "A 21373-2025")</f>
        <v/>
      </c>
    </row>
    <row r="858" ht="15" customHeight="1">
      <c r="A858" t="inlineStr">
        <is>
          <t>A 21485-2025</t>
        </is>
      </c>
      <c r="B858" s="1" t="n">
        <v>45782.59512731482</v>
      </c>
      <c r="C858" s="1" t="n">
        <v>46185</v>
      </c>
      <c r="D858" t="inlineStr">
        <is>
          <t>VÄSTERNORRLANDS LÄN</t>
        </is>
      </c>
      <c r="E858" t="inlineStr">
        <is>
          <t>SOLLEFTEÅ</t>
        </is>
      </c>
      <c r="F858" t="inlineStr">
        <is>
          <t>SCA</t>
        </is>
      </c>
      <c r="G858" t="n">
        <v>5.4</v>
      </c>
      <c r="H858" t="n">
        <v>0</v>
      </c>
      <c r="I858" t="n">
        <v>1</v>
      </c>
      <c r="J858" t="n">
        <v>1</v>
      </c>
      <c r="K858" t="n">
        <v>0</v>
      </c>
      <c r="L858" t="n">
        <v>0</v>
      </c>
      <c r="M858" t="n">
        <v>0</v>
      </c>
      <c r="N858" t="n">
        <v>0</v>
      </c>
      <c r="O858" t="n">
        <v>1</v>
      </c>
      <c r="P858" t="n">
        <v>0</v>
      </c>
      <c r="Q858" t="n">
        <v>2</v>
      </c>
      <c r="R858" s="2" t="inlineStr">
        <is>
          <t>Garnlav
Vågbandad barkbock</t>
        </is>
      </c>
      <c r="S858">
        <f>HYPERLINK("https://klasma.github.io/Logging_2283/artfynd/A 21485-2025 artfynd.xlsx", "A 21485-2025")</f>
        <v/>
      </c>
      <c r="T858">
        <f>HYPERLINK("https://klasma.github.io/Logging_2283/kartor/A 21485-2025 karta.png", "A 21485-2025")</f>
        <v/>
      </c>
      <c r="V858">
        <f>HYPERLINK("https://klasma.github.io/Logging_2283/klagomål/A 21485-2025 FSC-klagomål.docx", "A 21485-2025")</f>
        <v/>
      </c>
      <c r="W858">
        <f>HYPERLINK("https://klasma.github.io/Logging_2283/klagomålsmail/A 21485-2025 FSC-klagomål mail.docx", "A 21485-2025")</f>
        <v/>
      </c>
      <c r="X858">
        <f>HYPERLINK("https://klasma.github.io/Logging_2283/tillsyn/A 21485-2025 tillsynsbegäran.docx", "A 21485-2025")</f>
        <v/>
      </c>
      <c r="Y858">
        <f>HYPERLINK("https://klasma.github.io/Logging_2283/tillsynsmail/A 21485-2025 tillsynsbegäran mail.docx", "A 21485-2025")</f>
        <v/>
      </c>
    </row>
    <row r="859" ht="15" customHeight="1">
      <c r="A859" t="inlineStr">
        <is>
          <t>A 21742-2025</t>
        </is>
      </c>
      <c r="B859" s="1" t="n">
        <v>45783.59428240741</v>
      </c>
      <c r="C859" s="1" t="n">
        <v>46185</v>
      </c>
      <c r="D859" t="inlineStr">
        <is>
          <t>VÄSTERNORRLANDS LÄN</t>
        </is>
      </c>
      <c r="E859" t="inlineStr">
        <is>
          <t>SOLLEFTEÅ</t>
        </is>
      </c>
      <c r="F859" t="inlineStr">
        <is>
          <t>SCA</t>
        </is>
      </c>
      <c r="G859" t="n">
        <v>1.5</v>
      </c>
      <c r="H859" t="n">
        <v>1</v>
      </c>
      <c r="I859" t="n">
        <v>0</v>
      </c>
      <c r="J859" t="n">
        <v>1</v>
      </c>
      <c r="K859" t="n">
        <v>0</v>
      </c>
      <c r="L859" t="n">
        <v>0</v>
      </c>
      <c r="M859" t="n">
        <v>0</v>
      </c>
      <c r="N859" t="n">
        <v>0</v>
      </c>
      <c r="O859" t="n">
        <v>1</v>
      </c>
      <c r="P859" t="n">
        <v>0</v>
      </c>
      <c r="Q859" t="n">
        <v>2</v>
      </c>
      <c r="R859" s="2" t="inlineStr">
        <is>
          <t>Garnlav
Revlummer</t>
        </is>
      </c>
      <c r="S859">
        <f>HYPERLINK("https://klasma.github.io/Logging_2283/artfynd/A 21742-2025 artfynd.xlsx", "A 21742-2025")</f>
        <v/>
      </c>
      <c r="T859">
        <f>HYPERLINK("https://klasma.github.io/Logging_2283/kartor/A 21742-2025 karta.png", "A 21742-2025")</f>
        <v/>
      </c>
      <c r="V859">
        <f>HYPERLINK("https://klasma.github.io/Logging_2283/klagomål/A 21742-2025 FSC-klagomål.docx", "A 21742-2025")</f>
        <v/>
      </c>
      <c r="W859">
        <f>HYPERLINK("https://klasma.github.io/Logging_2283/klagomålsmail/A 21742-2025 FSC-klagomål mail.docx", "A 21742-2025")</f>
        <v/>
      </c>
      <c r="X859">
        <f>HYPERLINK("https://klasma.github.io/Logging_2283/tillsyn/A 21742-2025 tillsynsbegäran.docx", "A 21742-2025")</f>
        <v/>
      </c>
      <c r="Y859">
        <f>HYPERLINK("https://klasma.github.io/Logging_2283/tillsynsmail/A 21742-2025 tillsynsbegäran mail.docx", "A 21742-2025")</f>
        <v/>
      </c>
    </row>
    <row r="860" ht="15" customHeight="1">
      <c r="A860" t="inlineStr">
        <is>
          <t>A 21621-2025</t>
        </is>
      </c>
      <c r="B860" s="1" t="n">
        <v>45783.40657407408</v>
      </c>
      <c r="C860" s="1" t="n">
        <v>46185</v>
      </c>
      <c r="D860" t="inlineStr">
        <is>
          <t>VÄSTERNORRLANDS LÄN</t>
        </is>
      </c>
      <c r="E860" t="inlineStr">
        <is>
          <t>TIMRÅ</t>
        </is>
      </c>
      <c r="F860" t="inlineStr">
        <is>
          <t>SCA</t>
        </is>
      </c>
      <c r="G860" t="n">
        <v>1.6</v>
      </c>
      <c r="H860" t="n">
        <v>1</v>
      </c>
      <c r="I860" t="n">
        <v>0</v>
      </c>
      <c r="J860" t="n">
        <v>1</v>
      </c>
      <c r="K860" t="n">
        <v>1</v>
      </c>
      <c r="L860" t="n">
        <v>0</v>
      </c>
      <c r="M860" t="n">
        <v>0</v>
      </c>
      <c r="N860" t="n">
        <v>0</v>
      </c>
      <c r="O860" t="n">
        <v>2</v>
      </c>
      <c r="P860" t="n">
        <v>1</v>
      </c>
      <c r="Q860" t="n">
        <v>2</v>
      </c>
      <c r="R860" s="2" t="inlineStr">
        <is>
          <t>Knärot
Rosenticka</t>
        </is>
      </c>
      <c r="S860">
        <f>HYPERLINK("https://klasma.github.io/Logging_2262/artfynd/A 21621-2025 artfynd.xlsx", "A 21621-2025")</f>
        <v/>
      </c>
      <c r="T860">
        <f>HYPERLINK("https://klasma.github.io/Logging_2262/kartor/A 21621-2025 karta.png", "A 21621-2025")</f>
        <v/>
      </c>
      <c r="U860">
        <f>HYPERLINK("https://klasma.github.io/Logging_2262/knärot/A 21621-2025 karta knärot.png", "A 21621-2025")</f>
        <v/>
      </c>
      <c r="V860">
        <f>HYPERLINK("https://klasma.github.io/Logging_2262/klagomål/A 21621-2025 FSC-klagomål.docx", "A 21621-2025")</f>
        <v/>
      </c>
      <c r="W860">
        <f>HYPERLINK("https://klasma.github.io/Logging_2262/klagomålsmail/A 21621-2025 FSC-klagomål mail.docx", "A 21621-2025")</f>
        <v/>
      </c>
      <c r="X860">
        <f>HYPERLINK("https://klasma.github.io/Logging_2262/tillsyn/A 21621-2025 tillsynsbegäran.docx", "A 21621-2025")</f>
        <v/>
      </c>
      <c r="Y860">
        <f>HYPERLINK("https://klasma.github.io/Logging_2262/tillsynsmail/A 21621-2025 tillsynsbegäran mail.docx", "A 21621-2025")</f>
        <v/>
      </c>
    </row>
    <row r="861" ht="15" customHeight="1">
      <c r="A861" t="inlineStr">
        <is>
          <t>A 60670-2024</t>
        </is>
      </c>
      <c r="B861" s="1" t="n">
        <v>45642</v>
      </c>
      <c r="C861" s="1" t="n">
        <v>46185</v>
      </c>
      <c r="D861" t="inlineStr">
        <is>
          <t>VÄSTERNORRLANDS LÄN</t>
        </is>
      </c>
      <c r="E861" t="inlineStr">
        <is>
          <t>TIMRÅ</t>
        </is>
      </c>
      <c r="G861" t="n">
        <v>2.9</v>
      </c>
      <c r="H861" t="n">
        <v>1</v>
      </c>
      <c r="I861" t="n">
        <v>1</v>
      </c>
      <c r="J861" t="n">
        <v>0</v>
      </c>
      <c r="K861" t="n">
        <v>0</v>
      </c>
      <c r="L861" t="n">
        <v>0</v>
      </c>
      <c r="M861" t="n">
        <v>0</v>
      </c>
      <c r="N861" t="n">
        <v>0</v>
      </c>
      <c r="O861" t="n">
        <v>0</v>
      </c>
      <c r="P861" t="n">
        <v>0</v>
      </c>
      <c r="Q861" t="n">
        <v>2</v>
      </c>
      <c r="R861" s="2" t="inlineStr">
        <is>
          <t>Dvärghäxört
Fläcknycklar</t>
        </is>
      </c>
      <c r="S861">
        <f>HYPERLINK("https://klasma.github.io/Logging_2262/artfynd/A 60670-2024 artfynd.xlsx", "A 60670-2024")</f>
        <v/>
      </c>
      <c r="T861">
        <f>HYPERLINK("https://klasma.github.io/Logging_2262/kartor/A 60670-2024 karta.png", "A 60670-2024")</f>
        <v/>
      </c>
      <c r="V861">
        <f>HYPERLINK("https://klasma.github.io/Logging_2262/klagomål/A 60670-2024 FSC-klagomål.docx", "A 60670-2024")</f>
        <v/>
      </c>
      <c r="W861">
        <f>HYPERLINK("https://klasma.github.io/Logging_2262/klagomålsmail/A 60670-2024 FSC-klagomål mail.docx", "A 60670-2024")</f>
        <v/>
      </c>
      <c r="X861">
        <f>HYPERLINK("https://klasma.github.io/Logging_2262/tillsyn/A 60670-2024 tillsynsbegäran.docx", "A 60670-2024")</f>
        <v/>
      </c>
      <c r="Y861">
        <f>HYPERLINK("https://klasma.github.io/Logging_2262/tillsynsmail/A 60670-2024 tillsynsbegäran mail.docx", "A 60670-2024")</f>
        <v/>
      </c>
    </row>
    <row r="862" ht="15" customHeight="1">
      <c r="A862" t="inlineStr">
        <is>
          <t>A 22379-2025</t>
        </is>
      </c>
      <c r="B862" s="1" t="n">
        <v>45786</v>
      </c>
      <c r="C862" s="1" t="n">
        <v>46185</v>
      </c>
      <c r="D862" t="inlineStr">
        <is>
          <t>VÄSTERNORRLANDS LÄN</t>
        </is>
      </c>
      <c r="E862" t="inlineStr">
        <is>
          <t>TIMRÅ</t>
        </is>
      </c>
      <c r="F862" t="inlineStr">
        <is>
          <t>SCA</t>
        </is>
      </c>
      <c r="G862" t="n">
        <v>8.300000000000001</v>
      </c>
      <c r="H862" t="n">
        <v>0</v>
      </c>
      <c r="I862" t="n">
        <v>0</v>
      </c>
      <c r="J862" t="n">
        <v>2</v>
      </c>
      <c r="K862" t="n">
        <v>0</v>
      </c>
      <c r="L862" t="n">
        <v>0</v>
      </c>
      <c r="M862" t="n">
        <v>0</v>
      </c>
      <c r="N862" t="n">
        <v>0</v>
      </c>
      <c r="O862" t="n">
        <v>2</v>
      </c>
      <c r="P862" t="n">
        <v>0</v>
      </c>
      <c r="Q862" t="n">
        <v>2</v>
      </c>
      <c r="R862" s="2" t="inlineStr">
        <is>
          <t>Lunglav
Mörk kolflarnlav</t>
        </is>
      </c>
      <c r="S862">
        <f>HYPERLINK("https://klasma.github.io/Logging_2262/artfynd/A 22379-2025 artfynd.xlsx", "A 22379-2025")</f>
        <v/>
      </c>
      <c r="T862">
        <f>HYPERLINK("https://klasma.github.io/Logging_2262/kartor/A 22379-2025 karta.png", "A 22379-2025")</f>
        <v/>
      </c>
      <c r="V862">
        <f>HYPERLINK("https://klasma.github.io/Logging_2262/klagomål/A 22379-2025 FSC-klagomål.docx", "A 22379-2025")</f>
        <v/>
      </c>
      <c r="W862">
        <f>HYPERLINK("https://klasma.github.io/Logging_2262/klagomålsmail/A 22379-2025 FSC-klagomål mail.docx", "A 22379-2025")</f>
        <v/>
      </c>
      <c r="X862">
        <f>HYPERLINK("https://klasma.github.io/Logging_2262/tillsyn/A 22379-2025 tillsynsbegäran.docx", "A 22379-2025")</f>
        <v/>
      </c>
      <c r="Y862">
        <f>HYPERLINK("https://klasma.github.io/Logging_2262/tillsynsmail/A 22379-2025 tillsynsbegäran mail.docx", "A 22379-2025")</f>
        <v/>
      </c>
    </row>
    <row r="863" ht="15" customHeight="1">
      <c r="A863" t="inlineStr">
        <is>
          <t>A 34812-2024</t>
        </is>
      </c>
      <c r="B863" s="1" t="n">
        <v>45526</v>
      </c>
      <c r="C863" s="1" t="n">
        <v>46185</v>
      </c>
      <c r="D863" t="inlineStr">
        <is>
          <t>VÄSTERNORRLANDS LÄN</t>
        </is>
      </c>
      <c r="E863" t="inlineStr">
        <is>
          <t>SOLLEFTEÅ</t>
        </is>
      </c>
      <c r="G863" t="n">
        <v>8.1</v>
      </c>
      <c r="H863" t="n">
        <v>0</v>
      </c>
      <c r="I863" t="n">
        <v>1</v>
      </c>
      <c r="J863" t="n">
        <v>1</v>
      </c>
      <c r="K863" t="n">
        <v>0</v>
      </c>
      <c r="L863" t="n">
        <v>0</v>
      </c>
      <c r="M863" t="n">
        <v>0</v>
      </c>
      <c r="N863" t="n">
        <v>0</v>
      </c>
      <c r="O863" t="n">
        <v>1</v>
      </c>
      <c r="P863" t="n">
        <v>0</v>
      </c>
      <c r="Q863" t="n">
        <v>2</v>
      </c>
      <c r="R863" s="2" t="inlineStr">
        <is>
          <t>Garnlav
Dropptaggsvamp</t>
        </is>
      </c>
      <c r="S863">
        <f>HYPERLINK("https://klasma.github.io/Logging_2283/artfynd/A 34812-2024 artfynd.xlsx", "A 34812-2024")</f>
        <v/>
      </c>
      <c r="T863">
        <f>HYPERLINK("https://klasma.github.io/Logging_2283/kartor/A 34812-2024 karta.png", "A 34812-2024")</f>
        <v/>
      </c>
      <c r="V863">
        <f>HYPERLINK("https://klasma.github.io/Logging_2283/klagomål/A 34812-2024 FSC-klagomål.docx", "A 34812-2024")</f>
        <v/>
      </c>
      <c r="W863">
        <f>HYPERLINK("https://klasma.github.io/Logging_2283/klagomålsmail/A 34812-2024 FSC-klagomål mail.docx", "A 34812-2024")</f>
        <v/>
      </c>
      <c r="X863">
        <f>HYPERLINK("https://klasma.github.io/Logging_2283/tillsyn/A 34812-2024 tillsynsbegäran.docx", "A 34812-2024")</f>
        <v/>
      </c>
      <c r="Y863">
        <f>HYPERLINK("https://klasma.github.io/Logging_2283/tillsynsmail/A 34812-2024 tillsynsbegäran mail.docx", "A 34812-2024")</f>
        <v/>
      </c>
    </row>
    <row r="864" ht="15" customHeight="1">
      <c r="A864" t="inlineStr">
        <is>
          <t>A 22072-2025</t>
        </is>
      </c>
      <c r="B864" s="1" t="n">
        <v>45785.40699074074</v>
      </c>
      <c r="C864" s="1" t="n">
        <v>46185</v>
      </c>
      <c r="D864" t="inlineStr">
        <is>
          <t>VÄSTERNORRLANDS LÄN</t>
        </is>
      </c>
      <c r="E864" t="inlineStr">
        <is>
          <t>TIMRÅ</t>
        </is>
      </c>
      <c r="F864" t="inlineStr">
        <is>
          <t>SCA</t>
        </is>
      </c>
      <c r="G864" t="n">
        <v>1.1</v>
      </c>
      <c r="H864" t="n">
        <v>0</v>
      </c>
      <c r="I864" t="n">
        <v>0</v>
      </c>
      <c r="J864" t="n">
        <v>2</v>
      </c>
      <c r="K864" t="n">
        <v>0</v>
      </c>
      <c r="L864" t="n">
        <v>0</v>
      </c>
      <c r="M864" t="n">
        <v>0</v>
      </c>
      <c r="N864" t="n">
        <v>0</v>
      </c>
      <c r="O864" t="n">
        <v>2</v>
      </c>
      <c r="P864" t="n">
        <v>0</v>
      </c>
      <c r="Q864" t="n">
        <v>2</v>
      </c>
      <c r="R864" s="2" t="inlineStr">
        <is>
          <t>Gammelgransskål
Ullticka</t>
        </is>
      </c>
      <c r="S864">
        <f>HYPERLINK("https://klasma.github.io/Logging_2262/artfynd/A 22072-2025 artfynd.xlsx", "A 22072-2025")</f>
        <v/>
      </c>
      <c r="T864">
        <f>HYPERLINK("https://klasma.github.io/Logging_2262/kartor/A 22072-2025 karta.png", "A 22072-2025")</f>
        <v/>
      </c>
      <c r="V864">
        <f>HYPERLINK("https://klasma.github.io/Logging_2262/klagomål/A 22072-2025 FSC-klagomål.docx", "A 22072-2025")</f>
        <v/>
      </c>
      <c r="W864">
        <f>HYPERLINK("https://klasma.github.io/Logging_2262/klagomålsmail/A 22072-2025 FSC-klagomål mail.docx", "A 22072-2025")</f>
        <v/>
      </c>
      <c r="X864">
        <f>HYPERLINK("https://klasma.github.io/Logging_2262/tillsyn/A 22072-2025 tillsynsbegäran.docx", "A 22072-2025")</f>
        <v/>
      </c>
      <c r="Y864">
        <f>HYPERLINK("https://klasma.github.io/Logging_2262/tillsynsmail/A 22072-2025 tillsynsbegäran mail.docx", "A 22072-2025")</f>
        <v/>
      </c>
    </row>
    <row r="865" ht="15" customHeight="1">
      <c r="A865" t="inlineStr">
        <is>
          <t>A 22220-2025</t>
        </is>
      </c>
      <c r="B865" s="1" t="n">
        <v>45785.65862268519</v>
      </c>
      <c r="C865" s="1" t="n">
        <v>46185</v>
      </c>
      <c r="D865" t="inlineStr">
        <is>
          <t>VÄSTERNORRLANDS LÄN</t>
        </is>
      </c>
      <c r="E865" t="inlineStr">
        <is>
          <t>SOLLEFTEÅ</t>
        </is>
      </c>
      <c r="F865" t="inlineStr">
        <is>
          <t>SCA</t>
        </is>
      </c>
      <c r="G865" t="n">
        <v>4.6</v>
      </c>
      <c r="H865" t="n">
        <v>0</v>
      </c>
      <c r="I865" t="n">
        <v>1</v>
      </c>
      <c r="J865" t="n">
        <v>1</v>
      </c>
      <c r="K865" t="n">
        <v>0</v>
      </c>
      <c r="L865" t="n">
        <v>0</v>
      </c>
      <c r="M865" t="n">
        <v>0</v>
      </c>
      <c r="N865" t="n">
        <v>0</v>
      </c>
      <c r="O865" t="n">
        <v>1</v>
      </c>
      <c r="P865" t="n">
        <v>0</v>
      </c>
      <c r="Q865" t="n">
        <v>2</v>
      </c>
      <c r="R865" s="2" t="inlineStr">
        <is>
          <t>Lunglav
Stor aspticka</t>
        </is>
      </c>
      <c r="S865">
        <f>HYPERLINK("https://klasma.github.io/Logging_2283/artfynd/A 22220-2025 artfynd.xlsx", "A 22220-2025")</f>
        <v/>
      </c>
      <c r="T865">
        <f>HYPERLINK("https://klasma.github.io/Logging_2283/kartor/A 22220-2025 karta.png", "A 22220-2025")</f>
        <v/>
      </c>
      <c r="V865">
        <f>HYPERLINK("https://klasma.github.io/Logging_2283/klagomål/A 22220-2025 FSC-klagomål.docx", "A 22220-2025")</f>
        <v/>
      </c>
      <c r="W865">
        <f>HYPERLINK("https://klasma.github.io/Logging_2283/klagomålsmail/A 22220-2025 FSC-klagomål mail.docx", "A 22220-2025")</f>
        <v/>
      </c>
      <c r="X865">
        <f>HYPERLINK("https://klasma.github.io/Logging_2283/tillsyn/A 22220-2025 tillsynsbegäran.docx", "A 22220-2025")</f>
        <v/>
      </c>
      <c r="Y865">
        <f>HYPERLINK("https://klasma.github.io/Logging_2283/tillsynsmail/A 22220-2025 tillsynsbegäran mail.docx", "A 22220-2025")</f>
        <v/>
      </c>
    </row>
    <row r="866" ht="15" customHeight="1">
      <c r="A866" t="inlineStr">
        <is>
          <t>A 22808-2025</t>
        </is>
      </c>
      <c r="B866" s="1" t="n">
        <v>45789</v>
      </c>
      <c r="C866" s="1" t="n">
        <v>46185</v>
      </c>
      <c r="D866" t="inlineStr">
        <is>
          <t>VÄSTERNORRLANDS LÄN</t>
        </is>
      </c>
      <c r="E866" t="inlineStr">
        <is>
          <t>SOLLEFTEÅ</t>
        </is>
      </c>
      <c r="G866" t="n">
        <v>0.7</v>
      </c>
      <c r="H866" t="n">
        <v>0</v>
      </c>
      <c r="I866" t="n">
        <v>1</v>
      </c>
      <c r="J866" t="n">
        <v>1</v>
      </c>
      <c r="K866" t="n">
        <v>0</v>
      </c>
      <c r="L866" t="n">
        <v>0</v>
      </c>
      <c r="M866" t="n">
        <v>0</v>
      </c>
      <c r="N866" t="n">
        <v>0</v>
      </c>
      <c r="O866" t="n">
        <v>1</v>
      </c>
      <c r="P866" t="n">
        <v>0</v>
      </c>
      <c r="Q866" t="n">
        <v>2</v>
      </c>
      <c r="R866" s="2" t="inlineStr">
        <is>
          <t>Lunglav
Bårdlav</t>
        </is>
      </c>
      <c r="S866">
        <f>HYPERLINK("https://klasma.github.io/Logging_2283/artfynd/A 22808-2025 artfynd.xlsx", "A 22808-2025")</f>
        <v/>
      </c>
      <c r="T866">
        <f>HYPERLINK("https://klasma.github.io/Logging_2283/kartor/A 22808-2025 karta.png", "A 22808-2025")</f>
        <v/>
      </c>
      <c r="V866">
        <f>HYPERLINK("https://klasma.github.io/Logging_2283/klagomål/A 22808-2025 FSC-klagomål.docx", "A 22808-2025")</f>
        <v/>
      </c>
      <c r="W866">
        <f>HYPERLINK("https://klasma.github.io/Logging_2283/klagomålsmail/A 22808-2025 FSC-klagomål mail.docx", "A 22808-2025")</f>
        <v/>
      </c>
      <c r="X866">
        <f>HYPERLINK("https://klasma.github.io/Logging_2283/tillsyn/A 22808-2025 tillsynsbegäran.docx", "A 22808-2025")</f>
        <v/>
      </c>
      <c r="Y866">
        <f>HYPERLINK("https://klasma.github.io/Logging_2283/tillsynsmail/A 22808-2025 tillsynsbegäran mail.docx", "A 22808-2025")</f>
        <v/>
      </c>
    </row>
    <row r="867" ht="15" customHeight="1">
      <c r="A867" t="inlineStr">
        <is>
          <t>A 22518-2025</t>
        </is>
      </c>
      <c r="B867" s="1" t="n">
        <v>45786.67831018518</v>
      </c>
      <c r="C867" s="1" t="n">
        <v>46185</v>
      </c>
      <c r="D867" t="inlineStr">
        <is>
          <t>VÄSTERNORRLANDS LÄN</t>
        </is>
      </c>
      <c r="E867" t="inlineStr">
        <is>
          <t>SOLLEFTEÅ</t>
        </is>
      </c>
      <c r="F867" t="inlineStr">
        <is>
          <t>SCA</t>
        </is>
      </c>
      <c r="G867" t="n">
        <v>4</v>
      </c>
      <c r="H867" t="n">
        <v>0</v>
      </c>
      <c r="I867" t="n">
        <v>0</v>
      </c>
      <c r="J867" t="n">
        <v>2</v>
      </c>
      <c r="K867" t="n">
        <v>0</v>
      </c>
      <c r="L867" t="n">
        <v>0</v>
      </c>
      <c r="M867" t="n">
        <v>0</v>
      </c>
      <c r="N867" t="n">
        <v>0</v>
      </c>
      <c r="O867" t="n">
        <v>2</v>
      </c>
      <c r="P867" t="n">
        <v>0</v>
      </c>
      <c r="Q867" t="n">
        <v>2</v>
      </c>
      <c r="R867" s="2" t="inlineStr">
        <is>
          <t>Garnlav
Ullticka</t>
        </is>
      </c>
      <c r="S867">
        <f>HYPERLINK("https://klasma.github.io/Logging_2283/artfynd/A 22518-2025 artfynd.xlsx", "A 22518-2025")</f>
        <v/>
      </c>
      <c r="T867">
        <f>HYPERLINK("https://klasma.github.io/Logging_2283/kartor/A 22518-2025 karta.png", "A 22518-2025")</f>
        <v/>
      </c>
      <c r="V867">
        <f>HYPERLINK("https://klasma.github.io/Logging_2283/klagomål/A 22518-2025 FSC-klagomål.docx", "A 22518-2025")</f>
        <v/>
      </c>
      <c r="W867">
        <f>HYPERLINK("https://klasma.github.io/Logging_2283/klagomålsmail/A 22518-2025 FSC-klagomål mail.docx", "A 22518-2025")</f>
        <v/>
      </c>
      <c r="X867">
        <f>HYPERLINK("https://klasma.github.io/Logging_2283/tillsyn/A 22518-2025 tillsynsbegäran.docx", "A 22518-2025")</f>
        <v/>
      </c>
      <c r="Y867">
        <f>HYPERLINK("https://klasma.github.io/Logging_2283/tillsynsmail/A 22518-2025 tillsynsbegäran mail.docx", "A 22518-2025")</f>
        <v/>
      </c>
    </row>
    <row r="868" ht="15" customHeight="1">
      <c r="A868" t="inlineStr">
        <is>
          <t>A 24176-2025</t>
        </is>
      </c>
      <c r="B868" s="1" t="n">
        <v>45796.69832175926</v>
      </c>
      <c r="C868" s="1" t="n">
        <v>46185</v>
      </c>
      <c r="D868" t="inlineStr">
        <is>
          <t>VÄSTERNORRLANDS LÄN</t>
        </is>
      </c>
      <c r="E868" t="inlineStr">
        <is>
          <t>ÅNGE</t>
        </is>
      </c>
      <c r="F868" t="inlineStr">
        <is>
          <t>SCA</t>
        </is>
      </c>
      <c r="G868" t="n">
        <v>3.9</v>
      </c>
      <c r="H868" t="n">
        <v>0</v>
      </c>
      <c r="I868" t="n">
        <v>1</v>
      </c>
      <c r="J868" t="n">
        <v>1</v>
      </c>
      <c r="K868" t="n">
        <v>0</v>
      </c>
      <c r="L868" t="n">
        <v>0</v>
      </c>
      <c r="M868" t="n">
        <v>0</v>
      </c>
      <c r="N868" t="n">
        <v>0</v>
      </c>
      <c r="O868" t="n">
        <v>1</v>
      </c>
      <c r="P868" t="n">
        <v>0</v>
      </c>
      <c r="Q868" t="n">
        <v>2</v>
      </c>
      <c r="R868" s="2" t="inlineStr">
        <is>
          <t>Vitgrynig nållav
Vedticka</t>
        </is>
      </c>
      <c r="S868">
        <f>HYPERLINK("https://klasma.github.io/Logging_2260/artfynd/A 24176-2025 artfynd.xlsx", "A 24176-2025")</f>
        <v/>
      </c>
      <c r="T868">
        <f>HYPERLINK("https://klasma.github.io/Logging_2260/kartor/A 24176-2025 karta.png", "A 24176-2025")</f>
        <v/>
      </c>
      <c r="V868">
        <f>HYPERLINK("https://klasma.github.io/Logging_2260/klagomål/A 24176-2025 FSC-klagomål.docx", "A 24176-2025")</f>
        <v/>
      </c>
      <c r="W868">
        <f>HYPERLINK("https://klasma.github.io/Logging_2260/klagomålsmail/A 24176-2025 FSC-klagomål mail.docx", "A 24176-2025")</f>
        <v/>
      </c>
      <c r="X868">
        <f>HYPERLINK("https://klasma.github.io/Logging_2260/tillsyn/A 24176-2025 tillsynsbegäran.docx", "A 24176-2025")</f>
        <v/>
      </c>
      <c r="Y868">
        <f>HYPERLINK("https://klasma.github.io/Logging_2260/tillsynsmail/A 24176-2025 tillsynsbegäran mail.docx", "A 24176-2025")</f>
        <v/>
      </c>
    </row>
    <row r="869" ht="15" customHeight="1">
      <c r="A869" t="inlineStr">
        <is>
          <t>A 58572-2021</t>
        </is>
      </c>
      <c r="B869" s="1" t="n">
        <v>44488</v>
      </c>
      <c r="C869" s="1" t="n">
        <v>46185</v>
      </c>
      <c r="D869" t="inlineStr">
        <is>
          <t>VÄSTERNORRLANDS LÄN</t>
        </is>
      </c>
      <c r="E869" t="inlineStr">
        <is>
          <t>SOLLEFTEÅ</t>
        </is>
      </c>
      <c r="G869" t="n">
        <v>0.1</v>
      </c>
      <c r="H869" t="n">
        <v>0</v>
      </c>
      <c r="I869" t="n">
        <v>0</v>
      </c>
      <c r="J869" t="n">
        <v>1</v>
      </c>
      <c r="K869" t="n">
        <v>0</v>
      </c>
      <c r="L869" t="n">
        <v>0</v>
      </c>
      <c r="M869" t="n">
        <v>0</v>
      </c>
      <c r="N869" t="n">
        <v>0</v>
      </c>
      <c r="O869" t="n">
        <v>1</v>
      </c>
      <c r="P869" t="n">
        <v>0</v>
      </c>
      <c r="Q869" t="n">
        <v>1</v>
      </c>
      <c r="R869" s="2" t="inlineStr">
        <is>
          <t>Brunklöver</t>
        </is>
      </c>
      <c r="S869">
        <f>HYPERLINK("https://klasma.github.io/Logging_2283/artfynd/A 58572-2021 artfynd.xlsx", "A 58572-2021")</f>
        <v/>
      </c>
      <c r="T869">
        <f>HYPERLINK("https://klasma.github.io/Logging_2283/kartor/A 58572-2021 karta.png", "A 58572-2021")</f>
        <v/>
      </c>
      <c r="V869">
        <f>HYPERLINK("https://klasma.github.io/Logging_2283/klagomål/A 58572-2021 FSC-klagomål.docx", "A 58572-2021")</f>
        <v/>
      </c>
      <c r="W869">
        <f>HYPERLINK("https://klasma.github.io/Logging_2283/klagomålsmail/A 58572-2021 FSC-klagomål mail.docx", "A 58572-2021")</f>
        <v/>
      </c>
      <c r="X869">
        <f>HYPERLINK("https://klasma.github.io/Logging_2283/tillsyn/A 58572-2021 tillsynsbegäran.docx", "A 58572-2021")</f>
        <v/>
      </c>
      <c r="Y869">
        <f>HYPERLINK("https://klasma.github.io/Logging_2283/tillsynsmail/A 58572-2021 tillsynsbegäran mail.docx", "A 58572-2021")</f>
        <v/>
      </c>
    </row>
    <row r="870" ht="15" customHeight="1">
      <c r="A870" t="inlineStr">
        <is>
          <t>A 74384-2021</t>
        </is>
      </c>
      <c r="B870" s="1" t="n">
        <v>44559</v>
      </c>
      <c r="C870" s="1" t="n">
        <v>46185</v>
      </c>
      <c r="D870" t="inlineStr">
        <is>
          <t>VÄSTERNORRLANDS LÄN</t>
        </is>
      </c>
      <c r="E870" t="inlineStr">
        <is>
          <t>SUNDSVALL</t>
        </is>
      </c>
      <c r="G870" t="n">
        <v>4.2</v>
      </c>
      <c r="H870" t="n">
        <v>0</v>
      </c>
      <c r="I870" t="n">
        <v>1</v>
      </c>
      <c r="J870" t="n">
        <v>0</v>
      </c>
      <c r="K870" t="n">
        <v>0</v>
      </c>
      <c r="L870" t="n">
        <v>0</v>
      </c>
      <c r="M870" t="n">
        <v>0</v>
      </c>
      <c r="N870" t="n">
        <v>0</v>
      </c>
      <c r="O870" t="n">
        <v>0</v>
      </c>
      <c r="P870" t="n">
        <v>0</v>
      </c>
      <c r="Q870" t="n">
        <v>1</v>
      </c>
      <c r="R870" s="2" t="inlineStr">
        <is>
          <t>Tibast</t>
        </is>
      </c>
      <c r="S870">
        <f>HYPERLINK("https://klasma.github.io/Logging_2281/artfynd/A 74384-2021 artfynd.xlsx", "A 74384-2021")</f>
        <v/>
      </c>
      <c r="T870">
        <f>HYPERLINK("https://klasma.github.io/Logging_2281/kartor/A 74384-2021 karta.png", "A 74384-2021")</f>
        <v/>
      </c>
      <c r="V870">
        <f>HYPERLINK("https://klasma.github.io/Logging_2281/klagomål/A 74384-2021 FSC-klagomål.docx", "A 74384-2021")</f>
        <v/>
      </c>
      <c r="W870">
        <f>HYPERLINK("https://klasma.github.io/Logging_2281/klagomålsmail/A 74384-2021 FSC-klagomål mail.docx", "A 74384-2021")</f>
        <v/>
      </c>
      <c r="X870">
        <f>HYPERLINK("https://klasma.github.io/Logging_2281/tillsyn/A 74384-2021 tillsynsbegäran.docx", "A 74384-2021")</f>
        <v/>
      </c>
      <c r="Y870">
        <f>HYPERLINK("https://klasma.github.io/Logging_2281/tillsynsmail/A 74384-2021 tillsynsbegäran mail.docx", "A 74384-2021")</f>
        <v/>
      </c>
    </row>
    <row r="871" ht="15" customHeight="1">
      <c r="A871" t="inlineStr">
        <is>
          <t>A 29037-2022</t>
        </is>
      </c>
      <c r="B871" s="1" t="n">
        <v>44749</v>
      </c>
      <c r="C871" s="1" t="n">
        <v>46185</v>
      </c>
      <c r="D871" t="inlineStr">
        <is>
          <t>VÄSTERNORRLANDS LÄN</t>
        </is>
      </c>
      <c r="E871" t="inlineStr">
        <is>
          <t>SOLLEFTEÅ</t>
        </is>
      </c>
      <c r="F871" t="inlineStr">
        <is>
          <t>SCA</t>
        </is>
      </c>
      <c r="G871" t="n">
        <v>1</v>
      </c>
      <c r="H871" t="n">
        <v>0</v>
      </c>
      <c r="I871" t="n">
        <v>1</v>
      </c>
      <c r="J871" t="n">
        <v>0</v>
      </c>
      <c r="K871" t="n">
        <v>0</v>
      </c>
      <c r="L871" t="n">
        <v>0</v>
      </c>
      <c r="M871" t="n">
        <v>0</v>
      </c>
      <c r="N871" t="n">
        <v>0</v>
      </c>
      <c r="O871" t="n">
        <v>0</v>
      </c>
      <c r="P871" t="n">
        <v>0</v>
      </c>
      <c r="Q871" t="n">
        <v>1</v>
      </c>
      <c r="R871" s="2" t="inlineStr">
        <is>
          <t>Vanlig flatbagge</t>
        </is>
      </c>
      <c r="S871">
        <f>HYPERLINK("https://klasma.github.io/Logging_2283/artfynd/A 29037-2022 artfynd.xlsx", "A 29037-2022")</f>
        <v/>
      </c>
      <c r="T871">
        <f>HYPERLINK("https://klasma.github.io/Logging_2283/kartor/A 29037-2022 karta.png", "A 29037-2022")</f>
        <v/>
      </c>
      <c r="V871">
        <f>HYPERLINK("https://klasma.github.io/Logging_2283/klagomål/A 29037-2022 FSC-klagomål.docx", "A 29037-2022")</f>
        <v/>
      </c>
      <c r="W871">
        <f>HYPERLINK("https://klasma.github.io/Logging_2283/klagomålsmail/A 29037-2022 FSC-klagomål mail.docx", "A 29037-2022")</f>
        <v/>
      </c>
      <c r="X871">
        <f>HYPERLINK("https://klasma.github.io/Logging_2283/tillsyn/A 29037-2022 tillsynsbegäran.docx", "A 29037-2022")</f>
        <v/>
      </c>
      <c r="Y871">
        <f>HYPERLINK("https://klasma.github.io/Logging_2283/tillsynsmail/A 29037-2022 tillsynsbegäran mail.docx", "A 29037-2022")</f>
        <v/>
      </c>
    </row>
    <row r="872" ht="15" customHeight="1">
      <c r="A872" t="inlineStr">
        <is>
          <t>A 14014-2022</t>
        </is>
      </c>
      <c r="B872" s="1" t="n">
        <v>44650</v>
      </c>
      <c r="C872" s="1" t="n">
        <v>46185</v>
      </c>
      <c r="D872" t="inlineStr">
        <is>
          <t>VÄSTERNORRLANDS LÄN</t>
        </is>
      </c>
      <c r="E872" t="inlineStr">
        <is>
          <t>SUNDSVALL</t>
        </is>
      </c>
      <c r="G872" t="n">
        <v>1.7</v>
      </c>
      <c r="H872" t="n">
        <v>0</v>
      </c>
      <c r="I872" t="n">
        <v>1</v>
      </c>
      <c r="J872" t="n">
        <v>0</v>
      </c>
      <c r="K872" t="n">
        <v>0</v>
      </c>
      <c r="L872" t="n">
        <v>0</v>
      </c>
      <c r="M872" t="n">
        <v>0</v>
      </c>
      <c r="N872" t="n">
        <v>0</v>
      </c>
      <c r="O872" t="n">
        <v>0</v>
      </c>
      <c r="P872" t="n">
        <v>0</v>
      </c>
      <c r="Q872" t="n">
        <v>1</v>
      </c>
      <c r="R872" s="2" t="inlineStr">
        <is>
          <t>Stor aspticka</t>
        </is>
      </c>
      <c r="S872">
        <f>HYPERLINK("https://klasma.github.io/Logging_2281/artfynd/A 14014-2022 artfynd.xlsx", "A 14014-2022")</f>
        <v/>
      </c>
      <c r="T872">
        <f>HYPERLINK("https://klasma.github.io/Logging_2281/kartor/A 14014-2022 karta.png", "A 14014-2022")</f>
        <v/>
      </c>
      <c r="V872">
        <f>HYPERLINK("https://klasma.github.io/Logging_2281/klagomål/A 14014-2022 FSC-klagomål.docx", "A 14014-2022")</f>
        <v/>
      </c>
      <c r="W872">
        <f>HYPERLINK("https://klasma.github.io/Logging_2281/klagomålsmail/A 14014-2022 FSC-klagomål mail.docx", "A 14014-2022")</f>
        <v/>
      </c>
      <c r="X872">
        <f>HYPERLINK("https://klasma.github.io/Logging_2281/tillsyn/A 14014-2022 tillsynsbegäran.docx", "A 14014-2022")</f>
        <v/>
      </c>
      <c r="Y872">
        <f>HYPERLINK("https://klasma.github.io/Logging_2281/tillsynsmail/A 14014-2022 tillsynsbegäran mail.docx", "A 14014-2022")</f>
        <v/>
      </c>
    </row>
    <row r="873" ht="15" customHeight="1">
      <c r="A873" t="inlineStr">
        <is>
          <t>A 31136-2022</t>
        </is>
      </c>
      <c r="B873" s="1" t="n">
        <v>44770.40920138889</v>
      </c>
      <c r="C873" s="1" t="n">
        <v>46185</v>
      </c>
      <c r="D873" t="inlineStr">
        <is>
          <t>VÄSTERNORRLANDS LÄN</t>
        </is>
      </c>
      <c r="E873" t="inlineStr">
        <is>
          <t>ÅNGE</t>
        </is>
      </c>
      <c r="F873" t="inlineStr">
        <is>
          <t>Övriga Aktiebolag</t>
        </is>
      </c>
      <c r="G873" t="n">
        <v>4.4</v>
      </c>
      <c r="H873" t="n">
        <v>1</v>
      </c>
      <c r="I873" t="n">
        <v>0</v>
      </c>
      <c r="J873" t="n">
        <v>0</v>
      </c>
      <c r="K873" t="n">
        <v>0</v>
      </c>
      <c r="L873" t="n">
        <v>0</v>
      </c>
      <c r="M873" t="n">
        <v>0</v>
      </c>
      <c r="N873" t="n">
        <v>0</v>
      </c>
      <c r="O873" t="n">
        <v>0</v>
      </c>
      <c r="P873" t="n">
        <v>0</v>
      </c>
      <c r="Q873" t="n">
        <v>1</v>
      </c>
      <c r="R873" s="2" t="inlineStr">
        <is>
          <t>Tjäder</t>
        </is>
      </c>
      <c r="S873">
        <f>HYPERLINK("https://klasma.github.io/Logging_2260/artfynd/A 31136-2022 artfynd.xlsx", "A 31136-2022")</f>
        <v/>
      </c>
      <c r="T873">
        <f>HYPERLINK("https://klasma.github.io/Logging_2260/kartor/A 31136-2022 karta.png", "A 31136-2022")</f>
        <v/>
      </c>
      <c r="V873">
        <f>HYPERLINK("https://klasma.github.io/Logging_2260/klagomål/A 31136-2022 FSC-klagomål.docx", "A 31136-2022")</f>
        <v/>
      </c>
      <c r="W873">
        <f>HYPERLINK("https://klasma.github.io/Logging_2260/klagomålsmail/A 31136-2022 FSC-klagomål mail.docx", "A 31136-2022")</f>
        <v/>
      </c>
      <c r="X873">
        <f>HYPERLINK("https://klasma.github.io/Logging_2260/tillsyn/A 31136-2022 tillsynsbegäran.docx", "A 31136-2022")</f>
        <v/>
      </c>
      <c r="Y873">
        <f>HYPERLINK("https://klasma.github.io/Logging_2260/tillsynsmail/A 31136-2022 tillsynsbegäran mail.docx", "A 31136-2022")</f>
        <v/>
      </c>
      <c r="Z873">
        <f>HYPERLINK("https://klasma.github.io/Logging_2260/fåglar/A 31136-2022 prioriterade fågelarter.docx", "A 31136-2022")</f>
        <v/>
      </c>
    </row>
    <row r="874" ht="15" customHeight="1">
      <c r="A874" t="inlineStr">
        <is>
          <t>A 51019-2021</t>
        </is>
      </c>
      <c r="B874" s="1" t="n">
        <v>44460</v>
      </c>
      <c r="C874" s="1" t="n">
        <v>46185</v>
      </c>
      <c r="D874" t="inlineStr">
        <is>
          <t>VÄSTERNORRLANDS LÄN</t>
        </is>
      </c>
      <c r="E874" t="inlineStr">
        <is>
          <t>SOLLEFTEÅ</t>
        </is>
      </c>
      <c r="F874" t="inlineStr">
        <is>
          <t>SCA</t>
        </is>
      </c>
      <c r="G874" t="n">
        <v>2.1</v>
      </c>
      <c r="H874" t="n">
        <v>1</v>
      </c>
      <c r="I874" t="n">
        <v>0</v>
      </c>
      <c r="J874" t="n">
        <v>0</v>
      </c>
      <c r="K874" t="n">
        <v>0</v>
      </c>
      <c r="L874" t="n">
        <v>0</v>
      </c>
      <c r="M874" t="n">
        <v>0</v>
      </c>
      <c r="N874" t="n">
        <v>0</v>
      </c>
      <c r="O874" t="n">
        <v>0</v>
      </c>
      <c r="P874" t="n">
        <v>0</v>
      </c>
      <c r="Q874" t="n">
        <v>1</v>
      </c>
      <c r="R874" s="2" t="inlineStr">
        <is>
          <t>Fläcknycklar</t>
        </is>
      </c>
      <c r="S874">
        <f>HYPERLINK("https://klasma.github.io/Logging_2283/artfynd/A 51019-2021 artfynd.xlsx", "A 51019-2021")</f>
        <v/>
      </c>
      <c r="T874">
        <f>HYPERLINK("https://klasma.github.io/Logging_2283/kartor/A 51019-2021 karta.png", "A 51019-2021")</f>
        <v/>
      </c>
      <c r="V874">
        <f>HYPERLINK("https://klasma.github.io/Logging_2283/klagomål/A 51019-2021 FSC-klagomål.docx", "A 51019-2021")</f>
        <v/>
      </c>
      <c r="W874">
        <f>HYPERLINK("https://klasma.github.io/Logging_2283/klagomålsmail/A 51019-2021 FSC-klagomål mail.docx", "A 51019-2021")</f>
        <v/>
      </c>
      <c r="X874">
        <f>HYPERLINK("https://klasma.github.io/Logging_2283/tillsyn/A 51019-2021 tillsynsbegäran.docx", "A 51019-2021")</f>
        <v/>
      </c>
      <c r="Y874">
        <f>HYPERLINK("https://klasma.github.io/Logging_2283/tillsynsmail/A 51019-2021 tillsynsbegäran mail.docx", "A 51019-2021")</f>
        <v/>
      </c>
    </row>
    <row r="875" ht="15" customHeight="1">
      <c r="A875" t="inlineStr">
        <is>
          <t>A 67402-2021</t>
        </is>
      </c>
      <c r="B875" s="1" t="n">
        <v>44523</v>
      </c>
      <c r="C875" s="1" t="n">
        <v>46185</v>
      </c>
      <c r="D875" t="inlineStr">
        <is>
          <t>VÄSTERNORRLANDS LÄN</t>
        </is>
      </c>
      <c r="E875" t="inlineStr">
        <is>
          <t>SOLLEFTEÅ</t>
        </is>
      </c>
      <c r="F875" t="inlineStr">
        <is>
          <t>SCA</t>
        </is>
      </c>
      <c r="G875" t="n">
        <v>11</v>
      </c>
      <c r="H875" t="n">
        <v>1</v>
      </c>
      <c r="I875" t="n">
        <v>0</v>
      </c>
      <c r="J875" t="n">
        <v>0</v>
      </c>
      <c r="K875" t="n">
        <v>1</v>
      </c>
      <c r="L875" t="n">
        <v>0</v>
      </c>
      <c r="M875" t="n">
        <v>0</v>
      </c>
      <c r="N875" t="n">
        <v>0</v>
      </c>
      <c r="O875" t="n">
        <v>1</v>
      </c>
      <c r="P875" t="n">
        <v>1</v>
      </c>
      <c r="Q875" t="n">
        <v>1</v>
      </c>
      <c r="R875" s="2" t="inlineStr">
        <is>
          <t>Knärot</t>
        </is>
      </c>
      <c r="S875">
        <f>HYPERLINK("https://klasma.github.io/Logging_2283/artfynd/A 67402-2021 artfynd.xlsx", "A 67402-2021")</f>
        <v/>
      </c>
      <c r="T875">
        <f>HYPERLINK("https://klasma.github.io/Logging_2283/kartor/A 67402-2021 karta.png", "A 67402-2021")</f>
        <v/>
      </c>
      <c r="U875">
        <f>HYPERLINK("https://klasma.github.io/Logging_2283/knärot/A 67402-2021 karta knärot.png", "A 67402-2021")</f>
        <v/>
      </c>
      <c r="V875">
        <f>HYPERLINK("https://klasma.github.io/Logging_2283/klagomål/A 67402-2021 FSC-klagomål.docx", "A 67402-2021")</f>
        <v/>
      </c>
      <c r="W875">
        <f>HYPERLINK("https://klasma.github.io/Logging_2283/klagomålsmail/A 67402-2021 FSC-klagomål mail.docx", "A 67402-2021")</f>
        <v/>
      </c>
      <c r="X875">
        <f>HYPERLINK("https://klasma.github.io/Logging_2283/tillsyn/A 67402-2021 tillsynsbegäran.docx", "A 67402-2021")</f>
        <v/>
      </c>
      <c r="Y875">
        <f>HYPERLINK("https://klasma.github.io/Logging_2283/tillsynsmail/A 67402-2021 tillsynsbegäran mail.docx", "A 67402-2021")</f>
        <v/>
      </c>
    </row>
    <row r="876" ht="15" customHeight="1">
      <c r="A876" t="inlineStr">
        <is>
          <t>A 15846-2022</t>
        </is>
      </c>
      <c r="B876" s="1" t="n">
        <v>44664</v>
      </c>
      <c r="C876" s="1" t="n">
        <v>46185</v>
      </c>
      <c r="D876" t="inlineStr">
        <is>
          <t>VÄSTERNORRLANDS LÄN</t>
        </is>
      </c>
      <c r="E876" t="inlineStr">
        <is>
          <t>HÄRNÖSAND</t>
        </is>
      </c>
      <c r="G876" t="n">
        <v>1.2</v>
      </c>
      <c r="H876" t="n">
        <v>1</v>
      </c>
      <c r="I876" t="n">
        <v>0</v>
      </c>
      <c r="J876" t="n">
        <v>0</v>
      </c>
      <c r="K876" t="n">
        <v>0</v>
      </c>
      <c r="L876" t="n">
        <v>0</v>
      </c>
      <c r="M876" t="n">
        <v>0</v>
      </c>
      <c r="N876" t="n">
        <v>0</v>
      </c>
      <c r="O876" t="n">
        <v>0</v>
      </c>
      <c r="P876" t="n">
        <v>0</v>
      </c>
      <c r="Q876" t="n">
        <v>1</v>
      </c>
      <c r="R876" s="2" t="inlineStr">
        <is>
          <t>Vanlig groda</t>
        </is>
      </c>
      <c r="S876">
        <f>HYPERLINK("https://klasma.github.io/Logging_2280/artfynd/A 15846-2022 artfynd.xlsx", "A 15846-2022")</f>
        <v/>
      </c>
      <c r="T876">
        <f>HYPERLINK("https://klasma.github.io/Logging_2280/kartor/A 15846-2022 karta.png", "A 15846-2022")</f>
        <v/>
      </c>
      <c r="V876">
        <f>HYPERLINK("https://klasma.github.io/Logging_2280/klagomål/A 15846-2022 FSC-klagomål.docx", "A 15846-2022")</f>
        <v/>
      </c>
      <c r="W876">
        <f>HYPERLINK("https://klasma.github.io/Logging_2280/klagomålsmail/A 15846-2022 FSC-klagomål mail.docx", "A 15846-2022")</f>
        <v/>
      </c>
      <c r="X876">
        <f>HYPERLINK("https://klasma.github.io/Logging_2280/tillsyn/A 15846-2022 tillsynsbegäran.docx", "A 15846-2022")</f>
        <v/>
      </c>
      <c r="Y876">
        <f>HYPERLINK("https://klasma.github.io/Logging_2280/tillsynsmail/A 15846-2022 tillsynsbegäran mail.docx", "A 15846-2022")</f>
        <v/>
      </c>
    </row>
    <row r="877" ht="15" customHeight="1">
      <c r="A877" t="inlineStr">
        <is>
          <t>A 30098-2021</t>
        </is>
      </c>
      <c r="B877" s="1" t="n">
        <v>44363</v>
      </c>
      <c r="C877" s="1" t="n">
        <v>46185</v>
      </c>
      <c r="D877" t="inlineStr">
        <is>
          <t>VÄSTERNORRLANDS LÄN</t>
        </is>
      </c>
      <c r="E877" t="inlineStr">
        <is>
          <t>TIMRÅ</t>
        </is>
      </c>
      <c r="G877" t="n">
        <v>6.1</v>
      </c>
      <c r="H877" t="n">
        <v>0</v>
      </c>
      <c r="I877" t="n">
        <v>0</v>
      </c>
      <c r="J877" t="n">
        <v>1</v>
      </c>
      <c r="K877" t="n">
        <v>0</v>
      </c>
      <c r="L877" t="n">
        <v>0</v>
      </c>
      <c r="M877" t="n">
        <v>0</v>
      </c>
      <c r="N877" t="n">
        <v>0</v>
      </c>
      <c r="O877" t="n">
        <v>1</v>
      </c>
      <c r="P877" t="n">
        <v>0</v>
      </c>
      <c r="Q877" t="n">
        <v>1</v>
      </c>
      <c r="R877" s="2" t="inlineStr">
        <is>
          <t>Lunglav</t>
        </is>
      </c>
      <c r="S877">
        <f>HYPERLINK("https://klasma.github.io/Logging_2262/artfynd/A 30098-2021 artfynd.xlsx", "A 30098-2021")</f>
        <v/>
      </c>
      <c r="T877">
        <f>HYPERLINK("https://klasma.github.io/Logging_2262/kartor/A 30098-2021 karta.png", "A 30098-2021")</f>
        <v/>
      </c>
      <c r="V877">
        <f>HYPERLINK("https://klasma.github.io/Logging_2262/klagomål/A 30098-2021 FSC-klagomål.docx", "A 30098-2021")</f>
        <v/>
      </c>
      <c r="W877">
        <f>HYPERLINK("https://klasma.github.io/Logging_2262/klagomålsmail/A 30098-2021 FSC-klagomål mail.docx", "A 30098-2021")</f>
        <v/>
      </c>
      <c r="X877">
        <f>HYPERLINK("https://klasma.github.io/Logging_2262/tillsyn/A 30098-2021 tillsynsbegäran.docx", "A 30098-2021")</f>
        <v/>
      </c>
      <c r="Y877">
        <f>HYPERLINK("https://klasma.github.io/Logging_2262/tillsynsmail/A 30098-2021 tillsynsbegäran mail.docx", "A 30098-2021")</f>
        <v/>
      </c>
    </row>
    <row r="878" ht="15" customHeight="1">
      <c r="A878" t="inlineStr">
        <is>
          <t>A 71349-2021</t>
        </is>
      </c>
      <c r="B878" s="1" t="n">
        <v>44539</v>
      </c>
      <c r="C878" s="1" t="n">
        <v>46185</v>
      </c>
      <c r="D878" t="inlineStr">
        <is>
          <t>VÄSTERNORRLANDS LÄN</t>
        </is>
      </c>
      <c r="E878" t="inlineStr">
        <is>
          <t>SOLLEFTEÅ</t>
        </is>
      </c>
      <c r="G878" t="n">
        <v>0.5</v>
      </c>
      <c r="H878" t="n">
        <v>1</v>
      </c>
      <c r="I878" t="n">
        <v>0</v>
      </c>
      <c r="J878" t="n">
        <v>1</v>
      </c>
      <c r="K878" t="n">
        <v>0</v>
      </c>
      <c r="L878" t="n">
        <v>0</v>
      </c>
      <c r="M878" t="n">
        <v>0</v>
      </c>
      <c r="N878" t="n">
        <v>0</v>
      </c>
      <c r="O878" t="n">
        <v>1</v>
      </c>
      <c r="P878" t="n">
        <v>0</v>
      </c>
      <c r="Q878" t="n">
        <v>1</v>
      </c>
      <c r="R878" s="2" t="inlineStr">
        <is>
          <t>Björktrast</t>
        </is>
      </c>
      <c r="S878">
        <f>HYPERLINK("https://klasma.github.io/Logging_2283/artfynd/A 71349-2021 artfynd.xlsx", "A 71349-2021")</f>
        <v/>
      </c>
      <c r="T878">
        <f>HYPERLINK("https://klasma.github.io/Logging_2283/kartor/A 71349-2021 karta.png", "A 71349-2021")</f>
        <v/>
      </c>
      <c r="V878">
        <f>HYPERLINK("https://klasma.github.io/Logging_2283/klagomål/A 71349-2021 FSC-klagomål.docx", "A 71349-2021")</f>
        <v/>
      </c>
      <c r="W878">
        <f>HYPERLINK("https://klasma.github.io/Logging_2283/klagomålsmail/A 71349-2021 FSC-klagomål mail.docx", "A 71349-2021")</f>
        <v/>
      </c>
      <c r="X878">
        <f>HYPERLINK("https://klasma.github.io/Logging_2283/tillsyn/A 71349-2021 tillsynsbegäran.docx", "A 71349-2021")</f>
        <v/>
      </c>
      <c r="Y878">
        <f>HYPERLINK("https://klasma.github.io/Logging_2283/tillsynsmail/A 71349-2021 tillsynsbegäran mail.docx", "A 71349-2021")</f>
        <v/>
      </c>
      <c r="Z878">
        <f>HYPERLINK("https://klasma.github.io/Logging_2283/fåglar/A 71349-2021 prioriterade fågelarter.docx", "A 71349-2021")</f>
        <v/>
      </c>
    </row>
    <row r="879" ht="15" customHeight="1">
      <c r="A879" t="inlineStr">
        <is>
          <t>A 61479-2021</t>
        </is>
      </c>
      <c r="B879" s="1" t="n">
        <v>44500</v>
      </c>
      <c r="C879" s="1" t="n">
        <v>46185</v>
      </c>
      <c r="D879" t="inlineStr">
        <is>
          <t>VÄSTERNORRLANDS LÄN</t>
        </is>
      </c>
      <c r="E879" t="inlineStr">
        <is>
          <t>ÅNGE</t>
        </is>
      </c>
      <c r="F879" t="inlineStr">
        <is>
          <t>SCA</t>
        </is>
      </c>
      <c r="G879" t="n">
        <v>7.2</v>
      </c>
      <c r="H879" t="n">
        <v>1</v>
      </c>
      <c r="I879" t="n">
        <v>0</v>
      </c>
      <c r="J879" t="n">
        <v>0</v>
      </c>
      <c r="K879" t="n">
        <v>1</v>
      </c>
      <c r="L879" t="n">
        <v>0</v>
      </c>
      <c r="M879" t="n">
        <v>0</v>
      </c>
      <c r="N879" t="n">
        <v>0</v>
      </c>
      <c r="O879" t="n">
        <v>1</v>
      </c>
      <c r="P879" t="n">
        <v>1</v>
      </c>
      <c r="Q879" t="n">
        <v>1</v>
      </c>
      <c r="R879" s="2" t="inlineStr">
        <is>
          <t>Knärot</t>
        </is>
      </c>
      <c r="S879">
        <f>HYPERLINK("https://klasma.github.io/Logging_2260/artfynd/A 61479-2021 artfynd.xlsx", "A 61479-2021")</f>
        <v/>
      </c>
      <c r="T879">
        <f>HYPERLINK("https://klasma.github.io/Logging_2260/kartor/A 61479-2021 karta.png", "A 61479-2021")</f>
        <v/>
      </c>
      <c r="U879">
        <f>HYPERLINK("https://klasma.github.io/Logging_2260/knärot/A 61479-2021 karta knärot.png", "A 61479-2021")</f>
        <v/>
      </c>
      <c r="V879">
        <f>HYPERLINK("https://klasma.github.io/Logging_2260/klagomål/A 61479-2021 FSC-klagomål.docx", "A 61479-2021")</f>
        <v/>
      </c>
      <c r="W879">
        <f>HYPERLINK("https://klasma.github.io/Logging_2260/klagomålsmail/A 61479-2021 FSC-klagomål mail.docx", "A 61479-2021")</f>
        <v/>
      </c>
      <c r="X879">
        <f>HYPERLINK("https://klasma.github.io/Logging_2260/tillsyn/A 61479-2021 tillsynsbegäran.docx", "A 61479-2021")</f>
        <v/>
      </c>
      <c r="Y879">
        <f>HYPERLINK("https://klasma.github.io/Logging_2260/tillsynsmail/A 61479-2021 tillsynsbegäran mail.docx", "A 61479-2021")</f>
        <v/>
      </c>
    </row>
    <row r="880" ht="15" customHeight="1">
      <c r="A880" t="inlineStr">
        <is>
          <t>A 30047-2022</t>
        </is>
      </c>
      <c r="B880" s="1" t="n">
        <v>44756.94622685185</v>
      </c>
      <c r="C880" s="1" t="n">
        <v>46185</v>
      </c>
      <c r="D880" t="inlineStr">
        <is>
          <t>VÄSTERNORRLANDS LÄN</t>
        </is>
      </c>
      <c r="E880" t="inlineStr">
        <is>
          <t>SOLLEFTEÅ</t>
        </is>
      </c>
      <c r="F880" t="inlineStr">
        <is>
          <t>SCA</t>
        </is>
      </c>
      <c r="G880" t="n">
        <v>2.5</v>
      </c>
      <c r="H880" t="n">
        <v>0</v>
      </c>
      <c r="I880" t="n">
        <v>0</v>
      </c>
      <c r="J880" t="n">
        <v>1</v>
      </c>
      <c r="K880" t="n">
        <v>0</v>
      </c>
      <c r="L880" t="n">
        <v>0</v>
      </c>
      <c r="M880" t="n">
        <v>0</v>
      </c>
      <c r="N880" t="n">
        <v>0</v>
      </c>
      <c r="O880" t="n">
        <v>1</v>
      </c>
      <c r="P880" t="n">
        <v>0</v>
      </c>
      <c r="Q880" t="n">
        <v>1</v>
      </c>
      <c r="R880" s="2" t="inlineStr">
        <is>
          <t>Garnlav</t>
        </is>
      </c>
      <c r="S880">
        <f>HYPERLINK("https://klasma.github.io/Logging_2283/artfynd/A 30047-2022 artfynd.xlsx", "A 30047-2022")</f>
        <v/>
      </c>
      <c r="T880">
        <f>HYPERLINK("https://klasma.github.io/Logging_2283/kartor/A 30047-2022 karta.png", "A 30047-2022")</f>
        <v/>
      </c>
      <c r="V880">
        <f>HYPERLINK("https://klasma.github.io/Logging_2283/klagomål/A 30047-2022 FSC-klagomål.docx", "A 30047-2022")</f>
        <v/>
      </c>
      <c r="W880">
        <f>HYPERLINK("https://klasma.github.io/Logging_2283/klagomålsmail/A 30047-2022 FSC-klagomål mail.docx", "A 30047-2022")</f>
        <v/>
      </c>
      <c r="X880">
        <f>HYPERLINK("https://klasma.github.io/Logging_2283/tillsyn/A 30047-2022 tillsynsbegäran.docx", "A 30047-2022")</f>
        <v/>
      </c>
      <c r="Y880">
        <f>HYPERLINK("https://klasma.github.io/Logging_2283/tillsynsmail/A 30047-2022 tillsynsbegäran mail.docx", "A 30047-2022")</f>
        <v/>
      </c>
    </row>
    <row r="881" ht="15" customHeight="1">
      <c r="A881" t="inlineStr">
        <is>
          <t>A 31578-2021</t>
        </is>
      </c>
      <c r="B881" s="1" t="n">
        <v>44369</v>
      </c>
      <c r="C881" s="1" t="n">
        <v>46185</v>
      </c>
      <c r="D881" t="inlineStr">
        <is>
          <t>VÄSTERNORRLANDS LÄN</t>
        </is>
      </c>
      <c r="E881" t="inlineStr">
        <is>
          <t>ÅNGE</t>
        </is>
      </c>
      <c r="G881" t="n">
        <v>25.8</v>
      </c>
      <c r="H881" t="n">
        <v>1</v>
      </c>
      <c r="I881" t="n">
        <v>0</v>
      </c>
      <c r="J881" t="n">
        <v>0</v>
      </c>
      <c r="K881" t="n">
        <v>1</v>
      </c>
      <c r="L881" t="n">
        <v>0</v>
      </c>
      <c r="M881" t="n">
        <v>0</v>
      </c>
      <c r="N881" t="n">
        <v>0</v>
      </c>
      <c r="O881" t="n">
        <v>1</v>
      </c>
      <c r="P881" t="n">
        <v>1</v>
      </c>
      <c r="Q881" t="n">
        <v>1</v>
      </c>
      <c r="R881" s="2" t="inlineStr">
        <is>
          <t>Knärot</t>
        </is>
      </c>
      <c r="S881">
        <f>HYPERLINK("https://klasma.github.io/Logging_2260/artfynd/A 31578-2021 artfynd.xlsx", "A 31578-2021")</f>
        <v/>
      </c>
      <c r="T881">
        <f>HYPERLINK("https://klasma.github.io/Logging_2260/kartor/A 31578-2021 karta.png", "A 31578-2021")</f>
        <v/>
      </c>
      <c r="U881">
        <f>HYPERLINK("https://klasma.github.io/Logging_2260/knärot/A 31578-2021 karta knärot.png", "A 31578-2021")</f>
        <v/>
      </c>
      <c r="V881">
        <f>HYPERLINK("https://klasma.github.io/Logging_2260/klagomål/A 31578-2021 FSC-klagomål.docx", "A 31578-2021")</f>
        <v/>
      </c>
      <c r="W881">
        <f>HYPERLINK("https://klasma.github.io/Logging_2260/klagomålsmail/A 31578-2021 FSC-klagomål mail.docx", "A 31578-2021")</f>
        <v/>
      </c>
      <c r="X881">
        <f>HYPERLINK("https://klasma.github.io/Logging_2260/tillsyn/A 31578-2021 tillsynsbegäran.docx", "A 31578-2021")</f>
        <v/>
      </c>
      <c r="Y881">
        <f>HYPERLINK("https://klasma.github.io/Logging_2260/tillsynsmail/A 31578-2021 tillsynsbegäran mail.docx", "A 31578-2021")</f>
        <v/>
      </c>
    </row>
    <row r="882" ht="15" customHeight="1">
      <c r="A882" t="inlineStr">
        <is>
          <t>A 35018-2021</t>
        </is>
      </c>
      <c r="B882" s="1" t="n">
        <v>44383.69549768518</v>
      </c>
      <c r="C882" s="1" t="n">
        <v>46185</v>
      </c>
      <c r="D882" t="inlineStr">
        <is>
          <t>VÄSTERNORRLANDS LÄN</t>
        </is>
      </c>
      <c r="E882" t="inlineStr">
        <is>
          <t>ÅNGE</t>
        </is>
      </c>
      <c r="F882" t="inlineStr">
        <is>
          <t>Sveaskog</t>
        </is>
      </c>
      <c r="G882" t="n">
        <v>9.5</v>
      </c>
      <c r="H882" t="n">
        <v>1</v>
      </c>
      <c r="I882" t="n">
        <v>0</v>
      </c>
      <c r="J882" t="n">
        <v>1</v>
      </c>
      <c r="K882" t="n">
        <v>0</v>
      </c>
      <c r="L882" t="n">
        <v>0</v>
      </c>
      <c r="M882" t="n">
        <v>0</v>
      </c>
      <c r="N882" t="n">
        <v>0</v>
      </c>
      <c r="O882" t="n">
        <v>1</v>
      </c>
      <c r="P882" t="n">
        <v>0</v>
      </c>
      <c r="Q882" t="n">
        <v>1</v>
      </c>
      <c r="R882" s="2" t="inlineStr">
        <is>
          <t>Utter</t>
        </is>
      </c>
      <c r="S882">
        <f>HYPERLINK("https://klasma.github.io/Logging_2260/artfynd/A 35018-2021 artfynd.xlsx", "A 35018-2021")</f>
        <v/>
      </c>
      <c r="T882">
        <f>HYPERLINK("https://klasma.github.io/Logging_2260/kartor/A 35018-2021 karta.png", "A 35018-2021")</f>
        <v/>
      </c>
      <c r="V882">
        <f>HYPERLINK("https://klasma.github.io/Logging_2260/klagomål/A 35018-2021 FSC-klagomål.docx", "A 35018-2021")</f>
        <v/>
      </c>
      <c r="W882">
        <f>HYPERLINK("https://klasma.github.io/Logging_2260/klagomålsmail/A 35018-2021 FSC-klagomål mail.docx", "A 35018-2021")</f>
        <v/>
      </c>
      <c r="X882">
        <f>HYPERLINK("https://klasma.github.io/Logging_2260/tillsyn/A 35018-2021 tillsynsbegäran.docx", "A 35018-2021")</f>
        <v/>
      </c>
      <c r="Y882">
        <f>HYPERLINK("https://klasma.github.io/Logging_2260/tillsynsmail/A 35018-2021 tillsynsbegäran mail.docx", "A 35018-2021")</f>
        <v/>
      </c>
    </row>
    <row r="883" ht="15" customHeight="1">
      <c r="A883" t="inlineStr">
        <is>
          <t>A 66531-2021</t>
        </is>
      </c>
      <c r="B883" s="1" t="n">
        <v>44518</v>
      </c>
      <c r="C883" s="1" t="n">
        <v>46185</v>
      </c>
      <c r="D883" t="inlineStr">
        <is>
          <t>VÄSTERNORRLANDS LÄN</t>
        </is>
      </c>
      <c r="E883" t="inlineStr">
        <is>
          <t>ÖRNSKÖLDSVIK</t>
        </is>
      </c>
      <c r="G883" t="n">
        <v>0.6</v>
      </c>
      <c r="H883" t="n">
        <v>1</v>
      </c>
      <c r="I883" t="n">
        <v>0</v>
      </c>
      <c r="J883" t="n">
        <v>0</v>
      </c>
      <c r="K883" t="n">
        <v>0</v>
      </c>
      <c r="L883" t="n">
        <v>0</v>
      </c>
      <c r="M883" t="n">
        <v>0</v>
      </c>
      <c r="N883" t="n">
        <v>0</v>
      </c>
      <c r="O883" t="n">
        <v>0</v>
      </c>
      <c r="P883" t="n">
        <v>0</v>
      </c>
      <c r="Q883" t="n">
        <v>1</v>
      </c>
      <c r="R883" s="2" t="inlineStr">
        <is>
          <t>Nattviol</t>
        </is>
      </c>
      <c r="S883">
        <f>HYPERLINK("https://klasma.github.io/Logging_2284/artfynd/A 66531-2021 artfynd.xlsx", "A 66531-2021")</f>
        <v/>
      </c>
      <c r="T883">
        <f>HYPERLINK("https://klasma.github.io/Logging_2284/kartor/A 66531-2021 karta.png", "A 66531-2021")</f>
        <v/>
      </c>
      <c r="V883">
        <f>HYPERLINK("https://klasma.github.io/Logging_2284/klagomål/A 66531-2021 FSC-klagomål.docx", "A 66531-2021")</f>
        <v/>
      </c>
      <c r="W883">
        <f>HYPERLINK("https://klasma.github.io/Logging_2284/klagomålsmail/A 66531-2021 FSC-klagomål mail.docx", "A 66531-2021")</f>
        <v/>
      </c>
      <c r="X883">
        <f>HYPERLINK("https://klasma.github.io/Logging_2284/tillsyn/A 66531-2021 tillsynsbegäran.docx", "A 66531-2021")</f>
        <v/>
      </c>
      <c r="Y883">
        <f>HYPERLINK("https://klasma.github.io/Logging_2284/tillsynsmail/A 66531-2021 tillsynsbegäran mail.docx", "A 66531-2021")</f>
        <v/>
      </c>
    </row>
    <row r="884" ht="15" customHeight="1">
      <c r="A884" t="inlineStr">
        <is>
          <t>A 44763-2022</t>
        </is>
      </c>
      <c r="B884" s="1" t="n">
        <v>44840</v>
      </c>
      <c r="C884" s="1" t="n">
        <v>46185</v>
      </c>
      <c r="D884" t="inlineStr">
        <is>
          <t>VÄSTERNORRLANDS LÄN</t>
        </is>
      </c>
      <c r="E884" t="inlineStr">
        <is>
          <t>SOLLEFTEÅ</t>
        </is>
      </c>
      <c r="F884" t="inlineStr">
        <is>
          <t>SCA</t>
        </is>
      </c>
      <c r="G884" t="n">
        <v>1.2</v>
      </c>
      <c r="H884" t="n">
        <v>0</v>
      </c>
      <c r="I884" t="n">
        <v>0</v>
      </c>
      <c r="J884" t="n">
        <v>1</v>
      </c>
      <c r="K884" t="n">
        <v>0</v>
      </c>
      <c r="L884" t="n">
        <v>0</v>
      </c>
      <c r="M884" t="n">
        <v>0</v>
      </c>
      <c r="N884" t="n">
        <v>0</v>
      </c>
      <c r="O884" t="n">
        <v>1</v>
      </c>
      <c r="P884" t="n">
        <v>0</v>
      </c>
      <c r="Q884" t="n">
        <v>1</v>
      </c>
      <c r="R884" s="2" t="inlineStr">
        <is>
          <t>Rosenticka</t>
        </is>
      </c>
      <c r="S884">
        <f>HYPERLINK("https://klasma.github.io/Logging_2283/artfynd/A 44763-2022 artfynd.xlsx", "A 44763-2022")</f>
        <v/>
      </c>
      <c r="T884">
        <f>HYPERLINK("https://klasma.github.io/Logging_2283/kartor/A 44763-2022 karta.png", "A 44763-2022")</f>
        <v/>
      </c>
      <c r="V884">
        <f>HYPERLINK("https://klasma.github.io/Logging_2283/klagomål/A 44763-2022 FSC-klagomål.docx", "A 44763-2022")</f>
        <v/>
      </c>
      <c r="W884">
        <f>HYPERLINK("https://klasma.github.io/Logging_2283/klagomålsmail/A 44763-2022 FSC-klagomål mail.docx", "A 44763-2022")</f>
        <v/>
      </c>
      <c r="X884">
        <f>HYPERLINK("https://klasma.github.io/Logging_2283/tillsyn/A 44763-2022 tillsynsbegäran.docx", "A 44763-2022")</f>
        <v/>
      </c>
      <c r="Y884">
        <f>HYPERLINK("https://klasma.github.io/Logging_2283/tillsynsmail/A 44763-2022 tillsynsbegäran mail.docx", "A 44763-2022")</f>
        <v/>
      </c>
    </row>
    <row r="885" ht="15" customHeight="1">
      <c r="A885" t="inlineStr">
        <is>
          <t>A 35003-2021</t>
        </is>
      </c>
      <c r="B885" s="1" t="n">
        <v>44383.67390046296</v>
      </c>
      <c r="C885" s="1" t="n">
        <v>46185</v>
      </c>
      <c r="D885" t="inlineStr">
        <is>
          <t>VÄSTERNORRLANDS LÄN</t>
        </is>
      </c>
      <c r="E885" t="inlineStr">
        <is>
          <t>ÖRNSKÖLDSVIK</t>
        </is>
      </c>
      <c r="G885" t="n">
        <v>25.5</v>
      </c>
      <c r="H885" t="n">
        <v>1</v>
      </c>
      <c r="I885" t="n">
        <v>1</v>
      </c>
      <c r="J885" t="n">
        <v>0</v>
      </c>
      <c r="K885" t="n">
        <v>0</v>
      </c>
      <c r="L885" t="n">
        <v>0</v>
      </c>
      <c r="M885" t="n">
        <v>0</v>
      </c>
      <c r="N885" t="n">
        <v>0</v>
      </c>
      <c r="O885" t="n">
        <v>0</v>
      </c>
      <c r="P885" t="n">
        <v>0</v>
      </c>
      <c r="Q885" t="n">
        <v>1</v>
      </c>
      <c r="R885" s="2" t="inlineStr">
        <is>
          <t>Lappranunkel</t>
        </is>
      </c>
      <c r="S885">
        <f>HYPERLINK("https://klasma.github.io/Logging_2284/artfynd/A 35003-2021 artfynd.xlsx", "A 35003-2021")</f>
        <v/>
      </c>
      <c r="T885">
        <f>HYPERLINK("https://klasma.github.io/Logging_2284/kartor/A 35003-2021 karta.png", "A 35003-2021")</f>
        <v/>
      </c>
      <c r="V885">
        <f>HYPERLINK("https://klasma.github.io/Logging_2284/klagomål/A 35003-2021 FSC-klagomål.docx", "A 35003-2021")</f>
        <v/>
      </c>
      <c r="W885">
        <f>HYPERLINK("https://klasma.github.io/Logging_2284/klagomålsmail/A 35003-2021 FSC-klagomål mail.docx", "A 35003-2021")</f>
        <v/>
      </c>
      <c r="X885">
        <f>HYPERLINK("https://klasma.github.io/Logging_2284/tillsyn/A 35003-2021 tillsynsbegäran.docx", "A 35003-2021")</f>
        <v/>
      </c>
      <c r="Y885">
        <f>HYPERLINK("https://klasma.github.io/Logging_2284/tillsynsmail/A 35003-2021 tillsynsbegäran mail.docx", "A 35003-2021")</f>
        <v/>
      </c>
    </row>
    <row r="886" ht="15" customHeight="1">
      <c r="A886" t="inlineStr">
        <is>
          <t>A 37618-2021</t>
        </is>
      </c>
      <c r="B886" s="1" t="n">
        <v>44399</v>
      </c>
      <c r="C886" s="1" t="n">
        <v>46185</v>
      </c>
      <c r="D886" t="inlineStr">
        <is>
          <t>VÄSTERNORRLANDS LÄN</t>
        </is>
      </c>
      <c r="E886" t="inlineStr">
        <is>
          <t>ÖRNSKÖLDSVIK</t>
        </is>
      </c>
      <c r="G886" t="n">
        <v>7.1</v>
      </c>
      <c r="H886" t="n">
        <v>0</v>
      </c>
      <c r="I886" t="n">
        <v>0</v>
      </c>
      <c r="J886" t="n">
        <v>1</v>
      </c>
      <c r="K886" t="n">
        <v>0</v>
      </c>
      <c r="L886" t="n">
        <v>0</v>
      </c>
      <c r="M886" t="n">
        <v>0</v>
      </c>
      <c r="N886" t="n">
        <v>0</v>
      </c>
      <c r="O886" t="n">
        <v>1</v>
      </c>
      <c r="P886" t="n">
        <v>0</v>
      </c>
      <c r="Q886" t="n">
        <v>1</v>
      </c>
      <c r="R886" s="2" t="inlineStr">
        <is>
          <t>Luddfingersvamp</t>
        </is>
      </c>
      <c r="S886">
        <f>HYPERLINK("https://klasma.github.io/Logging_2284/artfynd/A 37618-2021 artfynd.xlsx", "A 37618-2021")</f>
        <v/>
      </c>
      <c r="T886">
        <f>HYPERLINK("https://klasma.github.io/Logging_2284/kartor/A 37618-2021 karta.png", "A 37618-2021")</f>
        <v/>
      </c>
      <c r="V886">
        <f>HYPERLINK("https://klasma.github.io/Logging_2284/klagomål/A 37618-2021 FSC-klagomål.docx", "A 37618-2021")</f>
        <v/>
      </c>
      <c r="W886">
        <f>HYPERLINK("https://klasma.github.io/Logging_2284/klagomålsmail/A 37618-2021 FSC-klagomål mail.docx", "A 37618-2021")</f>
        <v/>
      </c>
      <c r="X886">
        <f>HYPERLINK("https://klasma.github.io/Logging_2284/tillsyn/A 37618-2021 tillsynsbegäran.docx", "A 37618-2021")</f>
        <v/>
      </c>
      <c r="Y886">
        <f>HYPERLINK("https://klasma.github.io/Logging_2284/tillsynsmail/A 37618-2021 tillsynsbegäran mail.docx", "A 37618-2021")</f>
        <v/>
      </c>
    </row>
    <row r="887" ht="15" customHeight="1">
      <c r="A887" t="inlineStr">
        <is>
          <t>A 30933-2022</t>
        </is>
      </c>
      <c r="B887" s="1" t="n">
        <v>44767.93952546296</v>
      </c>
      <c r="C887" s="1" t="n">
        <v>46185</v>
      </c>
      <c r="D887" t="inlineStr">
        <is>
          <t>VÄSTERNORRLANDS LÄN</t>
        </is>
      </c>
      <c r="E887" t="inlineStr">
        <is>
          <t>SUNDSVALL</t>
        </is>
      </c>
      <c r="F887" t="inlineStr">
        <is>
          <t>SCA</t>
        </is>
      </c>
      <c r="G887" t="n">
        <v>1.9</v>
      </c>
      <c r="H887" t="n">
        <v>1</v>
      </c>
      <c r="I887" t="n">
        <v>0</v>
      </c>
      <c r="J887" t="n">
        <v>1</v>
      </c>
      <c r="K887" t="n">
        <v>0</v>
      </c>
      <c r="L887" t="n">
        <v>0</v>
      </c>
      <c r="M887" t="n">
        <v>0</v>
      </c>
      <c r="N887" t="n">
        <v>0</v>
      </c>
      <c r="O887" t="n">
        <v>1</v>
      </c>
      <c r="P887" t="n">
        <v>0</v>
      </c>
      <c r="Q887" t="n">
        <v>1</v>
      </c>
      <c r="R887" s="2" t="inlineStr">
        <is>
          <t>Björktrast</t>
        </is>
      </c>
      <c r="S887">
        <f>HYPERLINK("https://klasma.github.io/Logging_2281/artfynd/A 30933-2022 artfynd.xlsx", "A 30933-2022")</f>
        <v/>
      </c>
      <c r="T887">
        <f>HYPERLINK("https://klasma.github.io/Logging_2281/kartor/A 30933-2022 karta.png", "A 30933-2022")</f>
        <v/>
      </c>
      <c r="V887">
        <f>HYPERLINK("https://klasma.github.io/Logging_2281/klagomål/A 30933-2022 FSC-klagomål.docx", "A 30933-2022")</f>
        <v/>
      </c>
      <c r="W887">
        <f>HYPERLINK("https://klasma.github.io/Logging_2281/klagomålsmail/A 30933-2022 FSC-klagomål mail.docx", "A 30933-2022")</f>
        <v/>
      </c>
      <c r="X887">
        <f>HYPERLINK("https://klasma.github.io/Logging_2281/tillsyn/A 30933-2022 tillsynsbegäran.docx", "A 30933-2022")</f>
        <v/>
      </c>
      <c r="Y887">
        <f>HYPERLINK("https://klasma.github.io/Logging_2281/tillsynsmail/A 30933-2022 tillsynsbegäran mail.docx", "A 30933-2022")</f>
        <v/>
      </c>
      <c r="Z887">
        <f>HYPERLINK("https://klasma.github.io/Logging_2281/fåglar/A 30933-2022 prioriterade fågelarter.docx", "A 30933-2022")</f>
        <v/>
      </c>
    </row>
    <row r="888" ht="15" customHeight="1">
      <c r="A888" t="inlineStr">
        <is>
          <t>A 22323-2022</t>
        </is>
      </c>
      <c r="B888" s="1" t="n">
        <v>44712.94081018519</v>
      </c>
      <c r="C888" s="1" t="n">
        <v>46185</v>
      </c>
      <c r="D888" t="inlineStr">
        <is>
          <t>VÄSTERNORRLANDS LÄN</t>
        </is>
      </c>
      <c r="E888" t="inlineStr">
        <is>
          <t>SOLLEFTEÅ</t>
        </is>
      </c>
      <c r="F888" t="inlineStr">
        <is>
          <t>SCA</t>
        </is>
      </c>
      <c r="G888" t="n">
        <v>1.8</v>
      </c>
      <c r="H888" t="n">
        <v>0</v>
      </c>
      <c r="I888" t="n">
        <v>0</v>
      </c>
      <c r="J888" t="n">
        <v>1</v>
      </c>
      <c r="K888" t="n">
        <v>0</v>
      </c>
      <c r="L888" t="n">
        <v>0</v>
      </c>
      <c r="M888" t="n">
        <v>0</v>
      </c>
      <c r="N888" t="n">
        <v>0</v>
      </c>
      <c r="O888" t="n">
        <v>1</v>
      </c>
      <c r="P888" t="n">
        <v>0</v>
      </c>
      <c r="Q888" t="n">
        <v>1</v>
      </c>
      <c r="R888" s="2" t="inlineStr">
        <is>
          <t>Granticka</t>
        </is>
      </c>
      <c r="S888">
        <f>HYPERLINK("https://klasma.github.io/Logging_2283/artfynd/A 22323-2022 artfynd.xlsx", "A 22323-2022")</f>
        <v/>
      </c>
      <c r="T888">
        <f>HYPERLINK("https://klasma.github.io/Logging_2283/kartor/A 22323-2022 karta.png", "A 22323-2022")</f>
        <v/>
      </c>
      <c r="V888">
        <f>HYPERLINK("https://klasma.github.io/Logging_2283/klagomål/A 22323-2022 FSC-klagomål.docx", "A 22323-2022")</f>
        <v/>
      </c>
      <c r="W888">
        <f>HYPERLINK("https://klasma.github.io/Logging_2283/klagomålsmail/A 22323-2022 FSC-klagomål mail.docx", "A 22323-2022")</f>
        <v/>
      </c>
      <c r="X888">
        <f>HYPERLINK("https://klasma.github.io/Logging_2283/tillsyn/A 22323-2022 tillsynsbegäran.docx", "A 22323-2022")</f>
        <v/>
      </c>
      <c r="Y888">
        <f>HYPERLINK("https://klasma.github.io/Logging_2283/tillsynsmail/A 22323-2022 tillsynsbegäran mail.docx", "A 22323-2022")</f>
        <v/>
      </c>
    </row>
    <row r="889" ht="15" customHeight="1">
      <c r="A889" t="inlineStr">
        <is>
          <t>A 40626-2022</t>
        </is>
      </c>
      <c r="B889" s="1" t="n">
        <v>44823.95071759259</v>
      </c>
      <c r="C889" s="1" t="n">
        <v>46185</v>
      </c>
      <c r="D889" t="inlineStr">
        <is>
          <t>VÄSTERNORRLANDS LÄN</t>
        </is>
      </c>
      <c r="E889" t="inlineStr">
        <is>
          <t>SOLLEFTEÅ</t>
        </is>
      </c>
      <c r="F889" t="inlineStr">
        <is>
          <t>SCA</t>
        </is>
      </c>
      <c r="G889" t="n">
        <v>2.5</v>
      </c>
      <c r="H889" t="n">
        <v>1</v>
      </c>
      <c r="I889" t="n">
        <v>0</v>
      </c>
      <c r="J889" t="n">
        <v>1</v>
      </c>
      <c r="K889" t="n">
        <v>0</v>
      </c>
      <c r="L889" t="n">
        <v>0</v>
      </c>
      <c r="M889" t="n">
        <v>0</v>
      </c>
      <c r="N889" t="n">
        <v>0</v>
      </c>
      <c r="O889" t="n">
        <v>1</v>
      </c>
      <c r="P889" t="n">
        <v>0</v>
      </c>
      <c r="Q889" t="n">
        <v>1</v>
      </c>
      <c r="R889" s="2" t="inlineStr">
        <is>
          <t>Spillkråka</t>
        </is>
      </c>
      <c r="S889">
        <f>HYPERLINK("https://klasma.github.io/Logging_2283/artfynd/A 40626-2022 artfynd.xlsx", "A 40626-2022")</f>
        <v/>
      </c>
      <c r="T889">
        <f>HYPERLINK("https://klasma.github.io/Logging_2283/kartor/A 40626-2022 karta.png", "A 40626-2022")</f>
        <v/>
      </c>
      <c r="V889">
        <f>HYPERLINK("https://klasma.github.io/Logging_2283/klagomål/A 40626-2022 FSC-klagomål.docx", "A 40626-2022")</f>
        <v/>
      </c>
      <c r="W889">
        <f>HYPERLINK("https://klasma.github.io/Logging_2283/klagomålsmail/A 40626-2022 FSC-klagomål mail.docx", "A 40626-2022")</f>
        <v/>
      </c>
      <c r="X889">
        <f>HYPERLINK("https://klasma.github.io/Logging_2283/tillsyn/A 40626-2022 tillsynsbegäran.docx", "A 40626-2022")</f>
        <v/>
      </c>
      <c r="Y889">
        <f>HYPERLINK("https://klasma.github.io/Logging_2283/tillsynsmail/A 40626-2022 tillsynsbegäran mail.docx", "A 40626-2022")</f>
        <v/>
      </c>
      <c r="Z889">
        <f>HYPERLINK("https://klasma.github.io/Logging_2283/fåglar/A 40626-2022 prioriterade fågelarter.docx", "A 40626-2022")</f>
        <v/>
      </c>
    </row>
    <row r="890" ht="15" customHeight="1">
      <c r="A890" t="inlineStr">
        <is>
          <t>A 70901-2021</t>
        </is>
      </c>
      <c r="B890" s="1" t="n">
        <v>44538</v>
      </c>
      <c r="C890" s="1" t="n">
        <v>46185</v>
      </c>
      <c r="D890" t="inlineStr">
        <is>
          <t>VÄSTERNORRLANDS LÄN</t>
        </is>
      </c>
      <c r="E890" t="inlineStr">
        <is>
          <t>SUNDSVALL</t>
        </is>
      </c>
      <c r="F890" t="inlineStr">
        <is>
          <t>Kommuner</t>
        </is>
      </c>
      <c r="G890" t="n">
        <v>2.4</v>
      </c>
      <c r="H890" t="n">
        <v>0</v>
      </c>
      <c r="I890" t="n">
        <v>0</v>
      </c>
      <c r="J890" t="n">
        <v>1</v>
      </c>
      <c r="K890" t="n">
        <v>0</v>
      </c>
      <c r="L890" t="n">
        <v>0</v>
      </c>
      <c r="M890" t="n">
        <v>0</v>
      </c>
      <c r="N890" t="n">
        <v>0</v>
      </c>
      <c r="O890" t="n">
        <v>1</v>
      </c>
      <c r="P890" t="n">
        <v>0</v>
      </c>
      <c r="Q890" t="n">
        <v>1</v>
      </c>
      <c r="R890" s="2" t="inlineStr">
        <is>
          <t>Dvärgmalmätare</t>
        </is>
      </c>
      <c r="S890">
        <f>HYPERLINK("https://klasma.github.io/Logging_2281/artfynd/A 70901-2021 artfynd.xlsx", "A 70901-2021")</f>
        <v/>
      </c>
      <c r="T890">
        <f>HYPERLINK("https://klasma.github.io/Logging_2281/kartor/A 70901-2021 karta.png", "A 70901-2021")</f>
        <v/>
      </c>
      <c r="V890">
        <f>HYPERLINK("https://klasma.github.io/Logging_2281/klagomål/A 70901-2021 FSC-klagomål.docx", "A 70901-2021")</f>
        <v/>
      </c>
      <c r="W890">
        <f>HYPERLINK("https://klasma.github.io/Logging_2281/klagomålsmail/A 70901-2021 FSC-klagomål mail.docx", "A 70901-2021")</f>
        <v/>
      </c>
      <c r="X890">
        <f>HYPERLINK("https://klasma.github.io/Logging_2281/tillsyn/A 70901-2021 tillsynsbegäran.docx", "A 70901-2021")</f>
        <v/>
      </c>
      <c r="Y890">
        <f>HYPERLINK("https://klasma.github.io/Logging_2281/tillsynsmail/A 70901-2021 tillsynsbegäran mail.docx", "A 70901-2021")</f>
        <v/>
      </c>
    </row>
    <row r="891" ht="15" customHeight="1">
      <c r="A891" t="inlineStr">
        <is>
          <t>A 45551-2021</t>
        </is>
      </c>
      <c r="B891" s="1" t="n">
        <v>44440</v>
      </c>
      <c r="C891" s="1" t="n">
        <v>46185</v>
      </c>
      <c r="D891" t="inlineStr">
        <is>
          <t>VÄSTERNORRLANDS LÄN</t>
        </is>
      </c>
      <c r="E891" t="inlineStr">
        <is>
          <t>ÖRNSKÖLDSVIK</t>
        </is>
      </c>
      <c r="F891" t="inlineStr">
        <is>
          <t>Holmen skog AB</t>
        </is>
      </c>
      <c r="G891" t="n">
        <v>8.9</v>
      </c>
      <c r="H891" t="n">
        <v>0</v>
      </c>
      <c r="I891" t="n">
        <v>0</v>
      </c>
      <c r="J891" t="n">
        <v>1</v>
      </c>
      <c r="K891" t="n">
        <v>0</v>
      </c>
      <c r="L891" t="n">
        <v>0</v>
      </c>
      <c r="M891" t="n">
        <v>0</v>
      </c>
      <c r="N891" t="n">
        <v>0</v>
      </c>
      <c r="O891" t="n">
        <v>1</v>
      </c>
      <c r="P891" t="n">
        <v>0</v>
      </c>
      <c r="Q891" t="n">
        <v>1</v>
      </c>
      <c r="R891" s="2" t="inlineStr">
        <is>
          <t>Kolflarnlav</t>
        </is>
      </c>
      <c r="S891">
        <f>HYPERLINK("https://klasma.github.io/Logging_2284/artfynd/A 45551-2021 artfynd.xlsx", "A 45551-2021")</f>
        <v/>
      </c>
      <c r="T891">
        <f>HYPERLINK("https://klasma.github.io/Logging_2284/kartor/A 45551-2021 karta.png", "A 45551-2021")</f>
        <v/>
      </c>
      <c r="V891">
        <f>HYPERLINK("https://klasma.github.io/Logging_2284/klagomål/A 45551-2021 FSC-klagomål.docx", "A 45551-2021")</f>
        <v/>
      </c>
      <c r="W891">
        <f>HYPERLINK("https://klasma.github.io/Logging_2284/klagomålsmail/A 45551-2021 FSC-klagomål mail.docx", "A 45551-2021")</f>
        <v/>
      </c>
      <c r="X891">
        <f>HYPERLINK("https://klasma.github.io/Logging_2284/tillsyn/A 45551-2021 tillsynsbegäran.docx", "A 45551-2021")</f>
        <v/>
      </c>
      <c r="Y891">
        <f>HYPERLINK("https://klasma.github.io/Logging_2284/tillsynsmail/A 45551-2021 tillsynsbegäran mail.docx", "A 45551-2021")</f>
        <v/>
      </c>
    </row>
    <row r="892" ht="15" customHeight="1">
      <c r="A892" t="inlineStr">
        <is>
          <t>A 22382-2022</t>
        </is>
      </c>
      <c r="B892" s="1" t="n">
        <v>44713</v>
      </c>
      <c r="C892" s="1" t="n">
        <v>46185</v>
      </c>
      <c r="D892" t="inlineStr">
        <is>
          <t>VÄSTERNORRLANDS LÄN</t>
        </is>
      </c>
      <c r="E892" t="inlineStr">
        <is>
          <t>KRAMFORS</t>
        </is>
      </c>
      <c r="G892" t="n">
        <v>1.5</v>
      </c>
      <c r="H892" t="n">
        <v>1</v>
      </c>
      <c r="I892" t="n">
        <v>0</v>
      </c>
      <c r="J892" t="n">
        <v>1</v>
      </c>
      <c r="K892" t="n">
        <v>0</v>
      </c>
      <c r="L892" t="n">
        <v>0</v>
      </c>
      <c r="M892" t="n">
        <v>0</v>
      </c>
      <c r="N892" t="n">
        <v>0</v>
      </c>
      <c r="O892" t="n">
        <v>1</v>
      </c>
      <c r="P892" t="n">
        <v>0</v>
      </c>
      <c r="Q892" t="n">
        <v>1</v>
      </c>
      <c r="R892" s="2" t="inlineStr">
        <is>
          <t>Spillkråka</t>
        </is>
      </c>
      <c r="S892">
        <f>HYPERLINK("https://klasma.github.io/Logging_2282/artfynd/A 22382-2022 artfynd.xlsx", "A 22382-2022")</f>
        <v/>
      </c>
      <c r="T892">
        <f>HYPERLINK("https://klasma.github.io/Logging_2282/kartor/A 22382-2022 karta.png", "A 22382-2022")</f>
        <v/>
      </c>
      <c r="V892">
        <f>HYPERLINK("https://klasma.github.io/Logging_2282/klagomål/A 22382-2022 FSC-klagomål.docx", "A 22382-2022")</f>
        <v/>
      </c>
      <c r="W892">
        <f>HYPERLINK("https://klasma.github.io/Logging_2282/klagomålsmail/A 22382-2022 FSC-klagomål mail.docx", "A 22382-2022")</f>
        <v/>
      </c>
      <c r="X892">
        <f>HYPERLINK("https://klasma.github.io/Logging_2282/tillsyn/A 22382-2022 tillsynsbegäran.docx", "A 22382-2022")</f>
        <v/>
      </c>
      <c r="Y892">
        <f>HYPERLINK("https://klasma.github.io/Logging_2282/tillsynsmail/A 22382-2022 tillsynsbegäran mail.docx", "A 22382-2022")</f>
        <v/>
      </c>
      <c r="Z892">
        <f>HYPERLINK("https://klasma.github.io/Logging_2282/fåglar/A 22382-2022 prioriterade fågelarter.docx", "A 22382-2022")</f>
        <v/>
      </c>
    </row>
    <row r="893" ht="15" customHeight="1">
      <c r="A893" t="inlineStr">
        <is>
          <t>A 5033-2024</t>
        </is>
      </c>
      <c r="B893" s="1" t="n">
        <v>45329</v>
      </c>
      <c r="C893" s="1" t="n">
        <v>46185</v>
      </c>
      <c r="D893" t="inlineStr">
        <is>
          <t>VÄSTERNORRLANDS LÄN</t>
        </is>
      </c>
      <c r="E893" t="inlineStr">
        <is>
          <t>SOLLEFTEÅ</t>
        </is>
      </c>
      <c r="F893" t="inlineStr">
        <is>
          <t>Övriga Aktiebolag</t>
        </is>
      </c>
      <c r="G893" t="n">
        <v>3.2</v>
      </c>
      <c r="H893" t="n">
        <v>0</v>
      </c>
      <c r="I893" t="n">
        <v>1</v>
      </c>
      <c r="J893" t="n">
        <v>0</v>
      </c>
      <c r="K893" t="n">
        <v>0</v>
      </c>
      <c r="L893" t="n">
        <v>0</v>
      </c>
      <c r="M893" t="n">
        <v>0</v>
      </c>
      <c r="N893" t="n">
        <v>0</v>
      </c>
      <c r="O893" t="n">
        <v>0</v>
      </c>
      <c r="P893" t="n">
        <v>0</v>
      </c>
      <c r="Q893" t="n">
        <v>1</v>
      </c>
      <c r="R893" s="2" t="inlineStr">
        <is>
          <t>Kransrams</t>
        </is>
      </c>
      <c r="S893">
        <f>HYPERLINK("https://klasma.github.io/Logging_2283/artfynd/A 5033-2024 artfynd.xlsx", "A 5033-2024")</f>
        <v/>
      </c>
      <c r="T893">
        <f>HYPERLINK("https://klasma.github.io/Logging_2283/kartor/A 5033-2024 karta.png", "A 5033-2024")</f>
        <v/>
      </c>
      <c r="V893">
        <f>HYPERLINK("https://klasma.github.io/Logging_2283/klagomål/A 5033-2024 FSC-klagomål.docx", "A 5033-2024")</f>
        <v/>
      </c>
      <c r="W893">
        <f>HYPERLINK("https://klasma.github.io/Logging_2283/klagomålsmail/A 5033-2024 FSC-klagomål mail.docx", "A 5033-2024")</f>
        <v/>
      </c>
      <c r="X893">
        <f>HYPERLINK("https://klasma.github.io/Logging_2283/tillsyn/A 5033-2024 tillsynsbegäran.docx", "A 5033-2024")</f>
        <v/>
      </c>
      <c r="Y893">
        <f>HYPERLINK("https://klasma.github.io/Logging_2283/tillsynsmail/A 5033-2024 tillsynsbegäran mail.docx", "A 5033-2024")</f>
        <v/>
      </c>
    </row>
    <row r="894" ht="15" customHeight="1">
      <c r="A894" t="inlineStr">
        <is>
          <t>A 7272-2025</t>
        </is>
      </c>
      <c r="B894" s="1" t="n">
        <v>45702.61481481481</v>
      </c>
      <c r="C894" s="1" t="n">
        <v>46185</v>
      </c>
      <c r="D894" t="inlineStr">
        <is>
          <t>VÄSTERNORRLANDS LÄN</t>
        </is>
      </c>
      <c r="E894" t="inlineStr">
        <is>
          <t>TIMRÅ</t>
        </is>
      </c>
      <c r="G894" t="n">
        <v>2.9</v>
      </c>
      <c r="H894" t="n">
        <v>0</v>
      </c>
      <c r="I894" t="n">
        <v>0</v>
      </c>
      <c r="J894" t="n">
        <v>1</v>
      </c>
      <c r="K894" t="n">
        <v>0</v>
      </c>
      <c r="L894" t="n">
        <v>0</v>
      </c>
      <c r="M894" t="n">
        <v>0</v>
      </c>
      <c r="N894" t="n">
        <v>0</v>
      </c>
      <c r="O894" t="n">
        <v>1</v>
      </c>
      <c r="P894" t="n">
        <v>0</v>
      </c>
      <c r="Q894" t="n">
        <v>1</v>
      </c>
      <c r="R894" s="2" t="inlineStr">
        <is>
          <t>Reliktbock</t>
        </is>
      </c>
      <c r="S894">
        <f>HYPERLINK("https://klasma.github.io/Logging_2262/artfynd/A 7272-2025 artfynd.xlsx", "A 7272-2025")</f>
        <v/>
      </c>
      <c r="T894">
        <f>HYPERLINK("https://klasma.github.io/Logging_2262/kartor/A 7272-2025 karta.png", "A 7272-2025")</f>
        <v/>
      </c>
      <c r="V894">
        <f>HYPERLINK("https://klasma.github.io/Logging_2262/klagomål/A 7272-2025 FSC-klagomål.docx", "A 7272-2025")</f>
        <v/>
      </c>
      <c r="W894">
        <f>HYPERLINK("https://klasma.github.io/Logging_2262/klagomålsmail/A 7272-2025 FSC-klagomål mail.docx", "A 7272-2025")</f>
        <v/>
      </c>
      <c r="X894">
        <f>HYPERLINK("https://klasma.github.io/Logging_2262/tillsyn/A 7272-2025 tillsynsbegäran.docx", "A 7272-2025")</f>
        <v/>
      </c>
      <c r="Y894">
        <f>HYPERLINK("https://klasma.github.io/Logging_2262/tillsynsmail/A 7272-2025 tillsynsbegäran mail.docx", "A 7272-2025")</f>
        <v/>
      </c>
    </row>
    <row r="895" ht="15" customHeight="1">
      <c r="A895" t="inlineStr">
        <is>
          <t>A 33504-2022</t>
        </is>
      </c>
      <c r="B895" s="1" t="n">
        <v>44788</v>
      </c>
      <c r="C895" s="1" t="n">
        <v>46185</v>
      </c>
      <c r="D895" t="inlineStr">
        <is>
          <t>VÄSTERNORRLANDS LÄN</t>
        </is>
      </c>
      <c r="E895" t="inlineStr">
        <is>
          <t>SOLLEFTEÅ</t>
        </is>
      </c>
      <c r="F895" t="inlineStr">
        <is>
          <t>SCA</t>
        </is>
      </c>
      <c r="G895" t="n">
        <v>5.2</v>
      </c>
      <c r="H895" t="n">
        <v>1</v>
      </c>
      <c r="I895" t="n">
        <v>0</v>
      </c>
      <c r="J895" t="n">
        <v>0</v>
      </c>
      <c r="K895" t="n">
        <v>1</v>
      </c>
      <c r="L895" t="n">
        <v>0</v>
      </c>
      <c r="M895" t="n">
        <v>0</v>
      </c>
      <c r="N895" t="n">
        <v>0</v>
      </c>
      <c r="O895" t="n">
        <v>1</v>
      </c>
      <c r="P895" t="n">
        <v>1</v>
      </c>
      <c r="Q895" t="n">
        <v>1</v>
      </c>
      <c r="R895" s="2" t="inlineStr">
        <is>
          <t>Knärot</t>
        </is>
      </c>
      <c r="S895">
        <f>HYPERLINK("https://klasma.github.io/Logging_2283/artfynd/A 33504-2022 artfynd.xlsx", "A 33504-2022")</f>
        <v/>
      </c>
      <c r="T895">
        <f>HYPERLINK("https://klasma.github.io/Logging_2283/kartor/A 33504-2022 karta.png", "A 33504-2022")</f>
        <v/>
      </c>
      <c r="U895">
        <f>HYPERLINK("https://klasma.github.io/Logging_2283/knärot/A 33504-2022 karta knärot.png", "A 33504-2022")</f>
        <v/>
      </c>
      <c r="V895">
        <f>HYPERLINK("https://klasma.github.io/Logging_2283/klagomål/A 33504-2022 FSC-klagomål.docx", "A 33504-2022")</f>
        <v/>
      </c>
      <c r="W895">
        <f>HYPERLINK("https://klasma.github.io/Logging_2283/klagomålsmail/A 33504-2022 FSC-klagomål mail.docx", "A 33504-2022")</f>
        <v/>
      </c>
      <c r="X895">
        <f>HYPERLINK("https://klasma.github.io/Logging_2283/tillsyn/A 33504-2022 tillsynsbegäran.docx", "A 33504-2022")</f>
        <v/>
      </c>
      <c r="Y895">
        <f>HYPERLINK("https://klasma.github.io/Logging_2283/tillsynsmail/A 33504-2022 tillsynsbegäran mail.docx", "A 33504-2022")</f>
        <v/>
      </c>
    </row>
    <row r="896" ht="15" customHeight="1">
      <c r="A896" t="inlineStr">
        <is>
          <t>A 53059-2023</t>
        </is>
      </c>
      <c r="B896" s="1" t="n">
        <v>45226</v>
      </c>
      <c r="C896" s="1" t="n">
        <v>46185</v>
      </c>
      <c r="D896" t="inlineStr">
        <is>
          <t>VÄSTERNORRLANDS LÄN</t>
        </is>
      </c>
      <c r="E896" t="inlineStr">
        <is>
          <t>SOLLEFTEÅ</t>
        </is>
      </c>
      <c r="F896" t="inlineStr">
        <is>
          <t>SCA</t>
        </is>
      </c>
      <c r="G896" t="n">
        <v>1.3</v>
      </c>
      <c r="H896" t="n">
        <v>1</v>
      </c>
      <c r="I896" t="n">
        <v>0</v>
      </c>
      <c r="J896" t="n">
        <v>0</v>
      </c>
      <c r="K896" t="n">
        <v>1</v>
      </c>
      <c r="L896" t="n">
        <v>0</v>
      </c>
      <c r="M896" t="n">
        <v>0</v>
      </c>
      <c r="N896" t="n">
        <v>0</v>
      </c>
      <c r="O896" t="n">
        <v>1</v>
      </c>
      <c r="P896" t="n">
        <v>1</v>
      </c>
      <c r="Q896" t="n">
        <v>1</v>
      </c>
      <c r="R896" s="2" t="inlineStr">
        <is>
          <t>Knärot</t>
        </is>
      </c>
      <c r="S896">
        <f>HYPERLINK("https://klasma.github.io/Logging_2283/artfynd/A 53059-2023 artfynd.xlsx", "A 53059-2023")</f>
        <v/>
      </c>
      <c r="T896">
        <f>HYPERLINK("https://klasma.github.io/Logging_2283/kartor/A 53059-2023 karta.png", "A 53059-2023")</f>
        <v/>
      </c>
      <c r="U896">
        <f>HYPERLINK("https://klasma.github.io/Logging_2283/knärot/A 53059-2023 karta knärot.png", "A 53059-2023")</f>
        <v/>
      </c>
      <c r="V896">
        <f>HYPERLINK("https://klasma.github.io/Logging_2283/klagomål/A 53059-2023 FSC-klagomål.docx", "A 53059-2023")</f>
        <v/>
      </c>
      <c r="W896">
        <f>HYPERLINK("https://klasma.github.io/Logging_2283/klagomålsmail/A 53059-2023 FSC-klagomål mail.docx", "A 53059-2023")</f>
        <v/>
      </c>
      <c r="X896">
        <f>HYPERLINK("https://klasma.github.io/Logging_2283/tillsyn/A 53059-2023 tillsynsbegäran.docx", "A 53059-2023")</f>
        <v/>
      </c>
      <c r="Y896">
        <f>HYPERLINK("https://klasma.github.io/Logging_2283/tillsynsmail/A 53059-2023 tillsynsbegäran mail.docx", "A 53059-2023")</f>
        <v/>
      </c>
    </row>
    <row r="897" ht="15" customHeight="1">
      <c r="A897" t="inlineStr">
        <is>
          <t>A 51737-2023</t>
        </is>
      </c>
      <c r="B897" s="1" t="n">
        <v>45222</v>
      </c>
      <c r="C897" s="1" t="n">
        <v>46185</v>
      </c>
      <c r="D897" t="inlineStr">
        <is>
          <t>VÄSTERNORRLANDS LÄN</t>
        </is>
      </c>
      <c r="E897" t="inlineStr">
        <is>
          <t>SUNDSVALL</t>
        </is>
      </c>
      <c r="G897" t="n">
        <v>10.9</v>
      </c>
      <c r="H897" t="n">
        <v>0</v>
      </c>
      <c r="I897" t="n">
        <v>0</v>
      </c>
      <c r="J897" t="n">
        <v>1</v>
      </c>
      <c r="K897" t="n">
        <v>0</v>
      </c>
      <c r="L897" t="n">
        <v>0</v>
      </c>
      <c r="M897" t="n">
        <v>0</v>
      </c>
      <c r="N897" t="n">
        <v>0</v>
      </c>
      <c r="O897" t="n">
        <v>1</v>
      </c>
      <c r="P897" t="n">
        <v>0</v>
      </c>
      <c r="Q897" t="n">
        <v>1</v>
      </c>
      <c r="R897" s="2" t="inlineStr">
        <is>
          <t>Garnlav</t>
        </is>
      </c>
      <c r="S897">
        <f>HYPERLINK("https://klasma.github.io/Logging_2281/artfynd/A 51737-2023 artfynd.xlsx", "A 51737-2023")</f>
        <v/>
      </c>
      <c r="T897">
        <f>HYPERLINK("https://klasma.github.io/Logging_2281/kartor/A 51737-2023 karta.png", "A 51737-2023")</f>
        <v/>
      </c>
      <c r="V897">
        <f>HYPERLINK("https://klasma.github.io/Logging_2281/klagomål/A 51737-2023 FSC-klagomål.docx", "A 51737-2023")</f>
        <v/>
      </c>
      <c r="W897">
        <f>HYPERLINK("https://klasma.github.io/Logging_2281/klagomålsmail/A 51737-2023 FSC-klagomål mail.docx", "A 51737-2023")</f>
        <v/>
      </c>
      <c r="X897">
        <f>HYPERLINK("https://klasma.github.io/Logging_2281/tillsyn/A 51737-2023 tillsynsbegäran.docx", "A 51737-2023")</f>
        <v/>
      </c>
      <c r="Y897">
        <f>HYPERLINK("https://klasma.github.io/Logging_2281/tillsynsmail/A 51737-2023 tillsynsbegäran mail.docx", "A 51737-2023")</f>
        <v/>
      </c>
    </row>
    <row r="898" ht="15" customHeight="1">
      <c r="A898" t="inlineStr">
        <is>
          <t>A 38606-2024</t>
        </is>
      </c>
      <c r="B898" s="1" t="n">
        <v>45546.67804398148</v>
      </c>
      <c r="C898" s="1" t="n">
        <v>46185</v>
      </c>
      <c r="D898" t="inlineStr">
        <is>
          <t>VÄSTERNORRLANDS LÄN</t>
        </is>
      </c>
      <c r="E898" t="inlineStr">
        <is>
          <t>ÅNGE</t>
        </is>
      </c>
      <c r="F898" t="inlineStr">
        <is>
          <t>SCA</t>
        </is>
      </c>
      <c r="G898" t="n">
        <v>2.4</v>
      </c>
      <c r="H898" t="n">
        <v>0</v>
      </c>
      <c r="I898" t="n">
        <v>0</v>
      </c>
      <c r="J898" t="n">
        <v>1</v>
      </c>
      <c r="K898" t="n">
        <v>0</v>
      </c>
      <c r="L898" t="n">
        <v>0</v>
      </c>
      <c r="M898" t="n">
        <v>0</v>
      </c>
      <c r="N898" t="n">
        <v>0</v>
      </c>
      <c r="O898" t="n">
        <v>1</v>
      </c>
      <c r="P898" t="n">
        <v>0</v>
      </c>
      <c r="Q898" t="n">
        <v>1</v>
      </c>
      <c r="R898" s="2" t="inlineStr">
        <is>
          <t>Ullticka</t>
        </is>
      </c>
      <c r="S898">
        <f>HYPERLINK("https://klasma.github.io/Logging_2260/artfynd/A 38606-2024 artfynd.xlsx", "A 38606-2024")</f>
        <v/>
      </c>
      <c r="T898">
        <f>HYPERLINK("https://klasma.github.io/Logging_2260/kartor/A 38606-2024 karta.png", "A 38606-2024")</f>
        <v/>
      </c>
      <c r="V898">
        <f>HYPERLINK("https://klasma.github.io/Logging_2260/klagomål/A 38606-2024 FSC-klagomål.docx", "A 38606-2024")</f>
        <v/>
      </c>
      <c r="W898">
        <f>HYPERLINK("https://klasma.github.io/Logging_2260/klagomålsmail/A 38606-2024 FSC-klagomål mail.docx", "A 38606-2024")</f>
        <v/>
      </c>
      <c r="X898">
        <f>HYPERLINK("https://klasma.github.io/Logging_2260/tillsyn/A 38606-2024 tillsynsbegäran.docx", "A 38606-2024")</f>
        <v/>
      </c>
      <c r="Y898">
        <f>HYPERLINK("https://klasma.github.io/Logging_2260/tillsynsmail/A 38606-2024 tillsynsbegäran mail.docx", "A 38606-2024")</f>
        <v/>
      </c>
    </row>
    <row r="899" ht="15" customHeight="1">
      <c r="A899" t="inlineStr">
        <is>
          <t>A 36209-2022</t>
        </is>
      </c>
      <c r="B899" s="1" t="n">
        <v>44803</v>
      </c>
      <c r="C899" s="1" t="n">
        <v>46185</v>
      </c>
      <c r="D899" t="inlineStr">
        <is>
          <t>VÄSTERNORRLANDS LÄN</t>
        </is>
      </c>
      <c r="E899" t="inlineStr">
        <is>
          <t>KRAMFORS</t>
        </is>
      </c>
      <c r="G899" t="n">
        <v>3.6</v>
      </c>
      <c r="H899" t="n">
        <v>1</v>
      </c>
      <c r="I899" t="n">
        <v>0</v>
      </c>
      <c r="J899" t="n">
        <v>1</v>
      </c>
      <c r="K899" t="n">
        <v>0</v>
      </c>
      <c r="L899" t="n">
        <v>0</v>
      </c>
      <c r="M899" t="n">
        <v>0</v>
      </c>
      <c r="N899" t="n">
        <v>0</v>
      </c>
      <c r="O899" t="n">
        <v>1</v>
      </c>
      <c r="P899" t="n">
        <v>0</v>
      </c>
      <c r="Q899" t="n">
        <v>1</v>
      </c>
      <c r="R899" s="2" t="inlineStr">
        <is>
          <t>Tretåig hackspett</t>
        </is>
      </c>
      <c r="S899">
        <f>HYPERLINK("https://klasma.github.io/Logging_2282/artfynd/A 36209-2022 artfynd.xlsx", "A 36209-2022")</f>
        <v/>
      </c>
      <c r="T899">
        <f>HYPERLINK("https://klasma.github.io/Logging_2282/kartor/A 36209-2022 karta.png", "A 36209-2022")</f>
        <v/>
      </c>
      <c r="V899">
        <f>HYPERLINK("https://klasma.github.io/Logging_2282/klagomål/A 36209-2022 FSC-klagomål.docx", "A 36209-2022")</f>
        <v/>
      </c>
      <c r="W899">
        <f>HYPERLINK("https://klasma.github.io/Logging_2282/klagomålsmail/A 36209-2022 FSC-klagomål mail.docx", "A 36209-2022")</f>
        <v/>
      </c>
      <c r="X899">
        <f>HYPERLINK("https://klasma.github.io/Logging_2282/tillsyn/A 36209-2022 tillsynsbegäran.docx", "A 36209-2022")</f>
        <v/>
      </c>
      <c r="Y899">
        <f>HYPERLINK("https://klasma.github.io/Logging_2282/tillsynsmail/A 36209-2022 tillsynsbegäran mail.docx", "A 36209-2022")</f>
        <v/>
      </c>
      <c r="Z899">
        <f>HYPERLINK("https://klasma.github.io/Logging_2282/fåglar/A 36209-2022 prioriterade fågelarter.docx", "A 36209-2022")</f>
        <v/>
      </c>
    </row>
    <row r="900" ht="15" customHeight="1">
      <c r="A900" t="inlineStr">
        <is>
          <t>A 20075-2025</t>
        </is>
      </c>
      <c r="B900" s="1" t="n">
        <v>45772.44855324074</v>
      </c>
      <c r="C900" s="1" t="n">
        <v>46185</v>
      </c>
      <c r="D900" t="inlineStr">
        <is>
          <t>VÄSTERNORRLANDS LÄN</t>
        </is>
      </c>
      <c r="E900" t="inlineStr">
        <is>
          <t>SUNDSVALL</t>
        </is>
      </c>
      <c r="F900" t="inlineStr">
        <is>
          <t>Naturvårdsverket</t>
        </is>
      </c>
      <c r="G900" t="n">
        <v>8.9</v>
      </c>
      <c r="H900" t="n">
        <v>0</v>
      </c>
      <c r="I900" t="n">
        <v>0</v>
      </c>
      <c r="J900" t="n">
        <v>1</v>
      </c>
      <c r="K900" t="n">
        <v>0</v>
      </c>
      <c r="L900" t="n">
        <v>0</v>
      </c>
      <c r="M900" t="n">
        <v>0</v>
      </c>
      <c r="N900" t="n">
        <v>0</v>
      </c>
      <c r="O900" t="n">
        <v>1</v>
      </c>
      <c r="P900" t="n">
        <v>0</v>
      </c>
      <c r="Q900" t="n">
        <v>1</v>
      </c>
      <c r="R900" s="2" t="inlineStr">
        <is>
          <t>Lunglav</t>
        </is>
      </c>
      <c r="S900">
        <f>HYPERLINK("https://klasma.github.io/Logging_2281/artfynd/A 20075-2025 artfynd.xlsx", "A 20075-2025")</f>
        <v/>
      </c>
      <c r="T900">
        <f>HYPERLINK("https://klasma.github.io/Logging_2281/kartor/A 20075-2025 karta.png", "A 20075-2025")</f>
        <v/>
      </c>
      <c r="V900">
        <f>HYPERLINK("https://klasma.github.io/Logging_2281/klagomål/A 20075-2025 FSC-klagomål.docx", "A 20075-2025")</f>
        <v/>
      </c>
      <c r="W900">
        <f>HYPERLINK("https://klasma.github.io/Logging_2281/klagomålsmail/A 20075-2025 FSC-klagomål mail.docx", "A 20075-2025")</f>
        <v/>
      </c>
      <c r="X900">
        <f>HYPERLINK("https://klasma.github.io/Logging_2281/tillsyn/A 20075-2025 tillsynsbegäran.docx", "A 20075-2025")</f>
        <v/>
      </c>
      <c r="Y900">
        <f>HYPERLINK("https://klasma.github.io/Logging_2281/tillsynsmail/A 20075-2025 tillsynsbegäran mail.docx", "A 20075-2025")</f>
        <v/>
      </c>
    </row>
    <row r="901" ht="15" customHeight="1">
      <c r="A901" t="inlineStr">
        <is>
          <t>A 43171-2024</t>
        </is>
      </c>
      <c r="B901" s="1" t="n">
        <v>45567</v>
      </c>
      <c r="C901" s="1" t="n">
        <v>46185</v>
      </c>
      <c r="D901" t="inlineStr">
        <is>
          <t>VÄSTERNORRLANDS LÄN</t>
        </is>
      </c>
      <c r="E901" t="inlineStr">
        <is>
          <t>ÅNGE</t>
        </is>
      </c>
      <c r="F901" t="inlineStr">
        <is>
          <t>SCA</t>
        </is>
      </c>
      <c r="G901" t="n">
        <v>3.4</v>
      </c>
      <c r="H901" t="n">
        <v>0</v>
      </c>
      <c r="I901" t="n">
        <v>0</v>
      </c>
      <c r="J901" t="n">
        <v>1</v>
      </c>
      <c r="K901" t="n">
        <v>0</v>
      </c>
      <c r="L901" t="n">
        <v>0</v>
      </c>
      <c r="M901" t="n">
        <v>0</v>
      </c>
      <c r="N901" t="n">
        <v>0</v>
      </c>
      <c r="O901" t="n">
        <v>1</v>
      </c>
      <c r="P901" t="n">
        <v>0</v>
      </c>
      <c r="Q901" t="n">
        <v>1</v>
      </c>
      <c r="R901" s="2" t="inlineStr">
        <is>
          <t>Rosenticka</t>
        </is>
      </c>
      <c r="S901">
        <f>HYPERLINK("https://klasma.github.io/Logging_2260/artfynd/A 43171-2024 artfynd.xlsx", "A 43171-2024")</f>
        <v/>
      </c>
      <c r="T901">
        <f>HYPERLINK("https://klasma.github.io/Logging_2260/kartor/A 43171-2024 karta.png", "A 43171-2024")</f>
        <v/>
      </c>
      <c r="V901">
        <f>HYPERLINK("https://klasma.github.io/Logging_2260/klagomål/A 43171-2024 FSC-klagomål.docx", "A 43171-2024")</f>
        <v/>
      </c>
      <c r="W901">
        <f>HYPERLINK("https://klasma.github.io/Logging_2260/klagomålsmail/A 43171-2024 FSC-klagomål mail.docx", "A 43171-2024")</f>
        <v/>
      </c>
      <c r="X901">
        <f>HYPERLINK("https://klasma.github.io/Logging_2260/tillsyn/A 43171-2024 tillsynsbegäran.docx", "A 43171-2024")</f>
        <v/>
      </c>
      <c r="Y901">
        <f>HYPERLINK("https://klasma.github.io/Logging_2260/tillsynsmail/A 43171-2024 tillsynsbegäran mail.docx", "A 43171-2024")</f>
        <v/>
      </c>
    </row>
    <row r="902" ht="15" customHeight="1">
      <c r="A902" t="inlineStr">
        <is>
          <t>A 27106-2022</t>
        </is>
      </c>
      <c r="B902" s="1" t="n">
        <v>44741</v>
      </c>
      <c r="C902" s="1" t="n">
        <v>46185</v>
      </c>
      <c r="D902" t="inlineStr">
        <is>
          <t>VÄSTERNORRLANDS LÄN</t>
        </is>
      </c>
      <c r="E902" t="inlineStr">
        <is>
          <t>SOLLEFTEÅ</t>
        </is>
      </c>
      <c r="G902" t="n">
        <v>1.3</v>
      </c>
      <c r="H902" t="n">
        <v>1</v>
      </c>
      <c r="I902" t="n">
        <v>0</v>
      </c>
      <c r="J902" t="n">
        <v>0</v>
      </c>
      <c r="K902" t="n">
        <v>0</v>
      </c>
      <c r="L902" t="n">
        <v>0</v>
      </c>
      <c r="M902" t="n">
        <v>0</v>
      </c>
      <c r="N902" t="n">
        <v>0</v>
      </c>
      <c r="O902" t="n">
        <v>0</v>
      </c>
      <c r="P902" t="n">
        <v>0</v>
      </c>
      <c r="Q902" t="n">
        <v>1</v>
      </c>
      <c r="R902" s="2" t="inlineStr">
        <is>
          <t>Revlummer</t>
        </is>
      </c>
      <c r="S902">
        <f>HYPERLINK("https://klasma.github.io/Logging_2283/artfynd/A 27106-2022 artfynd.xlsx", "A 27106-2022")</f>
        <v/>
      </c>
      <c r="T902">
        <f>HYPERLINK("https://klasma.github.io/Logging_2283/kartor/A 27106-2022 karta.png", "A 27106-2022")</f>
        <v/>
      </c>
      <c r="V902">
        <f>HYPERLINK("https://klasma.github.io/Logging_2283/klagomål/A 27106-2022 FSC-klagomål.docx", "A 27106-2022")</f>
        <v/>
      </c>
      <c r="W902">
        <f>HYPERLINK("https://klasma.github.io/Logging_2283/klagomålsmail/A 27106-2022 FSC-klagomål mail.docx", "A 27106-2022")</f>
        <v/>
      </c>
      <c r="X902">
        <f>HYPERLINK("https://klasma.github.io/Logging_2283/tillsyn/A 27106-2022 tillsynsbegäran.docx", "A 27106-2022")</f>
        <v/>
      </c>
      <c r="Y902">
        <f>HYPERLINK("https://klasma.github.io/Logging_2283/tillsynsmail/A 27106-2022 tillsynsbegäran mail.docx", "A 27106-2022")</f>
        <v/>
      </c>
    </row>
    <row r="903" ht="15" customHeight="1">
      <c r="A903" t="inlineStr">
        <is>
          <t>A 49850-2022</t>
        </is>
      </c>
      <c r="B903" s="1" t="n">
        <v>44862</v>
      </c>
      <c r="C903" s="1" t="n">
        <v>46185</v>
      </c>
      <c r="D903" t="inlineStr">
        <is>
          <t>VÄSTERNORRLANDS LÄN</t>
        </is>
      </c>
      <c r="E903" t="inlineStr">
        <is>
          <t>SUNDSVALL</t>
        </is>
      </c>
      <c r="F903" t="inlineStr">
        <is>
          <t>SCA</t>
        </is>
      </c>
      <c r="G903" t="n">
        <v>5.5</v>
      </c>
      <c r="H903" t="n">
        <v>0</v>
      </c>
      <c r="I903" t="n">
        <v>0</v>
      </c>
      <c r="J903" t="n">
        <v>0</v>
      </c>
      <c r="K903" t="n">
        <v>1</v>
      </c>
      <c r="L903" t="n">
        <v>0</v>
      </c>
      <c r="M903" t="n">
        <v>0</v>
      </c>
      <c r="N903" t="n">
        <v>0</v>
      </c>
      <c r="O903" t="n">
        <v>1</v>
      </c>
      <c r="P903" t="n">
        <v>1</v>
      </c>
      <c r="Q903" t="n">
        <v>1</v>
      </c>
      <c r="R903" s="2" t="inlineStr">
        <is>
          <t>Rynkskinn</t>
        </is>
      </c>
      <c r="S903">
        <f>HYPERLINK("https://klasma.github.io/Logging_2281/artfynd/A 49850-2022 artfynd.xlsx", "A 49850-2022")</f>
        <v/>
      </c>
      <c r="T903">
        <f>HYPERLINK("https://klasma.github.io/Logging_2281/kartor/A 49850-2022 karta.png", "A 49850-2022")</f>
        <v/>
      </c>
      <c r="V903">
        <f>HYPERLINK("https://klasma.github.io/Logging_2281/klagomål/A 49850-2022 FSC-klagomål.docx", "A 49850-2022")</f>
        <v/>
      </c>
      <c r="W903">
        <f>HYPERLINK("https://klasma.github.io/Logging_2281/klagomålsmail/A 49850-2022 FSC-klagomål mail.docx", "A 49850-2022")</f>
        <v/>
      </c>
      <c r="X903">
        <f>HYPERLINK("https://klasma.github.io/Logging_2281/tillsyn/A 49850-2022 tillsynsbegäran.docx", "A 49850-2022")</f>
        <v/>
      </c>
      <c r="Y903">
        <f>HYPERLINK("https://klasma.github.io/Logging_2281/tillsynsmail/A 49850-2022 tillsynsbegäran mail.docx", "A 49850-2022")</f>
        <v/>
      </c>
    </row>
    <row r="904" ht="15" customHeight="1">
      <c r="A904" t="inlineStr">
        <is>
          <t>A 18692-2025</t>
        </is>
      </c>
      <c r="B904" s="1" t="n">
        <v>45763.61526620371</v>
      </c>
      <c r="C904" s="1" t="n">
        <v>46185</v>
      </c>
      <c r="D904" t="inlineStr">
        <is>
          <t>VÄSTERNORRLANDS LÄN</t>
        </is>
      </c>
      <c r="E904" t="inlineStr">
        <is>
          <t>KRAMFORS</t>
        </is>
      </c>
      <c r="F904" t="inlineStr">
        <is>
          <t>SCA</t>
        </is>
      </c>
      <c r="G904" t="n">
        <v>13.1</v>
      </c>
      <c r="H904" t="n">
        <v>1</v>
      </c>
      <c r="I904" t="n">
        <v>0</v>
      </c>
      <c r="J904" t="n">
        <v>1</v>
      </c>
      <c r="K904" t="n">
        <v>0</v>
      </c>
      <c r="L904" t="n">
        <v>0</v>
      </c>
      <c r="M904" t="n">
        <v>0</v>
      </c>
      <c r="N904" t="n">
        <v>0</v>
      </c>
      <c r="O904" t="n">
        <v>1</v>
      </c>
      <c r="P904" t="n">
        <v>0</v>
      </c>
      <c r="Q904" t="n">
        <v>1</v>
      </c>
      <c r="R904" s="2" t="inlineStr">
        <is>
          <t>Talltita</t>
        </is>
      </c>
      <c r="S904">
        <f>HYPERLINK("https://klasma.github.io/Logging_2282/artfynd/A 18692-2025 artfynd.xlsx", "A 18692-2025")</f>
        <v/>
      </c>
      <c r="T904">
        <f>HYPERLINK("https://klasma.github.io/Logging_2282/kartor/A 18692-2025 karta.png", "A 18692-2025")</f>
        <v/>
      </c>
      <c r="V904">
        <f>HYPERLINK("https://klasma.github.io/Logging_2282/klagomål/A 18692-2025 FSC-klagomål.docx", "A 18692-2025")</f>
        <v/>
      </c>
      <c r="W904">
        <f>HYPERLINK("https://klasma.github.io/Logging_2282/klagomålsmail/A 18692-2025 FSC-klagomål mail.docx", "A 18692-2025")</f>
        <v/>
      </c>
      <c r="X904">
        <f>HYPERLINK("https://klasma.github.io/Logging_2282/tillsyn/A 18692-2025 tillsynsbegäran.docx", "A 18692-2025")</f>
        <v/>
      </c>
      <c r="Y904">
        <f>HYPERLINK("https://klasma.github.io/Logging_2282/tillsynsmail/A 18692-2025 tillsynsbegäran mail.docx", "A 18692-2025")</f>
        <v/>
      </c>
      <c r="Z904">
        <f>HYPERLINK("https://klasma.github.io/Logging_2282/fåglar/A 18692-2025 prioriterade fågelarter.docx", "A 18692-2025")</f>
        <v/>
      </c>
    </row>
    <row r="905" ht="15" customHeight="1">
      <c r="A905" t="inlineStr">
        <is>
          <t>A 37589-2022</t>
        </is>
      </c>
      <c r="B905" s="1" t="n">
        <v>44809.94556712963</v>
      </c>
      <c r="C905" s="1" t="n">
        <v>46185</v>
      </c>
      <c r="D905" t="inlineStr">
        <is>
          <t>VÄSTERNORRLANDS LÄN</t>
        </is>
      </c>
      <c r="E905" t="inlineStr">
        <is>
          <t>SOLLEFTEÅ</t>
        </is>
      </c>
      <c r="F905" t="inlineStr">
        <is>
          <t>SCA</t>
        </is>
      </c>
      <c r="G905" t="n">
        <v>2.6</v>
      </c>
      <c r="H905" t="n">
        <v>1</v>
      </c>
      <c r="I905" t="n">
        <v>0</v>
      </c>
      <c r="J905" t="n">
        <v>0</v>
      </c>
      <c r="K905" t="n">
        <v>0</v>
      </c>
      <c r="L905" t="n">
        <v>0</v>
      </c>
      <c r="M905" t="n">
        <v>0</v>
      </c>
      <c r="N905" t="n">
        <v>0</v>
      </c>
      <c r="O905" t="n">
        <v>0</v>
      </c>
      <c r="P905" t="n">
        <v>0</v>
      </c>
      <c r="Q905" t="n">
        <v>1</v>
      </c>
      <c r="R905" s="2" t="inlineStr">
        <is>
          <t>Tjäder</t>
        </is>
      </c>
      <c r="S905">
        <f>HYPERLINK("https://klasma.github.io/Logging_2283/artfynd/A 37589-2022 artfynd.xlsx", "A 37589-2022")</f>
        <v/>
      </c>
      <c r="T905">
        <f>HYPERLINK("https://klasma.github.io/Logging_2283/kartor/A 37589-2022 karta.png", "A 37589-2022")</f>
        <v/>
      </c>
      <c r="V905">
        <f>HYPERLINK("https://klasma.github.io/Logging_2283/klagomål/A 37589-2022 FSC-klagomål.docx", "A 37589-2022")</f>
        <v/>
      </c>
      <c r="W905">
        <f>HYPERLINK("https://klasma.github.io/Logging_2283/klagomålsmail/A 37589-2022 FSC-klagomål mail.docx", "A 37589-2022")</f>
        <v/>
      </c>
      <c r="X905">
        <f>HYPERLINK("https://klasma.github.io/Logging_2283/tillsyn/A 37589-2022 tillsynsbegäran.docx", "A 37589-2022")</f>
        <v/>
      </c>
      <c r="Y905">
        <f>HYPERLINK("https://klasma.github.io/Logging_2283/tillsynsmail/A 37589-2022 tillsynsbegäran mail.docx", "A 37589-2022")</f>
        <v/>
      </c>
      <c r="Z905">
        <f>HYPERLINK("https://klasma.github.io/Logging_2283/fåglar/A 37589-2022 prioriterade fågelarter.docx", "A 37589-2022")</f>
        <v/>
      </c>
    </row>
    <row r="906" ht="15" customHeight="1">
      <c r="A906" t="inlineStr">
        <is>
          <t>A 24798-2024</t>
        </is>
      </c>
      <c r="B906" s="1" t="n">
        <v>45460.95277777778</v>
      </c>
      <c r="C906" s="1" t="n">
        <v>46185</v>
      </c>
      <c r="D906" t="inlineStr">
        <is>
          <t>VÄSTERNORRLANDS LÄN</t>
        </is>
      </c>
      <c r="E906" t="inlineStr">
        <is>
          <t>ÅNGE</t>
        </is>
      </c>
      <c r="F906" t="inlineStr">
        <is>
          <t>SCA</t>
        </is>
      </c>
      <c r="G906" t="n">
        <v>1.3</v>
      </c>
      <c r="H906" t="n">
        <v>0</v>
      </c>
      <c r="I906" t="n">
        <v>0</v>
      </c>
      <c r="J906" t="n">
        <v>1</v>
      </c>
      <c r="K906" t="n">
        <v>0</v>
      </c>
      <c r="L906" t="n">
        <v>0</v>
      </c>
      <c r="M906" t="n">
        <v>0</v>
      </c>
      <c r="N906" t="n">
        <v>0</v>
      </c>
      <c r="O906" t="n">
        <v>1</v>
      </c>
      <c r="P906" t="n">
        <v>0</v>
      </c>
      <c r="Q906" t="n">
        <v>1</v>
      </c>
      <c r="R906" s="2" t="inlineStr">
        <is>
          <t>Lunglav</t>
        </is>
      </c>
      <c r="S906">
        <f>HYPERLINK("https://klasma.github.io/Logging_2260/artfynd/A 24798-2024 artfynd.xlsx", "A 24798-2024")</f>
        <v/>
      </c>
      <c r="T906">
        <f>HYPERLINK("https://klasma.github.io/Logging_2260/kartor/A 24798-2024 karta.png", "A 24798-2024")</f>
        <v/>
      </c>
      <c r="V906">
        <f>HYPERLINK("https://klasma.github.io/Logging_2260/klagomål/A 24798-2024 FSC-klagomål.docx", "A 24798-2024")</f>
        <v/>
      </c>
      <c r="W906">
        <f>HYPERLINK("https://klasma.github.io/Logging_2260/klagomålsmail/A 24798-2024 FSC-klagomål mail.docx", "A 24798-2024")</f>
        <v/>
      </c>
      <c r="X906">
        <f>HYPERLINK("https://klasma.github.io/Logging_2260/tillsyn/A 24798-2024 tillsynsbegäran.docx", "A 24798-2024")</f>
        <v/>
      </c>
      <c r="Y906">
        <f>HYPERLINK("https://klasma.github.io/Logging_2260/tillsynsmail/A 24798-2024 tillsynsbegäran mail.docx", "A 24798-2024")</f>
        <v/>
      </c>
    </row>
    <row r="907" ht="15" customHeight="1">
      <c r="A907" t="inlineStr">
        <is>
          <t>A 24799-2024</t>
        </is>
      </c>
      <c r="B907" s="1" t="n">
        <v>45460</v>
      </c>
      <c r="C907" s="1" t="n">
        <v>46185</v>
      </c>
      <c r="D907" t="inlineStr">
        <is>
          <t>VÄSTERNORRLANDS LÄN</t>
        </is>
      </c>
      <c r="E907" t="inlineStr">
        <is>
          <t>ÅNGE</t>
        </is>
      </c>
      <c r="F907" t="inlineStr">
        <is>
          <t>SCA</t>
        </is>
      </c>
      <c r="G907" t="n">
        <v>2.8</v>
      </c>
      <c r="H907" t="n">
        <v>1</v>
      </c>
      <c r="I907" t="n">
        <v>0</v>
      </c>
      <c r="J907" t="n">
        <v>0</v>
      </c>
      <c r="K907" t="n">
        <v>1</v>
      </c>
      <c r="L907" t="n">
        <v>0</v>
      </c>
      <c r="M907" t="n">
        <v>0</v>
      </c>
      <c r="N907" t="n">
        <v>0</v>
      </c>
      <c r="O907" t="n">
        <v>1</v>
      </c>
      <c r="P907" t="n">
        <v>1</v>
      </c>
      <c r="Q907" t="n">
        <v>1</v>
      </c>
      <c r="R907" s="2" t="inlineStr">
        <is>
          <t>Doftticka</t>
        </is>
      </c>
      <c r="S907">
        <f>HYPERLINK("https://klasma.github.io/Logging_2260/artfynd/A 24799-2024 artfynd.xlsx", "A 24799-2024")</f>
        <v/>
      </c>
      <c r="T907">
        <f>HYPERLINK("https://klasma.github.io/Logging_2260/kartor/A 24799-2024 karta.png", "A 24799-2024")</f>
        <v/>
      </c>
      <c r="V907">
        <f>HYPERLINK("https://klasma.github.io/Logging_2260/klagomål/A 24799-2024 FSC-klagomål.docx", "A 24799-2024")</f>
        <v/>
      </c>
      <c r="W907">
        <f>HYPERLINK("https://klasma.github.io/Logging_2260/klagomålsmail/A 24799-2024 FSC-klagomål mail.docx", "A 24799-2024")</f>
        <v/>
      </c>
      <c r="X907">
        <f>HYPERLINK("https://klasma.github.io/Logging_2260/tillsyn/A 24799-2024 tillsynsbegäran.docx", "A 24799-2024")</f>
        <v/>
      </c>
      <c r="Y907">
        <f>HYPERLINK("https://klasma.github.io/Logging_2260/tillsynsmail/A 24799-2024 tillsynsbegäran mail.docx", "A 24799-2024")</f>
        <v/>
      </c>
    </row>
    <row r="908" ht="15" customHeight="1">
      <c r="A908" t="inlineStr">
        <is>
          <t>A 24808-2024</t>
        </is>
      </c>
      <c r="B908" s="1" t="n">
        <v>45460.95358796296</v>
      </c>
      <c r="C908" s="1" t="n">
        <v>46185</v>
      </c>
      <c r="D908" t="inlineStr">
        <is>
          <t>VÄSTERNORRLANDS LÄN</t>
        </is>
      </c>
      <c r="E908" t="inlineStr">
        <is>
          <t>ÖRNSKÖLDSVIK</t>
        </is>
      </c>
      <c r="F908" t="inlineStr">
        <is>
          <t>SCA</t>
        </is>
      </c>
      <c r="G908" t="n">
        <v>1.7</v>
      </c>
      <c r="H908" t="n">
        <v>1</v>
      </c>
      <c r="I908" t="n">
        <v>0</v>
      </c>
      <c r="J908" t="n">
        <v>1</v>
      </c>
      <c r="K908" t="n">
        <v>0</v>
      </c>
      <c r="L908" t="n">
        <v>0</v>
      </c>
      <c r="M908" t="n">
        <v>0</v>
      </c>
      <c r="N908" t="n">
        <v>0</v>
      </c>
      <c r="O908" t="n">
        <v>1</v>
      </c>
      <c r="P908" t="n">
        <v>0</v>
      </c>
      <c r="Q908" t="n">
        <v>1</v>
      </c>
      <c r="R908" s="2" t="inlineStr">
        <is>
          <t>Kungsörn</t>
        </is>
      </c>
      <c r="S908">
        <f>HYPERLINK("https://klasma.github.io/Logging_2284/artfynd/A 24808-2024 artfynd.xlsx", "A 24808-2024")</f>
        <v/>
      </c>
      <c r="T908">
        <f>HYPERLINK("https://klasma.github.io/Logging_2284/kartor/A 24808-2024 karta.png", "A 24808-2024")</f>
        <v/>
      </c>
      <c r="V908">
        <f>HYPERLINK("https://klasma.github.io/Logging_2284/klagomål/A 24808-2024 FSC-klagomål.docx", "A 24808-2024")</f>
        <v/>
      </c>
      <c r="W908">
        <f>HYPERLINK("https://klasma.github.io/Logging_2284/klagomålsmail/A 24808-2024 FSC-klagomål mail.docx", "A 24808-2024")</f>
        <v/>
      </c>
      <c r="X908">
        <f>HYPERLINK("https://klasma.github.io/Logging_2284/tillsyn/A 24808-2024 tillsynsbegäran.docx", "A 24808-2024")</f>
        <v/>
      </c>
      <c r="Y908">
        <f>HYPERLINK("https://klasma.github.io/Logging_2284/tillsynsmail/A 24808-2024 tillsynsbegäran mail.docx", "A 24808-2024")</f>
        <v/>
      </c>
      <c r="Z908">
        <f>HYPERLINK("https://klasma.github.io/Logging_2284/fåglar/A 24808-2024 prioriterade fågelarter.docx", "A 24808-2024")</f>
        <v/>
      </c>
    </row>
    <row r="909" ht="15" customHeight="1">
      <c r="A909" t="inlineStr">
        <is>
          <t>A 47067-2022</t>
        </is>
      </c>
      <c r="B909" s="1" t="n">
        <v>44852</v>
      </c>
      <c r="C909" s="1" t="n">
        <v>46185</v>
      </c>
      <c r="D909" t="inlineStr">
        <is>
          <t>VÄSTERNORRLANDS LÄN</t>
        </is>
      </c>
      <c r="E909" t="inlineStr">
        <is>
          <t>ÖRNSKÖLDSVIK</t>
        </is>
      </c>
      <c r="F909" t="inlineStr">
        <is>
          <t>Holmen skog AB</t>
        </is>
      </c>
      <c r="G909" t="n">
        <v>2.6</v>
      </c>
      <c r="H909" t="n">
        <v>0</v>
      </c>
      <c r="I909" t="n">
        <v>0</v>
      </c>
      <c r="J909" t="n">
        <v>1</v>
      </c>
      <c r="K909" t="n">
        <v>0</v>
      </c>
      <c r="L909" t="n">
        <v>0</v>
      </c>
      <c r="M909" t="n">
        <v>0</v>
      </c>
      <c r="N909" t="n">
        <v>0</v>
      </c>
      <c r="O909" t="n">
        <v>1</v>
      </c>
      <c r="P909" t="n">
        <v>0</v>
      </c>
      <c r="Q909" t="n">
        <v>1</v>
      </c>
      <c r="R909" s="2" t="inlineStr">
        <is>
          <t>Motaggsvamp</t>
        </is>
      </c>
      <c r="S909">
        <f>HYPERLINK("https://klasma.github.io/Logging_2284/artfynd/A 47067-2022 artfynd.xlsx", "A 47067-2022")</f>
        <v/>
      </c>
      <c r="T909">
        <f>HYPERLINK("https://klasma.github.io/Logging_2284/kartor/A 47067-2022 karta.png", "A 47067-2022")</f>
        <v/>
      </c>
      <c r="V909">
        <f>HYPERLINK("https://klasma.github.io/Logging_2284/klagomål/A 47067-2022 FSC-klagomål.docx", "A 47067-2022")</f>
        <v/>
      </c>
      <c r="W909">
        <f>HYPERLINK("https://klasma.github.io/Logging_2284/klagomålsmail/A 47067-2022 FSC-klagomål mail.docx", "A 47067-2022")</f>
        <v/>
      </c>
      <c r="X909">
        <f>HYPERLINK("https://klasma.github.io/Logging_2284/tillsyn/A 47067-2022 tillsynsbegäran.docx", "A 47067-2022")</f>
        <v/>
      </c>
      <c r="Y909">
        <f>HYPERLINK("https://klasma.github.io/Logging_2284/tillsynsmail/A 47067-2022 tillsynsbegäran mail.docx", "A 47067-2022")</f>
        <v/>
      </c>
    </row>
    <row r="910" ht="15" customHeight="1">
      <c r="A910" t="inlineStr">
        <is>
          <t>A 62351-2023</t>
        </is>
      </c>
      <c r="B910" s="1" t="n">
        <v>45267</v>
      </c>
      <c r="C910" s="1" t="n">
        <v>46185</v>
      </c>
      <c r="D910" t="inlineStr">
        <is>
          <t>VÄSTERNORRLANDS LÄN</t>
        </is>
      </c>
      <c r="E910" t="inlineStr">
        <is>
          <t>HÄRNÖSAND</t>
        </is>
      </c>
      <c r="F910" t="inlineStr">
        <is>
          <t>SCA</t>
        </is>
      </c>
      <c r="G910" t="n">
        <v>3.5</v>
      </c>
      <c r="H910" t="n">
        <v>0</v>
      </c>
      <c r="I910" t="n">
        <v>0</v>
      </c>
      <c r="J910" t="n">
        <v>1</v>
      </c>
      <c r="K910" t="n">
        <v>0</v>
      </c>
      <c r="L910" t="n">
        <v>0</v>
      </c>
      <c r="M910" t="n">
        <v>0</v>
      </c>
      <c r="N910" t="n">
        <v>0</v>
      </c>
      <c r="O910" t="n">
        <v>1</v>
      </c>
      <c r="P910" t="n">
        <v>0</v>
      </c>
      <c r="Q910" t="n">
        <v>1</v>
      </c>
      <c r="R910" s="2" t="inlineStr">
        <is>
          <t>Lunglav</t>
        </is>
      </c>
      <c r="S910">
        <f>HYPERLINK("https://klasma.github.io/Logging_2280/artfynd/A 62351-2023 artfynd.xlsx", "A 62351-2023")</f>
        <v/>
      </c>
      <c r="T910">
        <f>HYPERLINK("https://klasma.github.io/Logging_2280/kartor/A 62351-2023 karta.png", "A 62351-2023")</f>
        <v/>
      </c>
      <c r="V910">
        <f>HYPERLINK("https://klasma.github.io/Logging_2280/klagomål/A 62351-2023 FSC-klagomål.docx", "A 62351-2023")</f>
        <v/>
      </c>
      <c r="W910">
        <f>HYPERLINK("https://klasma.github.io/Logging_2280/klagomålsmail/A 62351-2023 FSC-klagomål mail.docx", "A 62351-2023")</f>
        <v/>
      </c>
      <c r="X910">
        <f>HYPERLINK("https://klasma.github.io/Logging_2280/tillsyn/A 62351-2023 tillsynsbegäran.docx", "A 62351-2023")</f>
        <v/>
      </c>
      <c r="Y910">
        <f>HYPERLINK("https://klasma.github.io/Logging_2280/tillsynsmail/A 62351-2023 tillsynsbegäran mail.docx", "A 62351-2023")</f>
        <v/>
      </c>
    </row>
    <row r="911" ht="15" customHeight="1">
      <c r="A911" t="inlineStr">
        <is>
          <t>A 13934-2024</t>
        </is>
      </c>
      <c r="B911" s="1" t="n">
        <v>45391</v>
      </c>
      <c r="C911" s="1" t="n">
        <v>46185</v>
      </c>
      <c r="D911" t="inlineStr">
        <is>
          <t>VÄSTERNORRLANDS LÄN</t>
        </is>
      </c>
      <c r="E911" t="inlineStr">
        <is>
          <t>ÅNGE</t>
        </is>
      </c>
      <c r="F911" t="inlineStr">
        <is>
          <t>SCA</t>
        </is>
      </c>
      <c r="G911" t="n">
        <v>5.8</v>
      </c>
      <c r="H911" t="n">
        <v>0</v>
      </c>
      <c r="I911" t="n">
        <v>0</v>
      </c>
      <c r="J911" t="n">
        <v>1</v>
      </c>
      <c r="K911" t="n">
        <v>0</v>
      </c>
      <c r="L911" t="n">
        <v>0</v>
      </c>
      <c r="M911" t="n">
        <v>0</v>
      </c>
      <c r="N911" t="n">
        <v>0</v>
      </c>
      <c r="O911" t="n">
        <v>1</v>
      </c>
      <c r="P911" t="n">
        <v>0</v>
      </c>
      <c r="Q911" t="n">
        <v>1</v>
      </c>
      <c r="R911" s="2" t="inlineStr">
        <is>
          <t>Ullticka</t>
        </is>
      </c>
      <c r="S911">
        <f>HYPERLINK("https://klasma.github.io/Logging_2260/artfynd/A 13934-2024 artfynd.xlsx", "A 13934-2024")</f>
        <v/>
      </c>
      <c r="T911">
        <f>HYPERLINK("https://klasma.github.io/Logging_2260/kartor/A 13934-2024 karta.png", "A 13934-2024")</f>
        <v/>
      </c>
      <c r="V911">
        <f>HYPERLINK("https://klasma.github.io/Logging_2260/klagomål/A 13934-2024 FSC-klagomål.docx", "A 13934-2024")</f>
        <v/>
      </c>
      <c r="W911">
        <f>HYPERLINK("https://klasma.github.io/Logging_2260/klagomålsmail/A 13934-2024 FSC-klagomål mail.docx", "A 13934-2024")</f>
        <v/>
      </c>
      <c r="X911">
        <f>HYPERLINK("https://klasma.github.io/Logging_2260/tillsyn/A 13934-2024 tillsynsbegäran.docx", "A 13934-2024")</f>
        <v/>
      </c>
      <c r="Y911">
        <f>HYPERLINK("https://klasma.github.io/Logging_2260/tillsynsmail/A 13934-2024 tillsynsbegäran mail.docx", "A 13934-2024")</f>
        <v/>
      </c>
    </row>
    <row r="912" ht="15" customHeight="1">
      <c r="A912" t="inlineStr">
        <is>
          <t>A 21683-2024</t>
        </is>
      </c>
      <c r="B912" s="1" t="n">
        <v>45442.43640046296</v>
      </c>
      <c r="C912" s="1" t="n">
        <v>46185</v>
      </c>
      <c r="D912" t="inlineStr">
        <is>
          <t>VÄSTERNORRLANDS LÄN</t>
        </is>
      </c>
      <c r="E912" t="inlineStr">
        <is>
          <t>ÖRNSKÖLDSVIK</t>
        </is>
      </c>
      <c r="F912" t="inlineStr">
        <is>
          <t>Holmen skog AB</t>
        </is>
      </c>
      <c r="G912" t="n">
        <v>2.5</v>
      </c>
      <c r="H912" t="n">
        <v>0</v>
      </c>
      <c r="I912" t="n">
        <v>1</v>
      </c>
      <c r="J912" t="n">
        <v>0</v>
      </c>
      <c r="K912" t="n">
        <v>0</v>
      </c>
      <c r="L912" t="n">
        <v>0</v>
      </c>
      <c r="M912" t="n">
        <v>0</v>
      </c>
      <c r="N912" t="n">
        <v>0</v>
      </c>
      <c r="O912" t="n">
        <v>0</v>
      </c>
      <c r="P912" t="n">
        <v>0</v>
      </c>
      <c r="Q912" t="n">
        <v>1</v>
      </c>
      <c r="R912" s="2" t="inlineStr">
        <is>
          <t>Stor aspticka</t>
        </is>
      </c>
      <c r="S912">
        <f>HYPERLINK("https://klasma.github.io/Logging_2284/artfynd/A 21683-2024 artfynd.xlsx", "A 21683-2024")</f>
        <v/>
      </c>
      <c r="T912">
        <f>HYPERLINK("https://klasma.github.io/Logging_2284/kartor/A 21683-2024 karta.png", "A 21683-2024")</f>
        <v/>
      </c>
      <c r="V912">
        <f>HYPERLINK("https://klasma.github.io/Logging_2284/klagomål/A 21683-2024 FSC-klagomål.docx", "A 21683-2024")</f>
        <v/>
      </c>
      <c r="W912">
        <f>HYPERLINK("https://klasma.github.io/Logging_2284/klagomålsmail/A 21683-2024 FSC-klagomål mail.docx", "A 21683-2024")</f>
        <v/>
      </c>
      <c r="X912">
        <f>HYPERLINK("https://klasma.github.io/Logging_2284/tillsyn/A 21683-2024 tillsynsbegäran.docx", "A 21683-2024")</f>
        <v/>
      </c>
      <c r="Y912">
        <f>HYPERLINK("https://klasma.github.io/Logging_2284/tillsynsmail/A 21683-2024 tillsynsbegäran mail.docx", "A 21683-2024")</f>
        <v/>
      </c>
    </row>
    <row r="913" ht="15" customHeight="1">
      <c r="A913" t="inlineStr">
        <is>
          <t>A 6770-2023</t>
        </is>
      </c>
      <c r="B913" s="1" t="n">
        <v>44966</v>
      </c>
      <c r="C913" s="1" t="n">
        <v>46185</v>
      </c>
      <c r="D913" t="inlineStr">
        <is>
          <t>VÄSTERNORRLANDS LÄN</t>
        </is>
      </c>
      <c r="E913" t="inlineStr">
        <is>
          <t>TIMRÅ</t>
        </is>
      </c>
      <c r="G913" t="n">
        <v>3.3</v>
      </c>
      <c r="H913" t="n">
        <v>0</v>
      </c>
      <c r="I913" t="n">
        <v>0</v>
      </c>
      <c r="J913" t="n">
        <v>1</v>
      </c>
      <c r="K913" t="n">
        <v>0</v>
      </c>
      <c r="L913" t="n">
        <v>0</v>
      </c>
      <c r="M913" t="n">
        <v>0</v>
      </c>
      <c r="N913" t="n">
        <v>0</v>
      </c>
      <c r="O913" t="n">
        <v>1</v>
      </c>
      <c r="P913" t="n">
        <v>0</v>
      </c>
      <c r="Q913" t="n">
        <v>1</v>
      </c>
      <c r="R913" s="2" t="inlineStr">
        <is>
          <t>Skogshare</t>
        </is>
      </c>
      <c r="S913">
        <f>HYPERLINK("https://klasma.github.io/Logging_2262/artfynd/A 6770-2023 artfynd.xlsx", "A 6770-2023")</f>
        <v/>
      </c>
      <c r="T913">
        <f>HYPERLINK("https://klasma.github.io/Logging_2262/kartor/A 6770-2023 karta.png", "A 6770-2023")</f>
        <v/>
      </c>
      <c r="V913">
        <f>HYPERLINK("https://klasma.github.io/Logging_2262/klagomål/A 6770-2023 FSC-klagomål.docx", "A 6770-2023")</f>
        <v/>
      </c>
      <c r="W913">
        <f>HYPERLINK("https://klasma.github.io/Logging_2262/klagomålsmail/A 6770-2023 FSC-klagomål mail.docx", "A 6770-2023")</f>
        <v/>
      </c>
      <c r="X913">
        <f>HYPERLINK("https://klasma.github.io/Logging_2262/tillsyn/A 6770-2023 tillsynsbegäran.docx", "A 6770-2023")</f>
        <v/>
      </c>
      <c r="Y913">
        <f>HYPERLINK("https://klasma.github.io/Logging_2262/tillsynsmail/A 6770-2023 tillsynsbegäran mail.docx", "A 6770-2023")</f>
        <v/>
      </c>
    </row>
    <row r="914" ht="15" customHeight="1">
      <c r="A914" t="inlineStr">
        <is>
          <t>A 64922-2021</t>
        </is>
      </c>
      <c r="B914" s="1" t="n">
        <v>44512</v>
      </c>
      <c r="C914" s="1" t="n">
        <v>46185</v>
      </c>
      <c r="D914" t="inlineStr">
        <is>
          <t>VÄSTERNORRLANDS LÄN</t>
        </is>
      </c>
      <c r="E914" t="inlineStr">
        <is>
          <t>SUNDSVALL</t>
        </is>
      </c>
      <c r="F914" t="inlineStr">
        <is>
          <t>Kommuner</t>
        </is>
      </c>
      <c r="G914" t="n">
        <v>1.5</v>
      </c>
      <c r="H914" t="n">
        <v>1</v>
      </c>
      <c r="I914" t="n">
        <v>0</v>
      </c>
      <c r="J914" t="n">
        <v>0</v>
      </c>
      <c r="K914" t="n">
        <v>0</v>
      </c>
      <c r="L914" t="n">
        <v>0</v>
      </c>
      <c r="M914" t="n">
        <v>0</v>
      </c>
      <c r="N914" t="n">
        <v>0</v>
      </c>
      <c r="O914" t="n">
        <v>0</v>
      </c>
      <c r="P914" t="n">
        <v>0</v>
      </c>
      <c r="Q914" t="n">
        <v>1</v>
      </c>
      <c r="R914" s="2" t="inlineStr">
        <is>
          <t>Näktergal</t>
        </is>
      </c>
      <c r="S914">
        <f>HYPERLINK("https://klasma.github.io/Logging_2281/artfynd/A 64922-2021 artfynd.xlsx", "A 64922-2021")</f>
        <v/>
      </c>
      <c r="T914">
        <f>HYPERLINK("https://klasma.github.io/Logging_2281/kartor/A 64922-2021 karta.png", "A 64922-2021")</f>
        <v/>
      </c>
      <c r="V914">
        <f>HYPERLINK("https://klasma.github.io/Logging_2281/klagomål/A 64922-2021 FSC-klagomål.docx", "A 64922-2021")</f>
        <v/>
      </c>
      <c r="W914">
        <f>HYPERLINK("https://klasma.github.io/Logging_2281/klagomålsmail/A 64922-2021 FSC-klagomål mail.docx", "A 64922-2021")</f>
        <v/>
      </c>
      <c r="X914">
        <f>HYPERLINK("https://klasma.github.io/Logging_2281/tillsyn/A 64922-2021 tillsynsbegäran.docx", "A 64922-2021")</f>
        <v/>
      </c>
      <c r="Y914">
        <f>HYPERLINK("https://klasma.github.io/Logging_2281/tillsynsmail/A 64922-2021 tillsynsbegäran mail.docx", "A 64922-2021")</f>
        <v/>
      </c>
      <c r="Z914">
        <f>HYPERLINK("https://klasma.github.io/Logging_2281/fåglar/A 64922-2021 prioriterade fågelarter.docx", "A 64922-2021")</f>
        <v/>
      </c>
    </row>
    <row r="915" ht="15" customHeight="1">
      <c r="A915" t="inlineStr">
        <is>
          <t>A 28512-2024</t>
        </is>
      </c>
      <c r="B915" s="1" t="n">
        <v>45477</v>
      </c>
      <c r="C915" s="1" t="n">
        <v>46185</v>
      </c>
      <c r="D915" t="inlineStr">
        <is>
          <t>VÄSTERNORRLANDS LÄN</t>
        </is>
      </c>
      <c r="E915" t="inlineStr">
        <is>
          <t>HÄRNÖSAND</t>
        </is>
      </c>
      <c r="G915" t="n">
        <v>5.8</v>
      </c>
      <c r="H915" t="n">
        <v>0</v>
      </c>
      <c r="I915" t="n">
        <v>1</v>
      </c>
      <c r="J915" t="n">
        <v>0</v>
      </c>
      <c r="K915" t="n">
        <v>0</v>
      </c>
      <c r="L915" t="n">
        <v>0</v>
      </c>
      <c r="M915" t="n">
        <v>0</v>
      </c>
      <c r="N915" t="n">
        <v>0</v>
      </c>
      <c r="O915" t="n">
        <v>0</v>
      </c>
      <c r="P915" t="n">
        <v>0</v>
      </c>
      <c r="Q915" t="n">
        <v>1</v>
      </c>
      <c r="R915" s="2" t="inlineStr">
        <is>
          <t>Scharlakansvårskål agg.</t>
        </is>
      </c>
      <c r="S915">
        <f>HYPERLINK("https://klasma.github.io/Logging_2280/artfynd/A 28512-2024 artfynd.xlsx", "A 28512-2024")</f>
        <v/>
      </c>
      <c r="T915">
        <f>HYPERLINK("https://klasma.github.io/Logging_2280/kartor/A 28512-2024 karta.png", "A 28512-2024")</f>
        <v/>
      </c>
      <c r="V915">
        <f>HYPERLINK("https://klasma.github.io/Logging_2280/klagomål/A 28512-2024 FSC-klagomål.docx", "A 28512-2024")</f>
        <v/>
      </c>
      <c r="W915">
        <f>HYPERLINK("https://klasma.github.io/Logging_2280/klagomålsmail/A 28512-2024 FSC-klagomål mail.docx", "A 28512-2024")</f>
        <v/>
      </c>
      <c r="X915">
        <f>HYPERLINK("https://klasma.github.io/Logging_2280/tillsyn/A 28512-2024 tillsynsbegäran.docx", "A 28512-2024")</f>
        <v/>
      </c>
      <c r="Y915">
        <f>HYPERLINK("https://klasma.github.io/Logging_2280/tillsynsmail/A 28512-2024 tillsynsbegäran mail.docx", "A 28512-2024")</f>
        <v/>
      </c>
    </row>
    <row r="916" ht="15" customHeight="1">
      <c r="A916" t="inlineStr">
        <is>
          <t>A 37057-2021</t>
        </is>
      </c>
      <c r="B916" s="1" t="n">
        <v>44393.93881944445</v>
      </c>
      <c r="C916" s="1" t="n">
        <v>46185</v>
      </c>
      <c r="D916" t="inlineStr">
        <is>
          <t>VÄSTERNORRLANDS LÄN</t>
        </is>
      </c>
      <c r="E916" t="inlineStr">
        <is>
          <t>SUNDSVALL</t>
        </is>
      </c>
      <c r="F916" t="inlineStr">
        <is>
          <t>SCA</t>
        </is>
      </c>
      <c r="G916" t="n">
        <v>9.800000000000001</v>
      </c>
      <c r="H916" t="n">
        <v>1</v>
      </c>
      <c r="I916" t="n">
        <v>0</v>
      </c>
      <c r="J916" t="n">
        <v>1</v>
      </c>
      <c r="K916" t="n">
        <v>0</v>
      </c>
      <c r="L916" t="n">
        <v>0</v>
      </c>
      <c r="M916" t="n">
        <v>0</v>
      </c>
      <c r="N916" t="n">
        <v>0</v>
      </c>
      <c r="O916" t="n">
        <v>1</v>
      </c>
      <c r="P916" t="n">
        <v>0</v>
      </c>
      <c r="Q916" t="n">
        <v>1</v>
      </c>
      <c r="R916" s="2" t="inlineStr">
        <is>
          <t>Tretåig hackspett</t>
        </is>
      </c>
      <c r="S916">
        <f>HYPERLINK("https://klasma.github.io/Logging_2281/artfynd/A 37057-2021 artfynd.xlsx", "A 37057-2021")</f>
        <v/>
      </c>
      <c r="T916">
        <f>HYPERLINK("https://klasma.github.io/Logging_2281/kartor/A 37057-2021 karta.png", "A 37057-2021")</f>
        <v/>
      </c>
      <c r="V916">
        <f>HYPERLINK("https://klasma.github.io/Logging_2281/klagomål/A 37057-2021 FSC-klagomål.docx", "A 37057-2021")</f>
        <v/>
      </c>
      <c r="W916">
        <f>HYPERLINK("https://klasma.github.io/Logging_2281/klagomålsmail/A 37057-2021 FSC-klagomål mail.docx", "A 37057-2021")</f>
        <v/>
      </c>
      <c r="X916">
        <f>HYPERLINK("https://klasma.github.io/Logging_2281/tillsyn/A 37057-2021 tillsynsbegäran.docx", "A 37057-2021")</f>
        <v/>
      </c>
      <c r="Y916">
        <f>HYPERLINK("https://klasma.github.io/Logging_2281/tillsynsmail/A 37057-2021 tillsynsbegäran mail.docx", "A 37057-2021")</f>
        <v/>
      </c>
      <c r="Z916">
        <f>HYPERLINK("https://klasma.github.io/Logging_2281/fåglar/A 37057-2021 prioriterade fågelarter.docx", "A 37057-2021")</f>
        <v/>
      </c>
    </row>
    <row r="917" ht="15" customHeight="1">
      <c r="A917" t="inlineStr">
        <is>
          <t>A 1220-2023</t>
        </is>
      </c>
      <c r="B917" s="1" t="n">
        <v>44935</v>
      </c>
      <c r="C917" s="1" t="n">
        <v>46185</v>
      </c>
      <c r="D917" t="inlineStr">
        <is>
          <t>VÄSTERNORRLANDS LÄN</t>
        </is>
      </c>
      <c r="E917" t="inlineStr">
        <is>
          <t>SUNDSVALL</t>
        </is>
      </c>
      <c r="G917" t="n">
        <v>2.7</v>
      </c>
      <c r="H917" t="n">
        <v>1</v>
      </c>
      <c r="I917" t="n">
        <v>0</v>
      </c>
      <c r="J917" t="n">
        <v>1</v>
      </c>
      <c r="K917" t="n">
        <v>0</v>
      </c>
      <c r="L917" t="n">
        <v>0</v>
      </c>
      <c r="M917" t="n">
        <v>0</v>
      </c>
      <c r="N917" t="n">
        <v>0</v>
      </c>
      <c r="O917" t="n">
        <v>1</v>
      </c>
      <c r="P917" t="n">
        <v>0</v>
      </c>
      <c r="Q917" t="n">
        <v>1</v>
      </c>
      <c r="R917" s="2" t="inlineStr">
        <is>
          <t>Spillkråka</t>
        </is>
      </c>
      <c r="S917">
        <f>HYPERLINK("https://klasma.github.io/Logging_2281/artfynd/A 1220-2023 artfynd.xlsx", "A 1220-2023")</f>
        <v/>
      </c>
      <c r="T917">
        <f>HYPERLINK("https://klasma.github.io/Logging_2281/kartor/A 1220-2023 karta.png", "A 1220-2023")</f>
        <v/>
      </c>
      <c r="V917">
        <f>HYPERLINK("https://klasma.github.io/Logging_2281/klagomål/A 1220-2023 FSC-klagomål.docx", "A 1220-2023")</f>
        <v/>
      </c>
      <c r="W917">
        <f>HYPERLINK("https://klasma.github.io/Logging_2281/klagomålsmail/A 1220-2023 FSC-klagomål mail.docx", "A 1220-2023")</f>
        <v/>
      </c>
      <c r="X917">
        <f>HYPERLINK("https://klasma.github.io/Logging_2281/tillsyn/A 1220-2023 tillsynsbegäran.docx", "A 1220-2023")</f>
        <v/>
      </c>
      <c r="Y917">
        <f>HYPERLINK("https://klasma.github.io/Logging_2281/tillsynsmail/A 1220-2023 tillsynsbegäran mail.docx", "A 1220-2023")</f>
        <v/>
      </c>
      <c r="Z917">
        <f>HYPERLINK("https://klasma.github.io/Logging_2281/fåglar/A 1220-2023 prioriterade fågelarter.docx", "A 1220-2023")</f>
        <v/>
      </c>
    </row>
    <row r="918" ht="15" customHeight="1">
      <c r="A918" t="inlineStr">
        <is>
          <t>A 31544-2024</t>
        </is>
      </c>
      <c r="B918" s="1" t="n">
        <v>45505</v>
      </c>
      <c r="C918" s="1" t="n">
        <v>46185</v>
      </c>
      <c r="D918" t="inlineStr">
        <is>
          <t>VÄSTERNORRLANDS LÄN</t>
        </is>
      </c>
      <c r="E918" t="inlineStr">
        <is>
          <t>ÅNGE</t>
        </is>
      </c>
      <c r="F918" t="inlineStr">
        <is>
          <t>SCA</t>
        </is>
      </c>
      <c r="G918" t="n">
        <v>3.5</v>
      </c>
      <c r="H918" t="n">
        <v>0</v>
      </c>
      <c r="I918" t="n">
        <v>0</v>
      </c>
      <c r="J918" t="n">
        <v>1</v>
      </c>
      <c r="K918" t="n">
        <v>0</v>
      </c>
      <c r="L918" t="n">
        <v>0</v>
      </c>
      <c r="M918" t="n">
        <v>0</v>
      </c>
      <c r="N918" t="n">
        <v>0</v>
      </c>
      <c r="O918" t="n">
        <v>1</v>
      </c>
      <c r="P918" t="n">
        <v>0</v>
      </c>
      <c r="Q918" t="n">
        <v>1</v>
      </c>
      <c r="R918" s="2" t="inlineStr">
        <is>
          <t>Granticka</t>
        </is>
      </c>
      <c r="S918">
        <f>HYPERLINK("https://klasma.github.io/Logging_2260/artfynd/A 31544-2024 artfynd.xlsx", "A 31544-2024")</f>
        <v/>
      </c>
      <c r="T918">
        <f>HYPERLINK("https://klasma.github.io/Logging_2260/kartor/A 31544-2024 karta.png", "A 31544-2024")</f>
        <v/>
      </c>
      <c r="V918">
        <f>HYPERLINK("https://klasma.github.io/Logging_2260/klagomål/A 31544-2024 FSC-klagomål.docx", "A 31544-2024")</f>
        <v/>
      </c>
      <c r="W918">
        <f>HYPERLINK("https://klasma.github.io/Logging_2260/klagomålsmail/A 31544-2024 FSC-klagomål mail.docx", "A 31544-2024")</f>
        <v/>
      </c>
      <c r="X918">
        <f>HYPERLINK("https://klasma.github.io/Logging_2260/tillsyn/A 31544-2024 tillsynsbegäran.docx", "A 31544-2024")</f>
        <v/>
      </c>
      <c r="Y918">
        <f>HYPERLINK("https://klasma.github.io/Logging_2260/tillsynsmail/A 31544-2024 tillsynsbegäran mail.docx", "A 31544-2024")</f>
        <v/>
      </c>
    </row>
    <row r="919" ht="15" customHeight="1">
      <c r="A919" t="inlineStr">
        <is>
          <t>A 25332-2025</t>
        </is>
      </c>
      <c r="B919" s="1" t="n">
        <v>45800.59418981482</v>
      </c>
      <c r="C919" s="1" t="n">
        <v>46185</v>
      </c>
      <c r="D919" t="inlineStr">
        <is>
          <t>VÄSTERNORRLANDS LÄN</t>
        </is>
      </c>
      <c r="E919" t="inlineStr">
        <is>
          <t>ÅNGE</t>
        </is>
      </c>
      <c r="F919" t="inlineStr">
        <is>
          <t>SCA</t>
        </is>
      </c>
      <c r="G919" t="n">
        <v>1.6</v>
      </c>
      <c r="H919" t="n">
        <v>0</v>
      </c>
      <c r="I919" t="n">
        <v>0</v>
      </c>
      <c r="J919" t="n">
        <v>1</v>
      </c>
      <c r="K919" t="n">
        <v>0</v>
      </c>
      <c r="L919" t="n">
        <v>0</v>
      </c>
      <c r="M919" t="n">
        <v>0</v>
      </c>
      <c r="N919" t="n">
        <v>0</v>
      </c>
      <c r="O919" t="n">
        <v>1</v>
      </c>
      <c r="P919" t="n">
        <v>0</v>
      </c>
      <c r="Q919" t="n">
        <v>1</v>
      </c>
      <c r="R919" s="2" t="inlineStr">
        <is>
          <t>Lunglav</t>
        </is>
      </c>
      <c r="S919">
        <f>HYPERLINK("https://klasma.github.io/Logging_2260/artfynd/A 25332-2025 artfynd.xlsx", "A 25332-2025")</f>
        <v/>
      </c>
      <c r="T919">
        <f>HYPERLINK("https://klasma.github.io/Logging_2260/kartor/A 25332-2025 karta.png", "A 25332-2025")</f>
        <v/>
      </c>
      <c r="V919">
        <f>HYPERLINK("https://klasma.github.io/Logging_2260/klagomål/A 25332-2025 FSC-klagomål.docx", "A 25332-2025")</f>
        <v/>
      </c>
      <c r="W919">
        <f>HYPERLINK("https://klasma.github.io/Logging_2260/klagomålsmail/A 25332-2025 FSC-klagomål mail.docx", "A 25332-2025")</f>
        <v/>
      </c>
      <c r="X919">
        <f>HYPERLINK("https://klasma.github.io/Logging_2260/tillsyn/A 25332-2025 tillsynsbegäran.docx", "A 25332-2025")</f>
        <v/>
      </c>
      <c r="Y919">
        <f>HYPERLINK("https://klasma.github.io/Logging_2260/tillsynsmail/A 25332-2025 tillsynsbegäran mail.docx", "A 25332-2025")</f>
        <v/>
      </c>
    </row>
    <row r="920" ht="15" customHeight="1">
      <c r="A920" t="inlineStr">
        <is>
          <t>A 93-2026</t>
        </is>
      </c>
      <c r="B920" s="1" t="n">
        <v>46024.48998842593</v>
      </c>
      <c r="C920" s="1" t="n">
        <v>46185</v>
      </c>
      <c r="D920" t="inlineStr">
        <is>
          <t>VÄSTERNORRLANDS LÄN</t>
        </is>
      </c>
      <c r="E920" t="inlineStr">
        <is>
          <t>KRAMFORS</t>
        </is>
      </c>
      <c r="G920" t="n">
        <v>3.1</v>
      </c>
      <c r="H920" t="n">
        <v>0</v>
      </c>
      <c r="I920" t="n">
        <v>0</v>
      </c>
      <c r="J920" t="n">
        <v>1</v>
      </c>
      <c r="K920" t="n">
        <v>0</v>
      </c>
      <c r="L920" t="n">
        <v>0</v>
      </c>
      <c r="M920" t="n">
        <v>0</v>
      </c>
      <c r="N920" t="n">
        <v>0</v>
      </c>
      <c r="O920" t="n">
        <v>1</v>
      </c>
      <c r="P920" t="n">
        <v>0</v>
      </c>
      <c r="Q920" t="n">
        <v>1</v>
      </c>
      <c r="R920" s="2" t="inlineStr">
        <is>
          <t>Skogshare</t>
        </is>
      </c>
      <c r="S920">
        <f>HYPERLINK("https://klasma.github.io/Logging_2282/artfynd/A 93-2026 artfynd.xlsx", "A 93-2026")</f>
        <v/>
      </c>
      <c r="T920">
        <f>HYPERLINK("https://klasma.github.io/Logging_2282/kartor/A 93-2026 karta.png", "A 93-2026")</f>
        <v/>
      </c>
      <c r="V920">
        <f>HYPERLINK("https://klasma.github.io/Logging_2282/klagomål/A 93-2026 FSC-klagomål.docx", "A 93-2026")</f>
        <v/>
      </c>
      <c r="W920">
        <f>HYPERLINK("https://klasma.github.io/Logging_2282/klagomålsmail/A 93-2026 FSC-klagomål mail.docx", "A 93-2026")</f>
        <v/>
      </c>
      <c r="X920">
        <f>HYPERLINK("https://klasma.github.io/Logging_2282/tillsyn/A 93-2026 tillsynsbegäran.docx", "A 93-2026")</f>
        <v/>
      </c>
      <c r="Y920">
        <f>HYPERLINK("https://klasma.github.io/Logging_2282/tillsynsmail/A 93-2026 tillsynsbegäran mail.docx", "A 93-2026")</f>
        <v/>
      </c>
    </row>
    <row r="921" ht="15" customHeight="1">
      <c r="A921" t="inlineStr">
        <is>
          <t>A 22214-2025</t>
        </is>
      </c>
      <c r="B921" s="1" t="n">
        <v>45785.65792824074</v>
      </c>
      <c r="C921" s="1" t="n">
        <v>46185</v>
      </c>
      <c r="D921" t="inlineStr">
        <is>
          <t>VÄSTERNORRLANDS LÄN</t>
        </is>
      </c>
      <c r="E921" t="inlineStr">
        <is>
          <t>SOLLEFTEÅ</t>
        </is>
      </c>
      <c r="F921" t="inlineStr">
        <is>
          <t>SCA</t>
        </is>
      </c>
      <c r="G921" t="n">
        <v>4.6</v>
      </c>
      <c r="H921" t="n">
        <v>0</v>
      </c>
      <c r="I921" t="n">
        <v>0</v>
      </c>
      <c r="J921" t="n">
        <v>1</v>
      </c>
      <c r="K921" t="n">
        <v>0</v>
      </c>
      <c r="L921" t="n">
        <v>0</v>
      </c>
      <c r="M921" t="n">
        <v>0</v>
      </c>
      <c r="N921" t="n">
        <v>0</v>
      </c>
      <c r="O921" t="n">
        <v>1</v>
      </c>
      <c r="P921" t="n">
        <v>0</v>
      </c>
      <c r="Q921" t="n">
        <v>1</v>
      </c>
      <c r="R921" s="2" t="inlineStr">
        <is>
          <t>Reliktbock</t>
        </is>
      </c>
      <c r="S921">
        <f>HYPERLINK("https://klasma.github.io/Logging_2283/artfynd/A 22214-2025 artfynd.xlsx", "A 22214-2025")</f>
        <v/>
      </c>
      <c r="T921">
        <f>HYPERLINK("https://klasma.github.io/Logging_2283/kartor/A 22214-2025 karta.png", "A 22214-2025")</f>
        <v/>
      </c>
      <c r="V921">
        <f>HYPERLINK("https://klasma.github.io/Logging_2283/klagomål/A 22214-2025 FSC-klagomål.docx", "A 22214-2025")</f>
        <v/>
      </c>
      <c r="W921">
        <f>HYPERLINK("https://klasma.github.io/Logging_2283/klagomålsmail/A 22214-2025 FSC-klagomål mail.docx", "A 22214-2025")</f>
        <v/>
      </c>
      <c r="X921">
        <f>HYPERLINK("https://klasma.github.io/Logging_2283/tillsyn/A 22214-2025 tillsynsbegäran.docx", "A 22214-2025")</f>
        <v/>
      </c>
      <c r="Y921">
        <f>HYPERLINK("https://klasma.github.io/Logging_2283/tillsynsmail/A 22214-2025 tillsynsbegäran mail.docx", "A 22214-2025")</f>
        <v/>
      </c>
    </row>
    <row r="922" ht="15" customHeight="1">
      <c r="A922" t="inlineStr">
        <is>
          <t>A 26019-2025</t>
        </is>
      </c>
      <c r="B922" s="1" t="n">
        <v>45804.67811342593</v>
      </c>
      <c r="C922" s="1" t="n">
        <v>46185</v>
      </c>
      <c r="D922" t="inlineStr">
        <is>
          <t>VÄSTERNORRLANDS LÄN</t>
        </is>
      </c>
      <c r="E922" t="inlineStr">
        <is>
          <t>SOLLEFTEÅ</t>
        </is>
      </c>
      <c r="F922" t="inlineStr">
        <is>
          <t>SCA</t>
        </is>
      </c>
      <c r="G922" t="n">
        <v>3.7</v>
      </c>
      <c r="H922" t="n">
        <v>0</v>
      </c>
      <c r="I922" t="n">
        <v>0</v>
      </c>
      <c r="J922" t="n">
        <v>1</v>
      </c>
      <c r="K922" t="n">
        <v>0</v>
      </c>
      <c r="L922" t="n">
        <v>0</v>
      </c>
      <c r="M922" t="n">
        <v>0</v>
      </c>
      <c r="N922" t="n">
        <v>0</v>
      </c>
      <c r="O922" t="n">
        <v>1</v>
      </c>
      <c r="P922" t="n">
        <v>0</v>
      </c>
      <c r="Q922" t="n">
        <v>1</v>
      </c>
      <c r="R922" s="2" t="inlineStr">
        <is>
          <t>Rosenticka</t>
        </is>
      </c>
      <c r="S922">
        <f>HYPERLINK("https://klasma.github.io/Logging_2283/artfynd/A 26019-2025 artfynd.xlsx", "A 26019-2025")</f>
        <v/>
      </c>
      <c r="T922">
        <f>HYPERLINK("https://klasma.github.io/Logging_2283/kartor/A 26019-2025 karta.png", "A 26019-2025")</f>
        <v/>
      </c>
      <c r="V922">
        <f>HYPERLINK("https://klasma.github.io/Logging_2283/klagomål/A 26019-2025 FSC-klagomål.docx", "A 26019-2025")</f>
        <v/>
      </c>
      <c r="W922">
        <f>HYPERLINK("https://klasma.github.io/Logging_2283/klagomålsmail/A 26019-2025 FSC-klagomål mail.docx", "A 26019-2025")</f>
        <v/>
      </c>
      <c r="X922">
        <f>HYPERLINK("https://klasma.github.io/Logging_2283/tillsyn/A 26019-2025 tillsynsbegäran.docx", "A 26019-2025")</f>
        <v/>
      </c>
      <c r="Y922">
        <f>HYPERLINK("https://klasma.github.io/Logging_2283/tillsynsmail/A 26019-2025 tillsynsbegäran mail.docx", "A 26019-2025")</f>
        <v/>
      </c>
    </row>
    <row r="923" ht="15" customHeight="1">
      <c r="A923" t="inlineStr">
        <is>
          <t>A 23169-2025</t>
        </is>
      </c>
      <c r="B923" s="1" t="n">
        <v>45791.42752314815</v>
      </c>
      <c r="C923" s="1" t="n">
        <v>46185</v>
      </c>
      <c r="D923" t="inlineStr">
        <is>
          <t>VÄSTERNORRLANDS LÄN</t>
        </is>
      </c>
      <c r="E923" t="inlineStr">
        <is>
          <t>SOLLEFTEÅ</t>
        </is>
      </c>
      <c r="F923" t="inlineStr">
        <is>
          <t>SCA</t>
        </is>
      </c>
      <c r="G923" t="n">
        <v>1.8</v>
      </c>
      <c r="H923" t="n">
        <v>1</v>
      </c>
      <c r="I923" t="n">
        <v>0</v>
      </c>
      <c r="J923" t="n">
        <v>1</v>
      </c>
      <c r="K923" t="n">
        <v>0</v>
      </c>
      <c r="L923" t="n">
        <v>0</v>
      </c>
      <c r="M923" t="n">
        <v>0</v>
      </c>
      <c r="N923" t="n">
        <v>0</v>
      </c>
      <c r="O923" t="n">
        <v>1</v>
      </c>
      <c r="P923" t="n">
        <v>0</v>
      </c>
      <c r="Q923" t="n">
        <v>1</v>
      </c>
      <c r="R923" s="2" t="inlineStr">
        <is>
          <t>Järpe</t>
        </is>
      </c>
      <c r="S923">
        <f>HYPERLINK("https://klasma.github.io/Logging_2283/artfynd/A 23169-2025 artfynd.xlsx", "A 23169-2025")</f>
        <v/>
      </c>
      <c r="T923">
        <f>HYPERLINK("https://klasma.github.io/Logging_2283/kartor/A 23169-2025 karta.png", "A 23169-2025")</f>
        <v/>
      </c>
      <c r="V923">
        <f>HYPERLINK("https://klasma.github.io/Logging_2283/klagomål/A 23169-2025 FSC-klagomål.docx", "A 23169-2025")</f>
        <v/>
      </c>
      <c r="W923">
        <f>HYPERLINK("https://klasma.github.io/Logging_2283/klagomålsmail/A 23169-2025 FSC-klagomål mail.docx", "A 23169-2025")</f>
        <v/>
      </c>
      <c r="X923">
        <f>HYPERLINK("https://klasma.github.io/Logging_2283/tillsyn/A 23169-2025 tillsynsbegäran.docx", "A 23169-2025")</f>
        <v/>
      </c>
      <c r="Y923">
        <f>HYPERLINK("https://klasma.github.io/Logging_2283/tillsynsmail/A 23169-2025 tillsynsbegäran mail.docx", "A 23169-2025")</f>
        <v/>
      </c>
      <c r="Z923">
        <f>HYPERLINK("https://klasma.github.io/Logging_2283/fåglar/A 23169-2025 prioriterade fågelarter.docx", "A 23169-2025")</f>
        <v/>
      </c>
    </row>
    <row r="924" ht="15" customHeight="1">
      <c r="A924" t="inlineStr">
        <is>
          <t>A 37057-2021</t>
        </is>
      </c>
      <c r="B924" s="1" t="n">
        <v>44393.93881944445</v>
      </c>
      <c r="C924" s="1" t="n">
        <v>46185</v>
      </c>
      <c r="D924" t="inlineStr">
        <is>
          <t>VÄSTERNORRLANDS LÄN</t>
        </is>
      </c>
      <c r="E924" t="inlineStr">
        <is>
          <t>SUNDSVALL</t>
        </is>
      </c>
      <c r="F924" t="inlineStr">
        <is>
          <t>SCA</t>
        </is>
      </c>
      <c r="G924" t="n">
        <v>9.800000000000001</v>
      </c>
      <c r="H924" t="n">
        <v>1</v>
      </c>
      <c r="I924" t="n">
        <v>0</v>
      </c>
      <c r="J924" t="n">
        <v>1</v>
      </c>
      <c r="K924" t="n">
        <v>0</v>
      </c>
      <c r="L924" t="n">
        <v>0</v>
      </c>
      <c r="M924" t="n">
        <v>0</v>
      </c>
      <c r="N924" t="n">
        <v>0</v>
      </c>
      <c r="O924" t="n">
        <v>1</v>
      </c>
      <c r="P924" t="n">
        <v>0</v>
      </c>
      <c r="Q924" t="n">
        <v>1</v>
      </c>
      <c r="R924" s="2" t="inlineStr">
        <is>
          <t>Tretåig hackspett</t>
        </is>
      </c>
      <c r="S924">
        <f>HYPERLINK("https://klasma.github.io/Logging_2281/artfynd/A 37057-2021 artfynd.xlsx", "A 37057-2021")</f>
        <v/>
      </c>
      <c r="T924">
        <f>HYPERLINK("https://klasma.github.io/Logging_2281/kartor/A 37057-2021 karta.png", "A 37057-2021")</f>
        <v/>
      </c>
      <c r="V924">
        <f>HYPERLINK("https://klasma.github.io/Logging_2281/klagomål/A 37057-2021 FSC-klagomål.docx", "A 37057-2021")</f>
        <v/>
      </c>
      <c r="W924">
        <f>HYPERLINK("https://klasma.github.io/Logging_2281/klagomålsmail/A 37057-2021 FSC-klagomål mail.docx", "A 37057-2021")</f>
        <v/>
      </c>
      <c r="X924">
        <f>HYPERLINK("https://klasma.github.io/Logging_2281/tillsyn/A 37057-2021 tillsynsbegäran.docx", "A 37057-2021")</f>
        <v/>
      </c>
      <c r="Y924">
        <f>HYPERLINK("https://klasma.github.io/Logging_2281/tillsynsmail/A 37057-2021 tillsynsbegäran mail.docx", "A 37057-2021")</f>
        <v/>
      </c>
      <c r="Z924">
        <f>HYPERLINK("https://klasma.github.io/Logging_2281/fåglar/A 37057-2021 prioriterade fågelarter.docx", "A 37057-2021")</f>
        <v/>
      </c>
    </row>
    <row r="925" ht="15" customHeight="1">
      <c r="A925" t="inlineStr">
        <is>
          <t>A 54558-2022</t>
        </is>
      </c>
      <c r="B925" s="1" t="n">
        <v>44882</v>
      </c>
      <c r="C925" s="1" t="n">
        <v>46185</v>
      </c>
      <c r="D925" t="inlineStr">
        <is>
          <t>VÄSTERNORRLANDS LÄN</t>
        </is>
      </c>
      <c r="E925" t="inlineStr">
        <is>
          <t>SOLLEFTEÅ</t>
        </is>
      </c>
      <c r="G925" t="n">
        <v>5.8</v>
      </c>
      <c r="H925" t="n">
        <v>0</v>
      </c>
      <c r="I925" t="n">
        <v>1</v>
      </c>
      <c r="J925" t="n">
        <v>0</v>
      </c>
      <c r="K925" t="n">
        <v>0</v>
      </c>
      <c r="L925" t="n">
        <v>0</v>
      </c>
      <c r="M925" t="n">
        <v>0</v>
      </c>
      <c r="N925" t="n">
        <v>0</v>
      </c>
      <c r="O925" t="n">
        <v>0</v>
      </c>
      <c r="P925" t="n">
        <v>0</v>
      </c>
      <c r="Q925" t="n">
        <v>1</v>
      </c>
      <c r="R925" s="2" t="inlineStr">
        <is>
          <t>Strutbräken</t>
        </is>
      </c>
      <c r="S925">
        <f>HYPERLINK("https://klasma.github.io/Logging_2283/artfynd/A 54558-2022 artfynd.xlsx", "A 54558-2022")</f>
        <v/>
      </c>
      <c r="T925">
        <f>HYPERLINK("https://klasma.github.io/Logging_2283/kartor/A 54558-2022 karta.png", "A 54558-2022")</f>
        <v/>
      </c>
      <c r="V925">
        <f>HYPERLINK("https://klasma.github.io/Logging_2283/klagomål/A 54558-2022 FSC-klagomål.docx", "A 54558-2022")</f>
        <v/>
      </c>
      <c r="W925">
        <f>HYPERLINK("https://klasma.github.io/Logging_2283/klagomålsmail/A 54558-2022 FSC-klagomål mail.docx", "A 54558-2022")</f>
        <v/>
      </c>
      <c r="X925">
        <f>HYPERLINK("https://klasma.github.io/Logging_2283/tillsyn/A 54558-2022 tillsynsbegäran.docx", "A 54558-2022")</f>
        <v/>
      </c>
      <c r="Y925">
        <f>HYPERLINK("https://klasma.github.io/Logging_2283/tillsynsmail/A 54558-2022 tillsynsbegäran mail.docx", "A 54558-2022")</f>
        <v/>
      </c>
    </row>
    <row r="926" ht="15" customHeight="1">
      <c r="A926" t="inlineStr">
        <is>
          <t>A 33503-2023</t>
        </is>
      </c>
      <c r="B926" s="1" t="n">
        <v>45131</v>
      </c>
      <c r="C926" s="1" t="n">
        <v>46185</v>
      </c>
      <c r="D926" t="inlineStr">
        <is>
          <t>VÄSTERNORRLANDS LÄN</t>
        </is>
      </c>
      <c r="E926" t="inlineStr">
        <is>
          <t>TIMRÅ</t>
        </is>
      </c>
      <c r="G926" t="n">
        <v>28.3</v>
      </c>
      <c r="H926" t="n">
        <v>1</v>
      </c>
      <c r="I926" t="n">
        <v>0</v>
      </c>
      <c r="J926" t="n">
        <v>1</v>
      </c>
      <c r="K926" t="n">
        <v>0</v>
      </c>
      <c r="L926" t="n">
        <v>0</v>
      </c>
      <c r="M926" t="n">
        <v>0</v>
      </c>
      <c r="N926" t="n">
        <v>0</v>
      </c>
      <c r="O926" t="n">
        <v>1</v>
      </c>
      <c r="P926" t="n">
        <v>0</v>
      </c>
      <c r="Q926" t="n">
        <v>1</v>
      </c>
      <c r="R926" s="2" t="inlineStr">
        <is>
          <t>Utter</t>
        </is>
      </c>
      <c r="S926">
        <f>HYPERLINK("https://klasma.github.io/Logging_2262/artfynd/A 33503-2023 artfynd.xlsx", "A 33503-2023")</f>
        <v/>
      </c>
      <c r="T926">
        <f>HYPERLINK("https://klasma.github.io/Logging_2262/kartor/A 33503-2023 karta.png", "A 33503-2023")</f>
        <v/>
      </c>
      <c r="V926">
        <f>HYPERLINK("https://klasma.github.io/Logging_2262/klagomål/A 33503-2023 FSC-klagomål.docx", "A 33503-2023")</f>
        <v/>
      </c>
      <c r="W926">
        <f>HYPERLINK("https://klasma.github.io/Logging_2262/klagomålsmail/A 33503-2023 FSC-klagomål mail.docx", "A 33503-2023")</f>
        <v/>
      </c>
      <c r="X926">
        <f>HYPERLINK("https://klasma.github.io/Logging_2262/tillsyn/A 33503-2023 tillsynsbegäran.docx", "A 33503-2023")</f>
        <v/>
      </c>
      <c r="Y926">
        <f>HYPERLINK("https://klasma.github.io/Logging_2262/tillsynsmail/A 33503-2023 tillsynsbegäran mail.docx", "A 33503-2023")</f>
        <v/>
      </c>
    </row>
    <row r="927" ht="15" customHeight="1">
      <c r="A927" t="inlineStr">
        <is>
          <t>A 37206-2024</t>
        </is>
      </c>
      <c r="B927" s="1" t="n">
        <v>45539</v>
      </c>
      <c r="C927" s="1" t="n">
        <v>46185</v>
      </c>
      <c r="D927" t="inlineStr">
        <is>
          <t>VÄSTERNORRLANDS LÄN</t>
        </is>
      </c>
      <c r="E927" t="inlineStr">
        <is>
          <t>SOLLEFTEÅ</t>
        </is>
      </c>
      <c r="F927" t="inlineStr">
        <is>
          <t>SCA</t>
        </is>
      </c>
      <c r="G927" t="n">
        <v>3.6</v>
      </c>
      <c r="H927" t="n">
        <v>1</v>
      </c>
      <c r="I927" t="n">
        <v>0</v>
      </c>
      <c r="J927" t="n">
        <v>1</v>
      </c>
      <c r="K927" t="n">
        <v>0</v>
      </c>
      <c r="L927" t="n">
        <v>0</v>
      </c>
      <c r="M927" t="n">
        <v>0</v>
      </c>
      <c r="N927" t="n">
        <v>0</v>
      </c>
      <c r="O927" t="n">
        <v>1</v>
      </c>
      <c r="P927" t="n">
        <v>0</v>
      </c>
      <c r="Q927" t="n">
        <v>1</v>
      </c>
      <c r="R927" s="2" t="inlineStr">
        <is>
          <t>Tretåig hackspett</t>
        </is>
      </c>
      <c r="S927">
        <f>HYPERLINK("https://klasma.github.io/Logging_2283/artfynd/A 37206-2024 artfynd.xlsx", "A 37206-2024")</f>
        <v/>
      </c>
      <c r="T927">
        <f>HYPERLINK("https://klasma.github.io/Logging_2283/kartor/A 37206-2024 karta.png", "A 37206-2024")</f>
        <v/>
      </c>
      <c r="V927">
        <f>HYPERLINK("https://klasma.github.io/Logging_2283/klagomål/A 37206-2024 FSC-klagomål.docx", "A 37206-2024")</f>
        <v/>
      </c>
      <c r="W927">
        <f>HYPERLINK("https://klasma.github.io/Logging_2283/klagomålsmail/A 37206-2024 FSC-klagomål mail.docx", "A 37206-2024")</f>
        <v/>
      </c>
      <c r="X927">
        <f>HYPERLINK("https://klasma.github.io/Logging_2283/tillsyn/A 37206-2024 tillsynsbegäran.docx", "A 37206-2024")</f>
        <v/>
      </c>
      <c r="Y927">
        <f>HYPERLINK("https://klasma.github.io/Logging_2283/tillsynsmail/A 37206-2024 tillsynsbegäran mail.docx", "A 37206-2024")</f>
        <v/>
      </c>
      <c r="Z927">
        <f>HYPERLINK("https://klasma.github.io/Logging_2283/fåglar/A 37206-2024 prioriterade fågelarter.docx", "A 37206-2024")</f>
        <v/>
      </c>
    </row>
    <row r="928" ht="15" customHeight="1">
      <c r="A928" t="inlineStr">
        <is>
          <t>A 329-2026</t>
        </is>
      </c>
      <c r="B928" s="1" t="n">
        <v>46027.59431712963</v>
      </c>
      <c r="C928" s="1" t="n">
        <v>46185</v>
      </c>
      <c r="D928" t="inlineStr">
        <is>
          <t>VÄSTERNORRLANDS LÄN</t>
        </is>
      </c>
      <c r="E928" t="inlineStr">
        <is>
          <t>ÅNGE</t>
        </is>
      </c>
      <c r="F928" t="inlineStr">
        <is>
          <t>SCA</t>
        </is>
      </c>
      <c r="G928" t="n">
        <v>3.3</v>
      </c>
      <c r="H928" t="n">
        <v>1</v>
      </c>
      <c r="I928" t="n">
        <v>0</v>
      </c>
      <c r="J928" t="n">
        <v>0</v>
      </c>
      <c r="K928" t="n">
        <v>0</v>
      </c>
      <c r="L928" t="n">
        <v>0</v>
      </c>
      <c r="M928" t="n">
        <v>0</v>
      </c>
      <c r="N928" t="n">
        <v>0</v>
      </c>
      <c r="O928" t="n">
        <v>0</v>
      </c>
      <c r="P928" t="n">
        <v>0</v>
      </c>
      <c r="Q928" t="n">
        <v>1</v>
      </c>
      <c r="R928" s="2" t="inlineStr">
        <is>
          <t>Revlummer</t>
        </is>
      </c>
      <c r="S928">
        <f>HYPERLINK("https://klasma.github.io/Logging_2260/artfynd/A 329-2026 artfynd.xlsx", "A 329-2026")</f>
        <v/>
      </c>
      <c r="T928">
        <f>HYPERLINK("https://klasma.github.io/Logging_2260/kartor/A 329-2026 karta.png", "A 329-2026")</f>
        <v/>
      </c>
      <c r="V928">
        <f>HYPERLINK("https://klasma.github.io/Logging_2260/klagomål/A 329-2026 FSC-klagomål.docx", "A 329-2026")</f>
        <v/>
      </c>
      <c r="W928">
        <f>HYPERLINK("https://klasma.github.io/Logging_2260/klagomålsmail/A 329-2026 FSC-klagomål mail.docx", "A 329-2026")</f>
        <v/>
      </c>
      <c r="X928">
        <f>HYPERLINK("https://klasma.github.io/Logging_2260/tillsyn/A 329-2026 tillsynsbegäran.docx", "A 329-2026")</f>
        <v/>
      </c>
      <c r="Y928">
        <f>HYPERLINK("https://klasma.github.io/Logging_2260/tillsynsmail/A 329-2026 tillsynsbegäran mail.docx", "A 329-2026")</f>
        <v/>
      </c>
    </row>
    <row r="929" ht="15" customHeight="1">
      <c r="A929" t="inlineStr">
        <is>
          <t>A 54386-2024</t>
        </is>
      </c>
      <c r="B929" s="1" t="n">
        <v>45617.44822916666</v>
      </c>
      <c r="C929" s="1" t="n">
        <v>46185</v>
      </c>
      <c r="D929" t="inlineStr">
        <is>
          <t>VÄSTERNORRLANDS LÄN</t>
        </is>
      </c>
      <c r="E929" t="inlineStr">
        <is>
          <t>ÅNGE</t>
        </is>
      </c>
      <c r="F929" t="inlineStr">
        <is>
          <t>SCA</t>
        </is>
      </c>
      <c r="G929" t="n">
        <v>1.9</v>
      </c>
      <c r="H929" t="n">
        <v>0</v>
      </c>
      <c r="I929" t="n">
        <v>0</v>
      </c>
      <c r="J929" t="n">
        <v>1</v>
      </c>
      <c r="K929" t="n">
        <v>0</v>
      </c>
      <c r="L929" t="n">
        <v>0</v>
      </c>
      <c r="M929" t="n">
        <v>0</v>
      </c>
      <c r="N929" t="n">
        <v>0</v>
      </c>
      <c r="O929" t="n">
        <v>1</v>
      </c>
      <c r="P929" t="n">
        <v>0</v>
      </c>
      <c r="Q929" t="n">
        <v>1</v>
      </c>
      <c r="R929" s="2" t="inlineStr">
        <is>
          <t>Reliktbock</t>
        </is>
      </c>
      <c r="S929">
        <f>HYPERLINK("https://klasma.github.io/Logging_2260/artfynd/A 54386-2024 artfynd.xlsx", "A 54386-2024")</f>
        <v/>
      </c>
      <c r="T929">
        <f>HYPERLINK("https://klasma.github.io/Logging_2260/kartor/A 54386-2024 karta.png", "A 54386-2024")</f>
        <v/>
      </c>
      <c r="V929">
        <f>HYPERLINK("https://klasma.github.io/Logging_2260/klagomål/A 54386-2024 FSC-klagomål.docx", "A 54386-2024")</f>
        <v/>
      </c>
      <c r="W929">
        <f>HYPERLINK("https://klasma.github.io/Logging_2260/klagomålsmail/A 54386-2024 FSC-klagomål mail.docx", "A 54386-2024")</f>
        <v/>
      </c>
      <c r="X929">
        <f>HYPERLINK("https://klasma.github.io/Logging_2260/tillsyn/A 54386-2024 tillsynsbegäran.docx", "A 54386-2024")</f>
        <v/>
      </c>
      <c r="Y929">
        <f>HYPERLINK("https://klasma.github.io/Logging_2260/tillsynsmail/A 54386-2024 tillsynsbegäran mail.docx", "A 54386-2024")</f>
        <v/>
      </c>
    </row>
    <row r="930" ht="15" customHeight="1">
      <c r="A930" t="inlineStr">
        <is>
          <t>A 26400-2025</t>
        </is>
      </c>
      <c r="B930" s="1" t="n">
        <v>45807.33248842593</v>
      </c>
      <c r="C930" s="1" t="n">
        <v>46185</v>
      </c>
      <c r="D930" t="inlineStr">
        <is>
          <t>VÄSTERNORRLANDS LÄN</t>
        </is>
      </c>
      <c r="E930" t="inlineStr">
        <is>
          <t>ÖRNSKÖLDSVIK</t>
        </is>
      </c>
      <c r="F930" t="inlineStr">
        <is>
          <t>Holmen skog AB</t>
        </is>
      </c>
      <c r="G930" t="n">
        <v>8</v>
      </c>
      <c r="H930" t="n">
        <v>0</v>
      </c>
      <c r="I930" t="n">
        <v>0</v>
      </c>
      <c r="J930" t="n">
        <v>1</v>
      </c>
      <c r="K930" t="n">
        <v>0</v>
      </c>
      <c r="L930" t="n">
        <v>0</v>
      </c>
      <c r="M930" t="n">
        <v>0</v>
      </c>
      <c r="N930" t="n">
        <v>0</v>
      </c>
      <c r="O930" t="n">
        <v>1</v>
      </c>
      <c r="P930" t="n">
        <v>0</v>
      </c>
      <c r="Q930" t="n">
        <v>1</v>
      </c>
      <c r="R930" s="2" t="inlineStr">
        <is>
          <t>Lunglav</t>
        </is>
      </c>
      <c r="S930">
        <f>HYPERLINK("https://klasma.github.io/Logging_2284/artfynd/A 26400-2025 artfynd.xlsx", "A 26400-2025")</f>
        <v/>
      </c>
      <c r="T930">
        <f>HYPERLINK("https://klasma.github.io/Logging_2284/kartor/A 26400-2025 karta.png", "A 26400-2025")</f>
        <v/>
      </c>
      <c r="V930">
        <f>HYPERLINK("https://klasma.github.io/Logging_2284/klagomål/A 26400-2025 FSC-klagomål.docx", "A 26400-2025")</f>
        <v/>
      </c>
      <c r="W930">
        <f>HYPERLINK("https://klasma.github.io/Logging_2284/klagomålsmail/A 26400-2025 FSC-klagomål mail.docx", "A 26400-2025")</f>
        <v/>
      </c>
      <c r="X930">
        <f>HYPERLINK("https://klasma.github.io/Logging_2284/tillsyn/A 26400-2025 tillsynsbegäran.docx", "A 26400-2025")</f>
        <v/>
      </c>
      <c r="Y930">
        <f>HYPERLINK("https://klasma.github.io/Logging_2284/tillsynsmail/A 26400-2025 tillsynsbegäran mail.docx", "A 26400-2025")</f>
        <v/>
      </c>
    </row>
    <row r="931" ht="15" customHeight="1">
      <c r="A931" t="inlineStr">
        <is>
          <t>A 1488-2024</t>
        </is>
      </c>
      <c r="B931" s="1" t="n">
        <v>45305</v>
      </c>
      <c r="C931" s="1" t="n">
        <v>46185</v>
      </c>
      <c r="D931" t="inlineStr">
        <is>
          <t>VÄSTERNORRLANDS LÄN</t>
        </is>
      </c>
      <c r="E931" t="inlineStr">
        <is>
          <t>ÖRNSKÖLDSVIK</t>
        </is>
      </c>
      <c r="G931" t="n">
        <v>2.6</v>
      </c>
      <c r="H931" t="n">
        <v>1</v>
      </c>
      <c r="I931" t="n">
        <v>0</v>
      </c>
      <c r="J931" t="n">
        <v>0</v>
      </c>
      <c r="K931" t="n">
        <v>0</v>
      </c>
      <c r="L931" t="n">
        <v>0</v>
      </c>
      <c r="M931" t="n">
        <v>0</v>
      </c>
      <c r="N931" t="n">
        <v>0</v>
      </c>
      <c r="O931" t="n">
        <v>0</v>
      </c>
      <c r="P931" t="n">
        <v>0</v>
      </c>
      <c r="Q931" t="n">
        <v>1</v>
      </c>
      <c r="R931" s="2" t="inlineStr">
        <is>
          <t>Vanlig padda</t>
        </is>
      </c>
      <c r="S931">
        <f>HYPERLINK("https://klasma.github.io/Logging_2284/artfynd/A 1488-2024 artfynd.xlsx", "A 1488-2024")</f>
        <v/>
      </c>
      <c r="T931">
        <f>HYPERLINK("https://klasma.github.io/Logging_2284/kartor/A 1488-2024 karta.png", "A 1488-2024")</f>
        <v/>
      </c>
      <c r="V931">
        <f>HYPERLINK("https://klasma.github.io/Logging_2284/klagomål/A 1488-2024 FSC-klagomål.docx", "A 1488-2024")</f>
        <v/>
      </c>
      <c r="W931">
        <f>HYPERLINK("https://klasma.github.io/Logging_2284/klagomålsmail/A 1488-2024 FSC-klagomål mail.docx", "A 1488-2024")</f>
        <v/>
      </c>
      <c r="X931">
        <f>HYPERLINK("https://klasma.github.io/Logging_2284/tillsyn/A 1488-2024 tillsynsbegäran.docx", "A 1488-2024")</f>
        <v/>
      </c>
      <c r="Y931">
        <f>HYPERLINK("https://klasma.github.io/Logging_2284/tillsynsmail/A 1488-2024 tillsynsbegäran mail.docx", "A 1488-2024")</f>
        <v/>
      </c>
    </row>
    <row r="932" ht="15" customHeight="1">
      <c r="A932" t="inlineStr">
        <is>
          <t>A 26501-2025</t>
        </is>
      </c>
      <c r="B932" s="1" t="n">
        <v>45807</v>
      </c>
      <c r="C932" s="1" t="n">
        <v>46185</v>
      </c>
      <c r="D932" t="inlineStr">
        <is>
          <t>VÄSTERNORRLANDS LÄN</t>
        </is>
      </c>
      <c r="E932" t="inlineStr">
        <is>
          <t>SOLLEFTEÅ</t>
        </is>
      </c>
      <c r="F932" t="inlineStr">
        <is>
          <t>SCA</t>
        </is>
      </c>
      <c r="G932" t="n">
        <v>3.9</v>
      </c>
      <c r="H932" t="n">
        <v>0</v>
      </c>
      <c r="I932" t="n">
        <v>0</v>
      </c>
      <c r="J932" t="n">
        <v>1</v>
      </c>
      <c r="K932" t="n">
        <v>0</v>
      </c>
      <c r="L932" t="n">
        <v>0</v>
      </c>
      <c r="M932" t="n">
        <v>0</v>
      </c>
      <c r="N932" t="n">
        <v>0</v>
      </c>
      <c r="O932" t="n">
        <v>1</v>
      </c>
      <c r="P932" t="n">
        <v>0</v>
      </c>
      <c r="Q932" t="n">
        <v>1</v>
      </c>
      <c r="R932" s="2" t="inlineStr">
        <is>
          <t>Vedflikmossa</t>
        </is>
      </c>
      <c r="S932">
        <f>HYPERLINK("https://klasma.github.io/Logging_2283/artfynd/A 26501-2025 artfynd.xlsx", "A 26501-2025")</f>
        <v/>
      </c>
      <c r="T932">
        <f>HYPERLINK("https://klasma.github.io/Logging_2283/kartor/A 26501-2025 karta.png", "A 26501-2025")</f>
        <v/>
      </c>
      <c r="V932">
        <f>HYPERLINK("https://klasma.github.io/Logging_2283/klagomål/A 26501-2025 FSC-klagomål.docx", "A 26501-2025")</f>
        <v/>
      </c>
      <c r="W932">
        <f>HYPERLINK("https://klasma.github.io/Logging_2283/klagomålsmail/A 26501-2025 FSC-klagomål mail.docx", "A 26501-2025")</f>
        <v/>
      </c>
      <c r="X932">
        <f>HYPERLINK("https://klasma.github.io/Logging_2283/tillsyn/A 26501-2025 tillsynsbegäran.docx", "A 26501-2025")</f>
        <v/>
      </c>
      <c r="Y932">
        <f>HYPERLINK("https://klasma.github.io/Logging_2283/tillsynsmail/A 26501-2025 tillsynsbegäran mail.docx", "A 26501-2025")</f>
        <v/>
      </c>
    </row>
    <row r="933" ht="15" customHeight="1">
      <c r="A933" t="inlineStr">
        <is>
          <t>A 27211-2025</t>
        </is>
      </c>
      <c r="B933" s="1" t="n">
        <v>45812.4068287037</v>
      </c>
      <c r="C933" s="1" t="n">
        <v>46185</v>
      </c>
      <c r="D933" t="inlineStr">
        <is>
          <t>VÄSTERNORRLANDS LÄN</t>
        </is>
      </c>
      <c r="E933" t="inlineStr">
        <is>
          <t>SUNDSVALL</t>
        </is>
      </c>
      <c r="F933" t="inlineStr">
        <is>
          <t>SCA</t>
        </is>
      </c>
      <c r="G933" t="n">
        <v>0.6</v>
      </c>
      <c r="H933" t="n">
        <v>0</v>
      </c>
      <c r="I933" t="n">
        <v>0</v>
      </c>
      <c r="J933" t="n">
        <v>1</v>
      </c>
      <c r="K933" t="n">
        <v>0</v>
      </c>
      <c r="L933" t="n">
        <v>0</v>
      </c>
      <c r="M933" t="n">
        <v>0</v>
      </c>
      <c r="N933" t="n">
        <v>0</v>
      </c>
      <c r="O933" t="n">
        <v>1</v>
      </c>
      <c r="P933" t="n">
        <v>0</v>
      </c>
      <c r="Q933" t="n">
        <v>1</v>
      </c>
      <c r="R933" s="2" t="inlineStr">
        <is>
          <t>Garnlav</t>
        </is>
      </c>
      <c r="S933">
        <f>HYPERLINK("https://klasma.github.io/Logging_2281/artfynd/A 27211-2025 artfynd.xlsx", "A 27211-2025")</f>
        <v/>
      </c>
      <c r="T933">
        <f>HYPERLINK("https://klasma.github.io/Logging_2281/kartor/A 27211-2025 karta.png", "A 27211-2025")</f>
        <v/>
      </c>
      <c r="V933">
        <f>HYPERLINK("https://klasma.github.io/Logging_2281/klagomål/A 27211-2025 FSC-klagomål.docx", "A 27211-2025")</f>
        <v/>
      </c>
      <c r="W933">
        <f>HYPERLINK("https://klasma.github.io/Logging_2281/klagomålsmail/A 27211-2025 FSC-klagomål mail.docx", "A 27211-2025")</f>
        <v/>
      </c>
      <c r="X933">
        <f>HYPERLINK("https://klasma.github.io/Logging_2281/tillsyn/A 27211-2025 tillsynsbegäran.docx", "A 27211-2025")</f>
        <v/>
      </c>
      <c r="Y933">
        <f>HYPERLINK("https://klasma.github.io/Logging_2281/tillsynsmail/A 27211-2025 tillsynsbegäran mail.docx", "A 27211-2025")</f>
        <v/>
      </c>
    </row>
    <row r="934" ht="15" customHeight="1">
      <c r="A934" t="inlineStr">
        <is>
          <t>A 8903-2024</t>
        </is>
      </c>
      <c r="B934" s="1" t="n">
        <v>45355</v>
      </c>
      <c r="C934" s="1" t="n">
        <v>46185</v>
      </c>
      <c r="D934" t="inlineStr">
        <is>
          <t>VÄSTERNORRLANDS LÄN</t>
        </is>
      </c>
      <c r="E934" t="inlineStr">
        <is>
          <t>SOLLEFTEÅ</t>
        </is>
      </c>
      <c r="G934" t="n">
        <v>1.7</v>
      </c>
      <c r="H934" t="n">
        <v>0</v>
      </c>
      <c r="I934" t="n">
        <v>1</v>
      </c>
      <c r="J934" t="n">
        <v>0</v>
      </c>
      <c r="K934" t="n">
        <v>0</v>
      </c>
      <c r="L934" t="n">
        <v>0</v>
      </c>
      <c r="M934" t="n">
        <v>0</v>
      </c>
      <c r="N934" t="n">
        <v>0</v>
      </c>
      <c r="O934" t="n">
        <v>0</v>
      </c>
      <c r="P934" t="n">
        <v>0</v>
      </c>
      <c r="Q934" t="n">
        <v>1</v>
      </c>
      <c r="R934" s="2" t="inlineStr">
        <is>
          <t>Strutbräken</t>
        </is>
      </c>
      <c r="S934">
        <f>HYPERLINK("https://klasma.github.io/Logging_2283/artfynd/A 8903-2024 artfynd.xlsx", "A 8903-2024")</f>
        <v/>
      </c>
      <c r="T934">
        <f>HYPERLINK("https://klasma.github.io/Logging_2283/kartor/A 8903-2024 karta.png", "A 8903-2024")</f>
        <v/>
      </c>
      <c r="V934">
        <f>HYPERLINK("https://klasma.github.io/Logging_2283/klagomål/A 8903-2024 FSC-klagomål.docx", "A 8903-2024")</f>
        <v/>
      </c>
      <c r="W934">
        <f>HYPERLINK("https://klasma.github.io/Logging_2283/klagomålsmail/A 8903-2024 FSC-klagomål mail.docx", "A 8903-2024")</f>
        <v/>
      </c>
      <c r="X934">
        <f>HYPERLINK("https://klasma.github.io/Logging_2283/tillsyn/A 8903-2024 tillsynsbegäran.docx", "A 8903-2024")</f>
        <v/>
      </c>
      <c r="Y934">
        <f>HYPERLINK("https://klasma.github.io/Logging_2283/tillsynsmail/A 8903-2024 tillsynsbegäran mail.docx", "A 8903-2024")</f>
        <v/>
      </c>
    </row>
    <row r="935" ht="15" customHeight="1">
      <c r="A935" t="inlineStr">
        <is>
          <t>A 535-2026</t>
        </is>
      </c>
      <c r="B935" s="1" t="n">
        <v>46029</v>
      </c>
      <c r="C935" s="1" t="n">
        <v>46185</v>
      </c>
      <c r="D935" t="inlineStr">
        <is>
          <t>VÄSTERNORRLANDS LÄN</t>
        </is>
      </c>
      <c r="E935" t="inlineStr">
        <is>
          <t>KRAMFORS</t>
        </is>
      </c>
      <c r="G935" t="n">
        <v>29.2</v>
      </c>
      <c r="H935" t="n">
        <v>0</v>
      </c>
      <c r="I935" t="n">
        <v>1</v>
      </c>
      <c r="J935" t="n">
        <v>0</v>
      </c>
      <c r="K935" t="n">
        <v>0</v>
      </c>
      <c r="L935" t="n">
        <v>0</v>
      </c>
      <c r="M935" t="n">
        <v>0</v>
      </c>
      <c r="N935" t="n">
        <v>0</v>
      </c>
      <c r="O935" t="n">
        <v>0</v>
      </c>
      <c r="P935" t="n">
        <v>0</v>
      </c>
      <c r="Q935" t="n">
        <v>1</v>
      </c>
      <c r="R935" s="2" t="inlineStr">
        <is>
          <t>Vedticka</t>
        </is>
      </c>
      <c r="S935">
        <f>HYPERLINK("https://klasma.github.io/Logging_2282/artfynd/A 535-2026 artfynd.xlsx", "A 535-2026")</f>
        <v/>
      </c>
      <c r="T935">
        <f>HYPERLINK("https://klasma.github.io/Logging_2282/kartor/A 535-2026 karta.png", "A 535-2026")</f>
        <v/>
      </c>
      <c r="V935">
        <f>HYPERLINK("https://klasma.github.io/Logging_2282/klagomål/A 535-2026 FSC-klagomål.docx", "A 535-2026")</f>
        <v/>
      </c>
      <c r="W935">
        <f>HYPERLINK("https://klasma.github.io/Logging_2282/klagomålsmail/A 535-2026 FSC-klagomål mail.docx", "A 535-2026")</f>
        <v/>
      </c>
      <c r="X935">
        <f>HYPERLINK("https://klasma.github.io/Logging_2282/tillsyn/A 535-2026 tillsynsbegäran.docx", "A 535-2026")</f>
        <v/>
      </c>
      <c r="Y935">
        <f>HYPERLINK("https://klasma.github.io/Logging_2282/tillsynsmail/A 535-2026 tillsynsbegäran mail.docx", "A 535-2026")</f>
        <v/>
      </c>
    </row>
    <row r="936" ht="15" customHeight="1">
      <c r="A936" t="inlineStr">
        <is>
          <t>A 25791-2025</t>
        </is>
      </c>
      <c r="B936" s="1" t="n">
        <v>45804.38903935185</v>
      </c>
      <c r="C936" s="1" t="n">
        <v>46185</v>
      </c>
      <c r="D936" t="inlineStr">
        <is>
          <t>VÄSTERNORRLANDS LÄN</t>
        </is>
      </c>
      <c r="E936" t="inlineStr">
        <is>
          <t>SUNDSVALL</t>
        </is>
      </c>
      <c r="G936" t="n">
        <v>2.8</v>
      </c>
      <c r="H936" t="n">
        <v>1</v>
      </c>
      <c r="I936" t="n">
        <v>0</v>
      </c>
      <c r="J936" t="n">
        <v>1</v>
      </c>
      <c r="K936" t="n">
        <v>0</v>
      </c>
      <c r="L936" t="n">
        <v>0</v>
      </c>
      <c r="M936" t="n">
        <v>0</v>
      </c>
      <c r="N936" t="n">
        <v>0</v>
      </c>
      <c r="O936" t="n">
        <v>1</v>
      </c>
      <c r="P936" t="n">
        <v>0</v>
      </c>
      <c r="Q936" t="n">
        <v>1</v>
      </c>
      <c r="R936" s="2" t="inlineStr">
        <is>
          <t>Hornuggla</t>
        </is>
      </c>
      <c r="S936">
        <f>HYPERLINK("https://klasma.github.io/Logging_2281/artfynd/A 25791-2025 artfynd.xlsx", "A 25791-2025")</f>
        <v/>
      </c>
      <c r="T936">
        <f>HYPERLINK("https://klasma.github.io/Logging_2281/kartor/A 25791-2025 karta.png", "A 25791-2025")</f>
        <v/>
      </c>
      <c r="V936">
        <f>HYPERLINK("https://klasma.github.io/Logging_2281/klagomål/A 25791-2025 FSC-klagomål.docx", "A 25791-2025")</f>
        <v/>
      </c>
      <c r="W936">
        <f>HYPERLINK("https://klasma.github.io/Logging_2281/klagomålsmail/A 25791-2025 FSC-klagomål mail.docx", "A 25791-2025")</f>
        <v/>
      </c>
      <c r="X936">
        <f>HYPERLINK("https://klasma.github.io/Logging_2281/tillsyn/A 25791-2025 tillsynsbegäran.docx", "A 25791-2025")</f>
        <v/>
      </c>
      <c r="Y936">
        <f>HYPERLINK("https://klasma.github.io/Logging_2281/tillsynsmail/A 25791-2025 tillsynsbegäran mail.docx", "A 25791-2025")</f>
        <v/>
      </c>
      <c r="Z936">
        <f>HYPERLINK("https://klasma.github.io/Logging_2281/fåglar/A 25791-2025 prioriterade fågelarter.docx", "A 25791-2025")</f>
        <v/>
      </c>
    </row>
    <row r="937" ht="15" customHeight="1">
      <c r="A937" t="inlineStr">
        <is>
          <t>A 40190-2025</t>
        </is>
      </c>
      <c r="B937" s="1" t="n">
        <v>45894.65664351852</v>
      </c>
      <c r="C937" s="1" t="n">
        <v>46185</v>
      </c>
      <c r="D937" t="inlineStr">
        <is>
          <t>VÄSTERNORRLANDS LÄN</t>
        </is>
      </c>
      <c r="E937" t="inlineStr">
        <is>
          <t>SOLLEFTEÅ</t>
        </is>
      </c>
      <c r="F937" t="inlineStr">
        <is>
          <t>SCA</t>
        </is>
      </c>
      <c r="G937" t="n">
        <v>6.5</v>
      </c>
      <c r="H937" t="n">
        <v>1</v>
      </c>
      <c r="I937" t="n">
        <v>0</v>
      </c>
      <c r="J937" t="n">
        <v>1</v>
      </c>
      <c r="K937" t="n">
        <v>0</v>
      </c>
      <c r="L937" t="n">
        <v>0</v>
      </c>
      <c r="M937" t="n">
        <v>0</v>
      </c>
      <c r="N937" t="n">
        <v>0</v>
      </c>
      <c r="O937" t="n">
        <v>1</v>
      </c>
      <c r="P937" t="n">
        <v>0</v>
      </c>
      <c r="Q937" t="n">
        <v>1</v>
      </c>
      <c r="R937" s="2" t="inlineStr">
        <is>
          <t>Spillkråka</t>
        </is>
      </c>
      <c r="S937">
        <f>HYPERLINK("https://klasma.github.io/Logging_2283/artfynd/A 40190-2025 artfynd.xlsx", "A 40190-2025")</f>
        <v/>
      </c>
      <c r="T937">
        <f>HYPERLINK("https://klasma.github.io/Logging_2283/kartor/A 40190-2025 karta.png", "A 40190-2025")</f>
        <v/>
      </c>
      <c r="V937">
        <f>HYPERLINK("https://klasma.github.io/Logging_2283/klagomål/A 40190-2025 FSC-klagomål.docx", "A 40190-2025")</f>
        <v/>
      </c>
      <c r="W937">
        <f>HYPERLINK("https://klasma.github.io/Logging_2283/klagomålsmail/A 40190-2025 FSC-klagomål mail.docx", "A 40190-2025")</f>
        <v/>
      </c>
      <c r="X937">
        <f>HYPERLINK("https://klasma.github.io/Logging_2283/tillsyn/A 40190-2025 tillsynsbegäran.docx", "A 40190-2025")</f>
        <v/>
      </c>
      <c r="Y937">
        <f>HYPERLINK("https://klasma.github.io/Logging_2283/tillsynsmail/A 40190-2025 tillsynsbegäran mail.docx", "A 40190-2025")</f>
        <v/>
      </c>
      <c r="Z937">
        <f>HYPERLINK("https://klasma.github.io/Logging_2283/fåglar/A 40190-2025 prioriterade fågelarter.docx", "A 40190-2025")</f>
        <v/>
      </c>
    </row>
    <row r="938" ht="15" customHeight="1">
      <c r="A938" t="inlineStr">
        <is>
          <t>A 28452-2025</t>
        </is>
      </c>
      <c r="B938" s="1" t="n">
        <v>45819.40657407408</v>
      </c>
      <c r="C938" s="1" t="n">
        <v>46185</v>
      </c>
      <c r="D938" t="inlineStr">
        <is>
          <t>VÄSTERNORRLANDS LÄN</t>
        </is>
      </c>
      <c r="E938" t="inlineStr">
        <is>
          <t>SUNDSVALL</t>
        </is>
      </c>
      <c r="F938" t="inlineStr">
        <is>
          <t>Naturvårdsverket</t>
        </is>
      </c>
      <c r="G938" t="n">
        <v>11</v>
      </c>
      <c r="H938" t="n">
        <v>0</v>
      </c>
      <c r="I938" t="n">
        <v>0</v>
      </c>
      <c r="J938" t="n">
        <v>1</v>
      </c>
      <c r="K938" t="n">
        <v>0</v>
      </c>
      <c r="L938" t="n">
        <v>0</v>
      </c>
      <c r="M938" t="n">
        <v>0</v>
      </c>
      <c r="N938" t="n">
        <v>0</v>
      </c>
      <c r="O938" t="n">
        <v>1</v>
      </c>
      <c r="P938" t="n">
        <v>0</v>
      </c>
      <c r="Q938" t="n">
        <v>1</v>
      </c>
      <c r="R938" s="2" t="inlineStr">
        <is>
          <t>Lunglav</t>
        </is>
      </c>
      <c r="S938">
        <f>HYPERLINK("https://klasma.github.io/Logging_2281/artfynd/A 28452-2025 artfynd.xlsx", "A 28452-2025")</f>
        <v/>
      </c>
      <c r="T938">
        <f>HYPERLINK("https://klasma.github.io/Logging_2281/kartor/A 28452-2025 karta.png", "A 28452-2025")</f>
        <v/>
      </c>
      <c r="V938">
        <f>HYPERLINK("https://klasma.github.io/Logging_2281/klagomål/A 28452-2025 FSC-klagomål.docx", "A 28452-2025")</f>
        <v/>
      </c>
      <c r="W938">
        <f>HYPERLINK("https://klasma.github.io/Logging_2281/klagomålsmail/A 28452-2025 FSC-klagomål mail.docx", "A 28452-2025")</f>
        <v/>
      </c>
      <c r="X938">
        <f>HYPERLINK("https://klasma.github.io/Logging_2281/tillsyn/A 28452-2025 tillsynsbegäran.docx", "A 28452-2025")</f>
        <v/>
      </c>
      <c r="Y938">
        <f>HYPERLINK("https://klasma.github.io/Logging_2281/tillsynsmail/A 28452-2025 tillsynsbegäran mail.docx", "A 28452-2025")</f>
        <v/>
      </c>
    </row>
    <row r="939" ht="15" customHeight="1">
      <c r="A939" t="inlineStr">
        <is>
          <t>A 21765-2025</t>
        </is>
      </c>
      <c r="B939" s="1" t="n">
        <v>45783.64675925926</v>
      </c>
      <c r="C939" s="1" t="n">
        <v>46185</v>
      </c>
      <c r="D939" t="inlineStr">
        <is>
          <t>VÄSTERNORRLANDS LÄN</t>
        </is>
      </c>
      <c r="E939" t="inlineStr">
        <is>
          <t>SUNDSVALL</t>
        </is>
      </c>
      <c r="G939" t="n">
        <v>8</v>
      </c>
      <c r="H939" t="n">
        <v>1</v>
      </c>
      <c r="I939" t="n">
        <v>0</v>
      </c>
      <c r="J939" t="n">
        <v>0</v>
      </c>
      <c r="K939" t="n">
        <v>0</v>
      </c>
      <c r="L939" t="n">
        <v>0</v>
      </c>
      <c r="M939" t="n">
        <v>0</v>
      </c>
      <c r="N939" t="n">
        <v>0</v>
      </c>
      <c r="O939" t="n">
        <v>0</v>
      </c>
      <c r="P939" t="n">
        <v>0</v>
      </c>
      <c r="Q939" t="n">
        <v>1</v>
      </c>
      <c r="R939" s="2" t="inlineStr">
        <is>
          <t>Orre</t>
        </is>
      </c>
      <c r="S939">
        <f>HYPERLINK("https://klasma.github.io/Logging_2281/artfynd/A 21765-2025 artfynd.xlsx", "A 21765-2025")</f>
        <v/>
      </c>
      <c r="T939">
        <f>HYPERLINK("https://klasma.github.io/Logging_2281/kartor/A 21765-2025 karta.png", "A 21765-2025")</f>
        <v/>
      </c>
      <c r="V939">
        <f>HYPERLINK("https://klasma.github.io/Logging_2281/klagomål/A 21765-2025 FSC-klagomål.docx", "A 21765-2025")</f>
        <v/>
      </c>
      <c r="W939">
        <f>HYPERLINK("https://klasma.github.io/Logging_2281/klagomålsmail/A 21765-2025 FSC-klagomål mail.docx", "A 21765-2025")</f>
        <v/>
      </c>
      <c r="X939">
        <f>HYPERLINK("https://klasma.github.io/Logging_2281/tillsyn/A 21765-2025 tillsynsbegäran.docx", "A 21765-2025")</f>
        <v/>
      </c>
      <c r="Y939">
        <f>HYPERLINK("https://klasma.github.io/Logging_2281/tillsynsmail/A 21765-2025 tillsynsbegäran mail.docx", "A 21765-2025")</f>
        <v/>
      </c>
      <c r="Z939">
        <f>HYPERLINK("https://klasma.github.io/Logging_2281/fåglar/A 21765-2025 prioriterade fågelarter.docx", "A 21765-2025")</f>
        <v/>
      </c>
    </row>
    <row r="940" ht="15" customHeight="1">
      <c r="A940" t="inlineStr">
        <is>
          <t>A 30072-2025</t>
        </is>
      </c>
      <c r="B940" s="1" t="n">
        <v>45826.63604166666</v>
      </c>
      <c r="C940" s="1" t="n">
        <v>46185</v>
      </c>
      <c r="D940" t="inlineStr">
        <is>
          <t>VÄSTERNORRLANDS LÄN</t>
        </is>
      </c>
      <c r="E940" t="inlineStr">
        <is>
          <t>TIMRÅ</t>
        </is>
      </c>
      <c r="F940" t="inlineStr">
        <is>
          <t>SCA</t>
        </is>
      </c>
      <c r="G940" t="n">
        <v>1.9</v>
      </c>
      <c r="H940" t="n">
        <v>1</v>
      </c>
      <c r="I940" t="n">
        <v>0</v>
      </c>
      <c r="J940" t="n">
        <v>0</v>
      </c>
      <c r="K940" t="n">
        <v>1</v>
      </c>
      <c r="L940" t="n">
        <v>0</v>
      </c>
      <c r="M940" t="n">
        <v>0</v>
      </c>
      <c r="N940" t="n">
        <v>0</v>
      </c>
      <c r="O940" t="n">
        <v>1</v>
      </c>
      <c r="P940" t="n">
        <v>1</v>
      </c>
      <c r="Q940" t="n">
        <v>1</v>
      </c>
      <c r="R940" s="2" t="inlineStr">
        <is>
          <t>Knärot</t>
        </is>
      </c>
      <c r="S940">
        <f>HYPERLINK("https://klasma.github.io/Logging_2262/artfynd/A 30072-2025 artfynd.xlsx", "A 30072-2025")</f>
        <v/>
      </c>
      <c r="T940">
        <f>HYPERLINK("https://klasma.github.io/Logging_2262/kartor/A 30072-2025 karta.png", "A 30072-2025")</f>
        <v/>
      </c>
      <c r="U940">
        <f>HYPERLINK("https://klasma.github.io/Logging_2262/knärot/A 30072-2025 karta knärot.png", "A 30072-2025")</f>
        <v/>
      </c>
      <c r="V940">
        <f>HYPERLINK("https://klasma.github.io/Logging_2262/klagomål/A 30072-2025 FSC-klagomål.docx", "A 30072-2025")</f>
        <v/>
      </c>
      <c r="W940">
        <f>HYPERLINK("https://klasma.github.io/Logging_2262/klagomålsmail/A 30072-2025 FSC-klagomål mail.docx", "A 30072-2025")</f>
        <v/>
      </c>
      <c r="X940">
        <f>HYPERLINK("https://klasma.github.io/Logging_2262/tillsyn/A 30072-2025 tillsynsbegäran.docx", "A 30072-2025")</f>
        <v/>
      </c>
      <c r="Y940">
        <f>HYPERLINK("https://klasma.github.io/Logging_2262/tillsynsmail/A 30072-2025 tillsynsbegäran mail.docx", "A 30072-2025")</f>
        <v/>
      </c>
    </row>
    <row r="941" ht="15" customHeight="1">
      <c r="A941" t="inlineStr">
        <is>
          <t>A 39995-2024</t>
        </is>
      </c>
      <c r="B941" s="1" t="n">
        <v>45553.63572916666</v>
      </c>
      <c r="C941" s="1" t="n">
        <v>46185</v>
      </c>
      <c r="D941" t="inlineStr">
        <is>
          <t>VÄSTERNORRLANDS LÄN</t>
        </is>
      </c>
      <c r="E941" t="inlineStr">
        <is>
          <t>SOLLEFTEÅ</t>
        </is>
      </c>
      <c r="F941" t="inlineStr">
        <is>
          <t>SCA</t>
        </is>
      </c>
      <c r="G941" t="n">
        <v>3.5</v>
      </c>
      <c r="H941" t="n">
        <v>0</v>
      </c>
      <c r="I941" t="n">
        <v>0</v>
      </c>
      <c r="J941" t="n">
        <v>1</v>
      </c>
      <c r="K941" t="n">
        <v>0</v>
      </c>
      <c r="L941" t="n">
        <v>0</v>
      </c>
      <c r="M941" t="n">
        <v>0</v>
      </c>
      <c r="N941" t="n">
        <v>0</v>
      </c>
      <c r="O941" t="n">
        <v>1</v>
      </c>
      <c r="P941" t="n">
        <v>0</v>
      </c>
      <c r="Q941" t="n">
        <v>1</v>
      </c>
      <c r="R941" s="2" t="inlineStr">
        <is>
          <t>Garnlav</t>
        </is>
      </c>
      <c r="S941">
        <f>HYPERLINK("https://klasma.github.io/Logging_2283/artfynd/A 39995-2024 artfynd.xlsx", "A 39995-2024")</f>
        <v/>
      </c>
      <c r="T941">
        <f>HYPERLINK("https://klasma.github.io/Logging_2283/kartor/A 39995-2024 karta.png", "A 39995-2024")</f>
        <v/>
      </c>
      <c r="V941">
        <f>HYPERLINK("https://klasma.github.io/Logging_2283/klagomål/A 39995-2024 FSC-klagomål.docx", "A 39995-2024")</f>
        <v/>
      </c>
      <c r="W941">
        <f>HYPERLINK("https://klasma.github.io/Logging_2283/klagomålsmail/A 39995-2024 FSC-klagomål mail.docx", "A 39995-2024")</f>
        <v/>
      </c>
      <c r="X941">
        <f>HYPERLINK("https://klasma.github.io/Logging_2283/tillsyn/A 39995-2024 tillsynsbegäran.docx", "A 39995-2024")</f>
        <v/>
      </c>
      <c r="Y941">
        <f>HYPERLINK("https://klasma.github.io/Logging_2283/tillsynsmail/A 39995-2024 tillsynsbegäran mail.docx", "A 39995-2024")</f>
        <v/>
      </c>
    </row>
    <row r="942" ht="15" customHeight="1">
      <c r="A942" t="inlineStr">
        <is>
          <t>A 12979-2023</t>
        </is>
      </c>
      <c r="B942" s="1" t="n">
        <v>45002</v>
      </c>
      <c r="C942" s="1" t="n">
        <v>46185</v>
      </c>
      <c r="D942" t="inlineStr">
        <is>
          <t>VÄSTERNORRLANDS LÄN</t>
        </is>
      </c>
      <c r="E942" t="inlineStr">
        <is>
          <t>ÖRNSKÖLDSVIK</t>
        </is>
      </c>
      <c r="F942" t="inlineStr">
        <is>
          <t>SCA</t>
        </is>
      </c>
      <c r="G942" t="n">
        <v>5.2</v>
      </c>
      <c r="H942" t="n">
        <v>1</v>
      </c>
      <c r="I942" t="n">
        <v>0</v>
      </c>
      <c r="J942" t="n">
        <v>0</v>
      </c>
      <c r="K942" t="n">
        <v>0</v>
      </c>
      <c r="L942" t="n">
        <v>0</v>
      </c>
      <c r="M942" t="n">
        <v>0</v>
      </c>
      <c r="N942" t="n">
        <v>0</v>
      </c>
      <c r="O942" t="n">
        <v>0</v>
      </c>
      <c r="P942" t="n">
        <v>0</v>
      </c>
      <c r="Q942" t="n">
        <v>1</v>
      </c>
      <c r="R942" s="2" t="inlineStr">
        <is>
          <t>Tjäder</t>
        </is>
      </c>
      <c r="S942">
        <f>HYPERLINK("https://klasma.github.io/Logging_2284/artfynd/A 12979-2023 artfynd.xlsx", "A 12979-2023")</f>
        <v/>
      </c>
      <c r="T942">
        <f>HYPERLINK("https://klasma.github.io/Logging_2284/kartor/A 12979-2023 karta.png", "A 12979-2023")</f>
        <v/>
      </c>
      <c r="V942">
        <f>HYPERLINK("https://klasma.github.io/Logging_2284/klagomål/A 12979-2023 FSC-klagomål.docx", "A 12979-2023")</f>
        <v/>
      </c>
      <c r="W942">
        <f>HYPERLINK("https://klasma.github.io/Logging_2284/klagomålsmail/A 12979-2023 FSC-klagomål mail.docx", "A 12979-2023")</f>
        <v/>
      </c>
      <c r="X942">
        <f>HYPERLINK("https://klasma.github.io/Logging_2284/tillsyn/A 12979-2023 tillsynsbegäran.docx", "A 12979-2023")</f>
        <v/>
      </c>
      <c r="Y942">
        <f>HYPERLINK("https://klasma.github.io/Logging_2284/tillsynsmail/A 12979-2023 tillsynsbegäran mail.docx", "A 12979-2023")</f>
        <v/>
      </c>
      <c r="Z942">
        <f>HYPERLINK("https://klasma.github.io/Logging_2284/fåglar/A 12979-2023 prioriterade fågelarter.docx", "A 12979-2023")</f>
        <v/>
      </c>
    </row>
    <row r="943" ht="15" customHeight="1">
      <c r="A943" t="inlineStr">
        <is>
          <t>A 41472-2025</t>
        </is>
      </c>
      <c r="B943" s="1" t="n">
        <v>45901.4693287037</v>
      </c>
      <c r="C943" s="1" t="n">
        <v>46185</v>
      </c>
      <c r="D943" t="inlineStr">
        <is>
          <t>VÄSTERNORRLANDS LÄN</t>
        </is>
      </c>
      <c r="E943" t="inlineStr">
        <is>
          <t>SOLLEFTEÅ</t>
        </is>
      </c>
      <c r="F943" t="inlineStr">
        <is>
          <t>SCA</t>
        </is>
      </c>
      <c r="G943" t="n">
        <v>6.1</v>
      </c>
      <c r="H943" t="n">
        <v>0</v>
      </c>
      <c r="I943" t="n">
        <v>0</v>
      </c>
      <c r="J943" t="n">
        <v>1</v>
      </c>
      <c r="K943" t="n">
        <v>0</v>
      </c>
      <c r="L943" t="n">
        <v>0</v>
      </c>
      <c r="M943" t="n">
        <v>0</v>
      </c>
      <c r="N943" t="n">
        <v>0</v>
      </c>
      <c r="O943" t="n">
        <v>1</v>
      </c>
      <c r="P943" t="n">
        <v>0</v>
      </c>
      <c r="Q943" t="n">
        <v>1</v>
      </c>
      <c r="R943" s="2" t="inlineStr">
        <is>
          <t>Skogshare</t>
        </is>
      </c>
      <c r="S943">
        <f>HYPERLINK("https://klasma.github.io/Logging_2283/artfynd/A 41472-2025 artfynd.xlsx", "A 41472-2025")</f>
        <v/>
      </c>
      <c r="T943">
        <f>HYPERLINK("https://klasma.github.io/Logging_2283/kartor/A 41472-2025 karta.png", "A 41472-2025")</f>
        <v/>
      </c>
      <c r="V943">
        <f>HYPERLINK("https://klasma.github.io/Logging_2283/klagomål/A 41472-2025 FSC-klagomål.docx", "A 41472-2025")</f>
        <v/>
      </c>
      <c r="W943">
        <f>HYPERLINK("https://klasma.github.io/Logging_2283/klagomålsmail/A 41472-2025 FSC-klagomål mail.docx", "A 41472-2025")</f>
        <v/>
      </c>
      <c r="X943">
        <f>HYPERLINK("https://klasma.github.io/Logging_2283/tillsyn/A 41472-2025 tillsynsbegäran.docx", "A 41472-2025")</f>
        <v/>
      </c>
      <c r="Y943">
        <f>HYPERLINK("https://klasma.github.io/Logging_2283/tillsynsmail/A 41472-2025 tillsynsbegäran mail.docx", "A 41472-2025")</f>
        <v/>
      </c>
    </row>
    <row r="944" ht="15" customHeight="1">
      <c r="A944" t="inlineStr">
        <is>
          <t>A 37914-2024</t>
        </is>
      </c>
      <c r="B944" s="1" t="n">
        <v>45544</v>
      </c>
      <c r="C944" s="1" t="n">
        <v>46185</v>
      </c>
      <c r="D944" t="inlineStr">
        <is>
          <t>VÄSTERNORRLANDS LÄN</t>
        </is>
      </c>
      <c r="E944" t="inlineStr">
        <is>
          <t>ÅNGE</t>
        </is>
      </c>
      <c r="F944" t="inlineStr">
        <is>
          <t>SCA</t>
        </is>
      </c>
      <c r="G944" t="n">
        <v>9</v>
      </c>
      <c r="H944" t="n">
        <v>0</v>
      </c>
      <c r="I944" t="n">
        <v>0</v>
      </c>
      <c r="J944" t="n">
        <v>1</v>
      </c>
      <c r="K944" t="n">
        <v>0</v>
      </c>
      <c r="L944" t="n">
        <v>0</v>
      </c>
      <c r="M944" t="n">
        <v>0</v>
      </c>
      <c r="N944" t="n">
        <v>0</v>
      </c>
      <c r="O944" t="n">
        <v>1</v>
      </c>
      <c r="P944" t="n">
        <v>0</v>
      </c>
      <c r="Q944" t="n">
        <v>1</v>
      </c>
      <c r="R944" s="2" t="inlineStr">
        <is>
          <t>Granticka</t>
        </is>
      </c>
      <c r="S944">
        <f>HYPERLINK("https://klasma.github.io/Logging_2260/artfynd/A 37914-2024 artfynd.xlsx", "A 37914-2024")</f>
        <v/>
      </c>
      <c r="T944">
        <f>HYPERLINK("https://klasma.github.io/Logging_2260/kartor/A 37914-2024 karta.png", "A 37914-2024")</f>
        <v/>
      </c>
      <c r="V944">
        <f>HYPERLINK("https://klasma.github.io/Logging_2260/klagomål/A 37914-2024 FSC-klagomål.docx", "A 37914-2024")</f>
        <v/>
      </c>
      <c r="W944">
        <f>HYPERLINK("https://klasma.github.io/Logging_2260/klagomålsmail/A 37914-2024 FSC-klagomål mail.docx", "A 37914-2024")</f>
        <v/>
      </c>
      <c r="X944">
        <f>HYPERLINK("https://klasma.github.io/Logging_2260/tillsyn/A 37914-2024 tillsynsbegäran.docx", "A 37914-2024")</f>
        <v/>
      </c>
      <c r="Y944">
        <f>HYPERLINK("https://klasma.github.io/Logging_2260/tillsynsmail/A 37914-2024 tillsynsbegäran mail.docx", "A 37914-2024")</f>
        <v/>
      </c>
    </row>
    <row r="945" ht="15" customHeight="1">
      <c r="A945" t="inlineStr">
        <is>
          <t>A 1190-2026</t>
        </is>
      </c>
      <c r="B945" s="1" t="n">
        <v>46031</v>
      </c>
      <c r="C945" s="1" t="n">
        <v>46185</v>
      </c>
      <c r="D945" t="inlineStr">
        <is>
          <t>VÄSTERNORRLANDS LÄN</t>
        </is>
      </c>
      <c r="E945" t="inlineStr">
        <is>
          <t>HÄRNÖSAND</t>
        </is>
      </c>
      <c r="G945" t="n">
        <v>3.5</v>
      </c>
      <c r="H945" t="n">
        <v>1</v>
      </c>
      <c r="I945" t="n">
        <v>0</v>
      </c>
      <c r="J945" t="n">
        <v>1</v>
      </c>
      <c r="K945" t="n">
        <v>0</v>
      </c>
      <c r="L945" t="n">
        <v>0</v>
      </c>
      <c r="M945" t="n">
        <v>0</v>
      </c>
      <c r="N945" t="n">
        <v>0</v>
      </c>
      <c r="O945" t="n">
        <v>1</v>
      </c>
      <c r="P945" t="n">
        <v>0</v>
      </c>
      <c r="Q945" t="n">
        <v>1</v>
      </c>
      <c r="R945" s="2" t="inlineStr">
        <is>
          <t>Tretåig hackspett</t>
        </is>
      </c>
      <c r="S945">
        <f>HYPERLINK("https://klasma.github.io/Logging_2280/artfynd/A 1190-2026 artfynd.xlsx", "A 1190-2026")</f>
        <v/>
      </c>
      <c r="T945">
        <f>HYPERLINK("https://klasma.github.io/Logging_2280/kartor/A 1190-2026 karta.png", "A 1190-2026")</f>
        <v/>
      </c>
      <c r="V945">
        <f>HYPERLINK("https://klasma.github.io/Logging_2280/klagomål/A 1190-2026 FSC-klagomål.docx", "A 1190-2026")</f>
        <v/>
      </c>
      <c r="W945">
        <f>HYPERLINK("https://klasma.github.io/Logging_2280/klagomålsmail/A 1190-2026 FSC-klagomål mail.docx", "A 1190-2026")</f>
        <v/>
      </c>
      <c r="X945">
        <f>HYPERLINK("https://klasma.github.io/Logging_2280/tillsyn/A 1190-2026 tillsynsbegäran.docx", "A 1190-2026")</f>
        <v/>
      </c>
      <c r="Y945">
        <f>HYPERLINK("https://klasma.github.io/Logging_2280/tillsynsmail/A 1190-2026 tillsynsbegäran mail.docx", "A 1190-2026")</f>
        <v/>
      </c>
      <c r="Z945">
        <f>HYPERLINK("https://klasma.github.io/Logging_2280/fåglar/A 1190-2026 prioriterade fågelarter.docx", "A 1190-2026")</f>
        <v/>
      </c>
    </row>
    <row r="946" ht="15" customHeight="1">
      <c r="A946" t="inlineStr">
        <is>
          <t>A 30948-2025</t>
        </is>
      </c>
      <c r="B946" s="1" t="n">
        <v>45832.42745370371</v>
      </c>
      <c r="C946" s="1" t="n">
        <v>46185</v>
      </c>
      <c r="D946" t="inlineStr">
        <is>
          <t>VÄSTERNORRLANDS LÄN</t>
        </is>
      </c>
      <c r="E946" t="inlineStr">
        <is>
          <t>SOLLEFTEÅ</t>
        </is>
      </c>
      <c r="F946" t="inlineStr">
        <is>
          <t>SCA</t>
        </is>
      </c>
      <c r="G946" t="n">
        <v>1.7</v>
      </c>
      <c r="H946" t="n">
        <v>1</v>
      </c>
      <c r="I946" t="n">
        <v>0</v>
      </c>
      <c r="J946" t="n">
        <v>0</v>
      </c>
      <c r="K946" t="n">
        <v>1</v>
      </c>
      <c r="L946" t="n">
        <v>0</v>
      </c>
      <c r="M946" t="n">
        <v>0</v>
      </c>
      <c r="N946" t="n">
        <v>0</v>
      </c>
      <c r="O946" t="n">
        <v>1</v>
      </c>
      <c r="P946" t="n">
        <v>1</v>
      </c>
      <c r="Q946" t="n">
        <v>1</v>
      </c>
      <c r="R946" s="2" t="inlineStr">
        <is>
          <t>Knärot</t>
        </is>
      </c>
      <c r="S946">
        <f>HYPERLINK("https://klasma.github.io/Logging_2283/artfynd/A 30948-2025 artfynd.xlsx", "A 30948-2025")</f>
        <v/>
      </c>
      <c r="T946">
        <f>HYPERLINK("https://klasma.github.io/Logging_2283/kartor/A 30948-2025 karta.png", "A 30948-2025")</f>
        <v/>
      </c>
      <c r="U946">
        <f>HYPERLINK("https://klasma.github.io/Logging_2283/knärot/A 30948-2025 karta knärot.png", "A 30948-2025")</f>
        <v/>
      </c>
      <c r="V946">
        <f>HYPERLINK("https://klasma.github.io/Logging_2283/klagomål/A 30948-2025 FSC-klagomål.docx", "A 30948-2025")</f>
        <v/>
      </c>
      <c r="W946">
        <f>HYPERLINK("https://klasma.github.io/Logging_2283/klagomålsmail/A 30948-2025 FSC-klagomål mail.docx", "A 30948-2025")</f>
        <v/>
      </c>
      <c r="X946">
        <f>HYPERLINK("https://klasma.github.io/Logging_2283/tillsyn/A 30948-2025 tillsynsbegäran.docx", "A 30948-2025")</f>
        <v/>
      </c>
      <c r="Y946">
        <f>HYPERLINK("https://klasma.github.io/Logging_2283/tillsynsmail/A 30948-2025 tillsynsbegäran mail.docx", "A 30948-2025")</f>
        <v/>
      </c>
    </row>
    <row r="947" ht="15" customHeight="1">
      <c r="A947" t="inlineStr">
        <is>
          <t>A 15376-2024</t>
        </is>
      </c>
      <c r="B947" s="1" t="n">
        <v>45400</v>
      </c>
      <c r="C947" s="1" t="n">
        <v>46185</v>
      </c>
      <c r="D947" t="inlineStr">
        <is>
          <t>VÄSTERNORRLANDS LÄN</t>
        </is>
      </c>
      <c r="E947" t="inlineStr">
        <is>
          <t>SUNDSVALL</t>
        </is>
      </c>
      <c r="F947" t="inlineStr">
        <is>
          <t>Naturvårdsverket</t>
        </is>
      </c>
      <c r="G947" t="n">
        <v>1.2</v>
      </c>
      <c r="H947" t="n">
        <v>0</v>
      </c>
      <c r="I947" t="n">
        <v>0</v>
      </c>
      <c r="J947" t="n">
        <v>1</v>
      </c>
      <c r="K947" t="n">
        <v>0</v>
      </c>
      <c r="L947" t="n">
        <v>0</v>
      </c>
      <c r="M947" t="n">
        <v>0</v>
      </c>
      <c r="N947" t="n">
        <v>0</v>
      </c>
      <c r="O947" t="n">
        <v>1</v>
      </c>
      <c r="P947" t="n">
        <v>0</v>
      </c>
      <c r="Q947" t="n">
        <v>1</v>
      </c>
      <c r="R947" s="2" t="inlineStr">
        <is>
          <t>Granticka</t>
        </is>
      </c>
      <c r="S947">
        <f>HYPERLINK("https://klasma.github.io/Logging_2281/artfynd/A 15376-2024 artfynd.xlsx", "A 15376-2024")</f>
        <v/>
      </c>
      <c r="T947">
        <f>HYPERLINK("https://klasma.github.io/Logging_2281/kartor/A 15376-2024 karta.png", "A 15376-2024")</f>
        <v/>
      </c>
      <c r="V947">
        <f>HYPERLINK("https://klasma.github.io/Logging_2281/klagomål/A 15376-2024 FSC-klagomål.docx", "A 15376-2024")</f>
        <v/>
      </c>
      <c r="W947">
        <f>HYPERLINK("https://klasma.github.io/Logging_2281/klagomålsmail/A 15376-2024 FSC-klagomål mail.docx", "A 15376-2024")</f>
        <v/>
      </c>
      <c r="X947">
        <f>HYPERLINK("https://klasma.github.io/Logging_2281/tillsyn/A 15376-2024 tillsynsbegäran.docx", "A 15376-2024")</f>
        <v/>
      </c>
      <c r="Y947">
        <f>HYPERLINK("https://klasma.github.io/Logging_2281/tillsynsmail/A 15376-2024 tillsynsbegäran mail.docx", "A 15376-2024")</f>
        <v/>
      </c>
    </row>
    <row r="948" ht="15" customHeight="1">
      <c r="A948" t="inlineStr">
        <is>
          <t>A 41810-2025</t>
        </is>
      </c>
      <c r="B948" s="1" t="n">
        <v>45902</v>
      </c>
      <c r="C948" s="1" t="n">
        <v>46185</v>
      </c>
      <c r="D948" t="inlineStr">
        <is>
          <t>VÄSTERNORRLANDS LÄN</t>
        </is>
      </c>
      <c r="E948" t="inlineStr">
        <is>
          <t>ÖRNSKÖLDSVIK</t>
        </is>
      </c>
      <c r="G948" t="n">
        <v>1.5</v>
      </c>
      <c r="H948" t="n">
        <v>0</v>
      </c>
      <c r="I948" t="n">
        <v>1</v>
      </c>
      <c r="J948" t="n">
        <v>0</v>
      </c>
      <c r="K948" t="n">
        <v>0</v>
      </c>
      <c r="L948" t="n">
        <v>0</v>
      </c>
      <c r="M948" t="n">
        <v>0</v>
      </c>
      <c r="N948" t="n">
        <v>0</v>
      </c>
      <c r="O948" t="n">
        <v>0</v>
      </c>
      <c r="P948" t="n">
        <v>0</v>
      </c>
      <c r="Q948" t="n">
        <v>1</v>
      </c>
      <c r="R948" s="2" t="inlineStr">
        <is>
          <t>Skinnlav</t>
        </is>
      </c>
      <c r="S948">
        <f>HYPERLINK("https://klasma.github.io/Logging_2284/artfynd/A 41810-2025 artfynd.xlsx", "A 41810-2025")</f>
        <v/>
      </c>
      <c r="T948">
        <f>HYPERLINK("https://klasma.github.io/Logging_2284/kartor/A 41810-2025 karta.png", "A 41810-2025")</f>
        <v/>
      </c>
      <c r="V948">
        <f>HYPERLINK("https://klasma.github.io/Logging_2284/klagomål/A 41810-2025 FSC-klagomål.docx", "A 41810-2025")</f>
        <v/>
      </c>
      <c r="W948">
        <f>HYPERLINK("https://klasma.github.io/Logging_2284/klagomålsmail/A 41810-2025 FSC-klagomål mail.docx", "A 41810-2025")</f>
        <v/>
      </c>
      <c r="X948">
        <f>HYPERLINK("https://klasma.github.io/Logging_2284/tillsyn/A 41810-2025 tillsynsbegäran.docx", "A 41810-2025")</f>
        <v/>
      </c>
      <c r="Y948">
        <f>HYPERLINK("https://klasma.github.io/Logging_2284/tillsynsmail/A 41810-2025 tillsynsbegäran mail.docx", "A 41810-2025")</f>
        <v/>
      </c>
    </row>
    <row r="949" ht="15" customHeight="1">
      <c r="A949" t="inlineStr">
        <is>
          <t>A 56287-2024</t>
        </is>
      </c>
      <c r="B949" s="1" t="n">
        <v>45624.67935185185</v>
      </c>
      <c r="C949" s="1" t="n">
        <v>46185</v>
      </c>
      <c r="D949" t="inlineStr">
        <is>
          <t>VÄSTERNORRLANDS LÄN</t>
        </is>
      </c>
      <c r="E949" t="inlineStr">
        <is>
          <t>TIMRÅ</t>
        </is>
      </c>
      <c r="F949" t="inlineStr">
        <is>
          <t>SCA</t>
        </is>
      </c>
      <c r="G949" t="n">
        <v>10.2</v>
      </c>
      <c r="H949" t="n">
        <v>0</v>
      </c>
      <c r="I949" t="n">
        <v>0</v>
      </c>
      <c r="J949" t="n">
        <v>1</v>
      </c>
      <c r="K949" t="n">
        <v>0</v>
      </c>
      <c r="L949" t="n">
        <v>0</v>
      </c>
      <c r="M949" t="n">
        <v>0</v>
      </c>
      <c r="N949" t="n">
        <v>0</v>
      </c>
      <c r="O949" t="n">
        <v>1</v>
      </c>
      <c r="P949" t="n">
        <v>0</v>
      </c>
      <c r="Q949" t="n">
        <v>1</v>
      </c>
      <c r="R949" s="2" t="inlineStr">
        <is>
          <t>Garnlav</t>
        </is>
      </c>
      <c r="S949">
        <f>HYPERLINK("https://klasma.github.io/Logging_2262/artfynd/A 56287-2024 artfynd.xlsx", "A 56287-2024")</f>
        <v/>
      </c>
      <c r="T949">
        <f>HYPERLINK("https://klasma.github.io/Logging_2262/kartor/A 56287-2024 karta.png", "A 56287-2024")</f>
        <v/>
      </c>
      <c r="V949">
        <f>HYPERLINK("https://klasma.github.io/Logging_2262/klagomål/A 56287-2024 FSC-klagomål.docx", "A 56287-2024")</f>
        <v/>
      </c>
      <c r="W949">
        <f>HYPERLINK("https://klasma.github.io/Logging_2262/klagomålsmail/A 56287-2024 FSC-klagomål mail.docx", "A 56287-2024")</f>
        <v/>
      </c>
      <c r="X949">
        <f>HYPERLINK("https://klasma.github.io/Logging_2262/tillsyn/A 56287-2024 tillsynsbegäran.docx", "A 56287-2024")</f>
        <v/>
      </c>
      <c r="Y949">
        <f>HYPERLINK("https://klasma.github.io/Logging_2262/tillsynsmail/A 56287-2024 tillsynsbegäran mail.docx", "A 56287-2024")</f>
        <v/>
      </c>
    </row>
    <row r="950" ht="15" customHeight="1">
      <c r="A950" t="inlineStr">
        <is>
          <t>A 14665-2023</t>
        </is>
      </c>
      <c r="B950" s="1" t="n">
        <v>45013.9258912037</v>
      </c>
      <c r="C950" s="1" t="n">
        <v>46185</v>
      </c>
      <c r="D950" t="inlineStr">
        <is>
          <t>VÄSTERNORRLANDS LÄN</t>
        </is>
      </c>
      <c r="E950" t="inlineStr">
        <is>
          <t>SUNDSVALL</t>
        </is>
      </c>
      <c r="G950" t="n">
        <v>1.8</v>
      </c>
      <c r="H950" t="n">
        <v>1</v>
      </c>
      <c r="I950" t="n">
        <v>0</v>
      </c>
      <c r="J950" t="n">
        <v>0</v>
      </c>
      <c r="K950" t="n">
        <v>0</v>
      </c>
      <c r="L950" t="n">
        <v>0</v>
      </c>
      <c r="M950" t="n">
        <v>0</v>
      </c>
      <c r="N950" t="n">
        <v>0</v>
      </c>
      <c r="O950" t="n">
        <v>0</v>
      </c>
      <c r="P950" t="n">
        <v>0</v>
      </c>
      <c r="Q950" t="n">
        <v>1</v>
      </c>
      <c r="R950" s="2" t="inlineStr">
        <is>
          <t>Trana</t>
        </is>
      </c>
      <c r="S950">
        <f>HYPERLINK("https://klasma.github.io/Logging_2281/artfynd/A 14665-2023 artfynd.xlsx", "A 14665-2023")</f>
        <v/>
      </c>
      <c r="T950">
        <f>HYPERLINK("https://klasma.github.io/Logging_2281/kartor/A 14665-2023 karta.png", "A 14665-2023")</f>
        <v/>
      </c>
      <c r="V950">
        <f>HYPERLINK("https://klasma.github.io/Logging_2281/klagomål/A 14665-2023 FSC-klagomål.docx", "A 14665-2023")</f>
        <v/>
      </c>
      <c r="W950">
        <f>HYPERLINK("https://klasma.github.io/Logging_2281/klagomålsmail/A 14665-2023 FSC-klagomål mail.docx", "A 14665-2023")</f>
        <v/>
      </c>
      <c r="X950">
        <f>HYPERLINK("https://klasma.github.io/Logging_2281/tillsyn/A 14665-2023 tillsynsbegäran.docx", "A 14665-2023")</f>
        <v/>
      </c>
      <c r="Y950">
        <f>HYPERLINK("https://klasma.github.io/Logging_2281/tillsynsmail/A 14665-2023 tillsynsbegäran mail.docx", "A 14665-2023")</f>
        <v/>
      </c>
      <c r="Z950">
        <f>HYPERLINK("https://klasma.github.io/Logging_2281/fåglar/A 14665-2023 prioriterade fågelarter.docx", "A 14665-2023")</f>
        <v/>
      </c>
    </row>
    <row r="951" ht="15" customHeight="1">
      <c r="A951" t="inlineStr">
        <is>
          <t>A 19762-2025</t>
        </is>
      </c>
      <c r="B951" s="1" t="n">
        <v>45771.40686342592</v>
      </c>
      <c r="C951" s="1" t="n">
        <v>46185</v>
      </c>
      <c r="D951" t="inlineStr">
        <is>
          <t>VÄSTERNORRLANDS LÄN</t>
        </is>
      </c>
      <c r="E951" t="inlineStr">
        <is>
          <t>SUNDSVALL</t>
        </is>
      </c>
      <c r="F951" t="inlineStr">
        <is>
          <t>Naturvårdsverket</t>
        </is>
      </c>
      <c r="G951" t="n">
        <v>2.3</v>
      </c>
      <c r="H951" t="n">
        <v>0</v>
      </c>
      <c r="I951" t="n">
        <v>1</v>
      </c>
      <c r="J951" t="n">
        <v>0</v>
      </c>
      <c r="K951" t="n">
        <v>0</v>
      </c>
      <c r="L951" t="n">
        <v>0</v>
      </c>
      <c r="M951" t="n">
        <v>0</v>
      </c>
      <c r="N951" t="n">
        <v>0</v>
      </c>
      <c r="O951" t="n">
        <v>0</v>
      </c>
      <c r="P951" t="n">
        <v>0</v>
      </c>
      <c r="Q951" t="n">
        <v>1</v>
      </c>
      <c r="R951" s="2" t="inlineStr">
        <is>
          <t>Barkticka</t>
        </is>
      </c>
      <c r="S951">
        <f>HYPERLINK("https://klasma.github.io/Logging_2281/artfynd/A 19762-2025 artfynd.xlsx", "A 19762-2025")</f>
        <v/>
      </c>
      <c r="T951">
        <f>HYPERLINK("https://klasma.github.io/Logging_2281/kartor/A 19762-2025 karta.png", "A 19762-2025")</f>
        <v/>
      </c>
      <c r="V951">
        <f>HYPERLINK("https://klasma.github.io/Logging_2281/klagomål/A 19762-2025 FSC-klagomål.docx", "A 19762-2025")</f>
        <v/>
      </c>
      <c r="W951">
        <f>HYPERLINK("https://klasma.github.io/Logging_2281/klagomålsmail/A 19762-2025 FSC-klagomål mail.docx", "A 19762-2025")</f>
        <v/>
      </c>
      <c r="X951">
        <f>HYPERLINK("https://klasma.github.io/Logging_2281/tillsyn/A 19762-2025 tillsynsbegäran.docx", "A 19762-2025")</f>
        <v/>
      </c>
      <c r="Y951">
        <f>HYPERLINK("https://klasma.github.io/Logging_2281/tillsynsmail/A 19762-2025 tillsynsbegäran mail.docx", "A 19762-2025")</f>
        <v/>
      </c>
    </row>
    <row r="952" ht="15" customHeight="1">
      <c r="A952" t="inlineStr">
        <is>
          <t>A 42554-2025</t>
        </is>
      </c>
      <c r="B952" s="1" t="n">
        <v>45905.59445601852</v>
      </c>
      <c r="C952" s="1" t="n">
        <v>46185</v>
      </c>
      <c r="D952" t="inlineStr">
        <is>
          <t>VÄSTERNORRLANDS LÄN</t>
        </is>
      </c>
      <c r="E952" t="inlineStr">
        <is>
          <t>SOLLEFTEÅ</t>
        </is>
      </c>
      <c r="F952" t="inlineStr">
        <is>
          <t>SCA</t>
        </is>
      </c>
      <c r="G952" t="n">
        <v>0.7</v>
      </c>
      <c r="H952" t="n">
        <v>0</v>
      </c>
      <c r="I952" t="n">
        <v>0</v>
      </c>
      <c r="J952" t="n">
        <v>1</v>
      </c>
      <c r="K952" t="n">
        <v>0</v>
      </c>
      <c r="L952" t="n">
        <v>0</v>
      </c>
      <c r="M952" t="n">
        <v>0</v>
      </c>
      <c r="N952" t="n">
        <v>0</v>
      </c>
      <c r="O952" t="n">
        <v>1</v>
      </c>
      <c r="P952" t="n">
        <v>0</v>
      </c>
      <c r="Q952" t="n">
        <v>1</v>
      </c>
      <c r="R952" s="2" t="inlineStr">
        <is>
          <t>Harticka</t>
        </is>
      </c>
      <c r="S952">
        <f>HYPERLINK("https://klasma.github.io/Logging_2283/artfynd/A 42554-2025 artfynd.xlsx", "A 42554-2025")</f>
        <v/>
      </c>
      <c r="T952">
        <f>HYPERLINK("https://klasma.github.io/Logging_2283/kartor/A 42554-2025 karta.png", "A 42554-2025")</f>
        <v/>
      </c>
      <c r="V952">
        <f>HYPERLINK("https://klasma.github.io/Logging_2283/klagomål/A 42554-2025 FSC-klagomål.docx", "A 42554-2025")</f>
        <v/>
      </c>
      <c r="W952">
        <f>HYPERLINK("https://klasma.github.io/Logging_2283/klagomålsmail/A 42554-2025 FSC-klagomål mail.docx", "A 42554-2025")</f>
        <v/>
      </c>
      <c r="X952">
        <f>HYPERLINK("https://klasma.github.io/Logging_2283/tillsyn/A 42554-2025 tillsynsbegäran.docx", "A 42554-2025")</f>
        <v/>
      </c>
      <c r="Y952">
        <f>HYPERLINK("https://klasma.github.io/Logging_2283/tillsynsmail/A 42554-2025 tillsynsbegäran mail.docx", "A 42554-2025")</f>
        <v/>
      </c>
    </row>
    <row r="953" ht="15" customHeight="1">
      <c r="A953" t="inlineStr">
        <is>
          <t>A 32367-2025</t>
        </is>
      </c>
      <c r="B953" s="1" t="n">
        <v>45837.65688657408</v>
      </c>
      <c r="C953" s="1" t="n">
        <v>46185</v>
      </c>
      <c r="D953" t="inlineStr">
        <is>
          <t>VÄSTERNORRLANDS LÄN</t>
        </is>
      </c>
      <c r="E953" t="inlineStr">
        <is>
          <t>TIMRÅ</t>
        </is>
      </c>
      <c r="F953" t="inlineStr">
        <is>
          <t>SCA</t>
        </is>
      </c>
      <c r="G953" t="n">
        <v>11.8</v>
      </c>
      <c r="H953" t="n">
        <v>0</v>
      </c>
      <c r="I953" t="n">
        <v>0</v>
      </c>
      <c r="J953" t="n">
        <v>1</v>
      </c>
      <c r="K953" t="n">
        <v>0</v>
      </c>
      <c r="L953" t="n">
        <v>0</v>
      </c>
      <c r="M953" t="n">
        <v>0</v>
      </c>
      <c r="N953" t="n">
        <v>0</v>
      </c>
      <c r="O953" t="n">
        <v>1</v>
      </c>
      <c r="P953" t="n">
        <v>0</v>
      </c>
      <c r="Q953" t="n">
        <v>1</v>
      </c>
      <c r="R953" s="2" t="inlineStr">
        <is>
          <t>Garnlav</t>
        </is>
      </c>
      <c r="S953">
        <f>HYPERLINK("https://klasma.github.io/Logging_2262/artfynd/A 32367-2025 artfynd.xlsx", "A 32367-2025")</f>
        <v/>
      </c>
      <c r="T953">
        <f>HYPERLINK("https://klasma.github.io/Logging_2262/kartor/A 32367-2025 karta.png", "A 32367-2025")</f>
        <v/>
      </c>
      <c r="V953">
        <f>HYPERLINK("https://klasma.github.io/Logging_2262/klagomål/A 32367-2025 FSC-klagomål.docx", "A 32367-2025")</f>
        <v/>
      </c>
      <c r="W953">
        <f>HYPERLINK("https://klasma.github.io/Logging_2262/klagomålsmail/A 32367-2025 FSC-klagomål mail.docx", "A 32367-2025")</f>
        <v/>
      </c>
      <c r="X953">
        <f>HYPERLINK("https://klasma.github.io/Logging_2262/tillsyn/A 32367-2025 tillsynsbegäran.docx", "A 32367-2025")</f>
        <v/>
      </c>
      <c r="Y953">
        <f>HYPERLINK("https://klasma.github.io/Logging_2262/tillsynsmail/A 32367-2025 tillsynsbegäran mail.docx", "A 32367-2025")</f>
        <v/>
      </c>
    </row>
    <row r="954" ht="15" customHeight="1">
      <c r="A954" t="inlineStr">
        <is>
          <t>A 32171-2025</t>
        </is>
      </c>
      <c r="B954" s="1" t="n">
        <v>45835.55256944444</v>
      </c>
      <c r="C954" s="1" t="n">
        <v>46185</v>
      </c>
      <c r="D954" t="inlineStr">
        <is>
          <t>VÄSTERNORRLANDS LÄN</t>
        </is>
      </c>
      <c r="E954" t="inlineStr">
        <is>
          <t>TIMRÅ</t>
        </is>
      </c>
      <c r="F954" t="inlineStr">
        <is>
          <t>SCA</t>
        </is>
      </c>
      <c r="G954" t="n">
        <v>3.9</v>
      </c>
      <c r="H954" t="n">
        <v>0</v>
      </c>
      <c r="I954" t="n">
        <v>0</v>
      </c>
      <c r="J954" t="n">
        <v>1</v>
      </c>
      <c r="K954" t="n">
        <v>0</v>
      </c>
      <c r="L954" t="n">
        <v>0</v>
      </c>
      <c r="M954" t="n">
        <v>0</v>
      </c>
      <c r="N954" t="n">
        <v>0</v>
      </c>
      <c r="O954" t="n">
        <v>1</v>
      </c>
      <c r="P954" t="n">
        <v>0</v>
      </c>
      <c r="Q954" t="n">
        <v>1</v>
      </c>
      <c r="R954" s="2" t="inlineStr">
        <is>
          <t>Garnlav</t>
        </is>
      </c>
      <c r="S954">
        <f>HYPERLINK("https://klasma.github.io/Logging_2262/artfynd/A 32171-2025 artfynd.xlsx", "A 32171-2025")</f>
        <v/>
      </c>
      <c r="T954">
        <f>HYPERLINK("https://klasma.github.io/Logging_2262/kartor/A 32171-2025 karta.png", "A 32171-2025")</f>
        <v/>
      </c>
      <c r="V954">
        <f>HYPERLINK("https://klasma.github.io/Logging_2262/klagomål/A 32171-2025 FSC-klagomål.docx", "A 32171-2025")</f>
        <v/>
      </c>
      <c r="W954">
        <f>HYPERLINK("https://klasma.github.io/Logging_2262/klagomålsmail/A 32171-2025 FSC-klagomål mail.docx", "A 32171-2025")</f>
        <v/>
      </c>
      <c r="X954">
        <f>HYPERLINK("https://klasma.github.io/Logging_2262/tillsyn/A 32171-2025 tillsynsbegäran.docx", "A 32171-2025")</f>
        <v/>
      </c>
      <c r="Y954">
        <f>HYPERLINK("https://klasma.github.io/Logging_2262/tillsynsmail/A 32171-2025 tillsynsbegäran mail.docx", "A 32171-2025")</f>
        <v/>
      </c>
    </row>
    <row r="955" ht="15" customHeight="1">
      <c r="A955" t="inlineStr">
        <is>
          <t>A 2167-2026</t>
        </is>
      </c>
      <c r="B955" s="1" t="n">
        <v>46036</v>
      </c>
      <c r="C955" s="1" t="n">
        <v>46185</v>
      </c>
      <c r="D955" t="inlineStr">
        <is>
          <t>VÄSTERNORRLANDS LÄN</t>
        </is>
      </c>
      <c r="E955" t="inlineStr">
        <is>
          <t>KRAMFORS</t>
        </is>
      </c>
      <c r="G955" t="n">
        <v>0.8</v>
      </c>
      <c r="H955" t="n">
        <v>1</v>
      </c>
      <c r="I955" t="n">
        <v>0</v>
      </c>
      <c r="J955" t="n">
        <v>0</v>
      </c>
      <c r="K955" t="n">
        <v>0</v>
      </c>
      <c r="L955" t="n">
        <v>0</v>
      </c>
      <c r="M955" t="n">
        <v>0</v>
      </c>
      <c r="N955" t="n">
        <v>0</v>
      </c>
      <c r="O955" t="n">
        <v>0</v>
      </c>
      <c r="P955" t="n">
        <v>0</v>
      </c>
      <c r="Q955" t="n">
        <v>1</v>
      </c>
      <c r="R955" s="2" t="inlineStr">
        <is>
          <t>Blåsippa</t>
        </is>
      </c>
      <c r="S955">
        <f>HYPERLINK("https://klasma.github.io/Logging_2282/artfynd/A 2167-2026 artfynd.xlsx", "A 2167-2026")</f>
        <v/>
      </c>
      <c r="T955">
        <f>HYPERLINK("https://klasma.github.io/Logging_2282/kartor/A 2167-2026 karta.png", "A 2167-2026")</f>
        <v/>
      </c>
      <c r="V955">
        <f>HYPERLINK("https://klasma.github.io/Logging_2282/klagomål/A 2167-2026 FSC-klagomål.docx", "A 2167-2026")</f>
        <v/>
      </c>
      <c r="W955">
        <f>HYPERLINK("https://klasma.github.io/Logging_2282/klagomålsmail/A 2167-2026 FSC-klagomål mail.docx", "A 2167-2026")</f>
        <v/>
      </c>
      <c r="X955">
        <f>HYPERLINK("https://klasma.github.io/Logging_2282/tillsyn/A 2167-2026 tillsynsbegäran.docx", "A 2167-2026")</f>
        <v/>
      </c>
      <c r="Y955">
        <f>HYPERLINK("https://klasma.github.io/Logging_2282/tillsynsmail/A 2167-2026 tillsynsbegäran mail.docx", "A 2167-2026")</f>
        <v/>
      </c>
    </row>
    <row r="956" ht="15" customHeight="1">
      <c r="A956" t="inlineStr">
        <is>
          <t>A 3819-2024</t>
        </is>
      </c>
      <c r="B956" s="1" t="n">
        <v>45321</v>
      </c>
      <c r="C956" s="1" t="n">
        <v>46185</v>
      </c>
      <c r="D956" t="inlineStr">
        <is>
          <t>VÄSTERNORRLANDS LÄN</t>
        </is>
      </c>
      <c r="E956" t="inlineStr">
        <is>
          <t>SUNDSVALL</t>
        </is>
      </c>
      <c r="G956" t="n">
        <v>13.5</v>
      </c>
      <c r="H956" t="n">
        <v>1</v>
      </c>
      <c r="I956" t="n">
        <v>0</v>
      </c>
      <c r="J956" t="n">
        <v>0</v>
      </c>
      <c r="K956" t="n">
        <v>1</v>
      </c>
      <c r="L956" t="n">
        <v>0</v>
      </c>
      <c r="M956" t="n">
        <v>0</v>
      </c>
      <c r="N956" t="n">
        <v>0</v>
      </c>
      <c r="O956" t="n">
        <v>1</v>
      </c>
      <c r="P956" t="n">
        <v>1</v>
      </c>
      <c r="Q956" t="n">
        <v>1</v>
      </c>
      <c r="R956" s="2" t="inlineStr">
        <is>
          <t>Bombmurkla</t>
        </is>
      </c>
      <c r="S956">
        <f>HYPERLINK("https://klasma.github.io/Logging_2281/artfynd/A 3819-2024 artfynd.xlsx", "A 3819-2024")</f>
        <v/>
      </c>
      <c r="T956">
        <f>HYPERLINK("https://klasma.github.io/Logging_2281/kartor/A 3819-2024 karta.png", "A 3819-2024")</f>
        <v/>
      </c>
      <c r="V956">
        <f>HYPERLINK("https://klasma.github.io/Logging_2281/klagomål/A 3819-2024 FSC-klagomål.docx", "A 3819-2024")</f>
        <v/>
      </c>
      <c r="W956">
        <f>HYPERLINK("https://klasma.github.io/Logging_2281/klagomålsmail/A 3819-2024 FSC-klagomål mail.docx", "A 3819-2024")</f>
        <v/>
      </c>
      <c r="X956">
        <f>HYPERLINK("https://klasma.github.io/Logging_2281/tillsyn/A 3819-2024 tillsynsbegäran.docx", "A 3819-2024")</f>
        <v/>
      </c>
      <c r="Y956">
        <f>HYPERLINK("https://klasma.github.io/Logging_2281/tillsynsmail/A 3819-2024 tillsynsbegäran mail.docx", "A 3819-2024")</f>
        <v/>
      </c>
    </row>
    <row r="957" ht="15" customHeight="1">
      <c r="A957" t="inlineStr">
        <is>
          <t>A 43362-2025</t>
        </is>
      </c>
      <c r="B957" s="1" t="n">
        <v>45911</v>
      </c>
      <c r="C957" s="1" t="n">
        <v>46185</v>
      </c>
      <c r="D957" t="inlineStr">
        <is>
          <t>VÄSTERNORRLANDS LÄN</t>
        </is>
      </c>
      <c r="E957" t="inlineStr">
        <is>
          <t>SUNDSVALL</t>
        </is>
      </c>
      <c r="F957" t="inlineStr">
        <is>
          <t>Naturvårdsverket</t>
        </is>
      </c>
      <c r="G957" t="n">
        <v>3.7</v>
      </c>
      <c r="H957" t="n">
        <v>1</v>
      </c>
      <c r="I957" t="n">
        <v>0</v>
      </c>
      <c r="J957" t="n">
        <v>1</v>
      </c>
      <c r="K957" t="n">
        <v>0</v>
      </c>
      <c r="L957" t="n">
        <v>0</v>
      </c>
      <c r="M957" t="n">
        <v>0</v>
      </c>
      <c r="N957" t="n">
        <v>0</v>
      </c>
      <c r="O957" t="n">
        <v>1</v>
      </c>
      <c r="P957" t="n">
        <v>0</v>
      </c>
      <c r="Q957" t="n">
        <v>1</v>
      </c>
      <c r="R957" s="2" t="inlineStr">
        <is>
          <t>Utter</t>
        </is>
      </c>
      <c r="S957">
        <f>HYPERLINK("https://klasma.github.io/Logging_2281/artfynd/A 43362-2025 artfynd.xlsx", "A 43362-2025")</f>
        <v/>
      </c>
      <c r="T957">
        <f>HYPERLINK("https://klasma.github.io/Logging_2281/kartor/A 43362-2025 karta.png", "A 43362-2025")</f>
        <v/>
      </c>
      <c r="V957">
        <f>HYPERLINK("https://klasma.github.io/Logging_2281/klagomål/A 43362-2025 FSC-klagomål.docx", "A 43362-2025")</f>
        <v/>
      </c>
      <c r="W957">
        <f>HYPERLINK("https://klasma.github.io/Logging_2281/klagomålsmail/A 43362-2025 FSC-klagomål mail.docx", "A 43362-2025")</f>
        <v/>
      </c>
      <c r="X957">
        <f>HYPERLINK("https://klasma.github.io/Logging_2281/tillsyn/A 43362-2025 tillsynsbegäran.docx", "A 43362-2025")</f>
        <v/>
      </c>
      <c r="Y957">
        <f>HYPERLINK("https://klasma.github.io/Logging_2281/tillsynsmail/A 43362-2025 tillsynsbegäran mail.docx", "A 43362-2025")</f>
        <v/>
      </c>
    </row>
    <row r="958" ht="15" customHeight="1">
      <c r="A958" t="inlineStr">
        <is>
          <t>A 43590-2025</t>
        </is>
      </c>
      <c r="B958" s="1" t="n">
        <v>45911.65665509259</v>
      </c>
      <c r="C958" s="1" t="n">
        <v>46185</v>
      </c>
      <c r="D958" t="inlineStr">
        <is>
          <t>VÄSTERNORRLANDS LÄN</t>
        </is>
      </c>
      <c r="E958" t="inlineStr">
        <is>
          <t>ÅNGE</t>
        </is>
      </c>
      <c r="F958" t="inlineStr">
        <is>
          <t>SCA</t>
        </is>
      </c>
      <c r="G958" t="n">
        <v>2.9</v>
      </c>
      <c r="H958" t="n">
        <v>0</v>
      </c>
      <c r="I958" t="n">
        <v>0</v>
      </c>
      <c r="J958" t="n">
        <v>1</v>
      </c>
      <c r="K958" t="n">
        <v>0</v>
      </c>
      <c r="L958" t="n">
        <v>0</v>
      </c>
      <c r="M958" t="n">
        <v>0</v>
      </c>
      <c r="N958" t="n">
        <v>0</v>
      </c>
      <c r="O958" t="n">
        <v>1</v>
      </c>
      <c r="P958" t="n">
        <v>0</v>
      </c>
      <c r="Q958" t="n">
        <v>1</v>
      </c>
      <c r="R958" s="2" t="inlineStr">
        <is>
          <t>Granticka</t>
        </is>
      </c>
      <c r="S958">
        <f>HYPERLINK("https://klasma.github.io/Logging_2260/artfynd/A 43590-2025 artfynd.xlsx", "A 43590-2025")</f>
        <v/>
      </c>
      <c r="T958">
        <f>HYPERLINK("https://klasma.github.io/Logging_2260/kartor/A 43590-2025 karta.png", "A 43590-2025")</f>
        <v/>
      </c>
      <c r="V958">
        <f>HYPERLINK("https://klasma.github.io/Logging_2260/klagomål/A 43590-2025 FSC-klagomål.docx", "A 43590-2025")</f>
        <v/>
      </c>
      <c r="W958">
        <f>HYPERLINK("https://klasma.github.io/Logging_2260/klagomålsmail/A 43590-2025 FSC-klagomål mail.docx", "A 43590-2025")</f>
        <v/>
      </c>
      <c r="X958">
        <f>HYPERLINK("https://klasma.github.io/Logging_2260/tillsyn/A 43590-2025 tillsynsbegäran.docx", "A 43590-2025")</f>
        <v/>
      </c>
      <c r="Y958">
        <f>HYPERLINK("https://klasma.github.io/Logging_2260/tillsynsmail/A 43590-2025 tillsynsbegäran mail.docx", "A 43590-2025")</f>
        <v/>
      </c>
    </row>
    <row r="959" ht="15" customHeight="1">
      <c r="A959" t="inlineStr">
        <is>
          <t>A 33853-2025</t>
        </is>
      </c>
      <c r="B959" s="1" t="n">
        <v>45842.51097222222</v>
      </c>
      <c r="C959" s="1" t="n">
        <v>46185</v>
      </c>
      <c r="D959" t="inlineStr">
        <is>
          <t>VÄSTERNORRLANDS LÄN</t>
        </is>
      </c>
      <c r="E959" t="inlineStr">
        <is>
          <t>SOLLEFTEÅ</t>
        </is>
      </c>
      <c r="F959" t="inlineStr">
        <is>
          <t>SCA</t>
        </is>
      </c>
      <c r="G959" t="n">
        <v>6.5</v>
      </c>
      <c r="H959" t="n">
        <v>1</v>
      </c>
      <c r="I959" t="n">
        <v>0</v>
      </c>
      <c r="J959" t="n">
        <v>0</v>
      </c>
      <c r="K959" t="n">
        <v>0</v>
      </c>
      <c r="L959" t="n">
        <v>0</v>
      </c>
      <c r="M959" t="n">
        <v>0</v>
      </c>
      <c r="N959" t="n">
        <v>0</v>
      </c>
      <c r="O959" t="n">
        <v>0</v>
      </c>
      <c r="P959" t="n">
        <v>0</v>
      </c>
      <c r="Q959" t="n">
        <v>1</v>
      </c>
      <c r="R959" s="2" t="inlineStr">
        <is>
          <t>Tjäder</t>
        </is>
      </c>
      <c r="S959">
        <f>HYPERLINK("https://klasma.github.io/Logging_2283/artfynd/A 33853-2025 artfynd.xlsx", "A 33853-2025")</f>
        <v/>
      </c>
      <c r="T959">
        <f>HYPERLINK("https://klasma.github.io/Logging_2283/kartor/A 33853-2025 karta.png", "A 33853-2025")</f>
        <v/>
      </c>
      <c r="V959">
        <f>HYPERLINK("https://klasma.github.io/Logging_2283/klagomål/A 33853-2025 FSC-klagomål.docx", "A 33853-2025")</f>
        <v/>
      </c>
      <c r="W959">
        <f>HYPERLINK("https://klasma.github.io/Logging_2283/klagomålsmail/A 33853-2025 FSC-klagomål mail.docx", "A 33853-2025")</f>
        <v/>
      </c>
      <c r="X959">
        <f>HYPERLINK("https://klasma.github.io/Logging_2283/tillsyn/A 33853-2025 tillsynsbegäran.docx", "A 33853-2025")</f>
        <v/>
      </c>
      <c r="Y959">
        <f>HYPERLINK("https://klasma.github.io/Logging_2283/tillsynsmail/A 33853-2025 tillsynsbegäran mail.docx", "A 33853-2025")</f>
        <v/>
      </c>
      <c r="Z959">
        <f>HYPERLINK("https://klasma.github.io/Logging_2283/fåglar/A 33853-2025 prioriterade fågelarter.docx", "A 33853-2025")</f>
        <v/>
      </c>
    </row>
    <row r="960" ht="15" customHeight="1">
      <c r="A960" t="inlineStr">
        <is>
          <t>A 44276-2025</t>
        </is>
      </c>
      <c r="B960" s="1" t="n">
        <v>45916.34459490741</v>
      </c>
      <c r="C960" s="1" t="n">
        <v>46185</v>
      </c>
      <c r="D960" t="inlineStr">
        <is>
          <t>VÄSTERNORRLANDS LÄN</t>
        </is>
      </c>
      <c r="E960" t="inlineStr">
        <is>
          <t>SUNDSVALL</t>
        </is>
      </c>
      <c r="F960" t="inlineStr">
        <is>
          <t>Naturvårdsverket</t>
        </is>
      </c>
      <c r="G960" t="n">
        <v>4.1</v>
      </c>
      <c r="H960" t="n">
        <v>0</v>
      </c>
      <c r="I960" t="n">
        <v>0</v>
      </c>
      <c r="J960" t="n">
        <v>1</v>
      </c>
      <c r="K960" t="n">
        <v>0</v>
      </c>
      <c r="L960" t="n">
        <v>0</v>
      </c>
      <c r="M960" t="n">
        <v>0</v>
      </c>
      <c r="N960" t="n">
        <v>0</v>
      </c>
      <c r="O960" t="n">
        <v>1</v>
      </c>
      <c r="P960" t="n">
        <v>0</v>
      </c>
      <c r="Q960" t="n">
        <v>1</v>
      </c>
      <c r="R960" s="2" t="inlineStr">
        <is>
          <t>Garnlav</t>
        </is>
      </c>
      <c r="S960">
        <f>HYPERLINK("https://klasma.github.io/Logging_2281/artfynd/A 44276-2025 artfynd.xlsx", "A 44276-2025")</f>
        <v/>
      </c>
      <c r="T960">
        <f>HYPERLINK("https://klasma.github.io/Logging_2281/kartor/A 44276-2025 karta.png", "A 44276-2025")</f>
        <v/>
      </c>
      <c r="V960">
        <f>HYPERLINK("https://klasma.github.io/Logging_2281/klagomål/A 44276-2025 FSC-klagomål.docx", "A 44276-2025")</f>
        <v/>
      </c>
      <c r="W960">
        <f>HYPERLINK("https://klasma.github.io/Logging_2281/klagomålsmail/A 44276-2025 FSC-klagomål mail.docx", "A 44276-2025")</f>
        <v/>
      </c>
      <c r="X960">
        <f>HYPERLINK("https://klasma.github.io/Logging_2281/tillsyn/A 44276-2025 tillsynsbegäran.docx", "A 44276-2025")</f>
        <v/>
      </c>
      <c r="Y960">
        <f>HYPERLINK("https://klasma.github.io/Logging_2281/tillsynsmail/A 44276-2025 tillsynsbegäran mail.docx", "A 44276-2025")</f>
        <v/>
      </c>
    </row>
    <row r="961" ht="15" customHeight="1">
      <c r="A961" t="inlineStr">
        <is>
          <t>A 44556-2025</t>
        </is>
      </c>
      <c r="B961" s="1" t="n">
        <v>45917.34424768519</v>
      </c>
      <c r="C961" s="1" t="n">
        <v>46185</v>
      </c>
      <c r="D961" t="inlineStr">
        <is>
          <t>VÄSTERNORRLANDS LÄN</t>
        </is>
      </c>
      <c r="E961" t="inlineStr">
        <is>
          <t>SOLLEFTEÅ</t>
        </is>
      </c>
      <c r="F961" t="inlineStr">
        <is>
          <t>SCA</t>
        </is>
      </c>
      <c r="G961" t="n">
        <v>8.4</v>
      </c>
      <c r="H961" t="n">
        <v>1</v>
      </c>
      <c r="I961" t="n">
        <v>0</v>
      </c>
      <c r="J961" t="n">
        <v>0</v>
      </c>
      <c r="K961" t="n">
        <v>1</v>
      </c>
      <c r="L961" t="n">
        <v>0</v>
      </c>
      <c r="M961" t="n">
        <v>0</v>
      </c>
      <c r="N961" t="n">
        <v>0</v>
      </c>
      <c r="O961" t="n">
        <v>1</v>
      </c>
      <c r="P961" t="n">
        <v>1</v>
      </c>
      <c r="Q961" t="n">
        <v>1</v>
      </c>
      <c r="R961" s="2" t="inlineStr">
        <is>
          <t>Lappuggla</t>
        </is>
      </c>
      <c r="S961">
        <f>HYPERLINK("https://klasma.github.io/Logging_2283/artfynd/A 44556-2025 artfynd.xlsx", "A 44556-2025")</f>
        <v/>
      </c>
      <c r="T961">
        <f>HYPERLINK("https://klasma.github.io/Logging_2283/kartor/A 44556-2025 karta.png", "A 44556-2025")</f>
        <v/>
      </c>
      <c r="V961">
        <f>HYPERLINK("https://klasma.github.io/Logging_2283/klagomål/A 44556-2025 FSC-klagomål.docx", "A 44556-2025")</f>
        <v/>
      </c>
      <c r="W961">
        <f>HYPERLINK("https://klasma.github.io/Logging_2283/klagomålsmail/A 44556-2025 FSC-klagomål mail.docx", "A 44556-2025")</f>
        <v/>
      </c>
      <c r="X961">
        <f>HYPERLINK("https://klasma.github.io/Logging_2283/tillsyn/A 44556-2025 tillsynsbegäran.docx", "A 44556-2025")</f>
        <v/>
      </c>
      <c r="Y961">
        <f>HYPERLINK("https://klasma.github.io/Logging_2283/tillsynsmail/A 44556-2025 tillsynsbegäran mail.docx", "A 44556-2025")</f>
        <v/>
      </c>
      <c r="Z961">
        <f>HYPERLINK("https://klasma.github.io/Logging_2283/fåglar/A 44556-2025 prioriterade fågelarter.docx", "A 44556-2025")</f>
        <v/>
      </c>
    </row>
    <row r="962" ht="15" customHeight="1">
      <c r="A962" t="inlineStr">
        <is>
          <t>A 37231-2021</t>
        </is>
      </c>
      <c r="B962" s="1" t="n">
        <v>44396</v>
      </c>
      <c r="C962" s="1" t="n">
        <v>46185</v>
      </c>
      <c r="D962" t="inlineStr">
        <is>
          <t>VÄSTERNORRLANDS LÄN</t>
        </is>
      </c>
      <c r="E962" t="inlineStr">
        <is>
          <t>SUNDSVALL</t>
        </is>
      </c>
      <c r="F962" t="inlineStr">
        <is>
          <t>SCA</t>
        </is>
      </c>
      <c r="G962" t="n">
        <v>7.3</v>
      </c>
      <c r="H962" t="n">
        <v>1</v>
      </c>
      <c r="I962" t="n">
        <v>0</v>
      </c>
      <c r="J962" t="n">
        <v>0</v>
      </c>
      <c r="K962" t="n">
        <v>0</v>
      </c>
      <c r="L962" t="n">
        <v>0</v>
      </c>
      <c r="M962" t="n">
        <v>0</v>
      </c>
      <c r="N962" t="n">
        <v>0</v>
      </c>
      <c r="O962" t="n">
        <v>0</v>
      </c>
      <c r="P962" t="n">
        <v>0</v>
      </c>
      <c r="Q962" t="n">
        <v>1</v>
      </c>
      <c r="R962" s="2" t="inlineStr">
        <is>
          <t>Orre</t>
        </is>
      </c>
      <c r="S962">
        <f>HYPERLINK("https://klasma.github.io/Logging_2281/artfynd/A 37231-2021 artfynd.xlsx", "A 37231-2021")</f>
        <v/>
      </c>
      <c r="T962">
        <f>HYPERLINK("https://klasma.github.io/Logging_2281/kartor/A 37231-2021 karta.png", "A 37231-2021")</f>
        <v/>
      </c>
      <c r="V962">
        <f>HYPERLINK("https://klasma.github.io/Logging_2281/klagomål/A 37231-2021 FSC-klagomål.docx", "A 37231-2021")</f>
        <v/>
      </c>
      <c r="W962">
        <f>HYPERLINK("https://klasma.github.io/Logging_2281/klagomålsmail/A 37231-2021 FSC-klagomål mail.docx", "A 37231-2021")</f>
        <v/>
      </c>
      <c r="X962">
        <f>HYPERLINK("https://klasma.github.io/Logging_2281/tillsyn/A 37231-2021 tillsynsbegäran.docx", "A 37231-2021")</f>
        <v/>
      </c>
      <c r="Y962">
        <f>HYPERLINK("https://klasma.github.io/Logging_2281/tillsynsmail/A 37231-2021 tillsynsbegäran mail.docx", "A 37231-2021")</f>
        <v/>
      </c>
      <c r="Z962">
        <f>HYPERLINK("https://klasma.github.io/Logging_2281/fåglar/A 37231-2021 prioriterade fågelarter.docx", "A 37231-2021")</f>
        <v/>
      </c>
    </row>
    <row r="963" ht="15" customHeight="1">
      <c r="A963" t="inlineStr">
        <is>
          <t>A 34865-2025</t>
        </is>
      </c>
      <c r="B963" s="1" t="n">
        <v>45849.4421412037</v>
      </c>
      <c r="C963" s="1" t="n">
        <v>46185</v>
      </c>
      <c r="D963" t="inlineStr">
        <is>
          <t>VÄSTERNORRLANDS LÄN</t>
        </is>
      </c>
      <c r="E963" t="inlineStr">
        <is>
          <t>SOLLEFTEÅ</t>
        </is>
      </c>
      <c r="G963" t="n">
        <v>3.3</v>
      </c>
      <c r="H963" t="n">
        <v>1</v>
      </c>
      <c r="I963" t="n">
        <v>0</v>
      </c>
      <c r="J963" t="n">
        <v>1</v>
      </c>
      <c r="K963" t="n">
        <v>0</v>
      </c>
      <c r="L963" t="n">
        <v>0</v>
      </c>
      <c r="M963" t="n">
        <v>0</v>
      </c>
      <c r="N963" t="n">
        <v>0</v>
      </c>
      <c r="O963" t="n">
        <v>1</v>
      </c>
      <c r="P963" t="n">
        <v>0</v>
      </c>
      <c r="Q963" t="n">
        <v>1</v>
      </c>
      <c r="R963" s="2" t="inlineStr">
        <is>
          <t>Spillkråka</t>
        </is>
      </c>
      <c r="S963">
        <f>HYPERLINK("https://klasma.github.io/Logging_2283/artfynd/A 34865-2025 artfynd.xlsx", "A 34865-2025")</f>
        <v/>
      </c>
      <c r="T963">
        <f>HYPERLINK("https://klasma.github.io/Logging_2283/kartor/A 34865-2025 karta.png", "A 34865-2025")</f>
        <v/>
      </c>
      <c r="V963">
        <f>HYPERLINK("https://klasma.github.io/Logging_2283/klagomål/A 34865-2025 FSC-klagomål.docx", "A 34865-2025")</f>
        <v/>
      </c>
      <c r="W963">
        <f>HYPERLINK("https://klasma.github.io/Logging_2283/klagomålsmail/A 34865-2025 FSC-klagomål mail.docx", "A 34865-2025")</f>
        <v/>
      </c>
      <c r="X963">
        <f>HYPERLINK("https://klasma.github.io/Logging_2283/tillsyn/A 34865-2025 tillsynsbegäran.docx", "A 34865-2025")</f>
        <v/>
      </c>
      <c r="Y963">
        <f>HYPERLINK("https://klasma.github.io/Logging_2283/tillsynsmail/A 34865-2025 tillsynsbegäran mail.docx", "A 34865-2025")</f>
        <v/>
      </c>
      <c r="Z963">
        <f>HYPERLINK("https://klasma.github.io/Logging_2283/fåglar/A 34865-2025 prioriterade fågelarter.docx", "A 34865-2025")</f>
        <v/>
      </c>
    </row>
    <row r="964" ht="15" customHeight="1">
      <c r="A964" t="inlineStr">
        <is>
          <t>A 35043-2025</t>
        </is>
      </c>
      <c r="B964" s="1" t="n">
        <v>45852.34458333333</v>
      </c>
      <c r="C964" s="1" t="n">
        <v>46185</v>
      </c>
      <c r="D964" t="inlineStr">
        <is>
          <t>VÄSTERNORRLANDS LÄN</t>
        </is>
      </c>
      <c r="E964" t="inlineStr">
        <is>
          <t>ÖRNSKÖLDSVIK</t>
        </is>
      </c>
      <c r="F964" t="inlineStr">
        <is>
          <t>SCA</t>
        </is>
      </c>
      <c r="G964" t="n">
        <v>1.3</v>
      </c>
      <c r="H964" t="n">
        <v>0</v>
      </c>
      <c r="I964" t="n">
        <v>0</v>
      </c>
      <c r="J964" t="n">
        <v>1</v>
      </c>
      <c r="K964" t="n">
        <v>0</v>
      </c>
      <c r="L964" t="n">
        <v>0</v>
      </c>
      <c r="M964" t="n">
        <v>0</v>
      </c>
      <c r="N964" t="n">
        <v>0</v>
      </c>
      <c r="O964" t="n">
        <v>1</v>
      </c>
      <c r="P964" t="n">
        <v>0</v>
      </c>
      <c r="Q964" t="n">
        <v>1</v>
      </c>
      <c r="R964" s="2" t="inlineStr">
        <is>
          <t>Granticka</t>
        </is>
      </c>
      <c r="S964">
        <f>HYPERLINK("https://klasma.github.io/Logging_2284/artfynd/A 35043-2025 artfynd.xlsx", "A 35043-2025")</f>
        <v/>
      </c>
      <c r="T964">
        <f>HYPERLINK("https://klasma.github.io/Logging_2284/kartor/A 35043-2025 karta.png", "A 35043-2025")</f>
        <v/>
      </c>
      <c r="V964">
        <f>HYPERLINK("https://klasma.github.io/Logging_2284/klagomål/A 35043-2025 FSC-klagomål.docx", "A 35043-2025")</f>
        <v/>
      </c>
      <c r="W964">
        <f>HYPERLINK("https://klasma.github.io/Logging_2284/klagomålsmail/A 35043-2025 FSC-klagomål mail.docx", "A 35043-2025")</f>
        <v/>
      </c>
      <c r="X964">
        <f>HYPERLINK("https://klasma.github.io/Logging_2284/tillsyn/A 35043-2025 tillsynsbegäran.docx", "A 35043-2025")</f>
        <v/>
      </c>
      <c r="Y964">
        <f>HYPERLINK("https://klasma.github.io/Logging_2284/tillsynsmail/A 35043-2025 tillsynsbegäran mail.docx", "A 35043-2025")</f>
        <v/>
      </c>
    </row>
    <row r="965" ht="15" customHeight="1">
      <c r="A965" t="inlineStr">
        <is>
          <t>A 35190-2025</t>
        </is>
      </c>
      <c r="B965" s="1" t="n">
        <v>45853.34451388889</v>
      </c>
      <c r="C965" s="1" t="n">
        <v>46185</v>
      </c>
      <c r="D965" t="inlineStr">
        <is>
          <t>VÄSTERNORRLANDS LÄN</t>
        </is>
      </c>
      <c r="E965" t="inlineStr">
        <is>
          <t>TIMRÅ</t>
        </is>
      </c>
      <c r="G965" t="n">
        <v>2.6</v>
      </c>
      <c r="H965" t="n">
        <v>1</v>
      </c>
      <c r="I965" t="n">
        <v>0</v>
      </c>
      <c r="J965" t="n">
        <v>0</v>
      </c>
      <c r="K965" t="n">
        <v>0</v>
      </c>
      <c r="L965" t="n">
        <v>0</v>
      </c>
      <c r="M965" t="n">
        <v>0</v>
      </c>
      <c r="N965" t="n">
        <v>0</v>
      </c>
      <c r="O965" t="n">
        <v>0</v>
      </c>
      <c r="P965" t="n">
        <v>0</v>
      </c>
      <c r="Q965" t="n">
        <v>1</v>
      </c>
      <c r="R965" s="2" t="inlineStr">
        <is>
          <t>Revlummer</t>
        </is>
      </c>
      <c r="S965">
        <f>HYPERLINK("https://klasma.github.io/Logging_2262/artfynd/A 35190-2025 artfynd.xlsx", "A 35190-2025")</f>
        <v/>
      </c>
      <c r="T965">
        <f>HYPERLINK("https://klasma.github.io/Logging_2262/kartor/A 35190-2025 karta.png", "A 35190-2025")</f>
        <v/>
      </c>
      <c r="V965">
        <f>HYPERLINK("https://klasma.github.io/Logging_2262/klagomål/A 35190-2025 FSC-klagomål.docx", "A 35190-2025")</f>
        <v/>
      </c>
      <c r="W965">
        <f>HYPERLINK("https://klasma.github.io/Logging_2262/klagomålsmail/A 35190-2025 FSC-klagomål mail.docx", "A 35190-2025")</f>
        <v/>
      </c>
      <c r="X965">
        <f>HYPERLINK("https://klasma.github.io/Logging_2262/tillsyn/A 35190-2025 tillsynsbegäran.docx", "A 35190-2025")</f>
        <v/>
      </c>
      <c r="Y965">
        <f>HYPERLINK("https://klasma.github.io/Logging_2262/tillsynsmail/A 35190-2025 tillsynsbegäran mail.docx", "A 35190-2025")</f>
        <v/>
      </c>
    </row>
    <row r="966" ht="15" customHeight="1">
      <c r="A966" t="inlineStr">
        <is>
          <t>A 35217-2025</t>
        </is>
      </c>
      <c r="B966" s="1" t="n">
        <v>45853.49020833334</v>
      </c>
      <c r="C966" s="1" t="n">
        <v>46185</v>
      </c>
      <c r="D966" t="inlineStr">
        <is>
          <t>VÄSTERNORRLANDS LÄN</t>
        </is>
      </c>
      <c r="E966" t="inlineStr">
        <is>
          <t>SOLLEFTEÅ</t>
        </is>
      </c>
      <c r="F966" t="inlineStr">
        <is>
          <t>SCA</t>
        </is>
      </c>
      <c r="G966" t="n">
        <v>2.1</v>
      </c>
      <c r="H966" t="n">
        <v>1</v>
      </c>
      <c r="I966" t="n">
        <v>0</v>
      </c>
      <c r="J966" t="n">
        <v>0</v>
      </c>
      <c r="K966" t="n">
        <v>0</v>
      </c>
      <c r="L966" t="n">
        <v>0</v>
      </c>
      <c r="M966" t="n">
        <v>0</v>
      </c>
      <c r="N966" t="n">
        <v>0</v>
      </c>
      <c r="O966" t="n">
        <v>0</v>
      </c>
      <c r="P966" t="n">
        <v>0</v>
      </c>
      <c r="Q966" t="n">
        <v>1</v>
      </c>
      <c r="R966" s="2" t="inlineStr">
        <is>
          <t>Mattlummer</t>
        </is>
      </c>
      <c r="S966">
        <f>HYPERLINK("https://klasma.github.io/Logging_2283/artfynd/A 35217-2025 artfynd.xlsx", "A 35217-2025")</f>
        <v/>
      </c>
      <c r="T966">
        <f>HYPERLINK("https://klasma.github.io/Logging_2283/kartor/A 35217-2025 karta.png", "A 35217-2025")</f>
        <v/>
      </c>
      <c r="V966">
        <f>HYPERLINK("https://klasma.github.io/Logging_2283/klagomål/A 35217-2025 FSC-klagomål.docx", "A 35217-2025")</f>
        <v/>
      </c>
      <c r="W966">
        <f>HYPERLINK("https://klasma.github.io/Logging_2283/klagomålsmail/A 35217-2025 FSC-klagomål mail.docx", "A 35217-2025")</f>
        <v/>
      </c>
      <c r="X966">
        <f>HYPERLINK("https://klasma.github.io/Logging_2283/tillsyn/A 35217-2025 tillsynsbegäran.docx", "A 35217-2025")</f>
        <v/>
      </c>
      <c r="Y966">
        <f>HYPERLINK("https://klasma.github.io/Logging_2283/tillsynsmail/A 35217-2025 tillsynsbegäran mail.docx", "A 35217-2025")</f>
        <v/>
      </c>
    </row>
    <row r="967" ht="15" customHeight="1">
      <c r="A967" t="inlineStr">
        <is>
          <t>A 46094-2025</t>
        </is>
      </c>
      <c r="B967" s="1" t="n">
        <v>45924</v>
      </c>
      <c r="C967" s="1" t="n">
        <v>46185</v>
      </c>
      <c r="D967" t="inlineStr">
        <is>
          <t>VÄSTERNORRLANDS LÄN</t>
        </is>
      </c>
      <c r="E967" t="inlineStr">
        <is>
          <t>ÅNGE</t>
        </is>
      </c>
      <c r="F967" t="inlineStr">
        <is>
          <t>SCA</t>
        </is>
      </c>
      <c r="G967" t="n">
        <v>1.1</v>
      </c>
      <c r="H967" t="n">
        <v>1</v>
      </c>
      <c r="I967" t="n">
        <v>0</v>
      </c>
      <c r="J967" t="n">
        <v>1</v>
      </c>
      <c r="K967" t="n">
        <v>0</v>
      </c>
      <c r="L967" t="n">
        <v>0</v>
      </c>
      <c r="M967" t="n">
        <v>0</v>
      </c>
      <c r="N967" t="n">
        <v>0</v>
      </c>
      <c r="O967" t="n">
        <v>1</v>
      </c>
      <c r="P967" t="n">
        <v>0</v>
      </c>
      <c r="Q967" t="n">
        <v>1</v>
      </c>
      <c r="R967" s="2" t="inlineStr">
        <is>
          <t>Utter</t>
        </is>
      </c>
      <c r="S967">
        <f>HYPERLINK("https://klasma.github.io/Logging_2260/artfynd/A 46094-2025 artfynd.xlsx", "A 46094-2025")</f>
        <v/>
      </c>
      <c r="T967">
        <f>HYPERLINK("https://klasma.github.io/Logging_2260/kartor/A 46094-2025 karta.png", "A 46094-2025")</f>
        <v/>
      </c>
      <c r="V967">
        <f>HYPERLINK("https://klasma.github.io/Logging_2260/klagomål/A 46094-2025 FSC-klagomål.docx", "A 46094-2025")</f>
        <v/>
      </c>
      <c r="W967">
        <f>HYPERLINK("https://klasma.github.io/Logging_2260/klagomålsmail/A 46094-2025 FSC-klagomål mail.docx", "A 46094-2025")</f>
        <v/>
      </c>
      <c r="X967">
        <f>HYPERLINK("https://klasma.github.io/Logging_2260/tillsyn/A 46094-2025 tillsynsbegäran.docx", "A 46094-2025")</f>
        <v/>
      </c>
      <c r="Y967">
        <f>HYPERLINK("https://klasma.github.io/Logging_2260/tillsynsmail/A 46094-2025 tillsynsbegäran mail.docx", "A 46094-2025")</f>
        <v/>
      </c>
    </row>
    <row r="968" ht="15" customHeight="1">
      <c r="A968" t="inlineStr">
        <is>
          <t>A 46634-2025</t>
        </is>
      </c>
      <c r="B968" s="1" t="n">
        <v>45926.46204861111</v>
      </c>
      <c r="C968" s="1" t="n">
        <v>46185</v>
      </c>
      <c r="D968" t="inlineStr">
        <is>
          <t>VÄSTERNORRLANDS LÄN</t>
        </is>
      </c>
      <c r="E968" t="inlineStr">
        <is>
          <t>ÖRNSKÖLDSVIK</t>
        </is>
      </c>
      <c r="F968" t="inlineStr">
        <is>
          <t>Holmen skog AB</t>
        </is>
      </c>
      <c r="G968" t="n">
        <v>2.8</v>
      </c>
      <c r="H968" t="n">
        <v>0</v>
      </c>
      <c r="I968" t="n">
        <v>1</v>
      </c>
      <c r="J968" t="n">
        <v>0</v>
      </c>
      <c r="K968" t="n">
        <v>0</v>
      </c>
      <c r="L968" t="n">
        <v>0</v>
      </c>
      <c r="M968" t="n">
        <v>0</v>
      </c>
      <c r="N968" t="n">
        <v>0</v>
      </c>
      <c r="O968" t="n">
        <v>0</v>
      </c>
      <c r="P968" t="n">
        <v>0</v>
      </c>
      <c r="Q968" t="n">
        <v>1</v>
      </c>
      <c r="R968" s="2" t="inlineStr">
        <is>
          <t>Dropptaggsvamp</t>
        </is>
      </c>
      <c r="S968">
        <f>HYPERLINK("https://klasma.github.io/Logging_2284/artfynd/A 46634-2025 artfynd.xlsx", "A 46634-2025")</f>
        <v/>
      </c>
      <c r="T968">
        <f>HYPERLINK("https://klasma.github.io/Logging_2284/kartor/A 46634-2025 karta.png", "A 46634-2025")</f>
        <v/>
      </c>
      <c r="V968">
        <f>HYPERLINK("https://klasma.github.io/Logging_2284/klagomål/A 46634-2025 FSC-klagomål.docx", "A 46634-2025")</f>
        <v/>
      </c>
      <c r="W968">
        <f>HYPERLINK("https://klasma.github.io/Logging_2284/klagomålsmail/A 46634-2025 FSC-klagomål mail.docx", "A 46634-2025")</f>
        <v/>
      </c>
      <c r="X968">
        <f>HYPERLINK("https://klasma.github.io/Logging_2284/tillsyn/A 46634-2025 tillsynsbegäran.docx", "A 46634-2025")</f>
        <v/>
      </c>
      <c r="Y968">
        <f>HYPERLINK("https://klasma.github.io/Logging_2284/tillsynsmail/A 46634-2025 tillsynsbegäran mail.docx", "A 46634-2025")</f>
        <v/>
      </c>
    </row>
    <row r="969" ht="15" customHeight="1">
      <c r="A969" t="inlineStr">
        <is>
          <t>A 42961-2024</t>
        </is>
      </c>
      <c r="B969" s="1" t="n">
        <v>45567</v>
      </c>
      <c r="C969" s="1" t="n">
        <v>46185</v>
      </c>
      <c r="D969" t="inlineStr">
        <is>
          <t>VÄSTERNORRLANDS LÄN</t>
        </is>
      </c>
      <c r="E969" t="inlineStr">
        <is>
          <t>HÄRNÖSAND</t>
        </is>
      </c>
      <c r="F969" t="inlineStr">
        <is>
          <t>SCA</t>
        </is>
      </c>
      <c r="G969" t="n">
        <v>11.6</v>
      </c>
      <c r="H969" t="n">
        <v>0</v>
      </c>
      <c r="I969" t="n">
        <v>0</v>
      </c>
      <c r="J969" t="n">
        <v>1</v>
      </c>
      <c r="K969" t="n">
        <v>0</v>
      </c>
      <c r="L969" t="n">
        <v>0</v>
      </c>
      <c r="M969" t="n">
        <v>0</v>
      </c>
      <c r="N969" t="n">
        <v>0</v>
      </c>
      <c r="O969" t="n">
        <v>1</v>
      </c>
      <c r="P969" t="n">
        <v>0</v>
      </c>
      <c r="Q969" t="n">
        <v>1</v>
      </c>
      <c r="R969" s="2" t="inlineStr">
        <is>
          <t>Garnlav</t>
        </is>
      </c>
      <c r="S969">
        <f>HYPERLINK("https://klasma.github.io/Logging_2280/artfynd/A 42961-2024 artfynd.xlsx", "A 42961-2024")</f>
        <v/>
      </c>
      <c r="T969">
        <f>HYPERLINK("https://klasma.github.io/Logging_2280/kartor/A 42961-2024 karta.png", "A 42961-2024")</f>
        <v/>
      </c>
      <c r="V969">
        <f>HYPERLINK("https://klasma.github.io/Logging_2280/klagomål/A 42961-2024 FSC-klagomål.docx", "A 42961-2024")</f>
        <v/>
      </c>
      <c r="W969">
        <f>HYPERLINK("https://klasma.github.io/Logging_2280/klagomålsmail/A 42961-2024 FSC-klagomål mail.docx", "A 42961-2024")</f>
        <v/>
      </c>
      <c r="X969">
        <f>HYPERLINK("https://klasma.github.io/Logging_2280/tillsyn/A 42961-2024 tillsynsbegäran.docx", "A 42961-2024")</f>
        <v/>
      </c>
      <c r="Y969">
        <f>HYPERLINK("https://klasma.github.io/Logging_2280/tillsynsmail/A 42961-2024 tillsynsbegäran mail.docx", "A 42961-2024")</f>
        <v/>
      </c>
    </row>
    <row r="970" ht="15" customHeight="1">
      <c r="A970" t="inlineStr">
        <is>
          <t>A 35648-2025</t>
        </is>
      </c>
      <c r="B970" s="1" t="n">
        <v>45859.51670138889</v>
      </c>
      <c r="C970" s="1" t="n">
        <v>46185</v>
      </c>
      <c r="D970" t="inlineStr">
        <is>
          <t>VÄSTERNORRLANDS LÄN</t>
        </is>
      </c>
      <c r="E970" t="inlineStr">
        <is>
          <t>ÅNGE</t>
        </is>
      </c>
      <c r="F970" t="inlineStr">
        <is>
          <t>Sveaskog</t>
        </is>
      </c>
      <c r="G970" t="n">
        <v>9.1</v>
      </c>
      <c r="H970" t="n">
        <v>0</v>
      </c>
      <c r="I970" t="n">
        <v>0</v>
      </c>
      <c r="J970" t="n">
        <v>1</v>
      </c>
      <c r="K970" t="n">
        <v>0</v>
      </c>
      <c r="L970" t="n">
        <v>0</v>
      </c>
      <c r="M970" t="n">
        <v>0</v>
      </c>
      <c r="N970" t="n">
        <v>0</v>
      </c>
      <c r="O970" t="n">
        <v>1</v>
      </c>
      <c r="P970" t="n">
        <v>0</v>
      </c>
      <c r="Q970" t="n">
        <v>1</v>
      </c>
      <c r="R970" s="2" t="inlineStr">
        <is>
          <t>Lunglav</t>
        </is>
      </c>
      <c r="S970">
        <f>HYPERLINK("https://klasma.github.io/Logging_2260/artfynd/A 35648-2025 artfynd.xlsx", "A 35648-2025")</f>
        <v/>
      </c>
      <c r="T970">
        <f>HYPERLINK("https://klasma.github.io/Logging_2260/kartor/A 35648-2025 karta.png", "A 35648-2025")</f>
        <v/>
      </c>
      <c r="V970">
        <f>HYPERLINK("https://klasma.github.io/Logging_2260/klagomål/A 35648-2025 FSC-klagomål.docx", "A 35648-2025")</f>
        <v/>
      </c>
      <c r="W970">
        <f>HYPERLINK("https://klasma.github.io/Logging_2260/klagomålsmail/A 35648-2025 FSC-klagomål mail.docx", "A 35648-2025")</f>
        <v/>
      </c>
      <c r="X970">
        <f>HYPERLINK("https://klasma.github.io/Logging_2260/tillsyn/A 35648-2025 tillsynsbegäran.docx", "A 35648-2025")</f>
        <v/>
      </c>
      <c r="Y970">
        <f>HYPERLINK("https://klasma.github.io/Logging_2260/tillsynsmail/A 35648-2025 tillsynsbegäran mail.docx", "A 35648-2025")</f>
        <v/>
      </c>
    </row>
    <row r="971" ht="15" customHeight="1">
      <c r="A971" t="inlineStr">
        <is>
          <t>A 46253-2025</t>
        </is>
      </c>
      <c r="B971" s="1" t="n">
        <v>45925</v>
      </c>
      <c r="C971" s="1" t="n">
        <v>46185</v>
      </c>
      <c r="D971" t="inlineStr">
        <is>
          <t>VÄSTERNORRLANDS LÄN</t>
        </is>
      </c>
      <c r="E971" t="inlineStr">
        <is>
          <t>SUNDSVALL</t>
        </is>
      </c>
      <c r="F971" t="inlineStr">
        <is>
          <t>Naturvårdsverket</t>
        </is>
      </c>
      <c r="G971" t="n">
        <v>19.4</v>
      </c>
      <c r="H971" t="n">
        <v>1</v>
      </c>
      <c r="I971" t="n">
        <v>0</v>
      </c>
      <c r="J971" t="n">
        <v>1</v>
      </c>
      <c r="K971" t="n">
        <v>0</v>
      </c>
      <c r="L971" t="n">
        <v>0</v>
      </c>
      <c r="M971" t="n">
        <v>0</v>
      </c>
      <c r="N971" t="n">
        <v>0</v>
      </c>
      <c r="O971" t="n">
        <v>1</v>
      </c>
      <c r="P971" t="n">
        <v>0</v>
      </c>
      <c r="Q971" t="n">
        <v>1</v>
      </c>
      <c r="R971" s="2" t="inlineStr">
        <is>
          <t>Tretåig hackspett</t>
        </is>
      </c>
      <c r="S971">
        <f>HYPERLINK("https://klasma.github.io/Logging_2281/artfynd/A 46253-2025 artfynd.xlsx", "A 46253-2025")</f>
        <v/>
      </c>
      <c r="T971">
        <f>HYPERLINK("https://klasma.github.io/Logging_2281/kartor/A 46253-2025 karta.png", "A 46253-2025")</f>
        <v/>
      </c>
      <c r="V971">
        <f>HYPERLINK("https://klasma.github.io/Logging_2281/klagomål/A 46253-2025 FSC-klagomål.docx", "A 46253-2025")</f>
        <v/>
      </c>
      <c r="W971">
        <f>HYPERLINK("https://klasma.github.io/Logging_2281/klagomålsmail/A 46253-2025 FSC-klagomål mail.docx", "A 46253-2025")</f>
        <v/>
      </c>
      <c r="X971">
        <f>HYPERLINK("https://klasma.github.io/Logging_2281/tillsyn/A 46253-2025 tillsynsbegäran.docx", "A 46253-2025")</f>
        <v/>
      </c>
      <c r="Y971">
        <f>HYPERLINK("https://klasma.github.io/Logging_2281/tillsynsmail/A 46253-2025 tillsynsbegäran mail.docx", "A 46253-2025")</f>
        <v/>
      </c>
      <c r="Z971">
        <f>HYPERLINK("https://klasma.github.io/Logging_2281/fåglar/A 46253-2025 prioriterade fågelarter.docx", "A 46253-2025")</f>
        <v/>
      </c>
    </row>
    <row r="972" ht="15" customHeight="1">
      <c r="A972" t="inlineStr">
        <is>
          <t>A 14805-2024</t>
        </is>
      </c>
      <c r="B972" s="1" t="n">
        <v>45397</v>
      </c>
      <c r="C972" s="1" t="n">
        <v>46185</v>
      </c>
      <c r="D972" t="inlineStr">
        <is>
          <t>VÄSTERNORRLANDS LÄN</t>
        </is>
      </c>
      <c r="E972" t="inlineStr">
        <is>
          <t>SOLLEFTEÅ</t>
        </is>
      </c>
      <c r="F972" t="inlineStr">
        <is>
          <t>SCA</t>
        </is>
      </c>
      <c r="G972" t="n">
        <v>3.5</v>
      </c>
      <c r="H972" t="n">
        <v>0</v>
      </c>
      <c r="I972" t="n">
        <v>0</v>
      </c>
      <c r="J972" t="n">
        <v>1</v>
      </c>
      <c r="K972" t="n">
        <v>0</v>
      </c>
      <c r="L972" t="n">
        <v>0</v>
      </c>
      <c r="M972" t="n">
        <v>0</v>
      </c>
      <c r="N972" t="n">
        <v>0</v>
      </c>
      <c r="O972" t="n">
        <v>1</v>
      </c>
      <c r="P972" t="n">
        <v>0</v>
      </c>
      <c r="Q972" t="n">
        <v>1</v>
      </c>
      <c r="R972" s="2" t="inlineStr">
        <is>
          <t>Dvärgbägarlav</t>
        </is>
      </c>
      <c r="S972">
        <f>HYPERLINK("https://klasma.github.io/Logging_2283/artfynd/A 14805-2024 artfynd.xlsx", "A 14805-2024")</f>
        <v/>
      </c>
      <c r="T972">
        <f>HYPERLINK("https://klasma.github.io/Logging_2283/kartor/A 14805-2024 karta.png", "A 14805-2024")</f>
        <v/>
      </c>
      <c r="V972">
        <f>HYPERLINK("https://klasma.github.io/Logging_2283/klagomål/A 14805-2024 FSC-klagomål.docx", "A 14805-2024")</f>
        <v/>
      </c>
      <c r="W972">
        <f>HYPERLINK("https://klasma.github.io/Logging_2283/klagomålsmail/A 14805-2024 FSC-klagomål mail.docx", "A 14805-2024")</f>
        <v/>
      </c>
      <c r="X972">
        <f>HYPERLINK("https://klasma.github.io/Logging_2283/tillsyn/A 14805-2024 tillsynsbegäran.docx", "A 14805-2024")</f>
        <v/>
      </c>
      <c r="Y972">
        <f>HYPERLINK("https://klasma.github.io/Logging_2283/tillsynsmail/A 14805-2024 tillsynsbegäran mail.docx", "A 14805-2024")</f>
        <v/>
      </c>
    </row>
    <row r="973" ht="15" customHeight="1">
      <c r="A973" t="inlineStr">
        <is>
          <t>A 46898-2025</t>
        </is>
      </c>
      <c r="B973" s="1" t="n">
        <v>45929.38613425926</v>
      </c>
      <c r="C973" s="1" t="n">
        <v>46185</v>
      </c>
      <c r="D973" t="inlineStr">
        <is>
          <t>VÄSTERNORRLANDS LÄN</t>
        </is>
      </c>
      <c r="E973" t="inlineStr">
        <is>
          <t>SOLLEFTEÅ</t>
        </is>
      </c>
      <c r="F973" t="inlineStr">
        <is>
          <t>SCA</t>
        </is>
      </c>
      <c r="G973" t="n">
        <v>5.7</v>
      </c>
      <c r="H973" t="n">
        <v>1</v>
      </c>
      <c r="I973" t="n">
        <v>0</v>
      </c>
      <c r="J973" t="n">
        <v>1</v>
      </c>
      <c r="K973" t="n">
        <v>0</v>
      </c>
      <c r="L973" t="n">
        <v>0</v>
      </c>
      <c r="M973" t="n">
        <v>0</v>
      </c>
      <c r="N973" t="n">
        <v>0</v>
      </c>
      <c r="O973" t="n">
        <v>1</v>
      </c>
      <c r="P973" t="n">
        <v>0</v>
      </c>
      <c r="Q973" t="n">
        <v>1</v>
      </c>
      <c r="R973" s="2" t="inlineStr">
        <is>
          <t>Talltita</t>
        </is>
      </c>
      <c r="S973">
        <f>HYPERLINK("https://klasma.github.io/Logging_2283/artfynd/A 46898-2025 artfynd.xlsx", "A 46898-2025")</f>
        <v/>
      </c>
      <c r="T973">
        <f>HYPERLINK("https://klasma.github.io/Logging_2283/kartor/A 46898-2025 karta.png", "A 46898-2025")</f>
        <v/>
      </c>
      <c r="V973">
        <f>HYPERLINK("https://klasma.github.io/Logging_2283/klagomål/A 46898-2025 FSC-klagomål.docx", "A 46898-2025")</f>
        <v/>
      </c>
      <c r="W973">
        <f>HYPERLINK("https://klasma.github.io/Logging_2283/klagomålsmail/A 46898-2025 FSC-klagomål mail.docx", "A 46898-2025")</f>
        <v/>
      </c>
      <c r="X973">
        <f>HYPERLINK("https://klasma.github.io/Logging_2283/tillsyn/A 46898-2025 tillsynsbegäran.docx", "A 46898-2025")</f>
        <v/>
      </c>
      <c r="Y973">
        <f>HYPERLINK("https://klasma.github.io/Logging_2283/tillsynsmail/A 46898-2025 tillsynsbegäran mail.docx", "A 46898-2025")</f>
        <v/>
      </c>
      <c r="Z973">
        <f>HYPERLINK("https://klasma.github.io/Logging_2283/fåglar/A 46898-2025 prioriterade fågelarter.docx", "A 46898-2025")</f>
        <v/>
      </c>
    </row>
    <row r="974" ht="15" customHeight="1">
      <c r="A974" t="inlineStr">
        <is>
          <t>A 46829-2025</t>
        </is>
      </c>
      <c r="B974" s="1" t="n">
        <v>45927.34513888889</v>
      </c>
      <c r="C974" s="1" t="n">
        <v>46185</v>
      </c>
      <c r="D974" t="inlineStr">
        <is>
          <t>VÄSTERNORRLANDS LÄN</t>
        </is>
      </c>
      <c r="E974" t="inlineStr">
        <is>
          <t>ÅNGE</t>
        </is>
      </c>
      <c r="F974" t="inlineStr">
        <is>
          <t>SCA</t>
        </is>
      </c>
      <c r="G974" t="n">
        <v>3.1</v>
      </c>
      <c r="H974" t="n">
        <v>1</v>
      </c>
      <c r="I974" t="n">
        <v>0</v>
      </c>
      <c r="J974" t="n">
        <v>0</v>
      </c>
      <c r="K974" t="n">
        <v>1</v>
      </c>
      <c r="L974" t="n">
        <v>0</v>
      </c>
      <c r="M974" t="n">
        <v>0</v>
      </c>
      <c r="N974" t="n">
        <v>0</v>
      </c>
      <c r="O974" t="n">
        <v>1</v>
      </c>
      <c r="P974" t="n">
        <v>1</v>
      </c>
      <c r="Q974" t="n">
        <v>1</v>
      </c>
      <c r="R974" s="2" t="inlineStr">
        <is>
          <t>Kricka</t>
        </is>
      </c>
      <c r="S974">
        <f>HYPERLINK("https://klasma.github.io/Logging_2260/artfynd/A 46829-2025 artfynd.xlsx", "A 46829-2025")</f>
        <v/>
      </c>
      <c r="T974">
        <f>HYPERLINK("https://klasma.github.io/Logging_2260/kartor/A 46829-2025 karta.png", "A 46829-2025")</f>
        <v/>
      </c>
      <c r="V974">
        <f>HYPERLINK("https://klasma.github.io/Logging_2260/klagomål/A 46829-2025 FSC-klagomål.docx", "A 46829-2025")</f>
        <v/>
      </c>
      <c r="W974">
        <f>HYPERLINK("https://klasma.github.io/Logging_2260/klagomålsmail/A 46829-2025 FSC-klagomål mail.docx", "A 46829-2025")</f>
        <v/>
      </c>
      <c r="X974">
        <f>HYPERLINK("https://klasma.github.io/Logging_2260/tillsyn/A 46829-2025 tillsynsbegäran.docx", "A 46829-2025")</f>
        <v/>
      </c>
      <c r="Y974">
        <f>HYPERLINK("https://klasma.github.io/Logging_2260/tillsynsmail/A 46829-2025 tillsynsbegäran mail.docx", "A 46829-2025")</f>
        <v/>
      </c>
      <c r="Z974">
        <f>HYPERLINK("https://klasma.github.io/Logging_2260/fåglar/A 46829-2025 prioriterade fågelarter.docx", "A 46829-2025")</f>
        <v/>
      </c>
    </row>
    <row r="975" ht="15" customHeight="1">
      <c r="A975" t="inlineStr">
        <is>
          <t>A 47487-2025</t>
        </is>
      </c>
      <c r="B975" s="1" t="n">
        <v>45930.69878472222</v>
      </c>
      <c r="C975" s="1" t="n">
        <v>46185</v>
      </c>
      <c r="D975" t="inlineStr">
        <is>
          <t>VÄSTERNORRLANDS LÄN</t>
        </is>
      </c>
      <c r="E975" t="inlineStr">
        <is>
          <t>HÄRNÖSAND</t>
        </is>
      </c>
      <c r="F975" t="inlineStr">
        <is>
          <t>SCA</t>
        </is>
      </c>
      <c r="G975" t="n">
        <v>1.3</v>
      </c>
      <c r="H975" t="n">
        <v>1</v>
      </c>
      <c r="I975" t="n">
        <v>0</v>
      </c>
      <c r="J975" t="n">
        <v>0</v>
      </c>
      <c r="K975" t="n">
        <v>0</v>
      </c>
      <c r="L975" t="n">
        <v>0</v>
      </c>
      <c r="M975" t="n">
        <v>0</v>
      </c>
      <c r="N975" t="n">
        <v>0</v>
      </c>
      <c r="O975" t="n">
        <v>0</v>
      </c>
      <c r="P975" t="n">
        <v>0</v>
      </c>
      <c r="Q975" t="n">
        <v>1</v>
      </c>
      <c r="R975" s="2" t="inlineStr">
        <is>
          <t>Tjäder</t>
        </is>
      </c>
      <c r="S975">
        <f>HYPERLINK("https://klasma.github.io/Logging_2280/artfynd/A 47487-2025 artfynd.xlsx", "A 47487-2025")</f>
        <v/>
      </c>
      <c r="T975">
        <f>HYPERLINK("https://klasma.github.io/Logging_2280/kartor/A 47487-2025 karta.png", "A 47487-2025")</f>
        <v/>
      </c>
      <c r="V975">
        <f>HYPERLINK("https://klasma.github.io/Logging_2280/klagomål/A 47487-2025 FSC-klagomål.docx", "A 47487-2025")</f>
        <v/>
      </c>
      <c r="W975">
        <f>HYPERLINK("https://klasma.github.io/Logging_2280/klagomålsmail/A 47487-2025 FSC-klagomål mail.docx", "A 47487-2025")</f>
        <v/>
      </c>
      <c r="X975">
        <f>HYPERLINK("https://klasma.github.io/Logging_2280/tillsyn/A 47487-2025 tillsynsbegäran.docx", "A 47487-2025")</f>
        <v/>
      </c>
      <c r="Y975">
        <f>HYPERLINK("https://klasma.github.io/Logging_2280/tillsynsmail/A 47487-2025 tillsynsbegäran mail.docx", "A 47487-2025")</f>
        <v/>
      </c>
      <c r="Z975">
        <f>HYPERLINK("https://klasma.github.io/Logging_2280/fåglar/A 47487-2025 prioriterade fågelarter.docx", "A 47487-2025")</f>
        <v/>
      </c>
    </row>
    <row r="976" ht="15" customHeight="1">
      <c r="A976" t="inlineStr">
        <is>
          <t>A 36432-2025</t>
        </is>
      </c>
      <c r="B976" s="1" t="n">
        <v>45869.36505787037</v>
      </c>
      <c r="C976" s="1" t="n">
        <v>46185</v>
      </c>
      <c r="D976" t="inlineStr">
        <is>
          <t>VÄSTERNORRLANDS LÄN</t>
        </is>
      </c>
      <c r="E976" t="inlineStr">
        <is>
          <t>SOLLEFTEÅ</t>
        </is>
      </c>
      <c r="F976" t="inlineStr">
        <is>
          <t>SCA</t>
        </is>
      </c>
      <c r="G976" t="n">
        <v>4.1</v>
      </c>
      <c r="H976" t="n">
        <v>0</v>
      </c>
      <c r="I976" t="n">
        <v>0</v>
      </c>
      <c r="J976" t="n">
        <v>1</v>
      </c>
      <c r="K976" t="n">
        <v>0</v>
      </c>
      <c r="L976" t="n">
        <v>0</v>
      </c>
      <c r="M976" t="n">
        <v>0</v>
      </c>
      <c r="N976" t="n">
        <v>0</v>
      </c>
      <c r="O976" t="n">
        <v>1</v>
      </c>
      <c r="P976" t="n">
        <v>0</v>
      </c>
      <c r="Q976" t="n">
        <v>1</v>
      </c>
      <c r="R976" s="2" t="inlineStr">
        <is>
          <t>Garnlav</t>
        </is>
      </c>
      <c r="S976">
        <f>HYPERLINK("https://klasma.github.io/Logging_2283/artfynd/A 36432-2025 artfynd.xlsx", "A 36432-2025")</f>
        <v/>
      </c>
      <c r="T976">
        <f>HYPERLINK("https://klasma.github.io/Logging_2283/kartor/A 36432-2025 karta.png", "A 36432-2025")</f>
        <v/>
      </c>
      <c r="V976">
        <f>HYPERLINK("https://klasma.github.io/Logging_2283/klagomål/A 36432-2025 FSC-klagomål.docx", "A 36432-2025")</f>
        <v/>
      </c>
      <c r="W976">
        <f>HYPERLINK("https://klasma.github.io/Logging_2283/klagomålsmail/A 36432-2025 FSC-klagomål mail.docx", "A 36432-2025")</f>
        <v/>
      </c>
      <c r="X976">
        <f>HYPERLINK("https://klasma.github.io/Logging_2283/tillsyn/A 36432-2025 tillsynsbegäran.docx", "A 36432-2025")</f>
        <v/>
      </c>
      <c r="Y976">
        <f>HYPERLINK("https://klasma.github.io/Logging_2283/tillsynsmail/A 36432-2025 tillsynsbegäran mail.docx", "A 36432-2025")</f>
        <v/>
      </c>
    </row>
    <row r="977" ht="15" customHeight="1">
      <c r="A977" t="inlineStr">
        <is>
          <t>A 47596-2025</t>
        </is>
      </c>
      <c r="B977" s="1" t="n">
        <v>45931.45355324074</v>
      </c>
      <c r="C977" s="1" t="n">
        <v>46185</v>
      </c>
      <c r="D977" t="inlineStr">
        <is>
          <t>VÄSTERNORRLANDS LÄN</t>
        </is>
      </c>
      <c r="E977" t="inlineStr">
        <is>
          <t>ÖRNSKÖLDSVIK</t>
        </is>
      </c>
      <c r="F977" t="inlineStr">
        <is>
          <t>Holmen skog AB</t>
        </is>
      </c>
      <c r="G977" t="n">
        <v>2.1</v>
      </c>
      <c r="H977" t="n">
        <v>0</v>
      </c>
      <c r="I977" t="n">
        <v>0</v>
      </c>
      <c r="J977" t="n">
        <v>1</v>
      </c>
      <c r="K977" t="n">
        <v>0</v>
      </c>
      <c r="L977" t="n">
        <v>0</v>
      </c>
      <c r="M977" t="n">
        <v>0</v>
      </c>
      <c r="N977" t="n">
        <v>0</v>
      </c>
      <c r="O977" t="n">
        <v>1</v>
      </c>
      <c r="P977" t="n">
        <v>0</v>
      </c>
      <c r="Q977" t="n">
        <v>1</v>
      </c>
      <c r="R977" s="2" t="inlineStr">
        <is>
          <t>Lunglav</t>
        </is>
      </c>
      <c r="S977">
        <f>HYPERLINK("https://klasma.github.io/Logging_2284/artfynd/A 47596-2025 artfynd.xlsx", "A 47596-2025")</f>
        <v/>
      </c>
      <c r="T977">
        <f>HYPERLINK("https://klasma.github.io/Logging_2284/kartor/A 47596-2025 karta.png", "A 47596-2025")</f>
        <v/>
      </c>
      <c r="V977">
        <f>HYPERLINK("https://klasma.github.io/Logging_2284/klagomål/A 47596-2025 FSC-klagomål.docx", "A 47596-2025")</f>
        <v/>
      </c>
      <c r="W977">
        <f>HYPERLINK("https://klasma.github.io/Logging_2284/klagomålsmail/A 47596-2025 FSC-klagomål mail.docx", "A 47596-2025")</f>
        <v/>
      </c>
      <c r="X977">
        <f>HYPERLINK("https://klasma.github.io/Logging_2284/tillsyn/A 47596-2025 tillsynsbegäran.docx", "A 47596-2025")</f>
        <v/>
      </c>
      <c r="Y977">
        <f>HYPERLINK("https://klasma.github.io/Logging_2284/tillsynsmail/A 47596-2025 tillsynsbegäran mail.docx", "A 47596-2025")</f>
        <v/>
      </c>
    </row>
    <row r="978" ht="15" customHeight="1">
      <c r="A978" t="inlineStr">
        <is>
          <t>A 41118-2025</t>
        </is>
      </c>
      <c r="B978" s="1" t="n">
        <v>45898</v>
      </c>
      <c r="C978" s="1" t="n">
        <v>46185</v>
      </c>
      <c r="D978" t="inlineStr">
        <is>
          <t>VÄSTERNORRLANDS LÄN</t>
        </is>
      </c>
      <c r="E978" t="inlineStr">
        <is>
          <t>SUNDSVALL</t>
        </is>
      </c>
      <c r="G978" t="n">
        <v>3.4</v>
      </c>
      <c r="H978" t="n">
        <v>1</v>
      </c>
      <c r="I978" t="n">
        <v>0</v>
      </c>
      <c r="J978" t="n">
        <v>1</v>
      </c>
      <c r="K978" t="n">
        <v>0</v>
      </c>
      <c r="L978" t="n">
        <v>0</v>
      </c>
      <c r="M978" t="n">
        <v>0</v>
      </c>
      <c r="N978" t="n">
        <v>0</v>
      </c>
      <c r="O978" t="n">
        <v>1</v>
      </c>
      <c r="P978" t="n">
        <v>0</v>
      </c>
      <c r="Q978" t="n">
        <v>1</v>
      </c>
      <c r="R978" s="2" t="inlineStr">
        <is>
          <t>Tretåig hackspett</t>
        </is>
      </c>
      <c r="S978">
        <f>HYPERLINK("https://klasma.github.io/Logging_2281/artfynd/A 41118-2025 artfynd.xlsx", "A 41118-2025")</f>
        <v/>
      </c>
      <c r="T978">
        <f>HYPERLINK("https://klasma.github.io/Logging_2281/kartor/A 41118-2025 karta.png", "A 41118-2025")</f>
        <v/>
      </c>
      <c r="V978">
        <f>HYPERLINK("https://klasma.github.io/Logging_2281/klagomål/A 41118-2025 FSC-klagomål.docx", "A 41118-2025")</f>
        <v/>
      </c>
      <c r="W978">
        <f>HYPERLINK("https://klasma.github.io/Logging_2281/klagomålsmail/A 41118-2025 FSC-klagomål mail.docx", "A 41118-2025")</f>
        <v/>
      </c>
      <c r="X978">
        <f>HYPERLINK("https://klasma.github.io/Logging_2281/tillsyn/A 41118-2025 tillsynsbegäran.docx", "A 41118-2025")</f>
        <v/>
      </c>
      <c r="Y978">
        <f>HYPERLINK("https://klasma.github.io/Logging_2281/tillsynsmail/A 41118-2025 tillsynsbegäran mail.docx", "A 41118-2025")</f>
        <v/>
      </c>
      <c r="Z978">
        <f>HYPERLINK("https://klasma.github.io/Logging_2281/fåglar/A 41118-2025 prioriterade fågelarter.docx", "A 41118-2025")</f>
        <v/>
      </c>
    </row>
    <row r="979" ht="15" customHeight="1">
      <c r="A979" t="inlineStr">
        <is>
          <t>A 47583-2025</t>
        </is>
      </c>
      <c r="B979" s="1" t="n">
        <v>45931.42111111111</v>
      </c>
      <c r="C979" s="1" t="n">
        <v>46185</v>
      </c>
      <c r="D979" t="inlineStr">
        <is>
          <t>VÄSTERNORRLANDS LÄN</t>
        </is>
      </c>
      <c r="E979" t="inlineStr">
        <is>
          <t>ÖRNSKÖLDSVIK</t>
        </is>
      </c>
      <c r="F979" t="inlineStr">
        <is>
          <t>Holmen skog AB</t>
        </is>
      </c>
      <c r="G979" t="n">
        <v>4.3</v>
      </c>
      <c r="H979" t="n">
        <v>0</v>
      </c>
      <c r="I979" t="n">
        <v>0</v>
      </c>
      <c r="J979" t="n">
        <v>1</v>
      </c>
      <c r="K979" t="n">
        <v>0</v>
      </c>
      <c r="L979" t="n">
        <v>0</v>
      </c>
      <c r="M979" t="n">
        <v>0</v>
      </c>
      <c r="N979" t="n">
        <v>0</v>
      </c>
      <c r="O979" t="n">
        <v>1</v>
      </c>
      <c r="P979" t="n">
        <v>0</v>
      </c>
      <c r="Q979" t="n">
        <v>1</v>
      </c>
      <c r="R979" s="2" t="inlineStr">
        <is>
          <t>Kolflarnlav</t>
        </is>
      </c>
      <c r="S979">
        <f>HYPERLINK("https://klasma.github.io/Logging_2284/artfynd/A 47583-2025 artfynd.xlsx", "A 47583-2025")</f>
        <v/>
      </c>
      <c r="T979">
        <f>HYPERLINK("https://klasma.github.io/Logging_2284/kartor/A 47583-2025 karta.png", "A 47583-2025")</f>
        <v/>
      </c>
      <c r="V979">
        <f>HYPERLINK("https://klasma.github.io/Logging_2284/klagomål/A 47583-2025 FSC-klagomål.docx", "A 47583-2025")</f>
        <v/>
      </c>
      <c r="W979">
        <f>HYPERLINK("https://klasma.github.io/Logging_2284/klagomålsmail/A 47583-2025 FSC-klagomål mail.docx", "A 47583-2025")</f>
        <v/>
      </c>
      <c r="X979">
        <f>HYPERLINK("https://klasma.github.io/Logging_2284/tillsyn/A 47583-2025 tillsynsbegäran.docx", "A 47583-2025")</f>
        <v/>
      </c>
      <c r="Y979">
        <f>HYPERLINK("https://klasma.github.io/Logging_2284/tillsynsmail/A 47583-2025 tillsynsbegäran mail.docx", "A 47583-2025")</f>
        <v/>
      </c>
    </row>
    <row r="980" ht="15" customHeight="1">
      <c r="A980" t="inlineStr">
        <is>
          <t>A 40059-2023</t>
        </is>
      </c>
      <c r="B980" s="1" t="n">
        <v>45168</v>
      </c>
      <c r="C980" s="1" t="n">
        <v>46185</v>
      </c>
      <c r="D980" t="inlineStr">
        <is>
          <t>VÄSTERNORRLANDS LÄN</t>
        </is>
      </c>
      <c r="E980" t="inlineStr">
        <is>
          <t>ÖRNSKÖLDSVIK</t>
        </is>
      </c>
      <c r="F980" t="inlineStr">
        <is>
          <t>Holmen skog AB</t>
        </is>
      </c>
      <c r="G980" t="n">
        <v>1.6</v>
      </c>
      <c r="H980" t="n">
        <v>0</v>
      </c>
      <c r="I980" t="n">
        <v>0</v>
      </c>
      <c r="J980" t="n">
        <v>1</v>
      </c>
      <c r="K980" t="n">
        <v>0</v>
      </c>
      <c r="L980" t="n">
        <v>0</v>
      </c>
      <c r="M980" t="n">
        <v>0</v>
      </c>
      <c r="N980" t="n">
        <v>0</v>
      </c>
      <c r="O980" t="n">
        <v>1</v>
      </c>
      <c r="P980" t="n">
        <v>0</v>
      </c>
      <c r="Q980" t="n">
        <v>1</v>
      </c>
      <c r="R980" s="2" t="inlineStr">
        <is>
          <t>Ullticka</t>
        </is>
      </c>
      <c r="S980">
        <f>HYPERLINK("https://klasma.github.io/Logging_2284/artfynd/A 40059-2023 artfynd.xlsx", "A 40059-2023")</f>
        <v/>
      </c>
      <c r="T980">
        <f>HYPERLINK("https://klasma.github.io/Logging_2284/kartor/A 40059-2023 karta.png", "A 40059-2023")</f>
        <v/>
      </c>
      <c r="V980">
        <f>HYPERLINK("https://klasma.github.io/Logging_2284/klagomål/A 40059-2023 FSC-klagomål.docx", "A 40059-2023")</f>
        <v/>
      </c>
      <c r="W980">
        <f>HYPERLINK("https://klasma.github.io/Logging_2284/klagomålsmail/A 40059-2023 FSC-klagomål mail.docx", "A 40059-2023")</f>
        <v/>
      </c>
      <c r="X980">
        <f>HYPERLINK("https://klasma.github.io/Logging_2284/tillsyn/A 40059-2023 tillsynsbegäran.docx", "A 40059-2023")</f>
        <v/>
      </c>
      <c r="Y980">
        <f>HYPERLINK("https://klasma.github.io/Logging_2284/tillsynsmail/A 40059-2023 tillsynsbegäran mail.docx", "A 40059-2023")</f>
        <v/>
      </c>
    </row>
    <row r="981" ht="15" customHeight="1">
      <c r="A981" t="inlineStr">
        <is>
          <t>A 48526-2025</t>
        </is>
      </c>
      <c r="B981" s="1" t="n">
        <v>45936.40723379629</v>
      </c>
      <c r="C981" s="1" t="n">
        <v>46185</v>
      </c>
      <c r="D981" t="inlineStr">
        <is>
          <t>VÄSTERNORRLANDS LÄN</t>
        </is>
      </c>
      <c r="E981" t="inlineStr">
        <is>
          <t>SOLLEFTEÅ</t>
        </is>
      </c>
      <c r="F981" t="inlineStr">
        <is>
          <t>SCA</t>
        </is>
      </c>
      <c r="G981" t="n">
        <v>6.9</v>
      </c>
      <c r="H981" t="n">
        <v>1</v>
      </c>
      <c r="I981" t="n">
        <v>0</v>
      </c>
      <c r="J981" t="n">
        <v>0</v>
      </c>
      <c r="K981" t="n">
        <v>0</v>
      </c>
      <c r="L981" t="n">
        <v>0</v>
      </c>
      <c r="M981" t="n">
        <v>0</v>
      </c>
      <c r="N981" t="n">
        <v>0</v>
      </c>
      <c r="O981" t="n">
        <v>0</v>
      </c>
      <c r="P981" t="n">
        <v>0</v>
      </c>
      <c r="Q981" t="n">
        <v>1</v>
      </c>
      <c r="R981" s="2" t="inlineStr">
        <is>
          <t>Revlummer</t>
        </is>
      </c>
      <c r="S981">
        <f>HYPERLINK("https://klasma.github.io/Logging_2283/artfynd/A 48526-2025 artfynd.xlsx", "A 48526-2025")</f>
        <v/>
      </c>
      <c r="T981">
        <f>HYPERLINK("https://klasma.github.io/Logging_2283/kartor/A 48526-2025 karta.png", "A 48526-2025")</f>
        <v/>
      </c>
      <c r="V981">
        <f>HYPERLINK("https://klasma.github.io/Logging_2283/klagomål/A 48526-2025 FSC-klagomål.docx", "A 48526-2025")</f>
        <v/>
      </c>
      <c r="W981">
        <f>HYPERLINK("https://klasma.github.io/Logging_2283/klagomålsmail/A 48526-2025 FSC-klagomål mail.docx", "A 48526-2025")</f>
        <v/>
      </c>
      <c r="X981">
        <f>HYPERLINK("https://klasma.github.io/Logging_2283/tillsyn/A 48526-2025 tillsynsbegäran.docx", "A 48526-2025")</f>
        <v/>
      </c>
      <c r="Y981">
        <f>HYPERLINK("https://klasma.github.io/Logging_2283/tillsynsmail/A 48526-2025 tillsynsbegäran mail.docx", "A 48526-2025")</f>
        <v/>
      </c>
    </row>
    <row r="982" ht="15" customHeight="1">
      <c r="A982" t="inlineStr">
        <is>
          <t>A 48237-2025</t>
        </is>
      </c>
      <c r="B982" s="1" t="n">
        <v>45933</v>
      </c>
      <c r="C982" s="1" t="n">
        <v>46185</v>
      </c>
      <c r="D982" t="inlineStr">
        <is>
          <t>VÄSTERNORRLANDS LÄN</t>
        </is>
      </c>
      <c r="E982" t="inlineStr">
        <is>
          <t>ÅNGE</t>
        </is>
      </c>
      <c r="F982" t="inlineStr">
        <is>
          <t>SCA</t>
        </is>
      </c>
      <c r="G982" t="n">
        <v>1.9</v>
      </c>
      <c r="H982" t="n">
        <v>1</v>
      </c>
      <c r="I982" t="n">
        <v>0</v>
      </c>
      <c r="J982" t="n">
        <v>0</v>
      </c>
      <c r="K982" t="n">
        <v>1</v>
      </c>
      <c r="L982" t="n">
        <v>0</v>
      </c>
      <c r="M982" t="n">
        <v>0</v>
      </c>
      <c r="N982" t="n">
        <v>0</v>
      </c>
      <c r="O982" t="n">
        <v>1</v>
      </c>
      <c r="P982" t="n">
        <v>1</v>
      </c>
      <c r="Q982" t="n">
        <v>1</v>
      </c>
      <c r="R982" s="2" t="inlineStr">
        <is>
          <t>Knärot</t>
        </is>
      </c>
      <c r="S982">
        <f>HYPERLINK("https://klasma.github.io/Logging_2260/artfynd/A 48237-2025 artfynd.xlsx", "A 48237-2025")</f>
        <v/>
      </c>
      <c r="T982">
        <f>HYPERLINK("https://klasma.github.io/Logging_2260/kartor/A 48237-2025 karta.png", "A 48237-2025")</f>
        <v/>
      </c>
      <c r="U982">
        <f>HYPERLINK("https://klasma.github.io/Logging_2260/knärot/A 48237-2025 karta knärot.png", "A 48237-2025")</f>
        <v/>
      </c>
      <c r="V982">
        <f>HYPERLINK("https://klasma.github.io/Logging_2260/klagomål/A 48237-2025 FSC-klagomål.docx", "A 48237-2025")</f>
        <v/>
      </c>
      <c r="W982">
        <f>HYPERLINK("https://klasma.github.io/Logging_2260/klagomålsmail/A 48237-2025 FSC-klagomål mail.docx", "A 48237-2025")</f>
        <v/>
      </c>
      <c r="X982">
        <f>HYPERLINK("https://klasma.github.io/Logging_2260/tillsyn/A 48237-2025 tillsynsbegäran.docx", "A 48237-2025")</f>
        <v/>
      </c>
      <c r="Y982">
        <f>HYPERLINK("https://klasma.github.io/Logging_2260/tillsynsmail/A 48237-2025 tillsynsbegäran mail.docx", "A 48237-2025")</f>
        <v/>
      </c>
    </row>
    <row r="983" ht="15" customHeight="1">
      <c r="A983" t="inlineStr">
        <is>
          <t>A 50396-2024</t>
        </is>
      </c>
      <c r="B983" s="1" t="n">
        <v>45601</v>
      </c>
      <c r="C983" s="1" t="n">
        <v>46185</v>
      </c>
      <c r="D983" t="inlineStr">
        <is>
          <t>VÄSTERNORRLANDS LÄN</t>
        </is>
      </c>
      <c r="E983" t="inlineStr">
        <is>
          <t>SUNDSVALL</t>
        </is>
      </c>
      <c r="F983" t="inlineStr">
        <is>
          <t>SCA</t>
        </is>
      </c>
      <c r="G983" t="n">
        <v>8</v>
      </c>
      <c r="H983" t="n">
        <v>1</v>
      </c>
      <c r="I983" t="n">
        <v>0</v>
      </c>
      <c r="J983" t="n">
        <v>1</v>
      </c>
      <c r="K983" t="n">
        <v>0</v>
      </c>
      <c r="L983" t="n">
        <v>0</v>
      </c>
      <c r="M983" t="n">
        <v>0</v>
      </c>
      <c r="N983" t="n">
        <v>0</v>
      </c>
      <c r="O983" t="n">
        <v>1</v>
      </c>
      <c r="P983" t="n">
        <v>0</v>
      </c>
      <c r="Q983" t="n">
        <v>1</v>
      </c>
      <c r="R983" s="2" t="inlineStr">
        <is>
          <t>Järpe</t>
        </is>
      </c>
      <c r="S983">
        <f>HYPERLINK("https://klasma.github.io/Logging_2281/artfynd/A 50396-2024 artfynd.xlsx", "A 50396-2024")</f>
        <v/>
      </c>
      <c r="T983">
        <f>HYPERLINK("https://klasma.github.io/Logging_2281/kartor/A 50396-2024 karta.png", "A 50396-2024")</f>
        <v/>
      </c>
      <c r="V983">
        <f>HYPERLINK("https://klasma.github.io/Logging_2281/klagomål/A 50396-2024 FSC-klagomål.docx", "A 50396-2024")</f>
        <v/>
      </c>
      <c r="W983">
        <f>HYPERLINK("https://klasma.github.io/Logging_2281/klagomålsmail/A 50396-2024 FSC-klagomål mail.docx", "A 50396-2024")</f>
        <v/>
      </c>
      <c r="X983">
        <f>HYPERLINK("https://klasma.github.io/Logging_2281/tillsyn/A 50396-2024 tillsynsbegäran.docx", "A 50396-2024")</f>
        <v/>
      </c>
      <c r="Y983">
        <f>HYPERLINK("https://klasma.github.io/Logging_2281/tillsynsmail/A 50396-2024 tillsynsbegäran mail.docx", "A 50396-2024")</f>
        <v/>
      </c>
      <c r="Z983">
        <f>HYPERLINK("https://klasma.github.io/Logging_2281/fåglar/A 50396-2024 prioriterade fågelarter.docx", "A 50396-2024")</f>
        <v/>
      </c>
    </row>
    <row r="984" ht="15" customHeight="1">
      <c r="A984" t="inlineStr">
        <is>
          <t>A 37018-2025</t>
        </is>
      </c>
      <c r="B984" s="1" t="n">
        <v>45874</v>
      </c>
      <c r="C984" s="1" t="n">
        <v>46185</v>
      </c>
      <c r="D984" t="inlineStr">
        <is>
          <t>VÄSTERNORRLANDS LÄN</t>
        </is>
      </c>
      <c r="E984" t="inlineStr">
        <is>
          <t>SOLLEFTEÅ</t>
        </is>
      </c>
      <c r="G984" t="n">
        <v>3.6</v>
      </c>
      <c r="H984" t="n">
        <v>0</v>
      </c>
      <c r="I984" t="n">
        <v>0</v>
      </c>
      <c r="J984" t="n">
        <v>1</v>
      </c>
      <c r="K984" t="n">
        <v>0</v>
      </c>
      <c r="L984" t="n">
        <v>0</v>
      </c>
      <c r="M984" t="n">
        <v>0</v>
      </c>
      <c r="N984" t="n">
        <v>0</v>
      </c>
      <c r="O984" t="n">
        <v>1</v>
      </c>
      <c r="P984" t="n">
        <v>0</v>
      </c>
      <c r="Q984" t="n">
        <v>1</v>
      </c>
      <c r="R984" s="2" t="inlineStr">
        <is>
          <t>Ullticka</t>
        </is>
      </c>
      <c r="S984">
        <f>HYPERLINK("https://klasma.github.io/Logging_2283/artfynd/A 37018-2025 artfynd.xlsx", "A 37018-2025")</f>
        <v/>
      </c>
      <c r="T984">
        <f>HYPERLINK("https://klasma.github.io/Logging_2283/kartor/A 37018-2025 karta.png", "A 37018-2025")</f>
        <v/>
      </c>
      <c r="V984">
        <f>HYPERLINK("https://klasma.github.io/Logging_2283/klagomål/A 37018-2025 FSC-klagomål.docx", "A 37018-2025")</f>
        <v/>
      </c>
      <c r="W984">
        <f>HYPERLINK("https://klasma.github.io/Logging_2283/klagomålsmail/A 37018-2025 FSC-klagomål mail.docx", "A 37018-2025")</f>
        <v/>
      </c>
      <c r="X984">
        <f>HYPERLINK("https://klasma.github.io/Logging_2283/tillsyn/A 37018-2025 tillsynsbegäran.docx", "A 37018-2025")</f>
        <v/>
      </c>
      <c r="Y984">
        <f>HYPERLINK("https://klasma.github.io/Logging_2283/tillsynsmail/A 37018-2025 tillsynsbegäran mail.docx", "A 37018-2025")</f>
        <v/>
      </c>
    </row>
    <row r="985" ht="15" customHeight="1">
      <c r="A985" t="inlineStr">
        <is>
          <t>A 16877-2024</t>
        </is>
      </c>
      <c r="B985" s="1" t="n">
        <v>45411</v>
      </c>
      <c r="C985" s="1" t="n">
        <v>46185</v>
      </c>
      <c r="D985" t="inlineStr">
        <is>
          <t>VÄSTERNORRLANDS LÄN</t>
        </is>
      </c>
      <c r="E985" t="inlineStr">
        <is>
          <t>ÖRNSKÖLDSVIK</t>
        </is>
      </c>
      <c r="F985" t="inlineStr">
        <is>
          <t>Holmen skog AB</t>
        </is>
      </c>
      <c r="G985" t="n">
        <v>2.1</v>
      </c>
      <c r="H985" t="n">
        <v>0</v>
      </c>
      <c r="I985" t="n">
        <v>0</v>
      </c>
      <c r="J985" t="n">
        <v>1</v>
      </c>
      <c r="K985" t="n">
        <v>0</v>
      </c>
      <c r="L985" t="n">
        <v>0</v>
      </c>
      <c r="M985" t="n">
        <v>0</v>
      </c>
      <c r="N985" t="n">
        <v>0</v>
      </c>
      <c r="O985" t="n">
        <v>1</v>
      </c>
      <c r="P985" t="n">
        <v>0</v>
      </c>
      <c r="Q985" t="n">
        <v>1</v>
      </c>
      <c r="R985" s="2" t="inlineStr">
        <is>
          <t>Garnlav</t>
        </is>
      </c>
      <c r="S985">
        <f>HYPERLINK("https://klasma.github.io/Logging_2284/artfynd/A 16877-2024 artfynd.xlsx", "A 16877-2024")</f>
        <v/>
      </c>
      <c r="T985">
        <f>HYPERLINK("https://klasma.github.io/Logging_2284/kartor/A 16877-2024 karta.png", "A 16877-2024")</f>
        <v/>
      </c>
      <c r="V985">
        <f>HYPERLINK("https://klasma.github.io/Logging_2284/klagomål/A 16877-2024 FSC-klagomål.docx", "A 16877-2024")</f>
        <v/>
      </c>
      <c r="W985">
        <f>HYPERLINK("https://klasma.github.io/Logging_2284/klagomålsmail/A 16877-2024 FSC-klagomål mail.docx", "A 16877-2024")</f>
        <v/>
      </c>
      <c r="X985">
        <f>HYPERLINK("https://klasma.github.io/Logging_2284/tillsyn/A 16877-2024 tillsynsbegäran.docx", "A 16877-2024")</f>
        <v/>
      </c>
      <c r="Y985">
        <f>HYPERLINK("https://klasma.github.io/Logging_2284/tillsynsmail/A 16877-2024 tillsynsbegäran mail.docx", "A 16877-2024")</f>
        <v/>
      </c>
    </row>
    <row r="986" ht="15" customHeight="1">
      <c r="A986" t="inlineStr">
        <is>
          <t>A 23711-2022</t>
        </is>
      </c>
      <c r="B986" s="1" t="n">
        <v>44722</v>
      </c>
      <c r="C986" s="1" t="n">
        <v>46185</v>
      </c>
      <c r="D986" t="inlineStr">
        <is>
          <t>VÄSTERNORRLANDS LÄN</t>
        </is>
      </c>
      <c r="E986" t="inlineStr">
        <is>
          <t>SUNDSVALL</t>
        </is>
      </c>
      <c r="F986" t="inlineStr">
        <is>
          <t>Holmen skog AB</t>
        </is>
      </c>
      <c r="G986" t="n">
        <v>2.8</v>
      </c>
      <c r="H986" t="n">
        <v>0</v>
      </c>
      <c r="I986" t="n">
        <v>0</v>
      </c>
      <c r="J986" t="n">
        <v>1</v>
      </c>
      <c r="K986" t="n">
        <v>0</v>
      </c>
      <c r="L986" t="n">
        <v>0</v>
      </c>
      <c r="M986" t="n">
        <v>0</v>
      </c>
      <c r="N986" t="n">
        <v>0</v>
      </c>
      <c r="O986" t="n">
        <v>1</v>
      </c>
      <c r="P986" t="n">
        <v>0</v>
      </c>
      <c r="Q986" t="n">
        <v>1</v>
      </c>
      <c r="R986" s="2" t="inlineStr">
        <is>
          <t>Garnlav</t>
        </is>
      </c>
      <c r="S986">
        <f>HYPERLINK("https://klasma.github.io/Logging_2281/artfynd/A 23711-2022 artfynd.xlsx", "A 23711-2022")</f>
        <v/>
      </c>
      <c r="T986">
        <f>HYPERLINK("https://klasma.github.io/Logging_2281/kartor/A 23711-2022 karta.png", "A 23711-2022")</f>
        <v/>
      </c>
      <c r="V986">
        <f>HYPERLINK("https://klasma.github.io/Logging_2281/klagomål/A 23711-2022 FSC-klagomål.docx", "A 23711-2022")</f>
        <v/>
      </c>
      <c r="W986">
        <f>HYPERLINK("https://klasma.github.io/Logging_2281/klagomålsmail/A 23711-2022 FSC-klagomål mail.docx", "A 23711-2022")</f>
        <v/>
      </c>
      <c r="X986">
        <f>HYPERLINK("https://klasma.github.io/Logging_2281/tillsyn/A 23711-2022 tillsynsbegäran.docx", "A 23711-2022")</f>
        <v/>
      </c>
      <c r="Y986">
        <f>HYPERLINK("https://klasma.github.io/Logging_2281/tillsynsmail/A 23711-2022 tillsynsbegäran mail.docx", "A 23711-2022")</f>
        <v/>
      </c>
    </row>
    <row r="987" ht="15" customHeight="1">
      <c r="A987" t="inlineStr">
        <is>
          <t>A 37564-2025</t>
        </is>
      </c>
      <c r="B987" s="1" t="n">
        <v>45880</v>
      </c>
      <c r="C987" s="1" t="n">
        <v>46185</v>
      </c>
      <c r="D987" t="inlineStr">
        <is>
          <t>VÄSTERNORRLANDS LÄN</t>
        </is>
      </c>
      <c r="E987" t="inlineStr">
        <is>
          <t>SUNDSVALL</t>
        </is>
      </c>
      <c r="G987" t="n">
        <v>4</v>
      </c>
      <c r="H987" t="n">
        <v>1</v>
      </c>
      <c r="I987" t="n">
        <v>1</v>
      </c>
      <c r="J987" t="n">
        <v>0</v>
      </c>
      <c r="K987" t="n">
        <v>0</v>
      </c>
      <c r="L987" t="n">
        <v>0</v>
      </c>
      <c r="M987" t="n">
        <v>0</v>
      </c>
      <c r="N987" t="n">
        <v>0</v>
      </c>
      <c r="O987" t="n">
        <v>0</v>
      </c>
      <c r="P987" t="n">
        <v>0</v>
      </c>
      <c r="Q987" t="n">
        <v>1</v>
      </c>
      <c r="R987" s="2" t="inlineStr">
        <is>
          <t>Korallrot</t>
        </is>
      </c>
      <c r="S987">
        <f>HYPERLINK("https://klasma.github.io/Logging_2281/artfynd/A 37564-2025 artfynd.xlsx", "A 37564-2025")</f>
        <v/>
      </c>
      <c r="T987">
        <f>HYPERLINK("https://klasma.github.io/Logging_2281/kartor/A 37564-2025 karta.png", "A 37564-2025")</f>
        <v/>
      </c>
      <c r="V987">
        <f>HYPERLINK("https://klasma.github.io/Logging_2281/klagomål/A 37564-2025 FSC-klagomål.docx", "A 37564-2025")</f>
        <v/>
      </c>
      <c r="W987">
        <f>HYPERLINK("https://klasma.github.io/Logging_2281/klagomålsmail/A 37564-2025 FSC-klagomål mail.docx", "A 37564-2025")</f>
        <v/>
      </c>
      <c r="X987">
        <f>HYPERLINK("https://klasma.github.io/Logging_2281/tillsyn/A 37564-2025 tillsynsbegäran.docx", "A 37564-2025")</f>
        <v/>
      </c>
      <c r="Y987">
        <f>HYPERLINK("https://klasma.github.io/Logging_2281/tillsynsmail/A 37564-2025 tillsynsbegäran mail.docx", "A 37564-2025")</f>
        <v/>
      </c>
    </row>
    <row r="988" ht="15" customHeight="1">
      <c r="A988" t="inlineStr">
        <is>
          <t>A 37432-2025</t>
        </is>
      </c>
      <c r="B988" s="1" t="n">
        <v>45877.51106481482</v>
      </c>
      <c r="C988" s="1" t="n">
        <v>46185</v>
      </c>
      <c r="D988" t="inlineStr">
        <is>
          <t>VÄSTERNORRLANDS LÄN</t>
        </is>
      </c>
      <c r="E988" t="inlineStr">
        <is>
          <t>ÅNGE</t>
        </is>
      </c>
      <c r="F988" t="inlineStr">
        <is>
          <t>SCA</t>
        </is>
      </c>
      <c r="G988" t="n">
        <v>1.2</v>
      </c>
      <c r="H988" t="n">
        <v>1</v>
      </c>
      <c r="I988" t="n">
        <v>1</v>
      </c>
      <c r="J988" t="n">
        <v>0</v>
      </c>
      <c r="K988" t="n">
        <v>0</v>
      </c>
      <c r="L988" t="n">
        <v>0</v>
      </c>
      <c r="M988" t="n">
        <v>0</v>
      </c>
      <c r="N988" t="n">
        <v>0</v>
      </c>
      <c r="O988" t="n">
        <v>0</v>
      </c>
      <c r="P988" t="n">
        <v>0</v>
      </c>
      <c r="Q988" t="n">
        <v>1</v>
      </c>
      <c r="R988" s="2" t="inlineStr">
        <is>
          <t>Spindelblomster</t>
        </is>
      </c>
      <c r="S988">
        <f>HYPERLINK("https://klasma.github.io/Logging_2260/artfynd/A 37432-2025 artfynd.xlsx", "A 37432-2025")</f>
        <v/>
      </c>
      <c r="T988">
        <f>HYPERLINK("https://klasma.github.io/Logging_2260/kartor/A 37432-2025 karta.png", "A 37432-2025")</f>
        <v/>
      </c>
      <c r="V988">
        <f>HYPERLINK("https://klasma.github.io/Logging_2260/klagomål/A 37432-2025 FSC-klagomål.docx", "A 37432-2025")</f>
        <v/>
      </c>
      <c r="W988">
        <f>HYPERLINK("https://klasma.github.io/Logging_2260/klagomålsmail/A 37432-2025 FSC-klagomål mail.docx", "A 37432-2025")</f>
        <v/>
      </c>
      <c r="X988">
        <f>HYPERLINK("https://klasma.github.io/Logging_2260/tillsyn/A 37432-2025 tillsynsbegäran.docx", "A 37432-2025")</f>
        <v/>
      </c>
      <c r="Y988">
        <f>HYPERLINK("https://klasma.github.io/Logging_2260/tillsynsmail/A 37432-2025 tillsynsbegäran mail.docx", "A 37432-2025")</f>
        <v/>
      </c>
    </row>
    <row r="989" ht="15" customHeight="1">
      <c r="A989" t="inlineStr">
        <is>
          <t>A 52515-2024</t>
        </is>
      </c>
      <c r="B989" s="1" t="n">
        <v>45609</v>
      </c>
      <c r="C989" s="1" t="n">
        <v>46185</v>
      </c>
      <c r="D989" t="inlineStr">
        <is>
          <t>VÄSTERNORRLANDS LÄN</t>
        </is>
      </c>
      <c r="E989" t="inlineStr">
        <is>
          <t>SUNDSVALL</t>
        </is>
      </c>
      <c r="G989" t="n">
        <v>2.4</v>
      </c>
      <c r="H989" t="n">
        <v>0</v>
      </c>
      <c r="I989" t="n">
        <v>1</v>
      </c>
      <c r="J989" t="n">
        <v>0</v>
      </c>
      <c r="K989" t="n">
        <v>0</v>
      </c>
      <c r="L989" t="n">
        <v>0</v>
      </c>
      <c r="M989" t="n">
        <v>0</v>
      </c>
      <c r="N989" t="n">
        <v>0</v>
      </c>
      <c r="O989" t="n">
        <v>0</v>
      </c>
      <c r="P989" t="n">
        <v>0</v>
      </c>
      <c r="Q989" t="n">
        <v>1</v>
      </c>
      <c r="R989" s="2" t="inlineStr">
        <is>
          <t>Tibast</t>
        </is>
      </c>
      <c r="S989">
        <f>HYPERLINK("https://klasma.github.io/Logging_2281/artfynd/A 52515-2024 artfynd.xlsx", "A 52515-2024")</f>
        <v/>
      </c>
      <c r="T989">
        <f>HYPERLINK("https://klasma.github.io/Logging_2281/kartor/A 52515-2024 karta.png", "A 52515-2024")</f>
        <v/>
      </c>
      <c r="V989">
        <f>HYPERLINK("https://klasma.github.io/Logging_2281/klagomål/A 52515-2024 FSC-klagomål.docx", "A 52515-2024")</f>
        <v/>
      </c>
      <c r="W989">
        <f>HYPERLINK("https://klasma.github.io/Logging_2281/klagomålsmail/A 52515-2024 FSC-klagomål mail.docx", "A 52515-2024")</f>
        <v/>
      </c>
      <c r="X989">
        <f>HYPERLINK("https://klasma.github.io/Logging_2281/tillsyn/A 52515-2024 tillsynsbegäran.docx", "A 52515-2024")</f>
        <v/>
      </c>
      <c r="Y989">
        <f>HYPERLINK("https://klasma.github.io/Logging_2281/tillsynsmail/A 52515-2024 tillsynsbegäran mail.docx", "A 52515-2024")</f>
        <v/>
      </c>
    </row>
    <row r="990" ht="15" customHeight="1">
      <c r="A990" t="inlineStr">
        <is>
          <t>A 38206-2025</t>
        </is>
      </c>
      <c r="B990" s="1" t="n">
        <v>45882.6987037037</v>
      </c>
      <c r="C990" s="1" t="n">
        <v>46185</v>
      </c>
      <c r="D990" t="inlineStr">
        <is>
          <t>VÄSTERNORRLANDS LÄN</t>
        </is>
      </c>
      <c r="E990" t="inlineStr">
        <is>
          <t>SUNDSVALL</t>
        </is>
      </c>
      <c r="F990" t="inlineStr">
        <is>
          <t>SCA</t>
        </is>
      </c>
      <c r="G990" t="n">
        <v>2.1</v>
      </c>
      <c r="H990" t="n">
        <v>0</v>
      </c>
      <c r="I990" t="n">
        <v>1</v>
      </c>
      <c r="J990" t="n">
        <v>0</v>
      </c>
      <c r="K990" t="n">
        <v>0</v>
      </c>
      <c r="L990" t="n">
        <v>0</v>
      </c>
      <c r="M990" t="n">
        <v>0</v>
      </c>
      <c r="N990" t="n">
        <v>0</v>
      </c>
      <c r="O990" t="n">
        <v>0</v>
      </c>
      <c r="P990" t="n">
        <v>0</v>
      </c>
      <c r="Q990" t="n">
        <v>1</v>
      </c>
      <c r="R990" s="2" t="inlineStr">
        <is>
          <t>Vedticka</t>
        </is>
      </c>
      <c r="S990">
        <f>HYPERLINK("https://klasma.github.io/Logging_2281/artfynd/A 38206-2025 artfynd.xlsx", "A 38206-2025")</f>
        <v/>
      </c>
      <c r="T990">
        <f>HYPERLINK("https://klasma.github.io/Logging_2281/kartor/A 38206-2025 karta.png", "A 38206-2025")</f>
        <v/>
      </c>
      <c r="V990">
        <f>HYPERLINK("https://klasma.github.io/Logging_2281/klagomål/A 38206-2025 FSC-klagomål.docx", "A 38206-2025")</f>
        <v/>
      </c>
      <c r="W990">
        <f>HYPERLINK("https://klasma.github.io/Logging_2281/klagomålsmail/A 38206-2025 FSC-klagomål mail.docx", "A 38206-2025")</f>
        <v/>
      </c>
      <c r="X990">
        <f>HYPERLINK("https://klasma.github.io/Logging_2281/tillsyn/A 38206-2025 tillsynsbegäran.docx", "A 38206-2025")</f>
        <v/>
      </c>
      <c r="Y990">
        <f>HYPERLINK("https://klasma.github.io/Logging_2281/tillsynsmail/A 38206-2025 tillsynsbegäran mail.docx", "A 38206-2025")</f>
        <v/>
      </c>
    </row>
    <row r="991" ht="15" customHeight="1">
      <c r="A991" t="inlineStr">
        <is>
          <t>A 3582-2026</t>
        </is>
      </c>
      <c r="B991" s="1" t="n">
        <v>46042.72751157408</v>
      </c>
      <c r="C991" s="1" t="n">
        <v>46185</v>
      </c>
      <c r="D991" t="inlineStr">
        <is>
          <t>VÄSTERNORRLANDS LÄN</t>
        </is>
      </c>
      <c r="E991" t="inlineStr">
        <is>
          <t>SUNDSVALL</t>
        </is>
      </c>
      <c r="G991" t="n">
        <v>3.8</v>
      </c>
      <c r="H991" t="n">
        <v>1</v>
      </c>
      <c r="I991" t="n">
        <v>0</v>
      </c>
      <c r="J991" t="n">
        <v>0</v>
      </c>
      <c r="K991" t="n">
        <v>0</v>
      </c>
      <c r="L991" t="n">
        <v>0</v>
      </c>
      <c r="M991" t="n">
        <v>0</v>
      </c>
      <c r="N991" t="n">
        <v>0</v>
      </c>
      <c r="O991" t="n">
        <v>0</v>
      </c>
      <c r="P991" t="n">
        <v>0</v>
      </c>
      <c r="Q991" t="n">
        <v>1</v>
      </c>
      <c r="R991" s="2" t="inlineStr">
        <is>
          <t>Nattviol</t>
        </is>
      </c>
      <c r="S991">
        <f>HYPERLINK("https://klasma.github.io/Logging_2281/artfynd/A 3582-2026 artfynd.xlsx", "A 3582-2026")</f>
        <v/>
      </c>
      <c r="T991">
        <f>HYPERLINK("https://klasma.github.io/Logging_2281/kartor/A 3582-2026 karta.png", "A 3582-2026")</f>
        <v/>
      </c>
      <c r="V991">
        <f>HYPERLINK("https://klasma.github.io/Logging_2281/klagomål/A 3582-2026 FSC-klagomål.docx", "A 3582-2026")</f>
        <v/>
      </c>
      <c r="W991">
        <f>HYPERLINK("https://klasma.github.io/Logging_2281/klagomålsmail/A 3582-2026 FSC-klagomål mail.docx", "A 3582-2026")</f>
        <v/>
      </c>
      <c r="X991">
        <f>HYPERLINK("https://klasma.github.io/Logging_2281/tillsyn/A 3582-2026 tillsynsbegäran.docx", "A 3582-2026")</f>
        <v/>
      </c>
      <c r="Y991">
        <f>HYPERLINK("https://klasma.github.io/Logging_2281/tillsynsmail/A 3582-2026 tillsynsbegäran mail.docx", "A 3582-2026")</f>
        <v/>
      </c>
    </row>
    <row r="992" ht="15" customHeight="1">
      <c r="A992" t="inlineStr">
        <is>
          <t>A 53300-2024</t>
        </is>
      </c>
      <c r="B992" s="1" t="n">
        <v>45614.38832175926</v>
      </c>
      <c r="C992" s="1" t="n">
        <v>46185</v>
      </c>
      <c r="D992" t="inlineStr">
        <is>
          <t>VÄSTERNORRLANDS LÄN</t>
        </is>
      </c>
      <c r="E992" t="inlineStr">
        <is>
          <t>TIMRÅ</t>
        </is>
      </c>
      <c r="F992" t="inlineStr">
        <is>
          <t>SCA</t>
        </is>
      </c>
      <c r="G992" t="n">
        <v>1</v>
      </c>
      <c r="H992" t="n">
        <v>0</v>
      </c>
      <c r="I992" t="n">
        <v>0</v>
      </c>
      <c r="J992" t="n">
        <v>1</v>
      </c>
      <c r="K992" t="n">
        <v>0</v>
      </c>
      <c r="L992" t="n">
        <v>0</v>
      </c>
      <c r="M992" t="n">
        <v>0</v>
      </c>
      <c r="N992" t="n">
        <v>0</v>
      </c>
      <c r="O992" t="n">
        <v>1</v>
      </c>
      <c r="P992" t="n">
        <v>0</v>
      </c>
      <c r="Q992" t="n">
        <v>1</v>
      </c>
      <c r="R992" s="2" t="inlineStr">
        <is>
          <t>Garnlav</t>
        </is>
      </c>
      <c r="S992">
        <f>HYPERLINK("https://klasma.github.io/Logging_2262/artfynd/A 53300-2024 artfynd.xlsx", "A 53300-2024")</f>
        <v/>
      </c>
      <c r="T992">
        <f>HYPERLINK("https://klasma.github.io/Logging_2262/kartor/A 53300-2024 karta.png", "A 53300-2024")</f>
        <v/>
      </c>
      <c r="V992">
        <f>HYPERLINK("https://klasma.github.io/Logging_2262/klagomål/A 53300-2024 FSC-klagomål.docx", "A 53300-2024")</f>
        <v/>
      </c>
      <c r="W992">
        <f>HYPERLINK("https://klasma.github.io/Logging_2262/klagomålsmail/A 53300-2024 FSC-klagomål mail.docx", "A 53300-2024")</f>
        <v/>
      </c>
      <c r="X992">
        <f>HYPERLINK("https://klasma.github.io/Logging_2262/tillsyn/A 53300-2024 tillsynsbegäran.docx", "A 53300-2024")</f>
        <v/>
      </c>
      <c r="Y992">
        <f>HYPERLINK("https://klasma.github.io/Logging_2262/tillsynsmail/A 53300-2024 tillsynsbegäran mail.docx", "A 53300-2024")</f>
        <v/>
      </c>
    </row>
    <row r="993" ht="15" customHeight="1">
      <c r="A993" t="inlineStr">
        <is>
          <t>A 51434-2024</t>
        </is>
      </c>
      <c r="B993" s="1" t="n">
        <v>45604.47024305556</v>
      </c>
      <c r="C993" s="1" t="n">
        <v>46185</v>
      </c>
      <c r="D993" t="inlineStr">
        <is>
          <t>VÄSTERNORRLANDS LÄN</t>
        </is>
      </c>
      <c r="E993" t="inlineStr">
        <is>
          <t>SUNDSVALL</t>
        </is>
      </c>
      <c r="G993" t="n">
        <v>5.4</v>
      </c>
      <c r="H993" t="n">
        <v>1</v>
      </c>
      <c r="I993" t="n">
        <v>0</v>
      </c>
      <c r="J993" t="n">
        <v>0</v>
      </c>
      <c r="K993" t="n">
        <v>0</v>
      </c>
      <c r="L993" t="n">
        <v>0</v>
      </c>
      <c r="M993" t="n">
        <v>0</v>
      </c>
      <c r="N993" t="n">
        <v>0</v>
      </c>
      <c r="O993" t="n">
        <v>0</v>
      </c>
      <c r="P993" t="n">
        <v>0</v>
      </c>
      <c r="Q993" t="n">
        <v>1</v>
      </c>
      <c r="R993" s="2" t="inlineStr">
        <is>
          <t>Fläcknycklar</t>
        </is>
      </c>
      <c r="S993">
        <f>HYPERLINK("https://klasma.github.io/Logging_2281/artfynd/A 51434-2024 artfynd.xlsx", "A 51434-2024")</f>
        <v/>
      </c>
      <c r="T993">
        <f>HYPERLINK("https://klasma.github.io/Logging_2281/kartor/A 51434-2024 karta.png", "A 51434-2024")</f>
        <v/>
      </c>
      <c r="V993">
        <f>HYPERLINK("https://klasma.github.io/Logging_2281/klagomål/A 51434-2024 FSC-klagomål.docx", "A 51434-2024")</f>
        <v/>
      </c>
      <c r="W993">
        <f>HYPERLINK("https://klasma.github.io/Logging_2281/klagomålsmail/A 51434-2024 FSC-klagomål mail.docx", "A 51434-2024")</f>
        <v/>
      </c>
      <c r="X993">
        <f>HYPERLINK("https://klasma.github.io/Logging_2281/tillsyn/A 51434-2024 tillsynsbegäran.docx", "A 51434-2024")</f>
        <v/>
      </c>
      <c r="Y993">
        <f>HYPERLINK("https://klasma.github.io/Logging_2281/tillsynsmail/A 51434-2024 tillsynsbegäran mail.docx", "A 51434-2024")</f>
        <v/>
      </c>
    </row>
    <row r="994" ht="15" customHeight="1">
      <c r="A994" t="inlineStr">
        <is>
          <t>A 3804-2026</t>
        </is>
      </c>
      <c r="B994" s="1" t="n">
        <v>46043.58314814815</v>
      </c>
      <c r="C994" s="1" t="n">
        <v>46185</v>
      </c>
      <c r="D994" t="inlineStr">
        <is>
          <t>VÄSTERNORRLANDS LÄN</t>
        </is>
      </c>
      <c r="E994" t="inlineStr">
        <is>
          <t>SOLLEFTEÅ</t>
        </is>
      </c>
      <c r="F994" t="inlineStr">
        <is>
          <t>SCA</t>
        </is>
      </c>
      <c r="G994" t="n">
        <v>11.8</v>
      </c>
      <c r="H994" t="n">
        <v>0</v>
      </c>
      <c r="I994" t="n">
        <v>0</v>
      </c>
      <c r="J994" t="n">
        <v>1</v>
      </c>
      <c r="K994" t="n">
        <v>0</v>
      </c>
      <c r="L994" t="n">
        <v>0</v>
      </c>
      <c r="M994" t="n">
        <v>0</v>
      </c>
      <c r="N994" t="n">
        <v>0</v>
      </c>
      <c r="O994" t="n">
        <v>1</v>
      </c>
      <c r="P994" t="n">
        <v>0</v>
      </c>
      <c r="Q994" t="n">
        <v>1</v>
      </c>
      <c r="R994" s="2" t="inlineStr">
        <is>
          <t>Dofttaggsvamp</t>
        </is>
      </c>
      <c r="S994">
        <f>HYPERLINK("https://klasma.github.io/Logging_2283/artfynd/A 3804-2026 artfynd.xlsx", "A 3804-2026")</f>
        <v/>
      </c>
      <c r="T994">
        <f>HYPERLINK("https://klasma.github.io/Logging_2283/kartor/A 3804-2026 karta.png", "A 3804-2026")</f>
        <v/>
      </c>
      <c r="V994">
        <f>HYPERLINK("https://klasma.github.io/Logging_2283/klagomål/A 3804-2026 FSC-klagomål.docx", "A 3804-2026")</f>
        <v/>
      </c>
      <c r="W994">
        <f>HYPERLINK("https://klasma.github.io/Logging_2283/klagomålsmail/A 3804-2026 FSC-klagomål mail.docx", "A 3804-2026")</f>
        <v/>
      </c>
      <c r="X994">
        <f>HYPERLINK("https://klasma.github.io/Logging_2283/tillsyn/A 3804-2026 tillsynsbegäran.docx", "A 3804-2026")</f>
        <v/>
      </c>
      <c r="Y994">
        <f>HYPERLINK("https://klasma.github.io/Logging_2283/tillsynsmail/A 3804-2026 tillsynsbegäran mail.docx", "A 3804-2026")</f>
        <v/>
      </c>
    </row>
    <row r="995" ht="15" customHeight="1">
      <c r="A995" t="inlineStr">
        <is>
          <t>A 4525-2026</t>
        </is>
      </c>
      <c r="B995" s="1" t="n">
        <v>46046.63609953703</v>
      </c>
      <c r="C995" s="1" t="n">
        <v>46185</v>
      </c>
      <c r="D995" t="inlineStr">
        <is>
          <t>VÄSTERNORRLANDS LÄN</t>
        </is>
      </c>
      <c r="E995" t="inlineStr">
        <is>
          <t>KRAMFORS</t>
        </is>
      </c>
      <c r="G995" t="n">
        <v>4.7</v>
      </c>
      <c r="H995" t="n">
        <v>1</v>
      </c>
      <c r="I995" t="n">
        <v>0</v>
      </c>
      <c r="J995" t="n">
        <v>0</v>
      </c>
      <c r="K995" t="n">
        <v>0</v>
      </c>
      <c r="L995" t="n">
        <v>0</v>
      </c>
      <c r="M995" t="n">
        <v>0</v>
      </c>
      <c r="N995" t="n">
        <v>0</v>
      </c>
      <c r="O995" t="n">
        <v>0</v>
      </c>
      <c r="P995" t="n">
        <v>0</v>
      </c>
      <c r="Q995" t="n">
        <v>1</v>
      </c>
      <c r="R995" s="2" t="inlineStr">
        <is>
          <t>Revlummer</t>
        </is>
      </c>
      <c r="S995">
        <f>HYPERLINK("https://klasma.github.io/Logging_2282/artfynd/A 4525-2026 artfynd.xlsx", "A 4525-2026")</f>
        <v/>
      </c>
      <c r="T995">
        <f>HYPERLINK("https://klasma.github.io/Logging_2282/kartor/A 4525-2026 karta.png", "A 4525-2026")</f>
        <v/>
      </c>
      <c r="V995">
        <f>HYPERLINK("https://klasma.github.io/Logging_2282/klagomål/A 4525-2026 FSC-klagomål.docx", "A 4525-2026")</f>
        <v/>
      </c>
      <c r="W995">
        <f>HYPERLINK("https://klasma.github.io/Logging_2282/klagomålsmail/A 4525-2026 FSC-klagomål mail.docx", "A 4525-2026")</f>
        <v/>
      </c>
      <c r="X995">
        <f>HYPERLINK("https://klasma.github.io/Logging_2282/tillsyn/A 4525-2026 tillsynsbegäran.docx", "A 4525-2026")</f>
        <v/>
      </c>
      <c r="Y995">
        <f>HYPERLINK("https://klasma.github.io/Logging_2282/tillsynsmail/A 4525-2026 tillsynsbegäran mail.docx", "A 4525-2026")</f>
        <v/>
      </c>
    </row>
    <row r="996" ht="15" customHeight="1">
      <c r="A996" t="inlineStr">
        <is>
          <t>A 27391-2023</t>
        </is>
      </c>
      <c r="B996" s="1" t="n">
        <v>45096.93991898148</v>
      </c>
      <c r="C996" s="1" t="n">
        <v>46185</v>
      </c>
      <c r="D996" t="inlineStr">
        <is>
          <t>VÄSTERNORRLANDS LÄN</t>
        </is>
      </c>
      <c r="E996" t="inlineStr">
        <is>
          <t>SOLLEFTEÅ</t>
        </is>
      </c>
      <c r="F996" t="inlineStr">
        <is>
          <t>SCA</t>
        </is>
      </c>
      <c r="G996" t="n">
        <v>3.7</v>
      </c>
      <c r="H996" t="n">
        <v>0</v>
      </c>
      <c r="I996" t="n">
        <v>0</v>
      </c>
      <c r="J996" t="n">
        <v>1</v>
      </c>
      <c r="K996" t="n">
        <v>0</v>
      </c>
      <c r="L996" t="n">
        <v>0</v>
      </c>
      <c r="M996" t="n">
        <v>0</v>
      </c>
      <c r="N996" t="n">
        <v>0</v>
      </c>
      <c r="O996" t="n">
        <v>1</v>
      </c>
      <c r="P996" t="n">
        <v>0</v>
      </c>
      <c r="Q996" t="n">
        <v>1</v>
      </c>
      <c r="R996" s="2" t="inlineStr">
        <is>
          <t>Lunglav</t>
        </is>
      </c>
      <c r="S996">
        <f>HYPERLINK("https://klasma.github.io/Logging_2283/artfynd/A 27391-2023 artfynd.xlsx", "A 27391-2023")</f>
        <v/>
      </c>
      <c r="T996">
        <f>HYPERLINK("https://klasma.github.io/Logging_2283/kartor/A 27391-2023 karta.png", "A 27391-2023")</f>
        <v/>
      </c>
      <c r="V996">
        <f>HYPERLINK("https://klasma.github.io/Logging_2283/klagomål/A 27391-2023 FSC-klagomål.docx", "A 27391-2023")</f>
        <v/>
      </c>
      <c r="W996">
        <f>HYPERLINK("https://klasma.github.io/Logging_2283/klagomålsmail/A 27391-2023 FSC-klagomål mail.docx", "A 27391-2023")</f>
        <v/>
      </c>
      <c r="X996">
        <f>HYPERLINK("https://klasma.github.io/Logging_2283/tillsyn/A 27391-2023 tillsynsbegäran.docx", "A 27391-2023")</f>
        <v/>
      </c>
      <c r="Y996">
        <f>HYPERLINK("https://klasma.github.io/Logging_2283/tillsynsmail/A 27391-2023 tillsynsbegäran mail.docx", "A 27391-2023")</f>
        <v/>
      </c>
    </row>
    <row r="997" ht="15" customHeight="1">
      <c r="A997" t="inlineStr">
        <is>
          <t>A 49251-2025</t>
        </is>
      </c>
      <c r="B997" s="1" t="n">
        <v>45938</v>
      </c>
      <c r="C997" s="1" t="n">
        <v>46185</v>
      </c>
      <c r="D997" t="inlineStr">
        <is>
          <t>VÄSTERNORRLANDS LÄN</t>
        </is>
      </c>
      <c r="E997" t="inlineStr">
        <is>
          <t>SOLLEFTEÅ</t>
        </is>
      </c>
      <c r="F997" t="inlineStr">
        <is>
          <t>SCA</t>
        </is>
      </c>
      <c r="G997" t="n">
        <v>2.5</v>
      </c>
      <c r="H997" t="n">
        <v>0</v>
      </c>
      <c r="I997" t="n">
        <v>0</v>
      </c>
      <c r="J997" t="n">
        <v>1</v>
      </c>
      <c r="K997" t="n">
        <v>0</v>
      </c>
      <c r="L997" t="n">
        <v>0</v>
      </c>
      <c r="M997" t="n">
        <v>0</v>
      </c>
      <c r="N997" t="n">
        <v>0</v>
      </c>
      <c r="O997" t="n">
        <v>1</v>
      </c>
      <c r="P997" t="n">
        <v>0</v>
      </c>
      <c r="Q997" t="n">
        <v>1</v>
      </c>
      <c r="R997" s="2" t="inlineStr">
        <is>
          <t>Granticka</t>
        </is>
      </c>
      <c r="S997">
        <f>HYPERLINK("https://klasma.github.io/Logging_2283/artfynd/A 49251-2025 artfynd.xlsx", "A 49251-2025")</f>
        <v/>
      </c>
      <c r="T997">
        <f>HYPERLINK("https://klasma.github.io/Logging_2283/kartor/A 49251-2025 karta.png", "A 49251-2025")</f>
        <v/>
      </c>
      <c r="V997">
        <f>HYPERLINK("https://klasma.github.io/Logging_2283/klagomål/A 49251-2025 FSC-klagomål.docx", "A 49251-2025")</f>
        <v/>
      </c>
      <c r="W997">
        <f>HYPERLINK("https://klasma.github.io/Logging_2283/klagomålsmail/A 49251-2025 FSC-klagomål mail.docx", "A 49251-2025")</f>
        <v/>
      </c>
      <c r="X997">
        <f>HYPERLINK("https://klasma.github.io/Logging_2283/tillsyn/A 49251-2025 tillsynsbegäran.docx", "A 49251-2025")</f>
        <v/>
      </c>
      <c r="Y997">
        <f>HYPERLINK("https://klasma.github.io/Logging_2283/tillsynsmail/A 49251-2025 tillsynsbegäran mail.docx", "A 49251-2025")</f>
        <v/>
      </c>
    </row>
    <row r="998" ht="15" customHeight="1">
      <c r="A998" t="inlineStr">
        <is>
          <t>A 4265-2026</t>
        </is>
      </c>
      <c r="B998" s="1" t="n">
        <v>46045.34465277778</v>
      </c>
      <c r="C998" s="1" t="n">
        <v>46185</v>
      </c>
      <c r="D998" t="inlineStr">
        <is>
          <t>VÄSTERNORRLANDS LÄN</t>
        </is>
      </c>
      <c r="E998" t="inlineStr">
        <is>
          <t>SUNDSVALL</t>
        </is>
      </c>
      <c r="G998" t="n">
        <v>5.5</v>
      </c>
      <c r="H998" t="n">
        <v>1</v>
      </c>
      <c r="I998" t="n">
        <v>1</v>
      </c>
      <c r="J998" t="n">
        <v>0</v>
      </c>
      <c r="K998" t="n">
        <v>0</v>
      </c>
      <c r="L998" t="n">
        <v>0</v>
      </c>
      <c r="M998" t="n">
        <v>0</v>
      </c>
      <c r="N998" t="n">
        <v>0</v>
      </c>
      <c r="O998" t="n">
        <v>0</v>
      </c>
      <c r="P998" t="n">
        <v>0</v>
      </c>
      <c r="Q998" t="n">
        <v>1</v>
      </c>
      <c r="R998" s="2" t="inlineStr">
        <is>
          <t>Korallrot</t>
        </is>
      </c>
      <c r="S998">
        <f>HYPERLINK("https://klasma.github.io/Logging_2281/artfynd/A 4265-2026 artfynd.xlsx", "A 4265-2026")</f>
        <v/>
      </c>
      <c r="T998">
        <f>HYPERLINK("https://klasma.github.io/Logging_2281/kartor/A 4265-2026 karta.png", "A 4265-2026")</f>
        <v/>
      </c>
      <c r="V998">
        <f>HYPERLINK("https://klasma.github.io/Logging_2281/klagomål/A 4265-2026 FSC-klagomål.docx", "A 4265-2026")</f>
        <v/>
      </c>
      <c r="W998">
        <f>HYPERLINK("https://klasma.github.io/Logging_2281/klagomålsmail/A 4265-2026 FSC-klagomål mail.docx", "A 4265-2026")</f>
        <v/>
      </c>
      <c r="X998">
        <f>HYPERLINK("https://klasma.github.io/Logging_2281/tillsyn/A 4265-2026 tillsynsbegäran.docx", "A 4265-2026")</f>
        <v/>
      </c>
      <c r="Y998">
        <f>HYPERLINK("https://klasma.github.io/Logging_2281/tillsynsmail/A 4265-2026 tillsynsbegäran mail.docx", "A 4265-2026")</f>
        <v/>
      </c>
    </row>
    <row r="999" ht="15" customHeight="1">
      <c r="A999" t="inlineStr">
        <is>
          <t>A 5048-2026</t>
        </is>
      </c>
      <c r="B999" s="1" t="n">
        <v>46049.46950231482</v>
      </c>
      <c r="C999" s="1" t="n">
        <v>46185</v>
      </c>
      <c r="D999" t="inlineStr">
        <is>
          <t>VÄSTERNORRLANDS LÄN</t>
        </is>
      </c>
      <c r="E999" t="inlineStr">
        <is>
          <t>SOLLEFTEÅ</t>
        </is>
      </c>
      <c r="F999" t="inlineStr">
        <is>
          <t>SCA</t>
        </is>
      </c>
      <c r="G999" t="n">
        <v>5.2</v>
      </c>
      <c r="H999" t="n">
        <v>0</v>
      </c>
      <c r="I999" t="n">
        <v>0</v>
      </c>
      <c r="J999" t="n">
        <v>1</v>
      </c>
      <c r="K999" t="n">
        <v>0</v>
      </c>
      <c r="L999" t="n">
        <v>0</v>
      </c>
      <c r="M999" t="n">
        <v>0</v>
      </c>
      <c r="N999" t="n">
        <v>0</v>
      </c>
      <c r="O999" t="n">
        <v>1</v>
      </c>
      <c r="P999" t="n">
        <v>0</v>
      </c>
      <c r="Q999" t="n">
        <v>1</v>
      </c>
      <c r="R999" s="2" t="inlineStr">
        <is>
          <t>Motaggsvamp</t>
        </is>
      </c>
      <c r="S999">
        <f>HYPERLINK("https://klasma.github.io/Logging_2283/artfynd/A 5048-2026 artfynd.xlsx", "A 5048-2026")</f>
        <v/>
      </c>
      <c r="T999">
        <f>HYPERLINK("https://klasma.github.io/Logging_2283/kartor/A 5048-2026 karta.png", "A 5048-2026")</f>
        <v/>
      </c>
      <c r="V999">
        <f>HYPERLINK("https://klasma.github.io/Logging_2283/klagomål/A 5048-2026 FSC-klagomål.docx", "A 5048-2026")</f>
        <v/>
      </c>
      <c r="W999">
        <f>HYPERLINK("https://klasma.github.io/Logging_2283/klagomålsmail/A 5048-2026 FSC-klagomål mail.docx", "A 5048-2026")</f>
        <v/>
      </c>
      <c r="X999">
        <f>HYPERLINK("https://klasma.github.io/Logging_2283/tillsyn/A 5048-2026 tillsynsbegäran.docx", "A 5048-2026")</f>
        <v/>
      </c>
      <c r="Y999">
        <f>HYPERLINK("https://klasma.github.io/Logging_2283/tillsynsmail/A 5048-2026 tillsynsbegäran mail.docx", "A 5048-2026")</f>
        <v/>
      </c>
    </row>
    <row r="1000" ht="15" customHeight="1">
      <c r="A1000" t="inlineStr">
        <is>
          <t>A 57272-2024</t>
        </is>
      </c>
      <c r="B1000" s="1" t="n">
        <v>45629.57380787037</v>
      </c>
      <c r="C1000" s="1" t="n">
        <v>46185</v>
      </c>
      <c r="D1000" t="inlineStr">
        <is>
          <t>VÄSTERNORRLANDS LÄN</t>
        </is>
      </c>
      <c r="E1000" t="inlineStr">
        <is>
          <t>ÅNGE</t>
        </is>
      </c>
      <c r="F1000" t="inlineStr">
        <is>
          <t>SCA</t>
        </is>
      </c>
      <c r="G1000" t="n">
        <v>5.4</v>
      </c>
      <c r="H1000" t="n">
        <v>0</v>
      </c>
      <c r="I1000" t="n">
        <v>0</v>
      </c>
      <c r="J1000" t="n">
        <v>1</v>
      </c>
      <c r="K1000" t="n">
        <v>0</v>
      </c>
      <c r="L1000" t="n">
        <v>0</v>
      </c>
      <c r="M1000" t="n">
        <v>0</v>
      </c>
      <c r="N1000" t="n">
        <v>0</v>
      </c>
      <c r="O1000" t="n">
        <v>1</v>
      </c>
      <c r="P1000" t="n">
        <v>0</v>
      </c>
      <c r="Q1000" t="n">
        <v>1</v>
      </c>
      <c r="R1000" s="2" t="inlineStr">
        <is>
          <t>Orange taggsvamp</t>
        </is>
      </c>
      <c r="S1000">
        <f>HYPERLINK("https://klasma.github.io/Logging_2260/artfynd/A 57272-2024 artfynd.xlsx", "A 57272-2024")</f>
        <v/>
      </c>
      <c r="T1000">
        <f>HYPERLINK("https://klasma.github.io/Logging_2260/kartor/A 57272-2024 karta.png", "A 57272-2024")</f>
        <v/>
      </c>
      <c r="V1000">
        <f>HYPERLINK("https://klasma.github.io/Logging_2260/klagomål/A 57272-2024 FSC-klagomål.docx", "A 57272-2024")</f>
        <v/>
      </c>
      <c r="W1000">
        <f>HYPERLINK("https://klasma.github.io/Logging_2260/klagomålsmail/A 57272-2024 FSC-klagomål mail.docx", "A 57272-2024")</f>
        <v/>
      </c>
      <c r="X1000">
        <f>HYPERLINK("https://klasma.github.io/Logging_2260/tillsyn/A 57272-2024 tillsynsbegäran.docx", "A 57272-2024")</f>
        <v/>
      </c>
      <c r="Y1000">
        <f>HYPERLINK("https://klasma.github.io/Logging_2260/tillsynsmail/A 57272-2024 tillsynsbegäran mail.docx", "A 57272-2024")</f>
        <v/>
      </c>
    </row>
    <row r="1001" ht="15" customHeight="1">
      <c r="A1001" t="inlineStr">
        <is>
          <t>A 54894-2024</t>
        </is>
      </c>
      <c r="B1001" s="1" t="n">
        <v>45618.63611111111</v>
      </c>
      <c r="C1001" s="1" t="n">
        <v>46185</v>
      </c>
      <c r="D1001" t="inlineStr">
        <is>
          <t>VÄSTERNORRLANDS LÄN</t>
        </is>
      </c>
      <c r="E1001" t="inlineStr">
        <is>
          <t>HÄRNÖSAND</t>
        </is>
      </c>
      <c r="F1001" t="inlineStr">
        <is>
          <t>SCA</t>
        </is>
      </c>
      <c r="G1001" t="n">
        <v>2.5</v>
      </c>
      <c r="H1001" t="n">
        <v>0</v>
      </c>
      <c r="I1001" t="n">
        <v>0</v>
      </c>
      <c r="J1001" t="n">
        <v>1</v>
      </c>
      <c r="K1001" t="n">
        <v>0</v>
      </c>
      <c r="L1001" t="n">
        <v>0</v>
      </c>
      <c r="M1001" t="n">
        <v>0</v>
      </c>
      <c r="N1001" t="n">
        <v>0</v>
      </c>
      <c r="O1001" t="n">
        <v>1</v>
      </c>
      <c r="P1001" t="n">
        <v>0</v>
      </c>
      <c r="Q1001" t="n">
        <v>1</v>
      </c>
      <c r="R1001" s="2" t="inlineStr">
        <is>
          <t>Garnlav</t>
        </is>
      </c>
      <c r="S1001">
        <f>HYPERLINK("https://klasma.github.io/Logging_2280/artfynd/A 54894-2024 artfynd.xlsx", "A 54894-2024")</f>
        <v/>
      </c>
      <c r="T1001">
        <f>HYPERLINK("https://klasma.github.io/Logging_2280/kartor/A 54894-2024 karta.png", "A 54894-2024")</f>
        <v/>
      </c>
      <c r="V1001">
        <f>HYPERLINK("https://klasma.github.io/Logging_2280/klagomål/A 54894-2024 FSC-klagomål.docx", "A 54894-2024")</f>
        <v/>
      </c>
      <c r="W1001">
        <f>HYPERLINK("https://klasma.github.io/Logging_2280/klagomålsmail/A 54894-2024 FSC-klagomål mail.docx", "A 54894-2024")</f>
        <v/>
      </c>
      <c r="X1001">
        <f>HYPERLINK("https://klasma.github.io/Logging_2280/tillsyn/A 54894-2024 tillsynsbegäran.docx", "A 54894-2024")</f>
        <v/>
      </c>
      <c r="Y1001">
        <f>HYPERLINK("https://klasma.github.io/Logging_2280/tillsynsmail/A 54894-2024 tillsynsbegäran mail.docx", "A 54894-2024")</f>
        <v/>
      </c>
    </row>
    <row r="1002" ht="15" customHeight="1">
      <c r="A1002" t="inlineStr">
        <is>
          <t>A 12058-2023</t>
        </is>
      </c>
      <c r="B1002" s="1" t="n">
        <v>44995</v>
      </c>
      <c r="C1002" s="1" t="n">
        <v>46185</v>
      </c>
      <c r="D1002" t="inlineStr">
        <is>
          <t>VÄSTERNORRLANDS LÄN</t>
        </is>
      </c>
      <c r="E1002" t="inlineStr">
        <is>
          <t>SUNDSVALL</t>
        </is>
      </c>
      <c r="F1002" t="inlineStr">
        <is>
          <t>SCA</t>
        </is>
      </c>
      <c r="G1002" t="n">
        <v>4</v>
      </c>
      <c r="H1002" t="n">
        <v>1</v>
      </c>
      <c r="I1002" t="n">
        <v>0</v>
      </c>
      <c r="J1002" t="n">
        <v>1</v>
      </c>
      <c r="K1002" t="n">
        <v>0</v>
      </c>
      <c r="L1002" t="n">
        <v>0</v>
      </c>
      <c r="M1002" t="n">
        <v>0</v>
      </c>
      <c r="N1002" t="n">
        <v>0</v>
      </c>
      <c r="O1002" t="n">
        <v>1</v>
      </c>
      <c r="P1002" t="n">
        <v>0</v>
      </c>
      <c r="Q1002" t="n">
        <v>1</v>
      </c>
      <c r="R1002" s="2" t="inlineStr">
        <is>
          <t>Fiskmås</t>
        </is>
      </c>
      <c r="S1002">
        <f>HYPERLINK("https://klasma.github.io/Logging_2281/artfynd/A 12058-2023 artfynd.xlsx", "A 12058-2023")</f>
        <v/>
      </c>
      <c r="T1002">
        <f>HYPERLINK("https://klasma.github.io/Logging_2281/kartor/A 12058-2023 karta.png", "A 12058-2023")</f>
        <v/>
      </c>
      <c r="V1002">
        <f>HYPERLINK("https://klasma.github.io/Logging_2281/klagomål/A 12058-2023 FSC-klagomål.docx", "A 12058-2023")</f>
        <v/>
      </c>
      <c r="W1002">
        <f>HYPERLINK("https://klasma.github.io/Logging_2281/klagomålsmail/A 12058-2023 FSC-klagomål mail.docx", "A 12058-2023")</f>
        <v/>
      </c>
      <c r="X1002">
        <f>HYPERLINK("https://klasma.github.io/Logging_2281/tillsyn/A 12058-2023 tillsynsbegäran.docx", "A 12058-2023")</f>
        <v/>
      </c>
      <c r="Y1002">
        <f>HYPERLINK("https://klasma.github.io/Logging_2281/tillsynsmail/A 12058-2023 tillsynsbegäran mail.docx", "A 12058-2023")</f>
        <v/>
      </c>
    </row>
    <row r="1003" ht="15" customHeight="1">
      <c r="A1003" t="inlineStr">
        <is>
          <t>A 52276-2025</t>
        </is>
      </c>
      <c r="B1003" s="1" t="n">
        <v>45953.55266203704</v>
      </c>
      <c r="C1003" s="1" t="n">
        <v>46185</v>
      </c>
      <c r="D1003" t="inlineStr">
        <is>
          <t>VÄSTERNORRLANDS LÄN</t>
        </is>
      </c>
      <c r="E1003" t="inlineStr">
        <is>
          <t>TIMRÅ</t>
        </is>
      </c>
      <c r="F1003" t="inlineStr">
        <is>
          <t>SCA</t>
        </is>
      </c>
      <c r="G1003" t="n">
        <v>0.5</v>
      </c>
      <c r="H1003" t="n">
        <v>0</v>
      </c>
      <c r="I1003" t="n">
        <v>0</v>
      </c>
      <c r="J1003" t="n">
        <v>1</v>
      </c>
      <c r="K1003" t="n">
        <v>0</v>
      </c>
      <c r="L1003" t="n">
        <v>0</v>
      </c>
      <c r="M1003" t="n">
        <v>0</v>
      </c>
      <c r="N1003" t="n">
        <v>0</v>
      </c>
      <c r="O1003" t="n">
        <v>1</v>
      </c>
      <c r="P1003" t="n">
        <v>0</v>
      </c>
      <c r="Q1003" t="n">
        <v>1</v>
      </c>
      <c r="R1003" s="2" t="inlineStr">
        <is>
          <t>Ullticka</t>
        </is>
      </c>
      <c r="S1003">
        <f>HYPERLINK("https://klasma.github.io/Logging_2262/artfynd/A 52276-2025 artfynd.xlsx", "A 52276-2025")</f>
        <v/>
      </c>
      <c r="T1003">
        <f>HYPERLINK("https://klasma.github.io/Logging_2262/kartor/A 52276-2025 karta.png", "A 52276-2025")</f>
        <v/>
      </c>
      <c r="V1003">
        <f>HYPERLINK("https://klasma.github.io/Logging_2262/klagomål/A 52276-2025 FSC-klagomål.docx", "A 52276-2025")</f>
        <v/>
      </c>
      <c r="W1003">
        <f>HYPERLINK("https://klasma.github.io/Logging_2262/klagomålsmail/A 52276-2025 FSC-klagomål mail.docx", "A 52276-2025")</f>
        <v/>
      </c>
      <c r="X1003">
        <f>HYPERLINK("https://klasma.github.io/Logging_2262/tillsyn/A 52276-2025 tillsynsbegäran.docx", "A 52276-2025")</f>
        <v/>
      </c>
      <c r="Y1003">
        <f>HYPERLINK("https://klasma.github.io/Logging_2262/tillsynsmail/A 52276-2025 tillsynsbegäran mail.docx", "A 52276-2025")</f>
        <v/>
      </c>
    </row>
    <row r="1004" ht="15" customHeight="1">
      <c r="A1004" t="inlineStr">
        <is>
          <t>A 26368-2025</t>
        </is>
      </c>
      <c r="B1004" s="1" t="n">
        <v>45806</v>
      </c>
      <c r="C1004" s="1" t="n">
        <v>46185</v>
      </c>
      <c r="D1004" t="inlineStr">
        <is>
          <t>VÄSTERNORRLANDS LÄN</t>
        </is>
      </c>
      <c r="E1004" t="inlineStr">
        <is>
          <t>KRAMFORS</t>
        </is>
      </c>
      <c r="G1004" t="n">
        <v>8.199999999999999</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HYPERLINK("https://klasma.github.io/Logging_2282/artfynd/A 26368-2025 artfynd.xlsx", "A 26368-2025")</f>
        <v/>
      </c>
      <c r="T1004">
        <f>HYPERLINK("https://klasma.github.io/Logging_2282/kartor/A 26368-2025 karta.png", "A 26368-2025")</f>
        <v/>
      </c>
      <c r="V1004">
        <f>HYPERLINK("https://klasma.github.io/Logging_2282/klagomål/A 26368-2025 FSC-klagomål.docx", "A 26368-2025")</f>
        <v/>
      </c>
      <c r="W1004">
        <f>HYPERLINK("https://klasma.github.io/Logging_2282/klagomålsmail/A 26368-2025 FSC-klagomål mail.docx", "A 26368-2025")</f>
        <v/>
      </c>
      <c r="X1004">
        <f>HYPERLINK("https://klasma.github.io/Logging_2282/tillsyn/A 26368-2025 tillsynsbegäran.docx", "A 26368-2025")</f>
        <v/>
      </c>
      <c r="Y1004">
        <f>HYPERLINK("https://klasma.github.io/Logging_2282/tillsynsmail/A 26368-2025 tillsynsbegäran mail.docx", "A 26368-2025")</f>
        <v/>
      </c>
      <c r="Z1004">
        <f>HYPERLINK("https://klasma.github.io/Logging_2282/fåglar/A 26368-2025 prioriterade fågelarter.docx", "A 26368-2025")</f>
        <v/>
      </c>
    </row>
    <row r="1005" ht="15" customHeight="1">
      <c r="A1005" t="inlineStr">
        <is>
          <t>A 32160-2024</t>
        </is>
      </c>
      <c r="B1005" s="1" t="n">
        <v>45511</v>
      </c>
      <c r="C1005" s="1" t="n">
        <v>46185</v>
      </c>
      <c r="D1005" t="inlineStr">
        <is>
          <t>VÄSTERNORRLANDS LÄN</t>
        </is>
      </c>
      <c r="E1005" t="inlineStr">
        <is>
          <t>KRAMFORS</t>
        </is>
      </c>
      <c r="G1005" t="n">
        <v>0.3</v>
      </c>
      <c r="H1005" t="n">
        <v>0</v>
      </c>
      <c r="I1005" t="n">
        <v>0</v>
      </c>
      <c r="J1005" t="n">
        <v>0</v>
      </c>
      <c r="K1005" t="n">
        <v>1</v>
      </c>
      <c r="L1005" t="n">
        <v>0</v>
      </c>
      <c r="M1005" t="n">
        <v>0</v>
      </c>
      <c r="N1005" t="n">
        <v>0</v>
      </c>
      <c r="O1005" t="n">
        <v>1</v>
      </c>
      <c r="P1005" t="n">
        <v>1</v>
      </c>
      <c r="Q1005" t="n">
        <v>1</v>
      </c>
      <c r="R1005" s="2" t="inlineStr">
        <is>
          <t>Ringlav</t>
        </is>
      </c>
      <c r="S1005">
        <f>HYPERLINK("https://klasma.github.io/Logging_2282/artfynd/A 32160-2024 artfynd.xlsx", "A 32160-2024")</f>
        <v/>
      </c>
      <c r="T1005">
        <f>HYPERLINK("https://klasma.github.io/Logging_2282/kartor/A 32160-2024 karta.png", "A 32160-2024")</f>
        <v/>
      </c>
      <c r="V1005">
        <f>HYPERLINK("https://klasma.github.io/Logging_2282/klagomål/A 32160-2024 FSC-klagomål.docx", "A 32160-2024")</f>
        <v/>
      </c>
      <c r="W1005">
        <f>HYPERLINK("https://klasma.github.io/Logging_2282/klagomålsmail/A 32160-2024 FSC-klagomål mail.docx", "A 32160-2024")</f>
        <v/>
      </c>
      <c r="X1005">
        <f>HYPERLINK("https://klasma.github.io/Logging_2282/tillsyn/A 32160-2024 tillsynsbegäran.docx", "A 32160-2024")</f>
        <v/>
      </c>
      <c r="Y1005">
        <f>HYPERLINK("https://klasma.github.io/Logging_2282/tillsynsmail/A 32160-2024 tillsynsbegäran mail.docx", "A 32160-2024")</f>
        <v/>
      </c>
      <c r="Z1005">
        <f>HYPERLINK("https://klasma.github.io/Logging_2282/fåglar/A 32160-2024 prioriterade fågelarter.docx", "A 32160-2024")</f>
        <v/>
      </c>
    </row>
    <row r="1006" ht="15" customHeight="1">
      <c r="A1006" t="inlineStr">
        <is>
          <t>A 53822-2025</t>
        </is>
      </c>
      <c r="B1006" s="1" t="n">
        <v>45961.32806712963</v>
      </c>
      <c r="C1006" s="1" t="n">
        <v>46185</v>
      </c>
      <c r="D1006" t="inlineStr">
        <is>
          <t>VÄSTERNORRLANDS LÄN</t>
        </is>
      </c>
      <c r="E1006" t="inlineStr">
        <is>
          <t>SOLLEFTEÅ</t>
        </is>
      </c>
      <c r="G1006" t="n">
        <v>2.1</v>
      </c>
      <c r="H1006" t="n">
        <v>1</v>
      </c>
      <c r="I1006" t="n">
        <v>0</v>
      </c>
      <c r="J1006" t="n">
        <v>0</v>
      </c>
      <c r="K1006" t="n">
        <v>0</v>
      </c>
      <c r="L1006" t="n">
        <v>0</v>
      </c>
      <c r="M1006" t="n">
        <v>0</v>
      </c>
      <c r="N1006" t="n">
        <v>0</v>
      </c>
      <c r="O1006" t="n">
        <v>0</v>
      </c>
      <c r="P1006" t="n">
        <v>0</v>
      </c>
      <c r="Q1006" t="n">
        <v>1</v>
      </c>
      <c r="R1006" s="2" t="inlineStr">
        <is>
          <t>Sångsvan</t>
        </is>
      </c>
      <c r="S1006">
        <f>HYPERLINK("https://klasma.github.io/Logging_2283/artfynd/A 53822-2025 artfynd.xlsx", "A 53822-2025")</f>
        <v/>
      </c>
      <c r="T1006">
        <f>HYPERLINK("https://klasma.github.io/Logging_2283/kartor/A 53822-2025 karta.png", "A 53822-2025")</f>
        <v/>
      </c>
      <c r="V1006">
        <f>HYPERLINK("https://klasma.github.io/Logging_2283/klagomål/A 53822-2025 FSC-klagomål.docx", "A 53822-2025")</f>
        <v/>
      </c>
      <c r="W1006">
        <f>HYPERLINK("https://klasma.github.io/Logging_2283/klagomålsmail/A 53822-2025 FSC-klagomål mail.docx", "A 53822-2025")</f>
        <v/>
      </c>
      <c r="X1006">
        <f>HYPERLINK("https://klasma.github.io/Logging_2283/tillsyn/A 53822-2025 tillsynsbegäran.docx", "A 53822-2025")</f>
        <v/>
      </c>
      <c r="Y1006">
        <f>HYPERLINK("https://klasma.github.io/Logging_2283/tillsynsmail/A 53822-2025 tillsynsbegäran mail.docx", "A 53822-2025")</f>
        <v/>
      </c>
      <c r="Z1006">
        <f>HYPERLINK("https://klasma.github.io/Logging_2283/fåglar/A 53822-2025 prioriterade fågelarter.docx", "A 53822-2025")</f>
        <v/>
      </c>
    </row>
    <row r="1007" ht="15" customHeight="1">
      <c r="A1007" t="inlineStr">
        <is>
          <t>A 1449-2025</t>
        </is>
      </c>
      <c r="B1007" s="1" t="n">
        <v>45670.27537037037</v>
      </c>
      <c r="C1007" s="1" t="n">
        <v>46185</v>
      </c>
      <c r="D1007" t="inlineStr">
        <is>
          <t>VÄSTERNORRLANDS LÄN</t>
        </is>
      </c>
      <c r="E1007" t="inlineStr">
        <is>
          <t>ÅNGE</t>
        </is>
      </c>
      <c r="G1007" t="n">
        <v>6.3</v>
      </c>
      <c r="H1007" t="n">
        <v>0</v>
      </c>
      <c r="I1007" t="n">
        <v>1</v>
      </c>
      <c r="J1007" t="n">
        <v>0</v>
      </c>
      <c r="K1007" t="n">
        <v>0</v>
      </c>
      <c r="L1007" t="n">
        <v>0</v>
      </c>
      <c r="M1007" t="n">
        <v>0</v>
      </c>
      <c r="N1007" t="n">
        <v>0</v>
      </c>
      <c r="O1007" t="n">
        <v>0</v>
      </c>
      <c r="P1007" t="n">
        <v>0</v>
      </c>
      <c r="Q1007" t="n">
        <v>1</v>
      </c>
      <c r="R1007" s="2" t="inlineStr">
        <is>
          <t>Korallblylav</t>
        </is>
      </c>
      <c r="S1007">
        <f>HYPERLINK("https://klasma.github.io/Logging_2260/artfynd/A 1449-2025 artfynd.xlsx", "A 1449-2025")</f>
        <v/>
      </c>
      <c r="T1007">
        <f>HYPERLINK("https://klasma.github.io/Logging_2260/kartor/A 1449-2025 karta.png", "A 1449-2025")</f>
        <v/>
      </c>
      <c r="V1007">
        <f>HYPERLINK("https://klasma.github.io/Logging_2260/klagomål/A 1449-2025 FSC-klagomål.docx", "A 1449-2025")</f>
        <v/>
      </c>
      <c r="W1007">
        <f>HYPERLINK("https://klasma.github.io/Logging_2260/klagomålsmail/A 1449-2025 FSC-klagomål mail.docx", "A 1449-2025")</f>
        <v/>
      </c>
      <c r="X1007">
        <f>HYPERLINK("https://klasma.github.io/Logging_2260/tillsyn/A 1449-2025 tillsynsbegäran.docx", "A 1449-2025")</f>
        <v/>
      </c>
      <c r="Y1007">
        <f>HYPERLINK("https://klasma.github.io/Logging_2260/tillsynsmail/A 1449-2025 tillsynsbegäran mail.docx", "A 1449-2025")</f>
        <v/>
      </c>
    </row>
    <row r="1008" ht="15" customHeight="1">
      <c r="A1008" t="inlineStr">
        <is>
          <t>A 7412-2026</t>
        </is>
      </c>
      <c r="B1008" s="1" t="n">
        <v>46059.40758101852</v>
      </c>
      <c r="C1008" s="1" t="n">
        <v>46185</v>
      </c>
      <c r="D1008" t="inlineStr">
        <is>
          <t>VÄSTERNORRLANDS LÄN</t>
        </is>
      </c>
      <c r="E1008" t="inlineStr">
        <is>
          <t>ÖRNSKÖLDSVIK</t>
        </is>
      </c>
      <c r="G1008" t="n">
        <v>3.9</v>
      </c>
      <c r="H1008" t="n">
        <v>1</v>
      </c>
      <c r="I1008" t="n">
        <v>0</v>
      </c>
      <c r="J1008" t="n">
        <v>0</v>
      </c>
      <c r="K1008" t="n">
        <v>0</v>
      </c>
      <c r="L1008" t="n">
        <v>0</v>
      </c>
      <c r="M1008" t="n">
        <v>0</v>
      </c>
      <c r="N1008" t="n">
        <v>0</v>
      </c>
      <c r="O1008" t="n">
        <v>0</v>
      </c>
      <c r="P1008" t="n">
        <v>0</v>
      </c>
      <c r="Q1008" t="n">
        <v>1</v>
      </c>
      <c r="R1008" s="2" t="inlineStr">
        <is>
          <t>Vanlig padda</t>
        </is>
      </c>
      <c r="S1008">
        <f>HYPERLINK("https://klasma.github.io/Logging_2284/artfynd/A 7412-2026 artfynd.xlsx", "A 7412-2026")</f>
        <v/>
      </c>
      <c r="T1008">
        <f>HYPERLINK("https://klasma.github.io/Logging_2284/kartor/A 7412-2026 karta.png", "A 7412-2026")</f>
        <v/>
      </c>
      <c r="V1008">
        <f>HYPERLINK("https://klasma.github.io/Logging_2284/klagomål/A 7412-2026 FSC-klagomål.docx", "A 7412-2026")</f>
        <v/>
      </c>
      <c r="W1008">
        <f>HYPERLINK("https://klasma.github.io/Logging_2284/klagomålsmail/A 7412-2026 FSC-klagomål mail.docx", "A 7412-2026")</f>
        <v/>
      </c>
      <c r="X1008">
        <f>HYPERLINK("https://klasma.github.io/Logging_2284/tillsyn/A 7412-2026 tillsynsbegäran.docx", "A 7412-2026")</f>
        <v/>
      </c>
      <c r="Y1008">
        <f>HYPERLINK("https://klasma.github.io/Logging_2284/tillsynsmail/A 7412-2026 tillsynsbegäran mail.docx", "A 7412-2026")</f>
        <v/>
      </c>
    </row>
    <row r="1009" ht="15" customHeight="1">
      <c r="A1009" t="inlineStr">
        <is>
          <t>A 21962-2025</t>
        </is>
      </c>
      <c r="B1009" s="1" t="n">
        <v>45784</v>
      </c>
      <c r="C1009" s="1" t="n">
        <v>46185</v>
      </c>
      <c r="D1009" t="inlineStr">
        <is>
          <t>VÄSTERNORRLANDS LÄN</t>
        </is>
      </c>
      <c r="E1009" t="inlineStr">
        <is>
          <t>SOLLEFTEÅ</t>
        </is>
      </c>
      <c r="F1009" t="inlineStr">
        <is>
          <t>SCA</t>
        </is>
      </c>
      <c r="G1009" t="n">
        <v>22.5</v>
      </c>
      <c r="H1009" t="n">
        <v>1</v>
      </c>
      <c r="I1009" t="n">
        <v>0</v>
      </c>
      <c r="J1009" t="n">
        <v>1</v>
      </c>
      <c r="K1009" t="n">
        <v>0</v>
      </c>
      <c r="L1009" t="n">
        <v>0</v>
      </c>
      <c r="M1009" t="n">
        <v>0</v>
      </c>
      <c r="N1009" t="n">
        <v>0</v>
      </c>
      <c r="O1009" t="n">
        <v>1</v>
      </c>
      <c r="P1009" t="n">
        <v>0</v>
      </c>
      <c r="Q1009" t="n">
        <v>1</v>
      </c>
      <c r="R1009" s="2" t="inlineStr">
        <is>
          <t>Järpe</t>
        </is>
      </c>
      <c r="S1009">
        <f>HYPERLINK("https://klasma.github.io/Logging_2283/artfynd/A 21962-2025 artfynd.xlsx", "A 21962-2025")</f>
        <v/>
      </c>
      <c r="T1009">
        <f>HYPERLINK("https://klasma.github.io/Logging_2283/kartor/A 21962-2025 karta.png", "A 21962-2025")</f>
        <v/>
      </c>
      <c r="V1009">
        <f>HYPERLINK("https://klasma.github.io/Logging_2283/klagomål/A 21962-2025 FSC-klagomål.docx", "A 21962-2025")</f>
        <v/>
      </c>
      <c r="W1009">
        <f>HYPERLINK("https://klasma.github.io/Logging_2283/klagomålsmail/A 21962-2025 FSC-klagomål mail.docx", "A 21962-2025")</f>
        <v/>
      </c>
      <c r="X1009">
        <f>HYPERLINK("https://klasma.github.io/Logging_2283/tillsyn/A 21962-2025 tillsynsbegäran.docx", "A 21962-2025")</f>
        <v/>
      </c>
      <c r="Y1009">
        <f>HYPERLINK("https://klasma.github.io/Logging_2283/tillsynsmail/A 21962-2025 tillsynsbegäran mail.docx", "A 21962-2025")</f>
        <v/>
      </c>
      <c r="Z1009">
        <f>HYPERLINK("https://klasma.github.io/Logging_2283/fåglar/A 21962-2025 prioriterade fågelarter.docx", "A 21962-2025")</f>
        <v/>
      </c>
    </row>
    <row r="1010" ht="15" customHeight="1">
      <c r="A1010" t="inlineStr">
        <is>
          <t>A 7388-2026</t>
        </is>
      </c>
      <c r="B1010" s="1" t="n">
        <v>46059</v>
      </c>
      <c r="C1010" s="1" t="n">
        <v>46185</v>
      </c>
      <c r="D1010" t="inlineStr">
        <is>
          <t>VÄSTERNORRLANDS LÄN</t>
        </is>
      </c>
      <c r="E1010" t="inlineStr">
        <is>
          <t>TIMRÅ</t>
        </is>
      </c>
      <c r="G1010" t="n">
        <v>4.9</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HYPERLINK("https://klasma.github.io/Logging_2262/artfynd/A 7388-2026 artfynd.xlsx", "A 7388-2026")</f>
        <v/>
      </c>
      <c r="T1010">
        <f>HYPERLINK("https://klasma.github.io/Logging_2262/kartor/A 7388-2026 karta.png", "A 7388-2026")</f>
        <v/>
      </c>
      <c r="V1010">
        <f>HYPERLINK("https://klasma.github.io/Logging_2262/klagomål/A 7388-2026 FSC-klagomål.docx", "A 7388-2026")</f>
        <v/>
      </c>
      <c r="W1010">
        <f>HYPERLINK("https://klasma.github.io/Logging_2262/klagomålsmail/A 7388-2026 FSC-klagomål mail.docx", "A 7388-2026")</f>
        <v/>
      </c>
      <c r="X1010">
        <f>HYPERLINK("https://klasma.github.io/Logging_2262/tillsyn/A 7388-2026 tillsynsbegäran.docx", "A 7388-2026")</f>
        <v/>
      </c>
      <c r="Y1010">
        <f>HYPERLINK("https://klasma.github.io/Logging_2262/tillsynsmail/A 7388-2026 tillsynsbegäran mail.docx", "A 7388-2026")</f>
        <v/>
      </c>
      <c r="Z1010">
        <f>HYPERLINK("https://klasma.github.io/Logging_2262/fåglar/A 7388-2026 prioriterade fågelarter.docx", "A 7388-2026")</f>
        <v/>
      </c>
    </row>
    <row r="1011" ht="15" customHeight="1">
      <c r="A1011" t="inlineStr">
        <is>
          <t>A 7686-2026</t>
        </is>
      </c>
      <c r="B1011" s="1" t="n">
        <v>46062.4353587963</v>
      </c>
      <c r="C1011" s="1" t="n">
        <v>46185</v>
      </c>
      <c r="D1011" t="inlineStr">
        <is>
          <t>VÄSTERNORRLANDS LÄN</t>
        </is>
      </c>
      <c r="E1011" t="inlineStr">
        <is>
          <t>ÖRNSKÖLDSVIK</t>
        </is>
      </c>
      <c r="G1011" t="n">
        <v>4.2</v>
      </c>
      <c r="H1011" t="n">
        <v>1</v>
      </c>
      <c r="I1011" t="n">
        <v>0</v>
      </c>
      <c r="J1011" t="n">
        <v>0</v>
      </c>
      <c r="K1011" t="n">
        <v>0</v>
      </c>
      <c r="L1011" t="n">
        <v>0</v>
      </c>
      <c r="M1011" t="n">
        <v>0</v>
      </c>
      <c r="N1011" t="n">
        <v>0</v>
      </c>
      <c r="O1011" t="n">
        <v>0</v>
      </c>
      <c r="P1011" t="n">
        <v>0</v>
      </c>
      <c r="Q1011" t="n">
        <v>1</v>
      </c>
      <c r="R1011" s="2" t="inlineStr">
        <is>
          <t>Skogsduva</t>
        </is>
      </c>
      <c r="S1011">
        <f>HYPERLINK("https://klasma.github.io/Logging_2284/artfynd/A 7686-2026 artfynd.xlsx", "A 7686-2026")</f>
        <v/>
      </c>
      <c r="T1011">
        <f>HYPERLINK("https://klasma.github.io/Logging_2284/kartor/A 7686-2026 karta.png", "A 7686-2026")</f>
        <v/>
      </c>
      <c r="V1011">
        <f>HYPERLINK("https://klasma.github.io/Logging_2284/klagomål/A 7686-2026 FSC-klagomål.docx", "A 7686-2026")</f>
        <v/>
      </c>
      <c r="W1011">
        <f>HYPERLINK("https://klasma.github.io/Logging_2284/klagomålsmail/A 7686-2026 FSC-klagomål mail.docx", "A 7686-2026")</f>
        <v/>
      </c>
      <c r="X1011">
        <f>HYPERLINK("https://klasma.github.io/Logging_2284/tillsyn/A 7686-2026 tillsynsbegäran.docx", "A 7686-2026")</f>
        <v/>
      </c>
      <c r="Y1011">
        <f>HYPERLINK("https://klasma.github.io/Logging_2284/tillsynsmail/A 7686-2026 tillsynsbegäran mail.docx", "A 7686-2026")</f>
        <v/>
      </c>
      <c r="Z1011">
        <f>HYPERLINK("https://klasma.github.io/Logging_2284/fåglar/A 7686-2026 prioriterade fågelarter.docx", "A 7686-2026")</f>
        <v/>
      </c>
    </row>
    <row r="1012" ht="15" customHeight="1">
      <c r="A1012" t="inlineStr">
        <is>
          <t>A 55799-2025</t>
        </is>
      </c>
      <c r="B1012" s="1" t="n">
        <v>45972.66321759259</v>
      </c>
      <c r="C1012" s="1" t="n">
        <v>46185</v>
      </c>
      <c r="D1012" t="inlineStr">
        <is>
          <t>VÄSTERNORRLANDS LÄN</t>
        </is>
      </c>
      <c r="E1012" t="inlineStr">
        <is>
          <t>ÖRNSKÖLDSVIK</t>
        </is>
      </c>
      <c r="F1012" t="inlineStr">
        <is>
          <t>Holmen skog AB</t>
        </is>
      </c>
      <c r="G1012" t="n">
        <v>2.1</v>
      </c>
      <c r="H1012" t="n">
        <v>0</v>
      </c>
      <c r="I1012" t="n">
        <v>0</v>
      </c>
      <c r="J1012" t="n">
        <v>1</v>
      </c>
      <c r="K1012" t="n">
        <v>0</v>
      </c>
      <c r="L1012" t="n">
        <v>0</v>
      </c>
      <c r="M1012" t="n">
        <v>0</v>
      </c>
      <c r="N1012" t="n">
        <v>0</v>
      </c>
      <c r="O1012" t="n">
        <v>1</v>
      </c>
      <c r="P1012" t="n">
        <v>0</v>
      </c>
      <c r="Q1012" t="n">
        <v>1</v>
      </c>
      <c r="R1012" s="2" t="inlineStr">
        <is>
          <t>Garnlav</t>
        </is>
      </c>
      <c r="S1012">
        <f>HYPERLINK("https://klasma.github.io/Logging_2284/artfynd/A 55799-2025 artfynd.xlsx", "A 55799-2025")</f>
        <v/>
      </c>
      <c r="T1012">
        <f>HYPERLINK("https://klasma.github.io/Logging_2284/kartor/A 55799-2025 karta.png", "A 55799-2025")</f>
        <v/>
      </c>
      <c r="V1012">
        <f>HYPERLINK("https://klasma.github.io/Logging_2284/klagomål/A 55799-2025 FSC-klagomål.docx", "A 55799-2025")</f>
        <v/>
      </c>
      <c r="W1012">
        <f>HYPERLINK("https://klasma.github.io/Logging_2284/klagomålsmail/A 55799-2025 FSC-klagomål mail.docx", "A 55799-2025")</f>
        <v/>
      </c>
      <c r="X1012">
        <f>HYPERLINK("https://klasma.github.io/Logging_2284/tillsyn/A 55799-2025 tillsynsbegäran.docx", "A 55799-2025")</f>
        <v/>
      </c>
      <c r="Y1012">
        <f>HYPERLINK("https://klasma.github.io/Logging_2284/tillsynsmail/A 55799-2025 tillsynsbegäran mail.docx", "A 55799-2025")</f>
        <v/>
      </c>
    </row>
    <row r="1013" ht="15" customHeight="1">
      <c r="A1013" t="inlineStr">
        <is>
          <t>A 56089-2025</t>
        </is>
      </c>
      <c r="B1013" s="1" t="n">
        <v>45973.66760416667</v>
      </c>
      <c r="C1013" s="1" t="n">
        <v>46185</v>
      </c>
      <c r="D1013" t="inlineStr">
        <is>
          <t>VÄSTERNORRLANDS LÄN</t>
        </is>
      </c>
      <c r="E1013" t="inlineStr">
        <is>
          <t>ÖRNSKÖLDSVIK</t>
        </is>
      </c>
      <c r="F1013" t="inlineStr">
        <is>
          <t>Holmen skog AB</t>
        </is>
      </c>
      <c r="G1013" t="n">
        <v>2.1</v>
      </c>
      <c r="H1013" t="n">
        <v>0</v>
      </c>
      <c r="I1013" t="n">
        <v>0</v>
      </c>
      <c r="J1013" t="n">
        <v>1</v>
      </c>
      <c r="K1013" t="n">
        <v>0</v>
      </c>
      <c r="L1013" t="n">
        <v>0</v>
      </c>
      <c r="M1013" t="n">
        <v>0</v>
      </c>
      <c r="N1013" t="n">
        <v>0</v>
      </c>
      <c r="O1013" t="n">
        <v>1</v>
      </c>
      <c r="P1013" t="n">
        <v>0</v>
      </c>
      <c r="Q1013" t="n">
        <v>1</v>
      </c>
      <c r="R1013" s="2" t="inlineStr">
        <is>
          <t>Lunglav</t>
        </is>
      </c>
      <c r="S1013">
        <f>HYPERLINK("https://klasma.github.io/Logging_2284/artfynd/A 56089-2025 artfynd.xlsx", "A 56089-2025")</f>
        <v/>
      </c>
      <c r="T1013">
        <f>HYPERLINK("https://klasma.github.io/Logging_2284/kartor/A 56089-2025 karta.png", "A 56089-2025")</f>
        <v/>
      </c>
      <c r="V1013">
        <f>HYPERLINK("https://klasma.github.io/Logging_2284/klagomål/A 56089-2025 FSC-klagomål.docx", "A 56089-2025")</f>
        <v/>
      </c>
      <c r="W1013">
        <f>HYPERLINK("https://klasma.github.io/Logging_2284/klagomålsmail/A 56089-2025 FSC-klagomål mail.docx", "A 56089-2025")</f>
        <v/>
      </c>
      <c r="X1013">
        <f>HYPERLINK("https://klasma.github.io/Logging_2284/tillsyn/A 56089-2025 tillsynsbegäran.docx", "A 56089-2025")</f>
        <v/>
      </c>
      <c r="Y1013">
        <f>HYPERLINK("https://klasma.github.io/Logging_2284/tillsynsmail/A 56089-2025 tillsynsbegäran mail.docx", "A 56089-2025")</f>
        <v/>
      </c>
    </row>
    <row r="1014" ht="15" customHeight="1">
      <c r="A1014" t="inlineStr">
        <is>
          <t>A 8176-2026</t>
        </is>
      </c>
      <c r="B1014" s="1" t="n">
        <v>46064.40684027778</v>
      </c>
      <c r="C1014" s="1" t="n">
        <v>46185</v>
      </c>
      <c r="D1014" t="inlineStr">
        <is>
          <t>VÄSTERNORRLANDS LÄN</t>
        </is>
      </c>
      <c r="E1014" t="inlineStr">
        <is>
          <t>SUNDSVALL</t>
        </is>
      </c>
      <c r="F1014" t="inlineStr">
        <is>
          <t>SCA</t>
        </is>
      </c>
      <c r="G1014" t="n">
        <v>31.5</v>
      </c>
      <c r="H1014" t="n">
        <v>0</v>
      </c>
      <c r="I1014" t="n">
        <v>0</v>
      </c>
      <c r="J1014" t="n">
        <v>1</v>
      </c>
      <c r="K1014" t="n">
        <v>0</v>
      </c>
      <c r="L1014" t="n">
        <v>0</v>
      </c>
      <c r="M1014" t="n">
        <v>0</v>
      </c>
      <c r="N1014" t="n">
        <v>0</v>
      </c>
      <c r="O1014" t="n">
        <v>1</v>
      </c>
      <c r="P1014" t="n">
        <v>0</v>
      </c>
      <c r="Q1014" t="n">
        <v>1</v>
      </c>
      <c r="R1014" s="2" t="inlineStr">
        <is>
          <t>Brunklöver</t>
        </is>
      </c>
      <c r="S1014">
        <f>HYPERLINK("https://klasma.github.io/Logging_2281/artfynd/A 8176-2026 artfynd.xlsx", "A 8176-2026")</f>
        <v/>
      </c>
      <c r="T1014">
        <f>HYPERLINK("https://klasma.github.io/Logging_2281/kartor/A 8176-2026 karta.png", "A 8176-2026")</f>
        <v/>
      </c>
      <c r="V1014">
        <f>HYPERLINK("https://klasma.github.io/Logging_2281/klagomål/A 8176-2026 FSC-klagomål.docx", "A 8176-2026")</f>
        <v/>
      </c>
      <c r="W1014">
        <f>HYPERLINK("https://klasma.github.io/Logging_2281/klagomålsmail/A 8176-2026 FSC-klagomål mail.docx", "A 8176-2026")</f>
        <v/>
      </c>
      <c r="X1014">
        <f>HYPERLINK("https://klasma.github.io/Logging_2281/tillsyn/A 8176-2026 tillsynsbegäran.docx", "A 8176-2026")</f>
        <v/>
      </c>
      <c r="Y1014">
        <f>HYPERLINK("https://klasma.github.io/Logging_2281/tillsynsmail/A 8176-2026 tillsynsbegäran mail.docx", "A 8176-2026")</f>
        <v/>
      </c>
    </row>
    <row r="1015" ht="15" customHeight="1">
      <c r="A1015" t="inlineStr">
        <is>
          <t>A 37232-2021</t>
        </is>
      </c>
      <c r="B1015" s="1" t="n">
        <v>44396</v>
      </c>
      <c r="C1015" s="1" t="n">
        <v>46185</v>
      </c>
      <c r="D1015" t="inlineStr">
        <is>
          <t>VÄSTERNORRLANDS LÄN</t>
        </is>
      </c>
      <c r="E1015" t="inlineStr">
        <is>
          <t>SUNDSVALL</t>
        </is>
      </c>
      <c r="F1015" t="inlineStr">
        <is>
          <t>SCA</t>
        </is>
      </c>
      <c r="G1015" t="n">
        <v>1.6</v>
      </c>
      <c r="H1015" t="n">
        <v>0</v>
      </c>
      <c r="I1015" t="n">
        <v>0</v>
      </c>
      <c r="J1015" t="n">
        <v>1</v>
      </c>
      <c r="K1015" t="n">
        <v>0</v>
      </c>
      <c r="L1015" t="n">
        <v>0</v>
      </c>
      <c r="M1015" t="n">
        <v>0</v>
      </c>
      <c r="N1015" t="n">
        <v>0</v>
      </c>
      <c r="O1015" t="n">
        <v>1</v>
      </c>
      <c r="P1015" t="n">
        <v>0</v>
      </c>
      <c r="Q1015" t="n">
        <v>1</v>
      </c>
      <c r="R1015" s="2" t="inlineStr">
        <is>
          <t>Rosenticka</t>
        </is>
      </c>
      <c r="S1015">
        <f>HYPERLINK("https://klasma.github.io/Logging_2281/artfynd/A 37232-2021 artfynd.xlsx", "A 37232-2021")</f>
        <v/>
      </c>
      <c r="T1015">
        <f>HYPERLINK("https://klasma.github.io/Logging_2281/kartor/A 37232-2021 karta.png", "A 37232-2021")</f>
        <v/>
      </c>
      <c r="V1015">
        <f>HYPERLINK("https://klasma.github.io/Logging_2281/klagomål/A 37232-2021 FSC-klagomål.docx", "A 37232-2021")</f>
        <v/>
      </c>
      <c r="W1015">
        <f>HYPERLINK("https://klasma.github.io/Logging_2281/klagomålsmail/A 37232-2021 FSC-klagomål mail.docx", "A 37232-2021")</f>
        <v/>
      </c>
      <c r="X1015">
        <f>HYPERLINK("https://klasma.github.io/Logging_2281/tillsyn/A 37232-2021 tillsynsbegäran.docx", "A 37232-2021")</f>
        <v/>
      </c>
      <c r="Y1015">
        <f>HYPERLINK("https://klasma.github.io/Logging_2281/tillsynsmail/A 37232-2021 tillsynsbegäran mail.docx", "A 37232-2021")</f>
        <v/>
      </c>
    </row>
    <row r="1016" ht="15" customHeight="1">
      <c r="A1016" t="inlineStr">
        <is>
          <t>A 7323-2023</t>
        </is>
      </c>
      <c r="B1016" s="1" t="n">
        <v>44970</v>
      </c>
      <c r="C1016" s="1" t="n">
        <v>46185</v>
      </c>
      <c r="D1016" t="inlineStr">
        <is>
          <t>VÄSTERNORRLANDS LÄN</t>
        </is>
      </c>
      <c r="E1016" t="inlineStr">
        <is>
          <t>ÖRNSKÖLDSVIK</t>
        </is>
      </c>
      <c r="F1016" t="inlineStr">
        <is>
          <t>SCA</t>
        </is>
      </c>
      <c r="G1016" t="n">
        <v>18.6</v>
      </c>
      <c r="H1016" t="n">
        <v>0</v>
      </c>
      <c r="I1016" t="n">
        <v>0</v>
      </c>
      <c r="J1016" t="n">
        <v>1</v>
      </c>
      <c r="K1016" t="n">
        <v>0</v>
      </c>
      <c r="L1016" t="n">
        <v>0</v>
      </c>
      <c r="M1016" t="n">
        <v>0</v>
      </c>
      <c r="N1016" t="n">
        <v>0</v>
      </c>
      <c r="O1016" t="n">
        <v>1</v>
      </c>
      <c r="P1016" t="n">
        <v>0</v>
      </c>
      <c r="Q1016" t="n">
        <v>1</v>
      </c>
      <c r="R1016" s="2" t="inlineStr">
        <is>
          <t>Lunglav</t>
        </is>
      </c>
      <c r="S1016">
        <f>HYPERLINK("https://klasma.github.io/Logging_2284/artfynd/A 7323-2023 artfynd.xlsx", "A 7323-2023")</f>
        <v/>
      </c>
      <c r="T1016">
        <f>HYPERLINK("https://klasma.github.io/Logging_2284/kartor/A 7323-2023 karta.png", "A 7323-2023")</f>
        <v/>
      </c>
      <c r="V1016">
        <f>HYPERLINK("https://klasma.github.io/Logging_2284/klagomål/A 7323-2023 FSC-klagomål.docx", "A 7323-2023")</f>
        <v/>
      </c>
      <c r="W1016">
        <f>HYPERLINK("https://klasma.github.io/Logging_2284/klagomålsmail/A 7323-2023 FSC-klagomål mail.docx", "A 7323-2023")</f>
        <v/>
      </c>
      <c r="X1016">
        <f>HYPERLINK("https://klasma.github.io/Logging_2284/tillsyn/A 7323-2023 tillsynsbegäran.docx", "A 7323-2023")</f>
        <v/>
      </c>
      <c r="Y1016">
        <f>HYPERLINK("https://klasma.github.io/Logging_2284/tillsynsmail/A 7323-2023 tillsynsbegäran mail.docx", "A 7323-2023")</f>
        <v/>
      </c>
    </row>
    <row r="1017" ht="15" customHeight="1">
      <c r="A1017" t="inlineStr">
        <is>
          <t>A 44193-2023</t>
        </is>
      </c>
      <c r="B1017" s="1" t="n">
        <v>45188</v>
      </c>
      <c r="C1017" s="1" t="n">
        <v>46185</v>
      </c>
      <c r="D1017" t="inlineStr">
        <is>
          <t>VÄSTERNORRLANDS LÄN</t>
        </is>
      </c>
      <c r="E1017" t="inlineStr">
        <is>
          <t>SUNDSVALL</t>
        </is>
      </c>
      <c r="F1017" t="inlineStr">
        <is>
          <t>Holmen skog AB</t>
        </is>
      </c>
      <c r="G1017" t="n">
        <v>15.1</v>
      </c>
      <c r="H1017" t="n">
        <v>1</v>
      </c>
      <c r="I1017" t="n">
        <v>0</v>
      </c>
      <c r="J1017" t="n">
        <v>0</v>
      </c>
      <c r="K1017" t="n">
        <v>0</v>
      </c>
      <c r="L1017" t="n">
        <v>0</v>
      </c>
      <c r="M1017" t="n">
        <v>0</v>
      </c>
      <c r="N1017" t="n">
        <v>0</v>
      </c>
      <c r="O1017" t="n">
        <v>0</v>
      </c>
      <c r="P1017" t="n">
        <v>0</v>
      </c>
      <c r="Q1017" t="n">
        <v>1</v>
      </c>
      <c r="R1017" s="2" t="inlineStr">
        <is>
          <t>Tjäder</t>
        </is>
      </c>
      <c r="S1017">
        <f>HYPERLINK("https://klasma.github.io/Logging_2281/artfynd/A 44193-2023 artfynd.xlsx", "A 44193-2023")</f>
        <v/>
      </c>
      <c r="T1017">
        <f>HYPERLINK("https://klasma.github.io/Logging_2281/kartor/A 44193-2023 karta.png", "A 44193-2023")</f>
        <v/>
      </c>
      <c r="V1017">
        <f>HYPERLINK("https://klasma.github.io/Logging_2281/klagomål/A 44193-2023 FSC-klagomål.docx", "A 44193-2023")</f>
        <v/>
      </c>
      <c r="W1017">
        <f>HYPERLINK("https://klasma.github.io/Logging_2281/klagomålsmail/A 44193-2023 FSC-klagomål mail.docx", "A 44193-2023")</f>
        <v/>
      </c>
      <c r="X1017">
        <f>HYPERLINK("https://klasma.github.io/Logging_2281/tillsyn/A 44193-2023 tillsynsbegäran.docx", "A 44193-2023")</f>
        <v/>
      </c>
      <c r="Y1017">
        <f>HYPERLINK("https://klasma.github.io/Logging_2281/tillsynsmail/A 44193-2023 tillsynsbegäran mail.docx", "A 44193-2023")</f>
        <v/>
      </c>
      <c r="Z1017">
        <f>HYPERLINK("https://klasma.github.io/Logging_2281/fåglar/A 44193-2023 prioriterade fågelarter.docx", "A 44193-2023")</f>
        <v/>
      </c>
    </row>
    <row r="1018" ht="15" customHeight="1">
      <c r="A1018" t="inlineStr">
        <is>
          <t>A 13984-2023</t>
        </is>
      </c>
      <c r="B1018" s="1" t="n">
        <v>45008</v>
      </c>
      <c r="C1018" s="1" t="n">
        <v>46185</v>
      </c>
      <c r="D1018" t="inlineStr">
        <is>
          <t>VÄSTERNORRLANDS LÄN</t>
        </is>
      </c>
      <c r="E1018" t="inlineStr">
        <is>
          <t>HÄRNÖSAND</t>
        </is>
      </c>
      <c r="G1018" t="n">
        <v>2.3</v>
      </c>
      <c r="H1018" t="n">
        <v>1</v>
      </c>
      <c r="I1018" t="n">
        <v>0</v>
      </c>
      <c r="J1018" t="n">
        <v>0</v>
      </c>
      <c r="K1018" t="n">
        <v>0</v>
      </c>
      <c r="L1018" t="n">
        <v>0</v>
      </c>
      <c r="M1018" t="n">
        <v>0</v>
      </c>
      <c r="N1018" t="n">
        <v>0</v>
      </c>
      <c r="O1018" t="n">
        <v>0</v>
      </c>
      <c r="P1018" t="n">
        <v>0</v>
      </c>
      <c r="Q1018" t="n">
        <v>1</v>
      </c>
      <c r="R1018" s="2" t="inlineStr">
        <is>
          <t>Fläcknycklar</t>
        </is>
      </c>
      <c r="S1018">
        <f>HYPERLINK("https://klasma.github.io/Logging_2280/artfynd/A 13984-2023 artfynd.xlsx", "A 13984-2023")</f>
        <v/>
      </c>
      <c r="T1018">
        <f>HYPERLINK("https://klasma.github.io/Logging_2280/kartor/A 13984-2023 karta.png", "A 13984-2023")</f>
        <v/>
      </c>
      <c r="V1018">
        <f>HYPERLINK("https://klasma.github.io/Logging_2280/klagomål/A 13984-2023 FSC-klagomål.docx", "A 13984-2023")</f>
        <v/>
      </c>
      <c r="W1018">
        <f>HYPERLINK("https://klasma.github.io/Logging_2280/klagomålsmail/A 13984-2023 FSC-klagomål mail.docx", "A 13984-2023")</f>
        <v/>
      </c>
      <c r="X1018">
        <f>HYPERLINK("https://klasma.github.io/Logging_2280/tillsyn/A 13984-2023 tillsynsbegäran.docx", "A 13984-2023")</f>
        <v/>
      </c>
      <c r="Y1018">
        <f>HYPERLINK("https://klasma.github.io/Logging_2280/tillsynsmail/A 13984-2023 tillsynsbegäran mail.docx", "A 13984-2023")</f>
        <v/>
      </c>
    </row>
    <row r="1019" ht="15" customHeight="1">
      <c r="A1019" t="inlineStr">
        <is>
          <t>A 56444-2025</t>
        </is>
      </c>
      <c r="B1019" s="1" t="n">
        <v>45975.3480324074</v>
      </c>
      <c r="C1019" s="1" t="n">
        <v>46185</v>
      </c>
      <c r="D1019" t="inlineStr">
        <is>
          <t>VÄSTERNORRLANDS LÄN</t>
        </is>
      </c>
      <c r="E1019" t="inlineStr">
        <is>
          <t>SOLLEFTEÅ</t>
        </is>
      </c>
      <c r="F1019" t="inlineStr">
        <is>
          <t>SCA</t>
        </is>
      </c>
      <c r="G1019" t="n">
        <v>4.1</v>
      </c>
      <c r="H1019" t="n">
        <v>1</v>
      </c>
      <c r="I1019" t="n">
        <v>1</v>
      </c>
      <c r="J1019" t="n">
        <v>0</v>
      </c>
      <c r="K1019" t="n">
        <v>0</v>
      </c>
      <c r="L1019" t="n">
        <v>0</v>
      </c>
      <c r="M1019" t="n">
        <v>0</v>
      </c>
      <c r="N1019" t="n">
        <v>0</v>
      </c>
      <c r="O1019" t="n">
        <v>0</v>
      </c>
      <c r="P1019" t="n">
        <v>0</v>
      </c>
      <c r="Q1019" t="n">
        <v>1</v>
      </c>
      <c r="R1019" s="2" t="inlineStr">
        <is>
          <t>Plattlummer</t>
        </is>
      </c>
      <c r="S1019">
        <f>HYPERLINK("https://klasma.github.io/Logging_2283/artfynd/A 56444-2025 artfynd.xlsx", "A 56444-2025")</f>
        <v/>
      </c>
      <c r="T1019">
        <f>HYPERLINK("https://klasma.github.io/Logging_2283/kartor/A 56444-2025 karta.png", "A 56444-2025")</f>
        <v/>
      </c>
      <c r="V1019">
        <f>HYPERLINK("https://klasma.github.io/Logging_2283/klagomål/A 56444-2025 FSC-klagomål.docx", "A 56444-2025")</f>
        <v/>
      </c>
      <c r="W1019">
        <f>HYPERLINK("https://klasma.github.io/Logging_2283/klagomålsmail/A 56444-2025 FSC-klagomål mail.docx", "A 56444-2025")</f>
        <v/>
      </c>
      <c r="X1019">
        <f>HYPERLINK("https://klasma.github.io/Logging_2283/tillsyn/A 56444-2025 tillsynsbegäran.docx", "A 56444-2025")</f>
        <v/>
      </c>
      <c r="Y1019">
        <f>HYPERLINK("https://klasma.github.io/Logging_2283/tillsynsmail/A 56444-2025 tillsynsbegäran mail.docx", "A 56444-2025")</f>
        <v/>
      </c>
    </row>
    <row r="1020" ht="15" customHeight="1">
      <c r="A1020" t="inlineStr">
        <is>
          <t>A 56421-2025</t>
        </is>
      </c>
      <c r="B1020" s="1" t="n">
        <v>45975.34498842592</v>
      </c>
      <c r="C1020" s="1" t="n">
        <v>46185</v>
      </c>
      <c r="D1020" t="inlineStr">
        <is>
          <t>VÄSTERNORRLANDS LÄN</t>
        </is>
      </c>
      <c r="E1020" t="inlineStr">
        <is>
          <t>SOLLEFTEÅ</t>
        </is>
      </c>
      <c r="F1020" t="inlineStr">
        <is>
          <t>SCA</t>
        </is>
      </c>
      <c r="G1020" t="n">
        <v>2.2</v>
      </c>
      <c r="H1020" t="n">
        <v>0</v>
      </c>
      <c r="I1020" t="n">
        <v>0</v>
      </c>
      <c r="J1020" t="n">
        <v>1</v>
      </c>
      <c r="K1020" t="n">
        <v>0</v>
      </c>
      <c r="L1020" t="n">
        <v>0</v>
      </c>
      <c r="M1020" t="n">
        <v>0</v>
      </c>
      <c r="N1020" t="n">
        <v>0</v>
      </c>
      <c r="O1020" t="n">
        <v>1</v>
      </c>
      <c r="P1020" t="n">
        <v>0</v>
      </c>
      <c r="Q1020" t="n">
        <v>1</v>
      </c>
      <c r="R1020" s="2" t="inlineStr">
        <is>
          <t>Harticka</t>
        </is>
      </c>
      <c r="S1020">
        <f>HYPERLINK("https://klasma.github.io/Logging_2283/artfynd/A 56421-2025 artfynd.xlsx", "A 56421-2025")</f>
        <v/>
      </c>
      <c r="T1020">
        <f>HYPERLINK("https://klasma.github.io/Logging_2283/kartor/A 56421-2025 karta.png", "A 56421-2025")</f>
        <v/>
      </c>
      <c r="V1020">
        <f>HYPERLINK("https://klasma.github.io/Logging_2283/klagomål/A 56421-2025 FSC-klagomål.docx", "A 56421-2025")</f>
        <v/>
      </c>
      <c r="W1020">
        <f>HYPERLINK("https://klasma.github.io/Logging_2283/klagomålsmail/A 56421-2025 FSC-klagomål mail.docx", "A 56421-2025")</f>
        <v/>
      </c>
      <c r="X1020">
        <f>HYPERLINK("https://klasma.github.io/Logging_2283/tillsyn/A 56421-2025 tillsynsbegäran.docx", "A 56421-2025")</f>
        <v/>
      </c>
      <c r="Y1020">
        <f>HYPERLINK("https://klasma.github.io/Logging_2283/tillsynsmail/A 56421-2025 tillsynsbegäran mail.docx", "A 56421-2025")</f>
        <v/>
      </c>
    </row>
    <row r="1021" ht="15" customHeight="1">
      <c r="A1021" t="inlineStr">
        <is>
          <t>A 56427-2025</t>
        </is>
      </c>
      <c r="B1021" s="1" t="n">
        <v>45975.34572916666</v>
      </c>
      <c r="C1021" s="1" t="n">
        <v>46185</v>
      </c>
      <c r="D1021" t="inlineStr">
        <is>
          <t>VÄSTERNORRLANDS LÄN</t>
        </is>
      </c>
      <c r="E1021" t="inlineStr">
        <is>
          <t>SUNDSVALL</t>
        </is>
      </c>
      <c r="G1021" t="n">
        <v>0.5</v>
      </c>
      <c r="H1021" t="n">
        <v>1</v>
      </c>
      <c r="I1021" t="n">
        <v>0</v>
      </c>
      <c r="J1021" t="n">
        <v>0</v>
      </c>
      <c r="K1021" t="n">
        <v>0</v>
      </c>
      <c r="L1021" t="n">
        <v>0</v>
      </c>
      <c r="M1021" t="n">
        <v>0</v>
      </c>
      <c r="N1021" t="n">
        <v>0</v>
      </c>
      <c r="O1021" t="n">
        <v>0</v>
      </c>
      <c r="P1021" t="n">
        <v>0</v>
      </c>
      <c r="Q1021" t="n">
        <v>1</v>
      </c>
      <c r="R1021" s="2" t="inlineStr">
        <is>
          <t>Trana</t>
        </is>
      </c>
      <c r="S1021">
        <f>HYPERLINK("https://klasma.github.io/Logging_2281/artfynd/A 56427-2025 artfynd.xlsx", "A 56427-2025")</f>
        <v/>
      </c>
      <c r="T1021">
        <f>HYPERLINK("https://klasma.github.io/Logging_2281/kartor/A 56427-2025 karta.png", "A 56427-2025")</f>
        <v/>
      </c>
      <c r="V1021">
        <f>HYPERLINK("https://klasma.github.io/Logging_2281/klagomål/A 56427-2025 FSC-klagomål.docx", "A 56427-2025")</f>
        <v/>
      </c>
      <c r="W1021">
        <f>HYPERLINK("https://klasma.github.io/Logging_2281/klagomålsmail/A 56427-2025 FSC-klagomål mail.docx", "A 56427-2025")</f>
        <v/>
      </c>
      <c r="X1021">
        <f>HYPERLINK("https://klasma.github.io/Logging_2281/tillsyn/A 56427-2025 tillsynsbegäran.docx", "A 56427-2025")</f>
        <v/>
      </c>
      <c r="Y1021">
        <f>HYPERLINK("https://klasma.github.io/Logging_2281/tillsynsmail/A 56427-2025 tillsynsbegäran mail.docx", "A 56427-2025")</f>
        <v/>
      </c>
      <c r="Z1021">
        <f>HYPERLINK("https://klasma.github.io/Logging_2281/fåglar/A 56427-2025 prioriterade fågelarter.docx", "A 56427-2025")</f>
        <v/>
      </c>
    </row>
    <row r="1022" ht="15" customHeight="1">
      <c r="A1022" t="inlineStr">
        <is>
          <t>A 57049-2025</t>
        </is>
      </c>
      <c r="B1022" s="1" t="n">
        <v>45979.34706018519</v>
      </c>
      <c r="C1022" s="1" t="n">
        <v>46185</v>
      </c>
      <c r="D1022" t="inlineStr">
        <is>
          <t>VÄSTERNORRLANDS LÄN</t>
        </is>
      </c>
      <c r="E1022" t="inlineStr">
        <is>
          <t>SUNDSVALL</t>
        </is>
      </c>
      <c r="F1022" t="inlineStr">
        <is>
          <t>SCA</t>
        </is>
      </c>
      <c r="G1022" t="n">
        <v>7.8</v>
      </c>
      <c r="H1022" t="n">
        <v>1</v>
      </c>
      <c r="I1022" t="n">
        <v>0</v>
      </c>
      <c r="J1022" t="n">
        <v>0</v>
      </c>
      <c r="K1022" t="n">
        <v>0</v>
      </c>
      <c r="L1022" t="n">
        <v>0</v>
      </c>
      <c r="M1022" t="n">
        <v>0</v>
      </c>
      <c r="N1022" t="n">
        <v>0</v>
      </c>
      <c r="O1022" t="n">
        <v>0</v>
      </c>
      <c r="P1022" t="n">
        <v>0</v>
      </c>
      <c r="Q1022" t="n">
        <v>1</v>
      </c>
      <c r="R1022" s="2" t="inlineStr">
        <is>
          <t>Tjäder</t>
        </is>
      </c>
      <c r="S1022">
        <f>HYPERLINK("https://klasma.github.io/Logging_2281/artfynd/A 57049-2025 artfynd.xlsx", "A 57049-2025")</f>
        <v/>
      </c>
      <c r="T1022">
        <f>HYPERLINK("https://klasma.github.io/Logging_2281/kartor/A 57049-2025 karta.png", "A 57049-2025")</f>
        <v/>
      </c>
      <c r="V1022">
        <f>HYPERLINK("https://klasma.github.io/Logging_2281/klagomål/A 57049-2025 FSC-klagomål.docx", "A 57049-2025")</f>
        <v/>
      </c>
      <c r="W1022">
        <f>HYPERLINK("https://klasma.github.io/Logging_2281/klagomålsmail/A 57049-2025 FSC-klagomål mail.docx", "A 57049-2025")</f>
        <v/>
      </c>
      <c r="X1022">
        <f>HYPERLINK("https://klasma.github.io/Logging_2281/tillsyn/A 57049-2025 tillsynsbegäran.docx", "A 57049-2025")</f>
        <v/>
      </c>
      <c r="Y1022">
        <f>HYPERLINK("https://klasma.github.io/Logging_2281/tillsynsmail/A 57049-2025 tillsynsbegäran mail.docx", "A 57049-2025")</f>
        <v/>
      </c>
      <c r="Z1022">
        <f>HYPERLINK("https://klasma.github.io/Logging_2281/fåglar/A 57049-2025 prioriterade fågelarter.docx", "A 57049-2025")</f>
        <v/>
      </c>
    </row>
    <row r="1023" ht="15" customHeight="1">
      <c r="A1023" t="inlineStr">
        <is>
          <t>A 57030-2025</t>
        </is>
      </c>
      <c r="B1023" s="1" t="n">
        <v>45979.33709490741</v>
      </c>
      <c r="C1023" s="1" t="n">
        <v>46185</v>
      </c>
      <c r="D1023" t="inlineStr">
        <is>
          <t>VÄSTERNORRLANDS LÄN</t>
        </is>
      </c>
      <c r="E1023" t="inlineStr">
        <is>
          <t>KRAMFORS</t>
        </is>
      </c>
      <c r="G1023" t="n">
        <v>2.5</v>
      </c>
      <c r="H1023" t="n">
        <v>1</v>
      </c>
      <c r="I1023" t="n">
        <v>0</v>
      </c>
      <c r="J1023" t="n">
        <v>0</v>
      </c>
      <c r="K1023" t="n">
        <v>0</v>
      </c>
      <c r="L1023" t="n">
        <v>0</v>
      </c>
      <c r="M1023" t="n">
        <v>0</v>
      </c>
      <c r="N1023" t="n">
        <v>0</v>
      </c>
      <c r="O1023" t="n">
        <v>0</v>
      </c>
      <c r="P1023" t="n">
        <v>0</v>
      </c>
      <c r="Q1023" t="n">
        <v>1</v>
      </c>
      <c r="R1023" s="2" t="inlineStr">
        <is>
          <t>Blåsippa</t>
        </is>
      </c>
      <c r="S1023">
        <f>HYPERLINK("https://klasma.github.io/Logging_2282/artfynd/A 57030-2025 artfynd.xlsx", "A 57030-2025")</f>
        <v/>
      </c>
      <c r="T1023">
        <f>HYPERLINK("https://klasma.github.io/Logging_2282/kartor/A 57030-2025 karta.png", "A 57030-2025")</f>
        <v/>
      </c>
      <c r="V1023">
        <f>HYPERLINK("https://klasma.github.io/Logging_2282/klagomål/A 57030-2025 FSC-klagomål.docx", "A 57030-2025")</f>
        <v/>
      </c>
      <c r="W1023">
        <f>HYPERLINK("https://klasma.github.io/Logging_2282/klagomålsmail/A 57030-2025 FSC-klagomål mail.docx", "A 57030-2025")</f>
        <v/>
      </c>
      <c r="X1023">
        <f>HYPERLINK("https://klasma.github.io/Logging_2282/tillsyn/A 57030-2025 tillsynsbegäran.docx", "A 57030-2025")</f>
        <v/>
      </c>
      <c r="Y1023">
        <f>HYPERLINK("https://klasma.github.io/Logging_2282/tillsynsmail/A 57030-2025 tillsynsbegäran mail.docx", "A 57030-2025")</f>
        <v/>
      </c>
    </row>
    <row r="1024" ht="15" customHeight="1">
      <c r="A1024" t="inlineStr">
        <is>
          <t>A 20078-2025</t>
        </is>
      </c>
      <c r="B1024" s="1" t="n">
        <v>45772.44892361111</v>
      </c>
      <c r="C1024" s="1" t="n">
        <v>46185</v>
      </c>
      <c r="D1024" t="inlineStr">
        <is>
          <t>VÄSTERNORRLANDS LÄN</t>
        </is>
      </c>
      <c r="E1024" t="inlineStr">
        <is>
          <t>SUNDSVALL</t>
        </is>
      </c>
      <c r="F1024" t="inlineStr">
        <is>
          <t>Naturvårdsverket</t>
        </is>
      </c>
      <c r="G1024" t="n">
        <v>6.9</v>
      </c>
      <c r="H1024" t="n">
        <v>0</v>
      </c>
      <c r="I1024" t="n">
        <v>0</v>
      </c>
      <c r="J1024" t="n">
        <v>1</v>
      </c>
      <c r="K1024" t="n">
        <v>0</v>
      </c>
      <c r="L1024" t="n">
        <v>0</v>
      </c>
      <c r="M1024" t="n">
        <v>0</v>
      </c>
      <c r="N1024" t="n">
        <v>0</v>
      </c>
      <c r="O1024" t="n">
        <v>1</v>
      </c>
      <c r="P1024" t="n">
        <v>0</v>
      </c>
      <c r="Q1024" t="n">
        <v>1</v>
      </c>
      <c r="R1024" s="2" t="inlineStr">
        <is>
          <t>Lunglav</t>
        </is>
      </c>
      <c r="S1024">
        <f>HYPERLINK("https://klasma.github.io/Logging_2281/artfynd/A 20078-2025 artfynd.xlsx", "A 20078-2025")</f>
        <v/>
      </c>
      <c r="T1024">
        <f>HYPERLINK("https://klasma.github.io/Logging_2281/kartor/A 20078-2025 karta.png", "A 20078-2025")</f>
        <v/>
      </c>
      <c r="V1024">
        <f>HYPERLINK("https://klasma.github.io/Logging_2281/klagomål/A 20078-2025 FSC-klagomål.docx", "A 20078-2025")</f>
        <v/>
      </c>
      <c r="W1024">
        <f>HYPERLINK("https://klasma.github.io/Logging_2281/klagomålsmail/A 20078-2025 FSC-klagomål mail.docx", "A 20078-2025")</f>
        <v/>
      </c>
      <c r="X1024">
        <f>HYPERLINK("https://klasma.github.io/Logging_2281/tillsyn/A 20078-2025 tillsynsbegäran.docx", "A 20078-2025")</f>
        <v/>
      </c>
      <c r="Y1024">
        <f>HYPERLINK("https://klasma.github.io/Logging_2281/tillsynsmail/A 20078-2025 tillsynsbegäran mail.docx", "A 20078-2025")</f>
        <v/>
      </c>
    </row>
    <row r="1025" ht="15" customHeight="1">
      <c r="A1025" t="inlineStr">
        <is>
          <t>A 57987-2025</t>
        </is>
      </c>
      <c r="B1025" s="1" t="n">
        <v>45982.41984953704</v>
      </c>
      <c r="C1025" s="1" t="n">
        <v>46185</v>
      </c>
      <c r="D1025" t="inlineStr">
        <is>
          <t>VÄSTERNORRLANDS LÄN</t>
        </is>
      </c>
      <c r="E1025" t="inlineStr">
        <is>
          <t>SOLLEFTEÅ</t>
        </is>
      </c>
      <c r="G1025" t="n">
        <v>2.8</v>
      </c>
      <c r="H1025" t="n">
        <v>0</v>
      </c>
      <c r="I1025" t="n">
        <v>1</v>
      </c>
      <c r="J1025" t="n">
        <v>0</v>
      </c>
      <c r="K1025" t="n">
        <v>0</v>
      </c>
      <c r="L1025" t="n">
        <v>0</v>
      </c>
      <c r="M1025" t="n">
        <v>0</v>
      </c>
      <c r="N1025" t="n">
        <v>0</v>
      </c>
      <c r="O1025" t="n">
        <v>0</v>
      </c>
      <c r="P1025" t="n">
        <v>0</v>
      </c>
      <c r="Q1025" t="n">
        <v>1</v>
      </c>
      <c r="R1025" s="2" t="inlineStr">
        <is>
          <t>Stuplav</t>
        </is>
      </c>
      <c r="S1025">
        <f>HYPERLINK("https://klasma.github.io/Logging_2283/artfynd/A 57987-2025 artfynd.xlsx", "A 57987-2025")</f>
        <v/>
      </c>
      <c r="T1025">
        <f>HYPERLINK("https://klasma.github.io/Logging_2283/kartor/A 57987-2025 karta.png", "A 57987-2025")</f>
        <v/>
      </c>
      <c r="V1025">
        <f>HYPERLINK("https://klasma.github.io/Logging_2283/klagomål/A 57987-2025 FSC-klagomål.docx", "A 57987-2025")</f>
        <v/>
      </c>
      <c r="W1025">
        <f>HYPERLINK("https://klasma.github.io/Logging_2283/klagomålsmail/A 57987-2025 FSC-klagomål mail.docx", "A 57987-2025")</f>
        <v/>
      </c>
      <c r="X1025">
        <f>HYPERLINK("https://klasma.github.io/Logging_2283/tillsyn/A 57987-2025 tillsynsbegäran.docx", "A 57987-2025")</f>
        <v/>
      </c>
      <c r="Y1025">
        <f>HYPERLINK("https://klasma.github.io/Logging_2283/tillsynsmail/A 57987-2025 tillsynsbegäran mail.docx", "A 57987-2025")</f>
        <v/>
      </c>
    </row>
    <row r="1026" ht="15" customHeight="1">
      <c r="A1026" t="inlineStr">
        <is>
          <t>A 58252-2025</t>
        </is>
      </c>
      <c r="B1026" s="1" t="n">
        <v>45985.39784722222</v>
      </c>
      <c r="C1026" s="1" t="n">
        <v>46185</v>
      </c>
      <c r="D1026" t="inlineStr">
        <is>
          <t>VÄSTERNORRLANDS LÄN</t>
        </is>
      </c>
      <c r="E1026" t="inlineStr">
        <is>
          <t>ÖRNSKÖLDSVIK</t>
        </is>
      </c>
      <c r="F1026" t="inlineStr">
        <is>
          <t>Holmen skog AB</t>
        </is>
      </c>
      <c r="G1026" t="n">
        <v>3.5</v>
      </c>
      <c r="H1026" t="n">
        <v>0</v>
      </c>
      <c r="I1026" t="n">
        <v>0</v>
      </c>
      <c r="J1026" t="n">
        <v>1</v>
      </c>
      <c r="K1026" t="n">
        <v>0</v>
      </c>
      <c r="L1026" t="n">
        <v>0</v>
      </c>
      <c r="M1026" t="n">
        <v>0</v>
      </c>
      <c r="N1026" t="n">
        <v>0</v>
      </c>
      <c r="O1026" t="n">
        <v>1</v>
      </c>
      <c r="P1026" t="n">
        <v>0</v>
      </c>
      <c r="Q1026" t="n">
        <v>1</v>
      </c>
      <c r="R1026" s="2" t="inlineStr">
        <is>
          <t>Motaggsvamp</t>
        </is>
      </c>
      <c r="S1026">
        <f>HYPERLINK("https://klasma.github.io/Logging_2284/artfynd/A 58252-2025 artfynd.xlsx", "A 58252-2025")</f>
        <v/>
      </c>
      <c r="T1026">
        <f>HYPERLINK("https://klasma.github.io/Logging_2284/kartor/A 58252-2025 karta.png", "A 58252-2025")</f>
        <v/>
      </c>
      <c r="V1026">
        <f>HYPERLINK("https://klasma.github.io/Logging_2284/klagomål/A 58252-2025 FSC-klagomål.docx", "A 58252-2025")</f>
        <v/>
      </c>
      <c r="W1026">
        <f>HYPERLINK("https://klasma.github.io/Logging_2284/klagomålsmail/A 58252-2025 FSC-klagomål mail.docx", "A 58252-2025")</f>
        <v/>
      </c>
      <c r="X1026">
        <f>HYPERLINK("https://klasma.github.io/Logging_2284/tillsyn/A 58252-2025 tillsynsbegäran.docx", "A 58252-2025")</f>
        <v/>
      </c>
      <c r="Y1026">
        <f>HYPERLINK("https://klasma.github.io/Logging_2284/tillsynsmail/A 58252-2025 tillsynsbegäran mail.docx", "A 58252-2025")</f>
        <v/>
      </c>
    </row>
    <row r="1027" ht="15" customHeight="1">
      <c r="A1027" t="inlineStr">
        <is>
          <t>A 58534-2025</t>
        </is>
      </c>
      <c r="B1027" s="1" t="n">
        <v>45985.80396990741</v>
      </c>
      <c r="C1027" s="1" t="n">
        <v>46185</v>
      </c>
      <c r="D1027" t="inlineStr">
        <is>
          <t>VÄSTERNORRLANDS LÄN</t>
        </is>
      </c>
      <c r="E1027" t="inlineStr">
        <is>
          <t>ÅNGE</t>
        </is>
      </c>
      <c r="F1027" t="inlineStr">
        <is>
          <t>Holmen skog AB</t>
        </is>
      </c>
      <c r="G1027" t="n">
        <v>2.2</v>
      </c>
      <c r="H1027" t="n">
        <v>0</v>
      </c>
      <c r="I1027" t="n">
        <v>0</v>
      </c>
      <c r="J1027" t="n">
        <v>1</v>
      </c>
      <c r="K1027" t="n">
        <v>0</v>
      </c>
      <c r="L1027" t="n">
        <v>0</v>
      </c>
      <c r="M1027" t="n">
        <v>0</v>
      </c>
      <c r="N1027" t="n">
        <v>0</v>
      </c>
      <c r="O1027" t="n">
        <v>1</v>
      </c>
      <c r="P1027" t="n">
        <v>0</v>
      </c>
      <c r="Q1027" t="n">
        <v>1</v>
      </c>
      <c r="R1027" s="2" t="inlineStr">
        <is>
          <t>Ullticka</t>
        </is>
      </c>
      <c r="S1027">
        <f>HYPERLINK("https://klasma.github.io/Logging_2260/artfynd/A 58534-2025 artfynd.xlsx", "A 58534-2025")</f>
        <v/>
      </c>
      <c r="T1027">
        <f>HYPERLINK("https://klasma.github.io/Logging_2260/kartor/A 58534-2025 karta.png", "A 58534-2025")</f>
        <v/>
      </c>
      <c r="V1027">
        <f>HYPERLINK("https://klasma.github.io/Logging_2260/klagomål/A 58534-2025 FSC-klagomål.docx", "A 58534-2025")</f>
        <v/>
      </c>
      <c r="W1027">
        <f>HYPERLINK("https://klasma.github.io/Logging_2260/klagomålsmail/A 58534-2025 FSC-klagomål mail.docx", "A 58534-2025")</f>
        <v/>
      </c>
      <c r="X1027">
        <f>HYPERLINK("https://klasma.github.io/Logging_2260/tillsyn/A 58534-2025 tillsynsbegäran.docx", "A 58534-2025")</f>
        <v/>
      </c>
      <c r="Y1027">
        <f>HYPERLINK("https://klasma.github.io/Logging_2260/tillsynsmail/A 58534-2025 tillsynsbegäran mail.docx", "A 58534-2025")</f>
        <v/>
      </c>
    </row>
    <row r="1028" ht="15" customHeight="1">
      <c r="A1028" t="inlineStr">
        <is>
          <t>A 10067-2026</t>
        </is>
      </c>
      <c r="B1028" s="1" t="n">
        <v>46073.6360300926</v>
      </c>
      <c r="C1028" s="1" t="n">
        <v>46185</v>
      </c>
      <c r="D1028" t="inlineStr">
        <is>
          <t>VÄSTERNORRLANDS LÄN</t>
        </is>
      </c>
      <c r="E1028" t="inlineStr">
        <is>
          <t>SOLLEFTEÅ</t>
        </is>
      </c>
      <c r="F1028" t="inlineStr">
        <is>
          <t>SCA</t>
        </is>
      </c>
      <c r="G1028" t="n">
        <v>1.3</v>
      </c>
      <c r="H1028" t="n">
        <v>0</v>
      </c>
      <c r="I1028" t="n">
        <v>0</v>
      </c>
      <c r="J1028" t="n">
        <v>1</v>
      </c>
      <c r="K1028" t="n">
        <v>0</v>
      </c>
      <c r="L1028" t="n">
        <v>0</v>
      </c>
      <c r="M1028" t="n">
        <v>0</v>
      </c>
      <c r="N1028" t="n">
        <v>0</v>
      </c>
      <c r="O1028" t="n">
        <v>1</v>
      </c>
      <c r="P1028" t="n">
        <v>0</v>
      </c>
      <c r="Q1028" t="n">
        <v>1</v>
      </c>
      <c r="R1028" s="2" t="inlineStr">
        <is>
          <t>Ullticka</t>
        </is>
      </c>
      <c r="S1028">
        <f>HYPERLINK("https://klasma.github.io/Logging_2283/artfynd/A 10067-2026 artfynd.xlsx", "A 10067-2026")</f>
        <v/>
      </c>
      <c r="T1028">
        <f>HYPERLINK("https://klasma.github.io/Logging_2283/kartor/A 10067-2026 karta.png", "A 10067-2026")</f>
        <v/>
      </c>
      <c r="V1028">
        <f>HYPERLINK("https://klasma.github.io/Logging_2283/klagomål/A 10067-2026 FSC-klagomål.docx", "A 10067-2026")</f>
        <v/>
      </c>
      <c r="W1028">
        <f>HYPERLINK("https://klasma.github.io/Logging_2283/klagomålsmail/A 10067-2026 FSC-klagomål mail.docx", "A 10067-2026")</f>
        <v/>
      </c>
      <c r="X1028">
        <f>HYPERLINK("https://klasma.github.io/Logging_2283/tillsyn/A 10067-2026 tillsynsbegäran.docx", "A 10067-2026")</f>
        <v/>
      </c>
      <c r="Y1028">
        <f>HYPERLINK("https://klasma.github.io/Logging_2283/tillsynsmail/A 10067-2026 tillsynsbegäran mail.docx", "A 10067-2026")</f>
        <v/>
      </c>
    </row>
    <row r="1029" ht="15" customHeight="1">
      <c r="A1029" t="inlineStr">
        <is>
          <t>A 58147-2021</t>
        </is>
      </c>
      <c r="B1029" s="1" t="n">
        <v>44487</v>
      </c>
      <c r="C1029" s="1" t="n">
        <v>46185</v>
      </c>
      <c r="D1029" t="inlineStr">
        <is>
          <t>VÄSTERNORRLANDS LÄN</t>
        </is>
      </c>
      <c r="E1029" t="inlineStr">
        <is>
          <t>ÖRNSKÖLDSVIK</t>
        </is>
      </c>
      <c r="G1029" t="n">
        <v>6.4</v>
      </c>
      <c r="H1029" t="n">
        <v>1</v>
      </c>
      <c r="I1029" t="n">
        <v>0</v>
      </c>
      <c r="J1029" t="n">
        <v>0</v>
      </c>
      <c r="K1029" t="n">
        <v>0</v>
      </c>
      <c r="L1029" t="n">
        <v>0</v>
      </c>
      <c r="M1029" t="n">
        <v>0</v>
      </c>
      <c r="N1029" t="n">
        <v>0</v>
      </c>
      <c r="O1029" t="n">
        <v>0</v>
      </c>
      <c r="P1029" t="n">
        <v>0</v>
      </c>
      <c r="Q1029" t="n">
        <v>1</v>
      </c>
      <c r="R1029" s="2" t="inlineStr">
        <is>
          <t>Fläcknycklar</t>
        </is>
      </c>
      <c r="S1029">
        <f>HYPERLINK("https://klasma.github.io/Logging_2284/artfynd/A 58147-2021 artfynd.xlsx", "A 58147-2021")</f>
        <v/>
      </c>
      <c r="T1029">
        <f>HYPERLINK("https://klasma.github.io/Logging_2284/kartor/A 58147-2021 karta.png", "A 58147-2021")</f>
        <v/>
      </c>
      <c r="V1029">
        <f>HYPERLINK("https://klasma.github.io/Logging_2284/klagomål/A 58147-2021 FSC-klagomål.docx", "A 58147-2021")</f>
        <v/>
      </c>
      <c r="W1029">
        <f>HYPERLINK("https://klasma.github.io/Logging_2284/klagomålsmail/A 58147-2021 FSC-klagomål mail.docx", "A 58147-2021")</f>
        <v/>
      </c>
      <c r="X1029">
        <f>HYPERLINK("https://klasma.github.io/Logging_2284/tillsyn/A 58147-2021 tillsynsbegäran.docx", "A 58147-2021")</f>
        <v/>
      </c>
      <c r="Y1029">
        <f>HYPERLINK("https://klasma.github.io/Logging_2284/tillsynsmail/A 58147-2021 tillsynsbegäran mail.docx", "A 58147-2021")</f>
        <v/>
      </c>
    </row>
    <row r="1030" ht="15" customHeight="1">
      <c r="A1030" t="inlineStr">
        <is>
          <t>A 59075-2025</t>
        </is>
      </c>
      <c r="B1030" s="1" t="n">
        <v>45988.42923611111</v>
      </c>
      <c r="C1030" s="1" t="n">
        <v>46185</v>
      </c>
      <c r="D1030" t="inlineStr">
        <is>
          <t>VÄSTERNORRLANDS LÄN</t>
        </is>
      </c>
      <c r="E1030" t="inlineStr">
        <is>
          <t>SUNDSVALL</t>
        </is>
      </c>
      <c r="G1030" t="n">
        <v>4.2</v>
      </c>
      <c r="H1030" t="n">
        <v>0</v>
      </c>
      <c r="I1030" t="n">
        <v>1</v>
      </c>
      <c r="J1030" t="n">
        <v>0</v>
      </c>
      <c r="K1030" t="n">
        <v>0</v>
      </c>
      <c r="L1030" t="n">
        <v>0</v>
      </c>
      <c r="M1030" t="n">
        <v>0</v>
      </c>
      <c r="N1030" t="n">
        <v>0</v>
      </c>
      <c r="O1030" t="n">
        <v>0</v>
      </c>
      <c r="P1030" t="n">
        <v>0</v>
      </c>
      <c r="Q1030" t="n">
        <v>1</v>
      </c>
      <c r="R1030" s="2" t="inlineStr">
        <is>
          <t>Bronshjon</t>
        </is>
      </c>
      <c r="S1030">
        <f>HYPERLINK("https://klasma.github.io/Logging_2281/artfynd/A 59075-2025 artfynd.xlsx", "A 59075-2025")</f>
        <v/>
      </c>
      <c r="T1030">
        <f>HYPERLINK("https://klasma.github.io/Logging_2281/kartor/A 59075-2025 karta.png", "A 59075-2025")</f>
        <v/>
      </c>
      <c r="V1030">
        <f>HYPERLINK("https://klasma.github.io/Logging_2281/klagomål/A 59075-2025 FSC-klagomål.docx", "A 59075-2025")</f>
        <v/>
      </c>
      <c r="W1030">
        <f>HYPERLINK("https://klasma.github.io/Logging_2281/klagomålsmail/A 59075-2025 FSC-klagomål mail.docx", "A 59075-2025")</f>
        <v/>
      </c>
      <c r="X1030">
        <f>HYPERLINK("https://klasma.github.io/Logging_2281/tillsyn/A 59075-2025 tillsynsbegäran.docx", "A 59075-2025")</f>
        <v/>
      </c>
      <c r="Y1030">
        <f>HYPERLINK("https://klasma.github.io/Logging_2281/tillsynsmail/A 59075-2025 tillsynsbegäran mail.docx", "A 59075-2025")</f>
        <v/>
      </c>
    </row>
    <row r="1031" ht="15" customHeight="1">
      <c r="A1031" t="inlineStr">
        <is>
          <t>A 39004-2024</t>
        </is>
      </c>
      <c r="B1031" s="1" t="n">
        <v>45548</v>
      </c>
      <c r="C1031" s="1" t="n">
        <v>46185</v>
      </c>
      <c r="D1031" t="inlineStr">
        <is>
          <t>VÄSTERNORRLANDS LÄN</t>
        </is>
      </c>
      <c r="E1031" t="inlineStr">
        <is>
          <t>SUNDSVALL</t>
        </is>
      </c>
      <c r="G1031" t="n">
        <v>6.9</v>
      </c>
      <c r="H1031" t="n">
        <v>0</v>
      </c>
      <c r="I1031" t="n">
        <v>0</v>
      </c>
      <c r="J1031" t="n">
        <v>1</v>
      </c>
      <c r="K1031" t="n">
        <v>0</v>
      </c>
      <c r="L1031" t="n">
        <v>0</v>
      </c>
      <c r="M1031" t="n">
        <v>0</v>
      </c>
      <c r="N1031" t="n">
        <v>0</v>
      </c>
      <c r="O1031" t="n">
        <v>1</v>
      </c>
      <c r="P1031" t="n">
        <v>0</v>
      </c>
      <c r="Q1031" t="n">
        <v>1</v>
      </c>
      <c r="R1031" s="2" t="inlineStr">
        <is>
          <t>Liten parasollmossa</t>
        </is>
      </c>
      <c r="S1031">
        <f>HYPERLINK("https://klasma.github.io/Logging_2281/artfynd/A 39004-2024 artfynd.xlsx", "A 39004-2024")</f>
        <v/>
      </c>
      <c r="T1031">
        <f>HYPERLINK("https://klasma.github.io/Logging_2281/kartor/A 39004-2024 karta.png", "A 39004-2024")</f>
        <v/>
      </c>
      <c r="V1031">
        <f>HYPERLINK("https://klasma.github.io/Logging_2281/klagomål/A 39004-2024 FSC-klagomål.docx", "A 39004-2024")</f>
        <v/>
      </c>
      <c r="W1031">
        <f>HYPERLINK("https://klasma.github.io/Logging_2281/klagomålsmail/A 39004-2024 FSC-klagomål mail.docx", "A 39004-2024")</f>
        <v/>
      </c>
      <c r="X1031">
        <f>HYPERLINK("https://klasma.github.io/Logging_2281/tillsyn/A 39004-2024 tillsynsbegäran.docx", "A 39004-2024")</f>
        <v/>
      </c>
      <c r="Y1031">
        <f>HYPERLINK("https://klasma.github.io/Logging_2281/tillsynsmail/A 39004-2024 tillsynsbegäran mail.docx", "A 39004-2024")</f>
        <v/>
      </c>
    </row>
    <row r="1032" ht="15" customHeight="1">
      <c r="A1032" t="inlineStr">
        <is>
          <t>A 30462-2024</t>
        </is>
      </c>
      <c r="B1032" s="1" t="n">
        <v>45491</v>
      </c>
      <c r="C1032" s="1" t="n">
        <v>46185</v>
      </c>
      <c r="D1032" t="inlineStr">
        <is>
          <t>VÄSTERNORRLANDS LÄN</t>
        </is>
      </c>
      <c r="E1032" t="inlineStr">
        <is>
          <t>SUNDSVALL</t>
        </is>
      </c>
      <c r="F1032" t="inlineStr">
        <is>
          <t>SCA</t>
        </is>
      </c>
      <c r="G1032" t="n">
        <v>4.1</v>
      </c>
      <c r="H1032" t="n">
        <v>0</v>
      </c>
      <c r="I1032" t="n">
        <v>0</v>
      </c>
      <c r="J1032" t="n">
        <v>1</v>
      </c>
      <c r="K1032" t="n">
        <v>0</v>
      </c>
      <c r="L1032" t="n">
        <v>0</v>
      </c>
      <c r="M1032" t="n">
        <v>0</v>
      </c>
      <c r="N1032" t="n">
        <v>0</v>
      </c>
      <c r="O1032" t="n">
        <v>1</v>
      </c>
      <c r="P1032" t="n">
        <v>0</v>
      </c>
      <c r="Q1032" t="n">
        <v>1</v>
      </c>
      <c r="R1032" s="2" t="inlineStr">
        <is>
          <t>Igelkott</t>
        </is>
      </c>
      <c r="S1032">
        <f>HYPERLINK("https://klasma.github.io/Logging_2281/artfynd/A 30462-2024 artfynd.xlsx", "A 30462-2024")</f>
        <v/>
      </c>
      <c r="T1032">
        <f>HYPERLINK("https://klasma.github.io/Logging_2281/kartor/A 30462-2024 karta.png", "A 30462-2024")</f>
        <v/>
      </c>
      <c r="V1032">
        <f>HYPERLINK("https://klasma.github.io/Logging_2281/klagomål/A 30462-2024 FSC-klagomål.docx", "A 30462-2024")</f>
        <v/>
      </c>
      <c r="W1032">
        <f>HYPERLINK("https://klasma.github.io/Logging_2281/klagomålsmail/A 30462-2024 FSC-klagomål mail.docx", "A 30462-2024")</f>
        <v/>
      </c>
      <c r="X1032">
        <f>HYPERLINK("https://klasma.github.io/Logging_2281/tillsyn/A 30462-2024 tillsynsbegäran.docx", "A 30462-2024")</f>
        <v/>
      </c>
      <c r="Y1032">
        <f>HYPERLINK("https://klasma.github.io/Logging_2281/tillsynsmail/A 30462-2024 tillsynsbegäran mail.docx", "A 30462-2024")</f>
        <v/>
      </c>
    </row>
    <row r="1033" ht="15" customHeight="1">
      <c r="A1033" t="inlineStr">
        <is>
          <t>A 10793-2026</t>
        </is>
      </c>
      <c r="B1033" s="1" t="n">
        <v>46078.59078703704</v>
      </c>
      <c r="C1033" s="1" t="n">
        <v>46185</v>
      </c>
      <c r="D1033" t="inlineStr">
        <is>
          <t>VÄSTERNORRLANDS LÄN</t>
        </is>
      </c>
      <c r="E1033" t="inlineStr">
        <is>
          <t>SOLLEFTEÅ</t>
        </is>
      </c>
      <c r="G1033" t="n">
        <v>1.5</v>
      </c>
      <c r="H1033" t="n">
        <v>0</v>
      </c>
      <c r="I1033" t="n">
        <v>0</v>
      </c>
      <c r="J1033" t="n">
        <v>1</v>
      </c>
      <c r="K1033" t="n">
        <v>0</v>
      </c>
      <c r="L1033" t="n">
        <v>0</v>
      </c>
      <c r="M1033" t="n">
        <v>0</v>
      </c>
      <c r="N1033" t="n">
        <v>0</v>
      </c>
      <c r="O1033" t="n">
        <v>1</v>
      </c>
      <c r="P1033" t="n">
        <v>0</v>
      </c>
      <c r="Q1033" t="n">
        <v>1</v>
      </c>
      <c r="R1033" s="2" t="inlineStr">
        <is>
          <t>Garnlav</t>
        </is>
      </c>
      <c r="S1033">
        <f>HYPERLINK("https://klasma.github.io/Logging_2283/artfynd/A 10793-2026 artfynd.xlsx", "A 10793-2026")</f>
        <v/>
      </c>
      <c r="T1033">
        <f>HYPERLINK("https://klasma.github.io/Logging_2283/kartor/A 10793-2026 karta.png", "A 10793-2026")</f>
        <v/>
      </c>
      <c r="V1033">
        <f>HYPERLINK("https://klasma.github.io/Logging_2283/klagomål/A 10793-2026 FSC-klagomål.docx", "A 10793-2026")</f>
        <v/>
      </c>
      <c r="W1033">
        <f>HYPERLINK("https://klasma.github.io/Logging_2283/klagomålsmail/A 10793-2026 FSC-klagomål mail.docx", "A 10793-2026")</f>
        <v/>
      </c>
      <c r="X1033">
        <f>HYPERLINK("https://klasma.github.io/Logging_2283/tillsyn/A 10793-2026 tillsynsbegäran.docx", "A 10793-2026")</f>
        <v/>
      </c>
      <c r="Y1033">
        <f>HYPERLINK("https://klasma.github.io/Logging_2283/tillsynsmail/A 10793-2026 tillsynsbegäran mail.docx", "A 10793-2026")</f>
        <v/>
      </c>
    </row>
    <row r="1034" ht="15" customHeight="1">
      <c r="A1034" t="inlineStr">
        <is>
          <t>A 2795-2024</t>
        </is>
      </c>
      <c r="B1034" s="1" t="n">
        <v>45314</v>
      </c>
      <c r="C1034" s="1" t="n">
        <v>46185</v>
      </c>
      <c r="D1034" t="inlineStr">
        <is>
          <t>VÄSTERNORRLANDS LÄN</t>
        </is>
      </c>
      <c r="E1034" t="inlineStr">
        <is>
          <t>HÄRNÖSAND</t>
        </is>
      </c>
      <c r="F1034" t="inlineStr">
        <is>
          <t>Kyrkan</t>
        </is>
      </c>
      <c r="G1034" t="n">
        <v>2.5</v>
      </c>
      <c r="H1034" t="n">
        <v>0</v>
      </c>
      <c r="I1034" t="n">
        <v>0</v>
      </c>
      <c r="J1034" t="n">
        <v>1</v>
      </c>
      <c r="K1034" t="n">
        <v>0</v>
      </c>
      <c r="L1034" t="n">
        <v>0</v>
      </c>
      <c r="M1034" t="n">
        <v>0</v>
      </c>
      <c r="N1034" t="n">
        <v>0</v>
      </c>
      <c r="O1034" t="n">
        <v>1</v>
      </c>
      <c r="P1034" t="n">
        <v>0</v>
      </c>
      <c r="Q1034" t="n">
        <v>1</v>
      </c>
      <c r="R1034" s="2" t="inlineStr">
        <is>
          <t>Ullticka</t>
        </is>
      </c>
      <c r="S1034">
        <f>HYPERLINK("https://klasma.github.io/Logging_2280/artfynd/A 2795-2024 artfynd.xlsx", "A 2795-2024")</f>
        <v/>
      </c>
      <c r="T1034">
        <f>HYPERLINK("https://klasma.github.io/Logging_2280/kartor/A 2795-2024 karta.png", "A 2795-2024")</f>
        <v/>
      </c>
      <c r="V1034">
        <f>HYPERLINK("https://klasma.github.io/Logging_2280/klagomål/A 2795-2024 FSC-klagomål.docx", "A 2795-2024")</f>
        <v/>
      </c>
      <c r="W1034">
        <f>HYPERLINK("https://klasma.github.io/Logging_2280/klagomålsmail/A 2795-2024 FSC-klagomål mail.docx", "A 2795-2024")</f>
        <v/>
      </c>
      <c r="X1034">
        <f>HYPERLINK("https://klasma.github.io/Logging_2280/tillsyn/A 2795-2024 tillsynsbegäran.docx", "A 2795-2024")</f>
        <v/>
      </c>
      <c r="Y1034">
        <f>HYPERLINK("https://klasma.github.io/Logging_2280/tillsynsmail/A 2795-2024 tillsynsbegäran mail.docx", "A 2795-2024")</f>
        <v/>
      </c>
    </row>
    <row r="1035" ht="15" customHeight="1">
      <c r="A1035" t="inlineStr">
        <is>
          <t>A 61076-2025</t>
        </is>
      </c>
      <c r="B1035" s="1" t="n">
        <v>46000.39689814814</v>
      </c>
      <c r="C1035" s="1" t="n">
        <v>46185</v>
      </c>
      <c r="D1035" t="inlineStr">
        <is>
          <t>VÄSTERNORRLANDS LÄN</t>
        </is>
      </c>
      <c r="E1035" t="inlineStr">
        <is>
          <t>ÅNGE</t>
        </is>
      </c>
      <c r="F1035" t="inlineStr">
        <is>
          <t>Holmen skog AB</t>
        </is>
      </c>
      <c r="G1035" t="n">
        <v>2.7</v>
      </c>
      <c r="H1035" t="n">
        <v>0</v>
      </c>
      <c r="I1035" t="n">
        <v>1</v>
      </c>
      <c r="J1035" t="n">
        <v>0</v>
      </c>
      <c r="K1035" t="n">
        <v>0</v>
      </c>
      <c r="L1035" t="n">
        <v>0</v>
      </c>
      <c r="M1035" t="n">
        <v>0</v>
      </c>
      <c r="N1035" t="n">
        <v>0</v>
      </c>
      <c r="O1035" t="n">
        <v>0</v>
      </c>
      <c r="P1035" t="n">
        <v>0</v>
      </c>
      <c r="Q1035" t="n">
        <v>1</v>
      </c>
      <c r="R1035" s="2" t="inlineStr">
        <is>
          <t>Stor aspticka</t>
        </is>
      </c>
      <c r="S1035">
        <f>HYPERLINK("https://klasma.github.io/Logging_2260/artfynd/A 61076-2025 artfynd.xlsx", "A 61076-2025")</f>
        <v/>
      </c>
      <c r="T1035">
        <f>HYPERLINK("https://klasma.github.io/Logging_2260/kartor/A 61076-2025 karta.png", "A 61076-2025")</f>
        <v/>
      </c>
      <c r="V1035">
        <f>HYPERLINK("https://klasma.github.io/Logging_2260/klagomål/A 61076-2025 FSC-klagomål.docx", "A 61076-2025")</f>
        <v/>
      </c>
      <c r="W1035">
        <f>HYPERLINK("https://klasma.github.io/Logging_2260/klagomålsmail/A 61076-2025 FSC-klagomål mail.docx", "A 61076-2025")</f>
        <v/>
      </c>
      <c r="X1035">
        <f>HYPERLINK("https://klasma.github.io/Logging_2260/tillsyn/A 61076-2025 tillsynsbegäran.docx", "A 61076-2025")</f>
        <v/>
      </c>
      <c r="Y1035">
        <f>HYPERLINK("https://klasma.github.io/Logging_2260/tillsynsmail/A 61076-2025 tillsynsbegäran mail.docx", "A 61076-2025")</f>
        <v/>
      </c>
    </row>
    <row r="1036" ht="15" customHeight="1">
      <c r="A1036" t="inlineStr">
        <is>
          <t>A 12535-2026</t>
        </is>
      </c>
      <c r="B1036" s="1" t="n">
        <v>46090.60684027777</v>
      </c>
      <c r="C1036" s="1" t="n">
        <v>46185</v>
      </c>
      <c r="D1036" t="inlineStr">
        <is>
          <t>VÄSTERNORRLANDS LÄN</t>
        </is>
      </c>
      <c r="E1036" t="inlineStr">
        <is>
          <t>KRAMFORS</t>
        </is>
      </c>
      <c r="G1036" t="n">
        <v>4.9</v>
      </c>
      <c r="H1036" t="n">
        <v>1</v>
      </c>
      <c r="I1036" t="n">
        <v>0</v>
      </c>
      <c r="J1036" t="n">
        <v>1</v>
      </c>
      <c r="K1036" t="n">
        <v>0</v>
      </c>
      <c r="L1036" t="n">
        <v>0</v>
      </c>
      <c r="M1036" t="n">
        <v>0</v>
      </c>
      <c r="N1036" t="n">
        <v>0</v>
      </c>
      <c r="O1036" t="n">
        <v>1</v>
      </c>
      <c r="P1036" t="n">
        <v>0</v>
      </c>
      <c r="Q1036" t="n">
        <v>1</v>
      </c>
      <c r="R1036" s="2" t="inlineStr">
        <is>
          <t>Mindre hackspett</t>
        </is>
      </c>
      <c r="S1036">
        <f>HYPERLINK("https://klasma.github.io/Logging_2282/artfynd/A 12535-2026 artfynd.xlsx", "A 12535-2026")</f>
        <v/>
      </c>
      <c r="T1036">
        <f>HYPERLINK("https://klasma.github.io/Logging_2282/kartor/A 12535-2026 karta.png", "A 12535-2026")</f>
        <v/>
      </c>
      <c r="V1036">
        <f>HYPERLINK("https://klasma.github.io/Logging_2282/klagomål/A 12535-2026 FSC-klagomål.docx", "A 12535-2026")</f>
        <v/>
      </c>
      <c r="W1036">
        <f>HYPERLINK("https://klasma.github.io/Logging_2282/klagomålsmail/A 12535-2026 FSC-klagomål mail.docx", "A 12535-2026")</f>
        <v/>
      </c>
      <c r="X1036">
        <f>HYPERLINK("https://klasma.github.io/Logging_2282/tillsyn/A 12535-2026 tillsynsbegäran.docx", "A 12535-2026")</f>
        <v/>
      </c>
      <c r="Y1036">
        <f>HYPERLINK("https://klasma.github.io/Logging_2282/tillsynsmail/A 12535-2026 tillsynsbegäran mail.docx", "A 12535-2026")</f>
        <v/>
      </c>
      <c r="Z1036">
        <f>HYPERLINK("https://klasma.github.io/Logging_2282/fåglar/A 12535-2026 prioriterade fågelarter.docx", "A 12535-2026")</f>
        <v/>
      </c>
    </row>
    <row r="1037" ht="15" customHeight="1">
      <c r="A1037" t="inlineStr">
        <is>
          <t>A 13143-2026</t>
        </is>
      </c>
      <c r="B1037" s="1" t="n">
        <v>46093</v>
      </c>
      <c r="C1037" s="1" t="n">
        <v>46185</v>
      </c>
      <c r="D1037" t="inlineStr">
        <is>
          <t>VÄSTERNORRLANDS LÄN</t>
        </is>
      </c>
      <c r="E1037" t="inlineStr">
        <is>
          <t>SUNDSVALL</t>
        </is>
      </c>
      <c r="F1037" t="inlineStr">
        <is>
          <t>SCA</t>
        </is>
      </c>
      <c r="G1037" t="n">
        <v>12.4</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HYPERLINK("https://klasma.github.io/Logging_2281/artfynd/A 13143-2026 artfynd.xlsx", "A 13143-2026")</f>
        <v/>
      </c>
      <c r="T1037">
        <f>HYPERLINK("https://klasma.github.io/Logging_2281/kartor/A 13143-2026 karta.png", "A 13143-2026")</f>
        <v/>
      </c>
      <c r="V1037">
        <f>HYPERLINK("https://klasma.github.io/Logging_2281/klagomål/A 13143-2026 FSC-klagomål.docx", "A 13143-2026")</f>
        <v/>
      </c>
      <c r="W1037">
        <f>HYPERLINK("https://klasma.github.io/Logging_2281/klagomålsmail/A 13143-2026 FSC-klagomål mail.docx", "A 13143-2026")</f>
        <v/>
      </c>
      <c r="X1037">
        <f>HYPERLINK("https://klasma.github.io/Logging_2281/tillsyn/A 13143-2026 tillsynsbegäran.docx", "A 13143-2026")</f>
        <v/>
      </c>
      <c r="Y1037">
        <f>HYPERLINK("https://klasma.github.io/Logging_2281/tillsynsmail/A 13143-2026 tillsynsbegäran mail.docx", "A 13143-2026")</f>
        <v/>
      </c>
      <c r="Z1037">
        <f>HYPERLINK("https://klasma.github.io/Logging_2281/fåglar/A 13143-2026 prioriterade fågelarter.docx", "A 13143-2026")</f>
        <v/>
      </c>
    </row>
    <row r="1038" ht="15" customHeight="1">
      <c r="A1038" t="inlineStr">
        <is>
          <t>A 62256-2025</t>
        </is>
      </c>
      <c r="B1038" s="1" t="n">
        <v>46006.61503472222</v>
      </c>
      <c r="C1038" s="1" t="n">
        <v>46185</v>
      </c>
      <c r="D1038" t="inlineStr">
        <is>
          <t>VÄSTERNORRLANDS LÄN</t>
        </is>
      </c>
      <c r="E1038" t="inlineStr">
        <is>
          <t>SOLLEFTEÅ</t>
        </is>
      </c>
      <c r="F1038" t="inlineStr">
        <is>
          <t>SCA</t>
        </is>
      </c>
      <c r="G1038" t="n">
        <v>9</v>
      </c>
      <c r="H1038" t="n">
        <v>0</v>
      </c>
      <c r="I1038" t="n">
        <v>0</v>
      </c>
      <c r="J1038" t="n">
        <v>1</v>
      </c>
      <c r="K1038" t="n">
        <v>0</v>
      </c>
      <c r="L1038" t="n">
        <v>0</v>
      </c>
      <c r="M1038" t="n">
        <v>0</v>
      </c>
      <c r="N1038" t="n">
        <v>0</v>
      </c>
      <c r="O1038" t="n">
        <v>1</v>
      </c>
      <c r="P1038" t="n">
        <v>0</v>
      </c>
      <c r="Q1038" t="n">
        <v>1</v>
      </c>
      <c r="R1038" s="2" t="inlineStr">
        <is>
          <t>Harticka</t>
        </is>
      </c>
      <c r="S1038">
        <f>HYPERLINK("https://klasma.github.io/Logging_2283/artfynd/A 62256-2025 artfynd.xlsx", "A 62256-2025")</f>
        <v/>
      </c>
      <c r="T1038">
        <f>HYPERLINK("https://klasma.github.io/Logging_2283/kartor/A 62256-2025 karta.png", "A 62256-2025")</f>
        <v/>
      </c>
      <c r="V1038">
        <f>HYPERLINK("https://klasma.github.io/Logging_2283/klagomål/A 62256-2025 FSC-klagomål.docx", "A 62256-2025")</f>
        <v/>
      </c>
      <c r="W1038">
        <f>HYPERLINK("https://klasma.github.io/Logging_2283/klagomålsmail/A 62256-2025 FSC-klagomål mail.docx", "A 62256-2025")</f>
        <v/>
      </c>
      <c r="X1038">
        <f>HYPERLINK("https://klasma.github.io/Logging_2283/tillsyn/A 62256-2025 tillsynsbegäran.docx", "A 62256-2025")</f>
        <v/>
      </c>
      <c r="Y1038">
        <f>HYPERLINK("https://klasma.github.io/Logging_2283/tillsynsmail/A 62256-2025 tillsynsbegäran mail.docx", "A 62256-2025")</f>
        <v/>
      </c>
    </row>
    <row r="1039" ht="15" customHeight="1">
      <c r="A1039" t="inlineStr">
        <is>
          <t>A 12977-2026</t>
        </is>
      </c>
      <c r="B1039" s="1" t="n">
        <v>46092.65753472222</v>
      </c>
      <c r="C1039" s="1" t="n">
        <v>46185</v>
      </c>
      <c r="D1039" t="inlineStr">
        <is>
          <t>VÄSTERNORRLANDS LÄN</t>
        </is>
      </c>
      <c r="E1039" t="inlineStr">
        <is>
          <t>TIMRÅ</t>
        </is>
      </c>
      <c r="F1039" t="inlineStr">
        <is>
          <t>SCA</t>
        </is>
      </c>
      <c r="G1039" t="n">
        <v>0.5</v>
      </c>
      <c r="H1039" t="n">
        <v>0</v>
      </c>
      <c r="I1039" t="n">
        <v>0</v>
      </c>
      <c r="J1039" t="n">
        <v>1</v>
      </c>
      <c r="K1039" t="n">
        <v>0</v>
      </c>
      <c r="L1039" t="n">
        <v>0</v>
      </c>
      <c r="M1039" t="n">
        <v>0</v>
      </c>
      <c r="N1039" t="n">
        <v>0</v>
      </c>
      <c r="O1039" t="n">
        <v>1</v>
      </c>
      <c r="P1039" t="n">
        <v>0</v>
      </c>
      <c r="Q1039" t="n">
        <v>1</v>
      </c>
      <c r="R1039" s="2" t="inlineStr">
        <is>
          <t>Ullticka</t>
        </is>
      </c>
      <c r="S1039">
        <f>HYPERLINK("https://klasma.github.io/Logging_2262/artfynd/A 12977-2026 artfynd.xlsx", "A 12977-2026")</f>
        <v/>
      </c>
      <c r="T1039">
        <f>HYPERLINK("https://klasma.github.io/Logging_2262/kartor/A 12977-2026 karta.png", "A 12977-2026")</f>
        <v/>
      </c>
      <c r="V1039">
        <f>HYPERLINK("https://klasma.github.io/Logging_2262/klagomål/A 12977-2026 FSC-klagomål.docx", "A 12977-2026")</f>
        <v/>
      </c>
      <c r="W1039">
        <f>HYPERLINK("https://klasma.github.io/Logging_2262/klagomålsmail/A 12977-2026 FSC-klagomål mail.docx", "A 12977-2026")</f>
        <v/>
      </c>
      <c r="X1039">
        <f>HYPERLINK("https://klasma.github.io/Logging_2262/tillsyn/A 12977-2026 tillsynsbegäran.docx", "A 12977-2026")</f>
        <v/>
      </c>
      <c r="Y1039">
        <f>HYPERLINK("https://klasma.github.io/Logging_2262/tillsynsmail/A 12977-2026 tillsynsbegäran mail.docx", "A 12977-2026")</f>
        <v/>
      </c>
    </row>
    <row r="1040" ht="15" customHeight="1">
      <c r="A1040" t="inlineStr">
        <is>
          <t>A 43541-2022</t>
        </is>
      </c>
      <c r="B1040" s="1" t="n">
        <v>44837</v>
      </c>
      <c r="C1040" s="1" t="n">
        <v>46185</v>
      </c>
      <c r="D1040" t="inlineStr">
        <is>
          <t>VÄSTERNORRLANDS LÄN</t>
        </is>
      </c>
      <c r="E1040" t="inlineStr">
        <is>
          <t>HÄRNÖSAND</t>
        </is>
      </c>
      <c r="G1040" t="n">
        <v>2</v>
      </c>
      <c r="H1040" t="n">
        <v>1</v>
      </c>
      <c r="I1040" t="n">
        <v>0</v>
      </c>
      <c r="J1040" t="n">
        <v>1</v>
      </c>
      <c r="K1040" t="n">
        <v>0</v>
      </c>
      <c r="L1040" t="n">
        <v>0</v>
      </c>
      <c r="M1040" t="n">
        <v>0</v>
      </c>
      <c r="N1040" t="n">
        <v>0</v>
      </c>
      <c r="O1040" t="n">
        <v>1</v>
      </c>
      <c r="P1040" t="n">
        <v>0</v>
      </c>
      <c r="Q1040" t="n">
        <v>1</v>
      </c>
      <c r="R1040" s="2" t="inlineStr">
        <is>
          <t>Sötgräs</t>
        </is>
      </c>
      <c r="S1040">
        <f>HYPERLINK("https://klasma.github.io/Logging_2280/artfynd/A 43541-2022 artfynd.xlsx", "A 43541-2022")</f>
        <v/>
      </c>
      <c r="T1040">
        <f>HYPERLINK("https://klasma.github.io/Logging_2280/kartor/A 43541-2022 karta.png", "A 43541-2022")</f>
        <v/>
      </c>
      <c r="V1040">
        <f>HYPERLINK("https://klasma.github.io/Logging_2280/klagomål/A 43541-2022 FSC-klagomål.docx", "A 43541-2022")</f>
        <v/>
      </c>
      <c r="W1040">
        <f>HYPERLINK("https://klasma.github.io/Logging_2280/klagomålsmail/A 43541-2022 FSC-klagomål mail.docx", "A 43541-2022")</f>
        <v/>
      </c>
      <c r="X1040">
        <f>HYPERLINK("https://klasma.github.io/Logging_2280/tillsyn/A 43541-2022 tillsynsbegäran.docx", "A 43541-2022")</f>
        <v/>
      </c>
      <c r="Y1040">
        <f>HYPERLINK("https://klasma.github.io/Logging_2280/tillsynsmail/A 43541-2022 tillsynsbegäran mail.docx", "A 43541-2022")</f>
        <v/>
      </c>
    </row>
    <row r="1041" ht="15" customHeight="1">
      <c r="A1041" t="inlineStr">
        <is>
          <t>A 63349-2025</t>
        </is>
      </c>
      <c r="B1041" s="1" t="n">
        <v>46010.6640625</v>
      </c>
      <c r="C1041" s="1" t="n">
        <v>46185</v>
      </c>
      <c r="D1041" t="inlineStr">
        <is>
          <t>VÄSTERNORRLANDS LÄN</t>
        </is>
      </c>
      <c r="E1041" t="inlineStr">
        <is>
          <t>ÖRNSKÖLDSVIK</t>
        </is>
      </c>
      <c r="F1041" t="inlineStr">
        <is>
          <t>Holmen skog AB</t>
        </is>
      </c>
      <c r="G1041" t="n">
        <v>3</v>
      </c>
      <c r="H1041" t="n">
        <v>0</v>
      </c>
      <c r="I1041" t="n">
        <v>1</v>
      </c>
      <c r="J1041" t="n">
        <v>0</v>
      </c>
      <c r="K1041" t="n">
        <v>0</v>
      </c>
      <c r="L1041" t="n">
        <v>0</v>
      </c>
      <c r="M1041" t="n">
        <v>0</v>
      </c>
      <c r="N1041" t="n">
        <v>0</v>
      </c>
      <c r="O1041" t="n">
        <v>0</v>
      </c>
      <c r="P1041" t="n">
        <v>0</v>
      </c>
      <c r="Q1041" t="n">
        <v>1</v>
      </c>
      <c r="R1041" s="2" t="inlineStr">
        <is>
          <t>Vågbandad barkbock</t>
        </is>
      </c>
      <c r="S1041">
        <f>HYPERLINK("https://klasma.github.io/Logging_2284/artfynd/A 63349-2025 artfynd.xlsx", "A 63349-2025")</f>
        <v/>
      </c>
      <c r="T1041">
        <f>HYPERLINK("https://klasma.github.io/Logging_2284/kartor/A 63349-2025 karta.png", "A 63349-2025")</f>
        <v/>
      </c>
      <c r="V1041">
        <f>HYPERLINK("https://klasma.github.io/Logging_2284/klagomål/A 63349-2025 FSC-klagomål.docx", "A 63349-2025")</f>
        <v/>
      </c>
      <c r="W1041">
        <f>HYPERLINK("https://klasma.github.io/Logging_2284/klagomålsmail/A 63349-2025 FSC-klagomål mail.docx", "A 63349-2025")</f>
        <v/>
      </c>
      <c r="X1041">
        <f>HYPERLINK("https://klasma.github.io/Logging_2284/tillsyn/A 63349-2025 tillsynsbegäran.docx", "A 63349-2025")</f>
        <v/>
      </c>
      <c r="Y1041">
        <f>HYPERLINK("https://klasma.github.io/Logging_2284/tillsynsmail/A 63349-2025 tillsynsbegäran mail.docx", "A 63349-2025")</f>
        <v/>
      </c>
    </row>
    <row r="1042" ht="15" customHeight="1">
      <c r="A1042" t="inlineStr">
        <is>
          <t>A 50351-2023</t>
        </is>
      </c>
      <c r="B1042" s="1" t="n">
        <v>45216</v>
      </c>
      <c r="C1042" s="1" t="n">
        <v>46185</v>
      </c>
      <c r="D1042" t="inlineStr">
        <is>
          <t>VÄSTERNORRLANDS LÄN</t>
        </is>
      </c>
      <c r="E1042" t="inlineStr">
        <is>
          <t>ÖRNSKÖLDSVIK</t>
        </is>
      </c>
      <c r="F1042" t="inlineStr">
        <is>
          <t>Holmen skog AB</t>
        </is>
      </c>
      <c r="G1042" t="n">
        <v>4.9</v>
      </c>
      <c r="H1042" t="n">
        <v>0</v>
      </c>
      <c r="I1042" t="n">
        <v>1</v>
      </c>
      <c r="J1042" t="n">
        <v>0</v>
      </c>
      <c r="K1042" t="n">
        <v>0</v>
      </c>
      <c r="L1042" t="n">
        <v>0</v>
      </c>
      <c r="M1042" t="n">
        <v>0</v>
      </c>
      <c r="N1042" t="n">
        <v>0</v>
      </c>
      <c r="O1042" t="n">
        <v>0</v>
      </c>
      <c r="P1042" t="n">
        <v>0</v>
      </c>
      <c r="Q1042" t="n">
        <v>1</v>
      </c>
      <c r="R1042" s="2" t="inlineStr">
        <is>
          <t>Bårdlav</t>
        </is>
      </c>
      <c r="S1042">
        <f>HYPERLINK("https://klasma.github.io/Logging_2284/artfynd/A 50351-2023 artfynd.xlsx", "A 50351-2023")</f>
        <v/>
      </c>
      <c r="T1042">
        <f>HYPERLINK("https://klasma.github.io/Logging_2284/kartor/A 50351-2023 karta.png", "A 50351-2023")</f>
        <v/>
      </c>
      <c r="V1042">
        <f>HYPERLINK("https://klasma.github.io/Logging_2284/klagomål/A 50351-2023 FSC-klagomål.docx", "A 50351-2023")</f>
        <v/>
      </c>
      <c r="W1042">
        <f>HYPERLINK("https://klasma.github.io/Logging_2284/klagomålsmail/A 50351-2023 FSC-klagomål mail.docx", "A 50351-2023")</f>
        <v/>
      </c>
      <c r="X1042">
        <f>HYPERLINK("https://klasma.github.io/Logging_2284/tillsyn/A 50351-2023 tillsynsbegäran.docx", "A 50351-2023")</f>
        <v/>
      </c>
      <c r="Y1042">
        <f>HYPERLINK("https://klasma.github.io/Logging_2284/tillsynsmail/A 50351-2023 tillsynsbegäran mail.docx", "A 50351-2023")</f>
        <v/>
      </c>
    </row>
    <row r="1043" ht="15" customHeight="1">
      <c r="A1043" t="inlineStr">
        <is>
          <t>A 13323-2026</t>
        </is>
      </c>
      <c r="B1043" s="1" t="n">
        <v>46094</v>
      </c>
      <c r="C1043" s="1" t="n">
        <v>46185</v>
      </c>
      <c r="D1043" t="inlineStr">
        <is>
          <t>VÄSTERNORRLANDS LÄN</t>
        </is>
      </c>
      <c r="E1043" t="inlineStr">
        <is>
          <t>SOLLEFTEÅ</t>
        </is>
      </c>
      <c r="G1043" t="n">
        <v>3.7</v>
      </c>
      <c r="H1043" t="n">
        <v>0</v>
      </c>
      <c r="I1043" t="n">
        <v>1</v>
      </c>
      <c r="J1043" t="n">
        <v>0</v>
      </c>
      <c r="K1043" t="n">
        <v>0</v>
      </c>
      <c r="L1043" t="n">
        <v>0</v>
      </c>
      <c r="M1043" t="n">
        <v>0</v>
      </c>
      <c r="N1043" t="n">
        <v>0</v>
      </c>
      <c r="O1043" t="n">
        <v>0</v>
      </c>
      <c r="P1043" t="n">
        <v>0</v>
      </c>
      <c r="Q1043" t="n">
        <v>1</v>
      </c>
      <c r="R1043" s="2" t="inlineStr">
        <is>
          <t>Springkorn</t>
        </is>
      </c>
      <c r="S1043">
        <f>HYPERLINK("https://klasma.github.io/Logging_2283/artfynd/A 13323-2026 artfynd.xlsx", "A 13323-2026")</f>
        <v/>
      </c>
      <c r="T1043">
        <f>HYPERLINK("https://klasma.github.io/Logging_2283/kartor/A 13323-2026 karta.png", "A 13323-2026")</f>
        <v/>
      </c>
      <c r="V1043">
        <f>HYPERLINK("https://klasma.github.io/Logging_2283/klagomål/A 13323-2026 FSC-klagomål.docx", "A 13323-2026")</f>
        <v/>
      </c>
      <c r="W1043">
        <f>HYPERLINK("https://klasma.github.io/Logging_2283/klagomålsmail/A 13323-2026 FSC-klagomål mail.docx", "A 13323-2026")</f>
        <v/>
      </c>
      <c r="X1043">
        <f>HYPERLINK("https://klasma.github.io/Logging_2283/tillsyn/A 13323-2026 tillsynsbegäran.docx", "A 13323-2026")</f>
        <v/>
      </c>
      <c r="Y1043">
        <f>HYPERLINK("https://klasma.github.io/Logging_2283/tillsynsmail/A 13323-2026 tillsynsbegäran mail.docx", "A 13323-2026")</f>
        <v/>
      </c>
    </row>
    <row r="1044" ht="15" customHeight="1">
      <c r="A1044" t="inlineStr">
        <is>
          <t>A 62081-2024</t>
        </is>
      </c>
      <c r="B1044" s="1" t="n">
        <v>45656</v>
      </c>
      <c r="C1044" s="1" t="n">
        <v>46185</v>
      </c>
      <c r="D1044" t="inlineStr">
        <is>
          <t>VÄSTERNORRLANDS LÄN</t>
        </is>
      </c>
      <c r="E1044" t="inlineStr">
        <is>
          <t>TIMRÅ</t>
        </is>
      </c>
      <c r="F1044" t="inlineStr">
        <is>
          <t>SCA</t>
        </is>
      </c>
      <c r="G1044" t="n">
        <v>6.3</v>
      </c>
      <c r="H1044" t="n">
        <v>1</v>
      </c>
      <c r="I1044" t="n">
        <v>0</v>
      </c>
      <c r="J1044" t="n">
        <v>0</v>
      </c>
      <c r="K1044" t="n">
        <v>1</v>
      </c>
      <c r="L1044" t="n">
        <v>0</v>
      </c>
      <c r="M1044" t="n">
        <v>0</v>
      </c>
      <c r="N1044" t="n">
        <v>0</v>
      </c>
      <c r="O1044" t="n">
        <v>1</v>
      </c>
      <c r="P1044" t="n">
        <v>1</v>
      </c>
      <c r="Q1044" t="n">
        <v>1</v>
      </c>
      <c r="R1044" s="2" t="inlineStr">
        <is>
          <t>Knärot</t>
        </is>
      </c>
      <c r="S1044">
        <f>HYPERLINK("https://klasma.github.io/Logging_2262/artfynd/A 62081-2024 artfynd.xlsx", "A 62081-2024")</f>
        <v/>
      </c>
      <c r="T1044">
        <f>HYPERLINK("https://klasma.github.io/Logging_2262/kartor/A 62081-2024 karta.png", "A 62081-2024")</f>
        <v/>
      </c>
      <c r="U1044">
        <f>HYPERLINK("https://klasma.github.io/Logging_2262/knärot/A 62081-2024 karta knärot.png", "A 62081-2024")</f>
        <v/>
      </c>
      <c r="V1044">
        <f>HYPERLINK("https://klasma.github.io/Logging_2262/klagomål/A 62081-2024 FSC-klagomål.docx", "A 62081-2024")</f>
        <v/>
      </c>
      <c r="W1044">
        <f>HYPERLINK("https://klasma.github.io/Logging_2262/klagomålsmail/A 62081-2024 FSC-klagomål mail.docx", "A 62081-2024")</f>
        <v/>
      </c>
      <c r="X1044">
        <f>HYPERLINK("https://klasma.github.io/Logging_2262/tillsyn/A 62081-2024 tillsynsbegäran.docx", "A 62081-2024")</f>
        <v/>
      </c>
      <c r="Y1044">
        <f>HYPERLINK("https://klasma.github.io/Logging_2262/tillsynsmail/A 62081-2024 tillsynsbegäran mail.docx", "A 62081-2024")</f>
        <v/>
      </c>
    </row>
    <row r="1045" ht="15" customHeight="1">
      <c r="A1045" t="inlineStr">
        <is>
          <t>A 63915-2025</t>
        </is>
      </c>
      <c r="B1045" s="1" t="n">
        <v>46020.7175462963</v>
      </c>
      <c r="C1045" s="1" t="n">
        <v>46185</v>
      </c>
      <c r="D1045" t="inlineStr">
        <is>
          <t>VÄSTERNORRLANDS LÄN</t>
        </is>
      </c>
      <c r="E1045" t="inlineStr">
        <is>
          <t>KRAMFORS</t>
        </is>
      </c>
      <c r="G1045" t="n">
        <v>10.2</v>
      </c>
      <c r="H1045" t="n">
        <v>1</v>
      </c>
      <c r="I1045" t="n">
        <v>0</v>
      </c>
      <c r="J1045" t="n">
        <v>1</v>
      </c>
      <c r="K1045" t="n">
        <v>0</v>
      </c>
      <c r="L1045" t="n">
        <v>0</v>
      </c>
      <c r="M1045" t="n">
        <v>0</v>
      </c>
      <c r="N1045" t="n">
        <v>0</v>
      </c>
      <c r="O1045" t="n">
        <v>1</v>
      </c>
      <c r="P1045" t="n">
        <v>0</v>
      </c>
      <c r="Q1045" t="n">
        <v>1</v>
      </c>
      <c r="R1045" s="2" t="inlineStr">
        <is>
          <t>Mindre hackspett</t>
        </is>
      </c>
      <c r="S1045">
        <f>HYPERLINK("https://klasma.github.io/Logging_2282/artfynd/A 63915-2025 artfynd.xlsx", "A 63915-2025")</f>
        <v/>
      </c>
      <c r="T1045">
        <f>HYPERLINK("https://klasma.github.io/Logging_2282/kartor/A 63915-2025 karta.png", "A 63915-2025")</f>
        <v/>
      </c>
      <c r="V1045">
        <f>HYPERLINK("https://klasma.github.io/Logging_2282/klagomål/A 63915-2025 FSC-klagomål.docx", "A 63915-2025")</f>
        <v/>
      </c>
      <c r="W1045">
        <f>HYPERLINK("https://klasma.github.io/Logging_2282/klagomålsmail/A 63915-2025 FSC-klagomål mail.docx", "A 63915-2025")</f>
        <v/>
      </c>
      <c r="X1045">
        <f>HYPERLINK("https://klasma.github.io/Logging_2282/tillsyn/A 63915-2025 tillsynsbegäran.docx", "A 63915-2025")</f>
        <v/>
      </c>
      <c r="Y1045">
        <f>HYPERLINK("https://klasma.github.io/Logging_2282/tillsynsmail/A 63915-2025 tillsynsbegäran mail.docx", "A 63915-2025")</f>
        <v/>
      </c>
      <c r="Z1045">
        <f>HYPERLINK("https://klasma.github.io/Logging_2282/fåglar/A 63915-2025 prioriterade fågelarter.docx", "A 63915-2025")</f>
        <v/>
      </c>
    </row>
    <row r="1046" ht="15" customHeight="1">
      <c r="A1046" t="inlineStr">
        <is>
          <t>A 30774-2024</t>
        </is>
      </c>
      <c r="B1046" s="1" t="n">
        <v>45496.949375</v>
      </c>
      <c r="C1046" s="1" t="n">
        <v>46185</v>
      </c>
      <c r="D1046" t="inlineStr">
        <is>
          <t>VÄSTERNORRLANDS LÄN</t>
        </is>
      </c>
      <c r="E1046" t="inlineStr">
        <is>
          <t>ÅNGE</t>
        </is>
      </c>
      <c r="F1046" t="inlineStr">
        <is>
          <t>SCA</t>
        </is>
      </c>
      <c r="G1046" t="n">
        <v>2.2</v>
      </c>
      <c r="H1046" t="n">
        <v>1</v>
      </c>
      <c r="I1046" t="n">
        <v>0</v>
      </c>
      <c r="J1046" t="n">
        <v>0</v>
      </c>
      <c r="K1046" t="n">
        <v>0</v>
      </c>
      <c r="L1046" t="n">
        <v>0</v>
      </c>
      <c r="M1046" t="n">
        <v>0</v>
      </c>
      <c r="N1046" t="n">
        <v>0</v>
      </c>
      <c r="O1046" t="n">
        <v>0</v>
      </c>
      <c r="P1046" t="n">
        <v>0</v>
      </c>
      <c r="Q1046" t="n">
        <v>1</v>
      </c>
      <c r="R1046" s="2" t="inlineStr">
        <is>
          <t>Tjäder</t>
        </is>
      </c>
      <c r="S1046">
        <f>HYPERLINK("https://klasma.github.io/Logging_2260/artfynd/A 30774-2024 artfynd.xlsx", "A 30774-2024")</f>
        <v/>
      </c>
      <c r="T1046">
        <f>HYPERLINK("https://klasma.github.io/Logging_2260/kartor/A 30774-2024 karta.png", "A 30774-2024")</f>
        <v/>
      </c>
      <c r="V1046">
        <f>HYPERLINK("https://klasma.github.io/Logging_2260/klagomål/A 30774-2024 FSC-klagomål.docx", "A 30774-2024")</f>
        <v/>
      </c>
      <c r="W1046">
        <f>HYPERLINK("https://klasma.github.io/Logging_2260/klagomålsmail/A 30774-2024 FSC-klagomål mail.docx", "A 30774-2024")</f>
        <v/>
      </c>
      <c r="X1046">
        <f>HYPERLINK("https://klasma.github.io/Logging_2260/tillsyn/A 30774-2024 tillsynsbegäran.docx", "A 30774-2024")</f>
        <v/>
      </c>
      <c r="Y1046">
        <f>HYPERLINK("https://klasma.github.io/Logging_2260/tillsynsmail/A 30774-2024 tillsynsbegäran mail.docx", "A 30774-2024")</f>
        <v/>
      </c>
      <c r="Z1046">
        <f>HYPERLINK("https://klasma.github.io/Logging_2260/fåglar/A 30774-2024 prioriterade fågelarter.docx", "A 30774-2024")</f>
        <v/>
      </c>
    </row>
    <row r="1047" ht="15" customHeight="1">
      <c r="A1047" t="inlineStr">
        <is>
          <t>A 56479-2025</t>
        </is>
      </c>
      <c r="B1047" s="1" t="n">
        <v>45975.39144675926</v>
      </c>
      <c r="C1047" s="1" t="n">
        <v>46185</v>
      </c>
      <c r="D1047" t="inlineStr">
        <is>
          <t>VÄSTERNORRLANDS LÄN</t>
        </is>
      </c>
      <c r="E1047" t="inlineStr">
        <is>
          <t>ÖRNSKÖLDSVIK</t>
        </is>
      </c>
      <c r="F1047" t="inlineStr">
        <is>
          <t>Holmen skog AB</t>
        </is>
      </c>
      <c r="G1047" t="n">
        <v>3.5</v>
      </c>
      <c r="H1047" t="n">
        <v>1</v>
      </c>
      <c r="I1047" t="n">
        <v>0</v>
      </c>
      <c r="J1047" t="n">
        <v>1</v>
      </c>
      <c r="K1047" t="n">
        <v>0</v>
      </c>
      <c r="L1047" t="n">
        <v>0</v>
      </c>
      <c r="M1047" t="n">
        <v>0</v>
      </c>
      <c r="N1047" t="n">
        <v>0</v>
      </c>
      <c r="O1047" t="n">
        <v>1</v>
      </c>
      <c r="P1047" t="n">
        <v>0</v>
      </c>
      <c r="Q1047" t="n">
        <v>1</v>
      </c>
      <c r="R1047" s="2" t="inlineStr">
        <is>
          <t>Spillkråka</t>
        </is>
      </c>
      <c r="S1047">
        <f>HYPERLINK("https://klasma.github.io/Logging_2284/artfynd/A 56479-2025 artfynd.xlsx", "A 56479-2025")</f>
        <v/>
      </c>
      <c r="T1047">
        <f>HYPERLINK("https://klasma.github.io/Logging_2284/kartor/A 56479-2025 karta.png", "A 56479-2025")</f>
        <v/>
      </c>
      <c r="V1047">
        <f>HYPERLINK("https://klasma.github.io/Logging_2284/klagomål/A 56479-2025 FSC-klagomål.docx", "A 56479-2025")</f>
        <v/>
      </c>
      <c r="W1047">
        <f>HYPERLINK("https://klasma.github.io/Logging_2284/klagomålsmail/A 56479-2025 FSC-klagomål mail.docx", "A 56479-2025")</f>
        <v/>
      </c>
      <c r="X1047">
        <f>HYPERLINK("https://klasma.github.io/Logging_2284/tillsyn/A 56479-2025 tillsynsbegäran.docx", "A 56479-2025")</f>
        <v/>
      </c>
      <c r="Y1047">
        <f>HYPERLINK("https://klasma.github.io/Logging_2284/tillsynsmail/A 56479-2025 tillsynsbegäran mail.docx", "A 56479-2025")</f>
        <v/>
      </c>
      <c r="Z1047">
        <f>HYPERLINK("https://klasma.github.io/Logging_2284/fåglar/A 56479-2025 prioriterade fågelarter.docx", "A 56479-2025")</f>
        <v/>
      </c>
    </row>
    <row r="1048" ht="15" customHeight="1">
      <c r="A1048" t="inlineStr">
        <is>
          <t>A 13953-2026</t>
        </is>
      </c>
      <c r="B1048" s="1" t="n">
        <v>46098.55194444444</v>
      </c>
      <c r="C1048" s="1" t="n">
        <v>46185</v>
      </c>
      <c r="D1048" t="inlineStr">
        <is>
          <t>VÄSTERNORRLANDS LÄN</t>
        </is>
      </c>
      <c r="E1048" t="inlineStr">
        <is>
          <t>ÅNGE</t>
        </is>
      </c>
      <c r="F1048" t="inlineStr">
        <is>
          <t>Holmen skog AB</t>
        </is>
      </c>
      <c r="G1048" t="n">
        <v>3.1</v>
      </c>
      <c r="H1048" t="n">
        <v>0</v>
      </c>
      <c r="I1048" t="n">
        <v>1</v>
      </c>
      <c r="J1048" t="n">
        <v>0</v>
      </c>
      <c r="K1048" t="n">
        <v>0</v>
      </c>
      <c r="L1048" t="n">
        <v>0</v>
      </c>
      <c r="M1048" t="n">
        <v>0</v>
      </c>
      <c r="N1048" t="n">
        <v>0</v>
      </c>
      <c r="O1048" t="n">
        <v>0</v>
      </c>
      <c r="P1048" t="n">
        <v>0</v>
      </c>
      <c r="Q1048" t="n">
        <v>1</v>
      </c>
      <c r="R1048" s="2" t="inlineStr">
        <is>
          <t>Stuplav</t>
        </is>
      </c>
      <c r="S1048">
        <f>HYPERLINK("https://klasma.github.io/Logging_2260/artfynd/A 13953-2026 artfynd.xlsx", "A 13953-2026")</f>
        <v/>
      </c>
      <c r="T1048">
        <f>HYPERLINK("https://klasma.github.io/Logging_2260/kartor/A 13953-2026 karta.png", "A 13953-2026")</f>
        <v/>
      </c>
      <c r="V1048">
        <f>HYPERLINK("https://klasma.github.io/Logging_2260/klagomål/A 13953-2026 FSC-klagomål.docx", "A 13953-2026")</f>
        <v/>
      </c>
      <c r="W1048">
        <f>HYPERLINK("https://klasma.github.io/Logging_2260/klagomålsmail/A 13953-2026 FSC-klagomål mail.docx", "A 13953-2026")</f>
        <v/>
      </c>
      <c r="X1048">
        <f>HYPERLINK("https://klasma.github.io/Logging_2260/tillsyn/A 13953-2026 tillsynsbegäran.docx", "A 13953-2026")</f>
        <v/>
      </c>
      <c r="Y1048">
        <f>HYPERLINK("https://klasma.github.io/Logging_2260/tillsynsmail/A 13953-2026 tillsynsbegäran mail.docx", "A 13953-2026")</f>
        <v/>
      </c>
    </row>
    <row r="1049" ht="15" customHeight="1">
      <c r="A1049" t="inlineStr">
        <is>
          <t>A 14140-2026</t>
        </is>
      </c>
      <c r="B1049" s="1" t="n">
        <v>46099.45783564815</v>
      </c>
      <c r="C1049" s="1" t="n">
        <v>46185</v>
      </c>
      <c r="D1049" t="inlineStr">
        <is>
          <t>VÄSTERNORRLANDS LÄN</t>
        </is>
      </c>
      <c r="E1049" t="inlineStr">
        <is>
          <t>ÖRNSKÖLDSVIK</t>
        </is>
      </c>
      <c r="F1049" t="inlineStr">
        <is>
          <t>Holmen skog AB</t>
        </is>
      </c>
      <c r="G1049" t="n">
        <v>3.3</v>
      </c>
      <c r="H1049" t="n">
        <v>0</v>
      </c>
      <c r="I1049" t="n">
        <v>0</v>
      </c>
      <c r="J1049" t="n">
        <v>1</v>
      </c>
      <c r="K1049" t="n">
        <v>0</v>
      </c>
      <c r="L1049" t="n">
        <v>0</v>
      </c>
      <c r="M1049" t="n">
        <v>0</v>
      </c>
      <c r="N1049" t="n">
        <v>0</v>
      </c>
      <c r="O1049" t="n">
        <v>1</v>
      </c>
      <c r="P1049" t="n">
        <v>0</v>
      </c>
      <c r="Q1049" t="n">
        <v>1</v>
      </c>
      <c r="R1049" s="2" t="inlineStr">
        <is>
          <t>Kolflarnlav</t>
        </is>
      </c>
      <c r="S1049">
        <f>HYPERLINK("https://klasma.github.io/Logging_2284/artfynd/A 14140-2026 artfynd.xlsx", "A 14140-2026")</f>
        <v/>
      </c>
      <c r="T1049">
        <f>HYPERLINK("https://klasma.github.io/Logging_2284/kartor/A 14140-2026 karta.png", "A 14140-2026")</f>
        <v/>
      </c>
      <c r="V1049">
        <f>HYPERLINK("https://klasma.github.io/Logging_2284/klagomål/A 14140-2026 FSC-klagomål.docx", "A 14140-2026")</f>
        <v/>
      </c>
      <c r="W1049">
        <f>HYPERLINK("https://klasma.github.io/Logging_2284/klagomålsmail/A 14140-2026 FSC-klagomål mail.docx", "A 14140-2026")</f>
        <v/>
      </c>
      <c r="X1049">
        <f>HYPERLINK("https://klasma.github.io/Logging_2284/tillsyn/A 14140-2026 tillsynsbegäran.docx", "A 14140-2026")</f>
        <v/>
      </c>
      <c r="Y1049">
        <f>HYPERLINK("https://klasma.github.io/Logging_2284/tillsynsmail/A 14140-2026 tillsynsbegäran mail.docx", "A 14140-2026")</f>
        <v/>
      </c>
    </row>
    <row r="1050" ht="15" customHeight="1">
      <c r="A1050" t="inlineStr">
        <is>
          <t>A 13924-2026</t>
        </is>
      </c>
      <c r="B1050" s="1" t="n">
        <v>46098.49089120371</v>
      </c>
      <c r="C1050" s="1" t="n">
        <v>46185</v>
      </c>
      <c r="D1050" t="inlineStr">
        <is>
          <t>VÄSTERNORRLANDS LÄN</t>
        </is>
      </c>
      <c r="E1050" t="inlineStr">
        <is>
          <t>TIMRÅ</t>
        </is>
      </c>
      <c r="G1050" t="n">
        <v>3.7</v>
      </c>
      <c r="H1050" t="n">
        <v>1</v>
      </c>
      <c r="I1050" t="n">
        <v>0</v>
      </c>
      <c r="J1050" t="n">
        <v>0</v>
      </c>
      <c r="K1050" t="n">
        <v>1</v>
      </c>
      <c r="L1050" t="n">
        <v>0</v>
      </c>
      <c r="M1050" t="n">
        <v>0</v>
      </c>
      <c r="N1050" t="n">
        <v>0</v>
      </c>
      <c r="O1050" t="n">
        <v>1</v>
      </c>
      <c r="P1050" t="n">
        <v>1</v>
      </c>
      <c r="Q1050" t="n">
        <v>1</v>
      </c>
      <c r="R1050" s="2" t="inlineStr">
        <is>
          <t>Knärot</t>
        </is>
      </c>
      <c r="S1050">
        <f>HYPERLINK("https://klasma.github.io/Logging_2262/artfynd/A 13924-2026 artfynd.xlsx", "A 13924-2026")</f>
        <v/>
      </c>
      <c r="T1050">
        <f>HYPERLINK("https://klasma.github.io/Logging_2262/kartor/A 13924-2026 karta.png", "A 13924-2026")</f>
        <v/>
      </c>
      <c r="U1050">
        <f>HYPERLINK("https://klasma.github.io/Logging_2262/knärot/A 13924-2026 karta knärot.png", "A 13924-2026")</f>
        <v/>
      </c>
      <c r="V1050">
        <f>HYPERLINK("https://klasma.github.io/Logging_2262/klagomål/A 13924-2026 FSC-klagomål.docx", "A 13924-2026")</f>
        <v/>
      </c>
      <c r="W1050">
        <f>HYPERLINK("https://klasma.github.io/Logging_2262/klagomålsmail/A 13924-2026 FSC-klagomål mail.docx", "A 13924-2026")</f>
        <v/>
      </c>
      <c r="X1050">
        <f>HYPERLINK("https://klasma.github.io/Logging_2262/tillsyn/A 13924-2026 tillsynsbegäran.docx", "A 13924-2026")</f>
        <v/>
      </c>
      <c r="Y1050">
        <f>HYPERLINK("https://klasma.github.io/Logging_2262/tillsynsmail/A 13924-2026 tillsynsbegäran mail.docx", "A 13924-2026")</f>
        <v/>
      </c>
    </row>
    <row r="1051" ht="15" customHeight="1">
      <c r="A1051" t="inlineStr">
        <is>
          <t>A 50651-2021</t>
        </is>
      </c>
      <c r="B1051" s="1" t="n">
        <v>44459</v>
      </c>
      <c r="C1051" s="1" t="n">
        <v>46185</v>
      </c>
      <c r="D1051" t="inlineStr">
        <is>
          <t>VÄSTERNORRLANDS LÄN</t>
        </is>
      </c>
      <c r="E1051" t="inlineStr">
        <is>
          <t>ÅNGE</t>
        </is>
      </c>
      <c r="G1051" t="n">
        <v>20.6</v>
      </c>
      <c r="H1051" t="n">
        <v>0</v>
      </c>
      <c r="I1051" t="n">
        <v>0</v>
      </c>
      <c r="J1051" t="n">
        <v>1</v>
      </c>
      <c r="K1051" t="n">
        <v>0</v>
      </c>
      <c r="L1051" t="n">
        <v>0</v>
      </c>
      <c r="M1051" t="n">
        <v>0</v>
      </c>
      <c r="N1051" t="n">
        <v>0</v>
      </c>
      <c r="O1051" t="n">
        <v>1</v>
      </c>
      <c r="P1051" t="n">
        <v>0</v>
      </c>
      <c r="Q1051" t="n">
        <v>1</v>
      </c>
      <c r="R1051" s="2" t="inlineStr">
        <is>
          <t>Garnlav</t>
        </is>
      </c>
      <c r="S1051">
        <f>HYPERLINK("https://klasma.github.io/Logging_2260/artfynd/A 50651-2021 artfynd.xlsx", "A 50651-2021")</f>
        <v/>
      </c>
      <c r="T1051">
        <f>HYPERLINK("https://klasma.github.io/Logging_2260/kartor/A 50651-2021 karta.png", "A 50651-2021")</f>
        <v/>
      </c>
      <c r="V1051">
        <f>HYPERLINK("https://klasma.github.io/Logging_2260/klagomål/A 50651-2021 FSC-klagomål.docx", "A 50651-2021")</f>
        <v/>
      </c>
      <c r="W1051">
        <f>HYPERLINK("https://klasma.github.io/Logging_2260/klagomålsmail/A 50651-2021 FSC-klagomål mail.docx", "A 50651-2021")</f>
        <v/>
      </c>
      <c r="X1051">
        <f>HYPERLINK("https://klasma.github.io/Logging_2260/tillsyn/A 50651-2021 tillsynsbegäran.docx", "A 50651-2021")</f>
        <v/>
      </c>
      <c r="Y1051">
        <f>HYPERLINK("https://klasma.github.io/Logging_2260/tillsynsmail/A 50651-2021 tillsynsbegäran mail.docx", "A 50651-2021")</f>
        <v/>
      </c>
    </row>
    <row r="1052" ht="15" customHeight="1">
      <c r="A1052" t="inlineStr">
        <is>
          <t>A 14132-2026</t>
        </is>
      </c>
      <c r="B1052" s="1" t="n">
        <v>46099.45082175926</v>
      </c>
      <c r="C1052" s="1" t="n">
        <v>46185</v>
      </c>
      <c r="D1052" t="inlineStr">
        <is>
          <t>VÄSTERNORRLANDS LÄN</t>
        </is>
      </c>
      <c r="E1052" t="inlineStr">
        <is>
          <t>ÖRNSKÖLDSVIK</t>
        </is>
      </c>
      <c r="F1052" t="inlineStr">
        <is>
          <t>Holmen skog AB</t>
        </is>
      </c>
      <c r="G1052" t="n">
        <v>3.3</v>
      </c>
      <c r="H1052" t="n">
        <v>0</v>
      </c>
      <c r="I1052" t="n">
        <v>0</v>
      </c>
      <c r="J1052" t="n">
        <v>1</v>
      </c>
      <c r="K1052" t="n">
        <v>0</v>
      </c>
      <c r="L1052" t="n">
        <v>0</v>
      </c>
      <c r="M1052" t="n">
        <v>0</v>
      </c>
      <c r="N1052" t="n">
        <v>0</v>
      </c>
      <c r="O1052" t="n">
        <v>1</v>
      </c>
      <c r="P1052" t="n">
        <v>0</v>
      </c>
      <c r="Q1052" t="n">
        <v>1</v>
      </c>
      <c r="R1052" s="2" t="inlineStr">
        <is>
          <t>Kolflarnlav</t>
        </is>
      </c>
      <c r="S1052">
        <f>HYPERLINK("https://klasma.github.io/Logging_2284/artfynd/A 14132-2026 artfynd.xlsx", "A 14132-2026")</f>
        <v/>
      </c>
      <c r="T1052">
        <f>HYPERLINK("https://klasma.github.io/Logging_2284/kartor/A 14132-2026 karta.png", "A 14132-2026")</f>
        <v/>
      </c>
      <c r="V1052">
        <f>HYPERLINK("https://klasma.github.io/Logging_2284/klagomål/A 14132-2026 FSC-klagomål.docx", "A 14132-2026")</f>
        <v/>
      </c>
      <c r="W1052">
        <f>HYPERLINK("https://klasma.github.io/Logging_2284/klagomålsmail/A 14132-2026 FSC-klagomål mail.docx", "A 14132-2026")</f>
        <v/>
      </c>
      <c r="X1052">
        <f>HYPERLINK("https://klasma.github.io/Logging_2284/tillsyn/A 14132-2026 tillsynsbegäran.docx", "A 14132-2026")</f>
        <v/>
      </c>
      <c r="Y1052">
        <f>HYPERLINK("https://klasma.github.io/Logging_2284/tillsynsmail/A 14132-2026 tillsynsbegäran mail.docx", "A 14132-2026")</f>
        <v/>
      </c>
    </row>
    <row r="1053" ht="15" customHeight="1">
      <c r="A1053" t="inlineStr">
        <is>
          <t>A 8677-2023</t>
        </is>
      </c>
      <c r="B1053" s="1" t="n">
        <v>44977</v>
      </c>
      <c r="C1053" s="1" t="n">
        <v>46185</v>
      </c>
      <c r="D1053" t="inlineStr">
        <is>
          <t>VÄSTERNORRLANDS LÄN</t>
        </is>
      </c>
      <c r="E1053" t="inlineStr">
        <is>
          <t>ÖRNSKÖLDSVIK</t>
        </is>
      </c>
      <c r="F1053" t="inlineStr">
        <is>
          <t>SCA</t>
        </is>
      </c>
      <c r="G1053" t="n">
        <v>18.6</v>
      </c>
      <c r="H1053" t="n">
        <v>0</v>
      </c>
      <c r="I1053" t="n">
        <v>0</v>
      </c>
      <c r="J1053" t="n">
        <v>1</v>
      </c>
      <c r="K1053" t="n">
        <v>0</v>
      </c>
      <c r="L1053" t="n">
        <v>0</v>
      </c>
      <c r="M1053" t="n">
        <v>0</v>
      </c>
      <c r="N1053" t="n">
        <v>0</v>
      </c>
      <c r="O1053" t="n">
        <v>1</v>
      </c>
      <c r="P1053" t="n">
        <v>0</v>
      </c>
      <c r="Q1053" t="n">
        <v>1</v>
      </c>
      <c r="R1053" s="2" t="inlineStr">
        <is>
          <t>Lunglav</t>
        </is>
      </c>
      <c r="S1053">
        <f>HYPERLINK("https://klasma.github.io/Logging_2284/artfynd/A 8677-2023 artfynd.xlsx", "A 8677-2023")</f>
        <v/>
      </c>
      <c r="T1053">
        <f>HYPERLINK("https://klasma.github.io/Logging_2284/kartor/A 8677-2023 karta.png", "A 8677-2023")</f>
        <v/>
      </c>
      <c r="V1053">
        <f>HYPERLINK("https://klasma.github.io/Logging_2284/klagomål/A 8677-2023 FSC-klagomål.docx", "A 8677-2023")</f>
        <v/>
      </c>
      <c r="W1053">
        <f>HYPERLINK("https://klasma.github.io/Logging_2284/klagomålsmail/A 8677-2023 FSC-klagomål mail.docx", "A 8677-2023")</f>
        <v/>
      </c>
      <c r="X1053">
        <f>HYPERLINK("https://klasma.github.io/Logging_2284/tillsyn/A 8677-2023 tillsynsbegäran.docx", "A 8677-2023")</f>
        <v/>
      </c>
      <c r="Y1053">
        <f>HYPERLINK("https://klasma.github.io/Logging_2284/tillsynsmail/A 8677-2023 tillsynsbegäran mail.docx", "A 8677-2023")</f>
        <v/>
      </c>
    </row>
    <row r="1054" ht="15" customHeight="1">
      <c r="A1054" t="inlineStr">
        <is>
          <t>A 64510-2023</t>
        </is>
      </c>
      <c r="B1054" s="1" t="n">
        <v>45281</v>
      </c>
      <c r="C1054" s="1" t="n">
        <v>46185</v>
      </c>
      <c r="D1054" t="inlineStr">
        <is>
          <t>VÄSTERNORRLANDS LÄN</t>
        </is>
      </c>
      <c r="E1054" t="inlineStr">
        <is>
          <t>ÅNGE</t>
        </is>
      </c>
      <c r="G1054" t="n">
        <v>3.7</v>
      </c>
      <c r="H1054" t="n">
        <v>0</v>
      </c>
      <c r="I1054" t="n">
        <v>1</v>
      </c>
      <c r="J1054" t="n">
        <v>0</v>
      </c>
      <c r="K1054" t="n">
        <v>0</v>
      </c>
      <c r="L1054" t="n">
        <v>0</v>
      </c>
      <c r="M1054" t="n">
        <v>0</v>
      </c>
      <c r="N1054" t="n">
        <v>0</v>
      </c>
      <c r="O1054" t="n">
        <v>0</v>
      </c>
      <c r="P1054" t="n">
        <v>0</v>
      </c>
      <c r="Q1054" t="n">
        <v>1</v>
      </c>
      <c r="R1054" s="2" t="inlineStr">
        <is>
          <t>Dropptaggsvamp</t>
        </is>
      </c>
      <c r="S1054">
        <f>HYPERLINK("https://klasma.github.io/Logging_2260/artfynd/A 64510-2023 artfynd.xlsx", "A 64510-2023")</f>
        <v/>
      </c>
      <c r="T1054">
        <f>HYPERLINK("https://klasma.github.io/Logging_2260/kartor/A 64510-2023 karta.png", "A 64510-2023")</f>
        <v/>
      </c>
      <c r="V1054">
        <f>HYPERLINK("https://klasma.github.io/Logging_2260/klagomål/A 64510-2023 FSC-klagomål.docx", "A 64510-2023")</f>
        <v/>
      </c>
      <c r="W1054">
        <f>HYPERLINK("https://klasma.github.io/Logging_2260/klagomålsmail/A 64510-2023 FSC-klagomål mail.docx", "A 64510-2023")</f>
        <v/>
      </c>
      <c r="X1054">
        <f>HYPERLINK("https://klasma.github.io/Logging_2260/tillsyn/A 64510-2023 tillsynsbegäran.docx", "A 64510-2023")</f>
        <v/>
      </c>
      <c r="Y1054">
        <f>HYPERLINK("https://klasma.github.io/Logging_2260/tillsynsmail/A 64510-2023 tillsynsbegäran mail.docx", "A 64510-2023")</f>
        <v/>
      </c>
    </row>
    <row r="1055" ht="15" customHeight="1">
      <c r="A1055" t="inlineStr">
        <is>
          <t>A 38603-2024</t>
        </is>
      </c>
      <c r="B1055" s="1" t="n">
        <v>45546</v>
      </c>
      <c r="C1055" s="1" t="n">
        <v>46185</v>
      </c>
      <c r="D1055" t="inlineStr">
        <is>
          <t>VÄSTERNORRLANDS LÄN</t>
        </is>
      </c>
      <c r="E1055" t="inlineStr">
        <is>
          <t>ÅNGE</t>
        </is>
      </c>
      <c r="F1055" t="inlineStr">
        <is>
          <t>SCA</t>
        </is>
      </c>
      <c r="G1055" t="n">
        <v>5.6</v>
      </c>
      <c r="H1055" t="n">
        <v>0</v>
      </c>
      <c r="I1055" t="n">
        <v>0</v>
      </c>
      <c r="J1055" t="n">
        <v>0</v>
      </c>
      <c r="K1055" t="n">
        <v>1</v>
      </c>
      <c r="L1055" t="n">
        <v>0</v>
      </c>
      <c r="M1055" t="n">
        <v>0</v>
      </c>
      <c r="N1055" t="n">
        <v>0</v>
      </c>
      <c r="O1055" t="n">
        <v>1</v>
      </c>
      <c r="P1055" t="n">
        <v>1</v>
      </c>
      <c r="Q1055" t="n">
        <v>1</v>
      </c>
      <c r="R1055" s="2" t="inlineStr">
        <is>
          <t>Rynkskinn</t>
        </is>
      </c>
      <c r="S1055">
        <f>HYPERLINK("https://klasma.github.io/Logging_2260/artfynd/A 38603-2024 artfynd.xlsx", "A 38603-2024")</f>
        <v/>
      </c>
      <c r="T1055">
        <f>HYPERLINK("https://klasma.github.io/Logging_2260/kartor/A 38603-2024 karta.png", "A 38603-2024")</f>
        <v/>
      </c>
      <c r="V1055">
        <f>HYPERLINK("https://klasma.github.io/Logging_2260/klagomål/A 38603-2024 FSC-klagomål.docx", "A 38603-2024")</f>
        <v/>
      </c>
      <c r="W1055">
        <f>HYPERLINK("https://klasma.github.io/Logging_2260/klagomålsmail/A 38603-2024 FSC-klagomål mail.docx", "A 38603-2024")</f>
        <v/>
      </c>
      <c r="X1055">
        <f>HYPERLINK("https://klasma.github.io/Logging_2260/tillsyn/A 38603-2024 tillsynsbegäran.docx", "A 38603-2024")</f>
        <v/>
      </c>
      <c r="Y1055">
        <f>HYPERLINK("https://klasma.github.io/Logging_2260/tillsynsmail/A 38603-2024 tillsynsbegäran mail.docx", "A 38603-2024")</f>
        <v/>
      </c>
    </row>
    <row r="1056" ht="15" customHeight="1">
      <c r="A1056" t="inlineStr">
        <is>
          <t>A 58186-2022</t>
        </is>
      </c>
      <c r="B1056" s="1" t="n">
        <v>44900</v>
      </c>
      <c r="C1056" s="1" t="n">
        <v>46185</v>
      </c>
      <c r="D1056" t="inlineStr">
        <is>
          <t>VÄSTERNORRLANDS LÄN</t>
        </is>
      </c>
      <c r="E1056" t="inlineStr">
        <is>
          <t>SUNDSVALL</t>
        </is>
      </c>
      <c r="F1056" t="inlineStr">
        <is>
          <t>SCA</t>
        </is>
      </c>
      <c r="G1056" t="n">
        <v>9.300000000000001</v>
      </c>
      <c r="H1056" t="n">
        <v>1</v>
      </c>
      <c r="I1056" t="n">
        <v>1</v>
      </c>
      <c r="J1056" t="n">
        <v>0</v>
      </c>
      <c r="K1056" t="n">
        <v>0</v>
      </c>
      <c r="L1056" t="n">
        <v>0</v>
      </c>
      <c r="M1056" t="n">
        <v>0</v>
      </c>
      <c r="N1056" t="n">
        <v>0</v>
      </c>
      <c r="O1056" t="n">
        <v>0</v>
      </c>
      <c r="P1056" t="n">
        <v>0</v>
      </c>
      <c r="Q1056" t="n">
        <v>1</v>
      </c>
      <c r="R1056" s="2" t="inlineStr">
        <is>
          <t>Plattlummer</t>
        </is>
      </c>
      <c r="S1056">
        <f>HYPERLINK("https://klasma.github.io/Logging_2281/artfynd/A 58186-2022 artfynd.xlsx", "A 58186-2022")</f>
        <v/>
      </c>
      <c r="T1056">
        <f>HYPERLINK("https://klasma.github.io/Logging_2281/kartor/A 58186-2022 karta.png", "A 58186-2022")</f>
        <v/>
      </c>
      <c r="V1056">
        <f>HYPERLINK("https://klasma.github.io/Logging_2281/klagomål/A 58186-2022 FSC-klagomål.docx", "A 58186-2022")</f>
        <v/>
      </c>
      <c r="W1056">
        <f>HYPERLINK("https://klasma.github.io/Logging_2281/klagomålsmail/A 58186-2022 FSC-klagomål mail.docx", "A 58186-2022")</f>
        <v/>
      </c>
      <c r="X1056">
        <f>HYPERLINK("https://klasma.github.io/Logging_2281/tillsyn/A 58186-2022 tillsynsbegäran.docx", "A 58186-2022")</f>
        <v/>
      </c>
      <c r="Y1056">
        <f>HYPERLINK("https://klasma.github.io/Logging_2281/tillsynsmail/A 58186-2022 tillsynsbegäran mail.docx", "A 58186-2022")</f>
        <v/>
      </c>
    </row>
    <row r="1057" ht="15" customHeight="1">
      <c r="A1057" t="inlineStr">
        <is>
          <t>A 15361-2026</t>
        </is>
      </c>
      <c r="B1057" s="1" t="n">
        <v>46105</v>
      </c>
      <c r="C1057" s="1" t="n">
        <v>46185</v>
      </c>
      <c r="D1057" t="inlineStr">
        <is>
          <t>VÄSTERNORRLANDS LÄN</t>
        </is>
      </c>
      <c r="E1057" t="inlineStr">
        <is>
          <t>SOLLEFTEÅ</t>
        </is>
      </c>
      <c r="F1057" t="inlineStr">
        <is>
          <t>SCA</t>
        </is>
      </c>
      <c r="G1057" t="n">
        <v>1.3</v>
      </c>
      <c r="H1057" t="n">
        <v>0</v>
      </c>
      <c r="I1057" t="n">
        <v>0</v>
      </c>
      <c r="J1057" t="n">
        <v>1</v>
      </c>
      <c r="K1057" t="n">
        <v>0</v>
      </c>
      <c r="L1057" t="n">
        <v>0</v>
      </c>
      <c r="M1057" t="n">
        <v>0</v>
      </c>
      <c r="N1057" t="n">
        <v>0</v>
      </c>
      <c r="O1057" t="n">
        <v>1</v>
      </c>
      <c r="P1057" t="n">
        <v>0</v>
      </c>
      <c r="Q1057" t="n">
        <v>1</v>
      </c>
      <c r="R1057" s="2" t="inlineStr">
        <is>
          <t>Ullticka</t>
        </is>
      </c>
      <c r="S1057">
        <f>HYPERLINK("https://klasma.github.io/Logging_2283/artfynd/A 15361-2026 artfynd.xlsx", "A 15361-2026")</f>
        <v/>
      </c>
      <c r="T1057">
        <f>HYPERLINK("https://klasma.github.io/Logging_2283/kartor/A 15361-2026 karta.png", "A 15361-2026")</f>
        <v/>
      </c>
      <c r="V1057">
        <f>HYPERLINK("https://klasma.github.io/Logging_2283/klagomål/A 15361-2026 FSC-klagomål.docx", "A 15361-2026")</f>
        <v/>
      </c>
      <c r="W1057">
        <f>HYPERLINK("https://klasma.github.io/Logging_2283/klagomålsmail/A 15361-2026 FSC-klagomål mail.docx", "A 15361-2026")</f>
        <v/>
      </c>
      <c r="X1057">
        <f>HYPERLINK("https://klasma.github.io/Logging_2283/tillsyn/A 15361-2026 tillsynsbegäran.docx", "A 15361-2026")</f>
        <v/>
      </c>
      <c r="Y1057">
        <f>HYPERLINK("https://klasma.github.io/Logging_2283/tillsynsmail/A 15361-2026 tillsynsbegäran mail.docx", "A 15361-2026")</f>
        <v/>
      </c>
    </row>
    <row r="1058" ht="15" customHeight="1">
      <c r="A1058" t="inlineStr">
        <is>
          <t>A 233-2024</t>
        </is>
      </c>
      <c r="B1058" s="1" t="n">
        <v>45294</v>
      </c>
      <c r="C1058" s="1" t="n">
        <v>46185</v>
      </c>
      <c r="D1058" t="inlineStr">
        <is>
          <t>VÄSTERNORRLANDS LÄN</t>
        </is>
      </c>
      <c r="E1058" t="inlineStr">
        <is>
          <t>SUNDSVALL</t>
        </is>
      </c>
      <c r="G1058" t="n">
        <v>2.4</v>
      </c>
      <c r="H1058" t="n">
        <v>1</v>
      </c>
      <c r="I1058" t="n">
        <v>0</v>
      </c>
      <c r="J1058" t="n">
        <v>1</v>
      </c>
      <c r="K1058" t="n">
        <v>0</v>
      </c>
      <c r="L1058" t="n">
        <v>0</v>
      </c>
      <c r="M1058" t="n">
        <v>0</v>
      </c>
      <c r="N1058" t="n">
        <v>0</v>
      </c>
      <c r="O1058" t="n">
        <v>1</v>
      </c>
      <c r="P1058" t="n">
        <v>0</v>
      </c>
      <c r="Q1058" t="n">
        <v>1</v>
      </c>
      <c r="R1058" s="2" t="inlineStr">
        <is>
          <t>Duvhök</t>
        </is>
      </c>
      <c r="S1058">
        <f>HYPERLINK("https://klasma.github.io/Logging_2281/artfynd/A 233-2024 artfynd.xlsx", "A 233-2024")</f>
        <v/>
      </c>
      <c r="T1058">
        <f>HYPERLINK("https://klasma.github.io/Logging_2281/kartor/A 233-2024 karta.png", "A 233-2024")</f>
        <v/>
      </c>
      <c r="V1058">
        <f>HYPERLINK("https://klasma.github.io/Logging_2281/klagomål/A 233-2024 FSC-klagomål.docx", "A 233-2024")</f>
        <v/>
      </c>
      <c r="W1058">
        <f>HYPERLINK("https://klasma.github.io/Logging_2281/klagomålsmail/A 233-2024 FSC-klagomål mail.docx", "A 233-2024")</f>
        <v/>
      </c>
      <c r="X1058">
        <f>HYPERLINK("https://klasma.github.io/Logging_2281/tillsyn/A 233-2024 tillsynsbegäran.docx", "A 233-2024")</f>
        <v/>
      </c>
      <c r="Y1058">
        <f>HYPERLINK("https://klasma.github.io/Logging_2281/tillsynsmail/A 233-2024 tillsynsbegäran mail.docx", "A 233-2024")</f>
        <v/>
      </c>
      <c r="Z1058">
        <f>HYPERLINK("https://klasma.github.io/Logging_2281/fåglar/A 233-2024 prioriterade fågelarter.docx", "A 233-2024")</f>
        <v/>
      </c>
    </row>
    <row r="1059" ht="15" customHeight="1">
      <c r="A1059" t="inlineStr">
        <is>
          <t>A 62080-2022</t>
        </is>
      </c>
      <c r="B1059" s="1" t="n">
        <v>44918.93556712963</v>
      </c>
      <c r="C1059" s="1" t="n">
        <v>46185</v>
      </c>
      <c r="D1059" t="inlineStr">
        <is>
          <t>VÄSTERNORRLANDS LÄN</t>
        </is>
      </c>
      <c r="E1059" t="inlineStr">
        <is>
          <t>ÖRNSKÖLDSVIK</t>
        </is>
      </c>
      <c r="F1059" t="inlineStr">
        <is>
          <t>SCA</t>
        </is>
      </c>
      <c r="G1059" t="n">
        <v>4.8</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HYPERLINK("https://klasma.github.io/Logging_2284/artfynd/A 62080-2022 artfynd.xlsx", "A 62080-2022")</f>
        <v/>
      </c>
      <c r="T1059">
        <f>HYPERLINK("https://klasma.github.io/Logging_2284/kartor/A 62080-2022 karta.png", "A 62080-2022")</f>
        <v/>
      </c>
      <c r="V1059">
        <f>HYPERLINK("https://klasma.github.io/Logging_2284/klagomål/A 62080-2022 FSC-klagomål.docx", "A 62080-2022")</f>
        <v/>
      </c>
      <c r="W1059">
        <f>HYPERLINK("https://klasma.github.io/Logging_2284/klagomålsmail/A 62080-2022 FSC-klagomål mail.docx", "A 62080-2022")</f>
        <v/>
      </c>
      <c r="X1059">
        <f>HYPERLINK("https://klasma.github.io/Logging_2284/tillsyn/A 62080-2022 tillsynsbegäran.docx", "A 62080-2022")</f>
        <v/>
      </c>
      <c r="Y1059">
        <f>HYPERLINK("https://klasma.github.io/Logging_2284/tillsynsmail/A 62080-2022 tillsynsbegäran mail.docx", "A 62080-2022")</f>
        <v/>
      </c>
      <c r="Z1059">
        <f>HYPERLINK("https://klasma.github.io/Logging_2284/fåglar/A 62080-2022 prioriterade fågelarter.docx", "A 62080-2022")</f>
        <v/>
      </c>
    </row>
    <row r="1060" ht="15" customHeight="1">
      <c r="A1060" t="inlineStr">
        <is>
          <t>A 15627-2026</t>
        </is>
      </c>
      <c r="B1060" s="1" t="n">
        <v>46106.61586805555</v>
      </c>
      <c r="C1060" s="1" t="n">
        <v>46185</v>
      </c>
      <c r="D1060" t="inlineStr">
        <is>
          <t>VÄSTERNORRLANDS LÄN</t>
        </is>
      </c>
      <c r="E1060" t="inlineStr">
        <is>
          <t>SOLLEFTEÅ</t>
        </is>
      </c>
      <c r="F1060" t="inlineStr">
        <is>
          <t>SCA</t>
        </is>
      </c>
      <c r="G1060" t="n">
        <v>8.6</v>
      </c>
      <c r="H1060" t="n">
        <v>1</v>
      </c>
      <c r="I1060" t="n">
        <v>0</v>
      </c>
      <c r="J1060" t="n">
        <v>0</v>
      </c>
      <c r="K1060" t="n">
        <v>0</v>
      </c>
      <c r="L1060" t="n">
        <v>0</v>
      </c>
      <c r="M1060" t="n">
        <v>0</v>
      </c>
      <c r="N1060" t="n">
        <v>0</v>
      </c>
      <c r="O1060" t="n">
        <v>0</v>
      </c>
      <c r="P1060" t="n">
        <v>0</v>
      </c>
      <c r="Q1060" t="n">
        <v>1</v>
      </c>
      <c r="R1060" s="2" t="inlineStr">
        <is>
          <t>Fläcknycklar</t>
        </is>
      </c>
      <c r="S1060">
        <f>HYPERLINK("https://klasma.github.io/Logging_2283/artfynd/A 15627-2026 artfynd.xlsx", "A 15627-2026")</f>
        <v/>
      </c>
      <c r="T1060">
        <f>HYPERLINK("https://klasma.github.io/Logging_2283/kartor/A 15627-2026 karta.png", "A 15627-2026")</f>
        <v/>
      </c>
      <c r="V1060">
        <f>HYPERLINK("https://klasma.github.io/Logging_2283/klagomål/A 15627-2026 FSC-klagomål.docx", "A 15627-2026")</f>
        <v/>
      </c>
      <c r="W1060">
        <f>HYPERLINK("https://klasma.github.io/Logging_2283/klagomålsmail/A 15627-2026 FSC-klagomål mail.docx", "A 15627-2026")</f>
        <v/>
      </c>
      <c r="X1060">
        <f>HYPERLINK("https://klasma.github.io/Logging_2283/tillsyn/A 15627-2026 tillsynsbegäran.docx", "A 15627-2026")</f>
        <v/>
      </c>
      <c r="Y1060">
        <f>HYPERLINK("https://klasma.github.io/Logging_2283/tillsynsmail/A 15627-2026 tillsynsbegäran mail.docx", "A 15627-2026")</f>
        <v/>
      </c>
    </row>
    <row r="1061" ht="15" customHeight="1">
      <c r="A1061" t="inlineStr">
        <is>
          <t>A 71366-2021</t>
        </is>
      </c>
      <c r="B1061" s="1" t="n">
        <v>44539</v>
      </c>
      <c r="C1061" s="1" t="n">
        <v>46185</v>
      </c>
      <c r="D1061" t="inlineStr">
        <is>
          <t>VÄSTERNORRLANDS LÄN</t>
        </is>
      </c>
      <c r="E1061" t="inlineStr">
        <is>
          <t>ÅNGE</t>
        </is>
      </c>
      <c r="F1061" t="inlineStr">
        <is>
          <t>SCA</t>
        </is>
      </c>
      <c r="G1061" t="n">
        <v>2.3</v>
      </c>
      <c r="H1061" t="n">
        <v>1</v>
      </c>
      <c r="I1061" t="n">
        <v>0</v>
      </c>
      <c r="J1061" t="n">
        <v>0</v>
      </c>
      <c r="K1061" t="n">
        <v>1</v>
      </c>
      <c r="L1061" t="n">
        <v>0</v>
      </c>
      <c r="M1061" t="n">
        <v>0</v>
      </c>
      <c r="N1061" t="n">
        <v>0</v>
      </c>
      <c r="O1061" t="n">
        <v>1</v>
      </c>
      <c r="P1061" t="n">
        <v>1</v>
      </c>
      <c r="Q1061" t="n">
        <v>1</v>
      </c>
      <c r="R1061" s="2" t="inlineStr">
        <is>
          <t>Knärot</t>
        </is>
      </c>
      <c r="S1061">
        <f>HYPERLINK("https://klasma.github.io/Logging_2260/artfynd/A 71366-2021 artfynd.xlsx", "A 71366-2021")</f>
        <v/>
      </c>
      <c r="T1061">
        <f>HYPERLINK("https://klasma.github.io/Logging_2260/kartor/A 71366-2021 karta.png", "A 71366-2021")</f>
        <v/>
      </c>
      <c r="U1061">
        <f>HYPERLINK("https://klasma.github.io/Logging_2260/knärot/A 71366-2021 karta knärot.png", "A 71366-2021")</f>
        <v/>
      </c>
      <c r="V1061">
        <f>HYPERLINK("https://klasma.github.io/Logging_2260/klagomål/A 71366-2021 FSC-klagomål.docx", "A 71366-2021")</f>
        <v/>
      </c>
      <c r="W1061">
        <f>HYPERLINK("https://klasma.github.io/Logging_2260/klagomålsmail/A 71366-2021 FSC-klagomål mail.docx", "A 71366-2021")</f>
        <v/>
      </c>
      <c r="X1061">
        <f>HYPERLINK("https://klasma.github.io/Logging_2260/tillsyn/A 71366-2021 tillsynsbegäran.docx", "A 71366-2021")</f>
        <v/>
      </c>
      <c r="Y1061">
        <f>HYPERLINK("https://klasma.github.io/Logging_2260/tillsynsmail/A 71366-2021 tillsynsbegäran mail.docx", "A 71366-2021")</f>
        <v/>
      </c>
    </row>
    <row r="1062" ht="15" customHeight="1">
      <c r="A1062" t="inlineStr">
        <is>
          <t>A 31882-2024</t>
        </is>
      </c>
      <c r="B1062" s="1" t="n">
        <v>45509.95708333333</v>
      </c>
      <c r="C1062" s="1" t="n">
        <v>46185</v>
      </c>
      <c r="D1062" t="inlineStr">
        <is>
          <t>VÄSTERNORRLANDS LÄN</t>
        </is>
      </c>
      <c r="E1062" t="inlineStr">
        <is>
          <t>ÖRNSKÖLDSVIK</t>
        </is>
      </c>
      <c r="F1062" t="inlineStr">
        <is>
          <t>SCA</t>
        </is>
      </c>
      <c r="G1062" t="n">
        <v>9.1</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HYPERLINK("https://klasma.github.io/Logging_2284/artfynd/A 31882-2024 artfynd.xlsx", "A 31882-2024")</f>
        <v/>
      </c>
      <c r="T1062">
        <f>HYPERLINK("https://klasma.github.io/Logging_2284/kartor/A 31882-2024 karta.png", "A 31882-2024")</f>
        <v/>
      </c>
      <c r="V1062">
        <f>HYPERLINK("https://klasma.github.io/Logging_2284/klagomål/A 31882-2024 FSC-klagomål.docx", "A 31882-2024")</f>
        <v/>
      </c>
      <c r="W1062">
        <f>HYPERLINK("https://klasma.github.io/Logging_2284/klagomålsmail/A 31882-2024 FSC-klagomål mail.docx", "A 31882-2024")</f>
        <v/>
      </c>
      <c r="X1062">
        <f>HYPERLINK("https://klasma.github.io/Logging_2284/tillsyn/A 31882-2024 tillsynsbegäran.docx", "A 31882-2024")</f>
        <v/>
      </c>
      <c r="Y1062">
        <f>HYPERLINK("https://klasma.github.io/Logging_2284/tillsynsmail/A 31882-2024 tillsynsbegäran mail.docx", "A 31882-2024")</f>
        <v/>
      </c>
      <c r="Z1062">
        <f>HYPERLINK("https://klasma.github.io/Logging_2284/fåglar/A 31882-2024 prioriterade fågelarter.docx", "A 31882-2024")</f>
        <v/>
      </c>
    </row>
    <row r="1063" ht="15" customHeight="1">
      <c r="A1063" t="inlineStr">
        <is>
          <t>A 16195-2026</t>
        </is>
      </c>
      <c r="B1063" s="1" t="n">
        <v>46111.38601851852</v>
      </c>
      <c r="C1063" s="1" t="n">
        <v>46185</v>
      </c>
      <c r="D1063" t="inlineStr">
        <is>
          <t>VÄSTERNORRLANDS LÄN</t>
        </is>
      </c>
      <c r="E1063" t="inlineStr">
        <is>
          <t>ÖRNSKÖLDSVIK</t>
        </is>
      </c>
      <c r="F1063" t="inlineStr">
        <is>
          <t>SCA</t>
        </is>
      </c>
      <c r="G1063" t="n">
        <v>0.6</v>
      </c>
      <c r="H1063" t="n">
        <v>0</v>
      </c>
      <c r="I1063" t="n">
        <v>1</v>
      </c>
      <c r="J1063" t="n">
        <v>0</v>
      </c>
      <c r="K1063" t="n">
        <v>0</v>
      </c>
      <c r="L1063" t="n">
        <v>0</v>
      </c>
      <c r="M1063" t="n">
        <v>0</v>
      </c>
      <c r="N1063" t="n">
        <v>0</v>
      </c>
      <c r="O1063" t="n">
        <v>0</v>
      </c>
      <c r="P1063" t="n">
        <v>0</v>
      </c>
      <c r="Q1063" t="n">
        <v>1</v>
      </c>
      <c r="R1063" s="2" t="inlineStr">
        <is>
          <t>Dropptaggsvamp</t>
        </is>
      </c>
      <c r="S1063">
        <f>HYPERLINK("https://klasma.github.io/Logging_2284/artfynd/A 16195-2026 artfynd.xlsx", "A 16195-2026")</f>
        <v/>
      </c>
      <c r="T1063">
        <f>HYPERLINK("https://klasma.github.io/Logging_2284/kartor/A 16195-2026 karta.png", "A 16195-2026")</f>
        <v/>
      </c>
      <c r="V1063">
        <f>HYPERLINK("https://klasma.github.io/Logging_2284/klagomål/A 16195-2026 FSC-klagomål.docx", "A 16195-2026")</f>
        <v/>
      </c>
      <c r="W1063">
        <f>HYPERLINK("https://klasma.github.io/Logging_2284/klagomålsmail/A 16195-2026 FSC-klagomål mail.docx", "A 16195-2026")</f>
        <v/>
      </c>
      <c r="X1063">
        <f>HYPERLINK("https://klasma.github.io/Logging_2284/tillsyn/A 16195-2026 tillsynsbegäran.docx", "A 16195-2026")</f>
        <v/>
      </c>
      <c r="Y1063">
        <f>HYPERLINK("https://klasma.github.io/Logging_2284/tillsynsmail/A 16195-2026 tillsynsbegäran mail.docx", "A 16195-2026")</f>
        <v/>
      </c>
    </row>
    <row r="1064" ht="15" customHeight="1">
      <c r="A1064" t="inlineStr">
        <is>
          <t>A 35680-2025</t>
        </is>
      </c>
      <c r="B1064" s="1" t="n">
        <v>45859</v>
      </c>
      <c r="C1064" s="1" t="n">
        <v>46185</v>
      </c>
      <c r="D1064" t="inlineStr">
        <is>
          <t>VÄSTERNORRLANDS LÄN</t>
        </is>
      </c>
      <c r="E1064" t="inlineStr">
        <is>
          <t>TIMRÅ</t>
        </is>
      </c>
      <c r="F1064" t="inlineStr">
        <is>
          <t>SCA</t>
        </is>
      </c>
      <c r="G1064" t="n">
        <v>10.6</v>
      </c>
      <c r="H1064" t="n">
        <v>1</v>
      </c>
      <c r="I1064" t="n">
        <v>0</v>
      </c>
      <c r="J1064" t="n">
        <v>0</v>
      </c>
      <c r="K1064" t="n">
        <v>1</v>
      </c>
      <c r="L1064" t="n">
        <v>0</v>
      </c>
      <c r="M1064" t="n">
        <v>0</v>
      </c>
      <c r="N1064" t="n">
        <v>0</v>
      </c>
      <c r="O1064" t="n">
        <v>1</v>
      </c>
      <c r="P1064" t="n">
        <v>1</v>
      </c>
      <c r="Q1064" t="n">
        <v>1</v>
      </c>
      <c r="R1064" s="2" t="inlineStr">
        <is>
          <t>Knärot</t>
        </is>
      </c>
      <c r="S1064">
        <f>HYPERLINK("https://klasma.github.io/Logging_2262/artfynd/A 35680-2025 artfynd.xlsx", "A 35680-2025")</f>
        <v/>
      </c>
      <c r="T1064">
        <f>HYPERLINK("https://klasma.github.io/Logging_2262/kartor/A 35680-2025 karta.png", "A 35680-2025")</f>
        <v/>
      </c>
      <c r="U1064">
        <f>HYPERLINK("https://klasma.github.io/Logging_2262/knärot/A 35680-2025 karta knärot.png", "A 35680-2025")</f>
        <v/>
      </c>
      <c r="V1064">
        <f>HYPERLINK("https://klasma.github.io/Logging_2262/klagomål/A 35680-2025 FSC-klagomål.docx", "A 35680-2025")</f>
        <v/>
      </c>
      <c r="W1064">
        <f>HYPERLINK("https://klasma.github.io/Logging_2262/klagomålsmail/A 35680-2025 FSC-klagomål mail.docx", "A 35680-2025")</f>
        <v/>
      </c>
      <c r="X1064">
        <f>HYPERLINK("https://klasma.github.io/Logging_2262/tillsyn/A 35680-2025 tillsynsbegäran.docx", "A 35680-2025")</f>
        <v/>
      </c>
      <c r="Y1064">
        <f>HYPERLINK("https://klasma.github.io/Logging_2262/tillsynsmail/A 35680-2025 tillsynsbegäran mail.docx", "A 35680-2025")</f>
        <v/>
      </c>
    </row>
    <row r="1065" ht="15" customHeight="1">
      <c r="A1065" t="inlineStr">
        <is>
          <t>A 16208-2026</t>
        </is>
      </c>
      <c r="B1065" s="1" t="n">
        <v>46111.40922453703</v>
      </c>
      <c r="C1065" s="1" t="n">
        <v>46185</v>
      </c>
      <c r="D1065" t="inlineStr">
        <is>
          <t>VÄSTERNORRLANDS LÄN</t>
        </is>
      </c>
      <c r="E1065" t="inlineStr">
        <is>
          <t>ÖRNSKÖLDSVIK</t>
        </is>
      </c>
      <c r="F1065" t="inlineStr">
        <is>
          <t>Holmen skog AB</t>
        </is>
      </c>
      <c r="G1065" t="n">
        <v>2.5</v>
      </c>
      <c r="H1065" t="n">
        <v>0</v>
      </c>
      <c r="I1065" t="n">
        <v>0</v>
      </c>
      <c r="J1065" t="n">
        <v>1</v>
      </c>
      <c r="K1065" t="n">
        <v>0</v>
      </c>
      <c r="L1065" t="n">
        <v>0</v>
      </c>
      <c r="M1065" t="n">
        <v>0</v>
      </c>
      <c r="N1065" t="n">
        <v>0</v>
      </c>
      <c r="O1065" t="n">
        <v>1</v>
      </c>
      <c r="P1065" t="n">
        <v>0</v>
      </c>
      <c r="Q1065" t="n">
        <v>1</v>
      </c>
      <c r="R1065" s="2" t="inlineStr">
        <is>
          <t>Kolflarnlav</t>
        </is>
      </c>
      <c r="S1065">
        <f>HYPERLINK("https://klasma.github.io/Logging_2284/artfynd/A 16208-2026 artfynd.xlsx", "A 16208-2026")</f>
        <v/>
      </c>
      <c r="T1065">
        <f>HYPERLINK("https://klasma.github.io/Logging_2284/kartor/A 16208-2026 karta.png", "A 16208-2026")</f>
        <v/>
      </c>
      <c r="V1065">
        <f>HYPERLINK("https://klasma.github.io/Logging_2284/klagomål/A 16208-2026 FSC-klagomål.docx", "A 16208-2026")</f>
        <v/>
      </c>
      <c r="W1065">
        <f>HYPERLINK("https://klasma.github.io/Logging_2284/klagomålsmail/A 16208-2026 FSC-klagomål mail.docx", "A 16208-2026")</f>
        <v/>
      </c>
      <c r="X1065">
        <f>HYPERLINK("https://klasma.github.io/Logging_2284/tillsyn/A 16208-2026 tillsynsbegäran.docx", "A 16208-2026")</f>
        <v/>
      </c>
      <c r="Y1065">
        <f>HYPERLINK("https://klasma.github.io/Logging_2284/tillsynsmail/A 16208-2026 tillsynsbegäran mail.docx", "A 16208-2026")</f>
        <v/>
      </c>
    </row>
    <row r="1066" ht="15" customHeight="1">
      <c r="A1066" t="inlineStr">
        <is>
          <t>A 16557-2026</t>
        </is>
      </c>
      <c r="B1066" s="1" t="n">
        <v>46112.55262731481</v>
      </c>
      <c r="C1066" s="1" t="n">
        <v>46185</v>
      </c>
      <c r="D1066" t="inlineStr">
        <is>
          <t>VÄSTERNORRLANDS LÄN</t>
        </is>
      </c>
      <c r="E1066" t="inlineStr">
        <is>
          <t>SUNDSVALL</t>
        </is>
      </c>
      <c r="F1066" t="inlineStr">
        <is>
          <t>SCA</t>
        </is>
      </c>
      <c r="G1066" t="n">
        <v>3.9</v>
      </c>
      <c r="H1066" t="n">
        <v>0</v>
      </c>
      <c r="I1066" t="n">
        <v>1</v>
      </c>
      <c r="J1066" t="n">
        <v>0</v>
      </c>
      <c r="K1066" t="n">
        <v>0</v>
      </c>
      <c r="L1066" t="n">
        <v>0</v>
      </c>
      <c r="M1066" t="n">
        <v>0</v>
      </c>
      <c r="N1066" t="n">
        <v>0</v>
      </c>
      <c r="O1066" t="n">
        <v>0</v>
      </c>
      <c r="P1066" t="n">
        <v>0</v>
      </c>
      <c r="Q1066" t="n">
        <v>1</v>
      </c>
      <c r="R1066" s="2" t="inlineStr">
        <is>
          <t>Fjällig taggsvamp s.str.</t>
        </is>
      </c>
      <c r="S1066">
        <f>HYPERLINK("https://klasma.github.io/Logging_2281/artfynd/A 16557-2026 artfynd.xlsx", "A 16557-2026")</f>
        <v/>
      </c>
      <c r="T1066">
        <f>HYPERLINK("https://klasma.github.io/Logging_2281/kartor/A 16557-2026 karta.png", "A 16557-2026")</f>
        <v/>
      </c>
      <c r="V1066">
        <f>HYPERLINK("https://klasma.github.io/Logging_2281/klagomål/A 16557-2026 FSC-klagomål.docx", "A 16557-2026")</f>
        <v/>
      </c>
      <c r="W1066">
        <f>HYPERLINK("https://klasma.github.io/Logging_2281/klagomålsmail/A 16557-2026 FSC-klagomål mail.docx", "A 16557-2026")</f>
        <v/>
      </c>
      <c r="X1066">
        <f>HYPERLINK("https://klasma.github.io/Logging_2281/tillsyn/A 16557-2026 tillsynsbegäran.docx", "A 16557-2026")</f>
        <v/>
      </c>
      <c r="Y1066">
        <f>HYPERLINK("https://klasma.github.io/Logging_2281/tillsynsmail/A 16557-2026 tillsynsbegäran mail.docx", "A 16557-2026")</f>
        <v/>
      </c>
    </row>
    <row r="1067" ht="15" customHeight="1">
      <c r="A1067" t="inlineStr">
        <is>
          <t>A 22372-2026</t>
        </is>
      </c>
      <c r="B1067" s="1" t="n">
        <v>46154.61506944444</v>
      </c>
      <c r="C1067" s="1" t="n">
        <v>46185</v>
      </c>
      <c r="D1067" t="inlineStr">
        <is>
          <t>VÄSTERNORRLANDS LÄN</t>
        </is>
      </c>
      <c r="E1067" t="inlineStr">
        <is>
          <t>SOLLEFTEÅ</t>
        </is>
      </c>
      <c r="F1067" t="inlineStr">
        <is>
          <t>SCA</t>
        </is>
      </c>
      <c r="G1067" t="n">
        <v>2.6</v>
      </c>
      <c r="H1067" t="n">
        <v>1</v>
      </c>
      <c r="I1067" t="n">
        <v>0</v>
      </c>
      <c r="J1067" t="n">
        <v>0</v>
      </c>
      <c r="K1067" t="n">
        <v>0</v>
      </c>
      <c r="L1067" t="n">
        <v>0</v>
      </c>
      <c r="M1067" t="n">
        <v>0</v>
      </c>
      <c r="N1067" t="n">
        <v>0</v>
      </c>
      <c r="O1067" t="n">
        <v>0</v>
      </c>
      <c r="P1067" t="n">
        <v>0</v>
      </c>
      <c r="Q1067" t="n">
        <v>1</v>
      </c>
      <c r="R1067" s="2" t="inlineStr">
        <is>
          <t>Fläcknycklar</t>
        </is>
      </c>
      <c r="S1067">
        <f>HYPERLINK("https://klasma.github.io/Logging_2283/artfynd/A 22372-2026 artfynd.xlsx", "A 22372-2026")</f>
        <v/>
      </c>
      <c r="T1067">
        <f>HYPERLINK("https://klasma.github.io/Logging_2283/kartor/A 22372-2026 karta.png", "A 22372-2026")</f>
        <v/>
      </c>
      <c r="V1067">
        <f>HYPERLINK("https://klasma.github.io/Logging_2283/klagomål/A 22372-2026 FSC-klagomål.docx", "A 22372-2026")</f>
        <v/>
      </c>
      <c r="W1067">
        <f>HYPERLINK("https://klasma.github.io/Logging_2283/klagomålsmail/A 22372-2026 FSC-klagomål mail.docx", "A 22372-2026")</f>
        <v/>
      </c>
      <c r="X1067">
        <f>HYPERLINK("https://klasma.github.io/Logging_2283/tillsyn/A 22372-2026 tillsynsbegäran.docx", "A 22372-2026")</f>
        <v/>
      </c>
      <c r="Y1067">
        <f>HYPERLINK("https://klasma.github.io/Logging_2283/tillsynsmail/A 22372-2026 tillsynsbegäran mail.docx", "A 22372-2026")</f>
        <v/>
      </c>
    </row>
    <row r="1068" ht="15" customHeight="1">
      <c r="A1068" t="inlineStr">
        <is>
          <t>A 44632-2024</t>
        </is>
      </c>
      <c r="B1068" s="1" t="n">
        <v>45574.51446759259</v>
      </c>
      <c r="C1068" s="1" t="n">
        <v>46185</v>
      </c>
      <c r="D1068" t="inlineStr">
        <is>
          <t>VÄSTERNORRLANDS LÄN</t>
        </is>
      </c>
      <c r="E1068" t="inlineStr">
        <is>
          <t>SOLLEFTEÅ</t>
        </is>
      </c>
      <c r="F1068" t="inlineStr">
        <is>
          <t>SCA</t>
        </is>
      </c>
      <c r="G1068" t="n">
        <v>3.1</v>
      </c>
      <c r="H1068" t="n">
        <v>0</v>
      </c>
      <c r="I1068" t="n">
        <v>1</v>
      </c>
      <c r="J1068" t="n">
        <v>0</v>
      </c>
      <c r="K1068" t="n">
        <v>0</v>
      </c>
      <c r="L1068" t="n">
        <v>0</v>
      </c>
      <c r="M1068" t="n">
        <v>0</v>
      </c>
      <c r="N1068" t="n">
        <v>0</v>
      </c>
      <c r="O1068" t="n">
        <v>0</v>
      </c>
      <c r="P1068" t="n">
        <v>0</v>
      </c>
      <c r="Q1068" t="n">
        <v>1</v>
      </c>
      <c r="R1068" s="2" t="inlineStr">
        <is>
          <t>Vedticka</t>
        </is>
      </c>
      <c r="S1068">
        <f>HYPERLINK("https://klasma.github.io/Logging_2283/artfynd/A 44632-2024 artfynd.xlsx", "A 44632-2024")</f>
        <v/>
      </c>
      <c r="T1068">
        <f>HYPERLINK("https://klasma.github.io/Logging_2283/kartor/A 44632-2024 karta.png", "A 44632-2024")</f>
        <v/>
      </c>
      <c r="V1068">
        <f>HYPERLINK("https://klasma.github.io/Logging_2283/klagomål/A 44632-2024 FSC-klagomål.docx", "A 44632-2024")</f>
        <v/>
      </c>
      <c r="W1068">
        <f>HYPERLINK("https://klasma.github.io/Logging_2283/klagomålsmail/A 44632-2024 FSC-klagomål mail.docx", "A 44632-2024")</f>
        <v/>
      </c>
      <c r="X1068">
        <f>HYPERLINK("https://klasma.github.io/Logging_2283/tillsyn/A 44632-2024 tillsynsbegäran.docx", "A 44632-2024")</f>
        <v/>
      </c>
      <c r="Y1068">
        <f>HYPERLINK("https://klasma.github.io/Logging_2283/tillsynsmail/A 44632-2024 tillsynsbegäran mail.docx", "A 44632-2024")</f>
        <v/>
      </c>
    </row>
    <row r="1069" ht="15" customHeight="1">
      <c r="A1069" t="inlineStr">
        <is>
          <t>A 56091-2024</t>
        </is>
      </c>
      <c r="B1069" s="1" t="n">
        <v>45624.40678240741</v>
      </c>
      <c r="C1069" s="1" t="n">
        <v>46185</v>
      </c>
      <c r="D1069" t="inlineStr">
        <is>
          <t>VÄSTERNORRLANDS LÄN</t>
        </is>
      </c>
      <c r="E1069" t="inlineStr">
        <is>
          <t>ÅNGE</t>
        </is>
      </c>
      <c r="F1069" t="inlineStr">
        <is>
          <t>SCA</t>
        </is>
      </c>
      <c r="G1069" t="n">
        <v>2.5</v>
      </c>
      <c r="H1069" t="n">
        <v>0</v>
      </c>
      <c r="I1069" t="n">
        <v>0</v>
      </c>
      <c r="J1069" t="n">
        <v>1</v>
      </c>
      <c r="K1069" t="n">
        <v>0</v>
      </c>
      <c r="L1069" t="n">
        <v>0</v>
      </c>
      <c r="M1069" t="n">
        <v>0</v>
      </c>
      <c r="N1069" t="n">
        <v>0</v>
      </c>
      <c r="O1069" t="n">
        <v>1</v>
      </c>
      <c r="P1069" t="n">
        <v>0</v>
      </c>
      <c r="Q1069" t="n">
        <v>1</v>
      </c>
      <c r="R1069" s="2" t="inlineStr">
        <is>
          <t>Mörk kolflarnlav</t>
        </is>
      </c>
      <c r="S1069">
        <f>HYPERLINK("https://klasma.github.io/Logging_2260/artfynd/A 56091-2024 artfynd.xlsx", "A 56091-2024")</f>
        <v/>
      </c>
      <c r="T1069">
        <f>HYPERLINK("https://klasma.github.io/Logging_2260/kartor/A 56091-2024 karta.png", "A 56091-2024")</f>
        <v/>
      </c>
      <c r="V1069">
        <f>HYPERLINK("https://klasma.github.io/Logging_2260/klagomål/A 56091-2024 FSC-klagomål.docx", "A 56091-2024")</f>
        <v/>
      </c>
      <c r="W1069">
        <f>HYPERLINK("https://klasma.github.io/Logging_2260/klagomålsmail/A 56091-2024 FSC-klagomål mail.docx", "A 56091-2024")</f>
        <v/>
      </c>
      <c r="X1069">
        <f>HYPERLINK("https://klasma.github.io/Logging_2260/tillsyn/A 56091-2024 tillsynsbegäran.docx", "A 56091-2024")</f>
        <v/>
      </c>
      <c r="Y1069">
        <f>HYPERLINK("https://klasma.github.io/Logging_2260/tillsynsmail/A 56091-2024 tillsynsbegäran mail.docx", "A 56091-2024")</f>
        <v/>
      </c>
    </row>
    <row r="1070" ht="15" customHeight="1">
      <c r="A1070" t="inlineStr">
        <is>
          <t>A 22262-2026</t>
        </is>
      </c>
      <c r="B1070" s="1" t="n">
        <v>46154.37927083333</v>
      </c>
      <c r="C1070" s="1" t="n">
        <v>46185</v>
      </c>
      <c r="D1070" t="inlineStr">
        <is>
          <t>VÄSTERNORRLANDS LÄN</t>
        </is>
      </c>
      <c r="E1070" t="inlineStr">
        <is>
          <t>ÅNGE</t>
        </is>
      </c>
      <c r="G1070" t="n">
        <v>1</v>
      </c>
      <c r="H1070" t="n">
        <v>1</v>
      </c>
      <c r="I1070" t="n">
        <v>0</v>
      </c>
      <c r="J1070" t="n">
        <v>0</v>
      </c>
      <c r="K1070" t="n">
        <v>1</v>
      </c>
      <c r="L1070" t="n">
        <v>0</v>
      </c>
      <c r="M1070" t="n">
        <v>0</v>
      </c>
      <c r="N1070" t="n">
        <v>0</v>
      </c>
      <c r="O1070" t="n">
        <v>1</v>
      </c>
      <c r="P1070" t="n">
        <v>1</v>
      </c>
      <c r="Q1070" t="n">
        <v>1</v>
      </c>
      <c r="R1070" s="2" t="inlineStr">
        <is>
          <t>Lappuggla</t>
        </is>
      </c>
      <c r="S1070">
        <f>HYPERLINK("https://klasma.github.io/Logging_2260/artfynd/A 22262-2026 artfynd.xlsx", "A 22262-2026")</f>
        <v/>
      </c>
      <c r="T1070">
        <f>HYPERLINK("https://klasma.github.io/Logging_2260/kartor/A 22262-2026 karta.png", "A 22262-2026")</f>
        <v/>
      </c>
      <c r="V1070">
        <f>HYPERLINK("https://klasma.github.io/Logging_2260/klagomål/A 22262-2026 FSC-klagomål.docx", "A 22262-2026")</f>
        <v/>
      </c>
      <c r="W1070">
        <f>HYPERLINK("https://klasma.github.io/Logging_2260/klagomålsmail/A 22262-2026 FSC-klagomål mail.docx", "A 22262-2026")</f>
        <v/>
      </c>
      <c r="X1070">
        <f>HYPERLINK("https://klasma.github.io/Logging_2260/tillsyn/A 22262-2026 tillsynsbegäran.docx", "A 22262-2026")</f>
        <v/>
      </c>
      <c r="Y1070">
        <f>HYPERLINK("https://klasma.github.io/Logging_2260/tillsynsmail/A 22262-2026 tillsynsbegäran mail.docx", "A 22262-2026")</f>
        <v/>
      </c>
      <c r="Z1070">
        <f>HYPERLINK("https://klasma.github.io/Logging_2260/fåglar/A 22262-2026 prioriterade fågelarter.docx", "A 22262-2026")</f>
        <v/>
      </c>
    </row>
    <row r="1071" ht="15" customHeight="1">
      <c r="A1071" t="inlineStr">
        <is>
          <t>A 3347-2025</t>
        </is>
      </c>
      <c r="B1071" s="1" t="n">
        <v>45679.78429398148</v>
      </c>
      <c r="C1071" s="1" t="n">
        <v>46185</v>
      </c>
      <c r="D1071" t="inlineStr">
        <is>
          <t>VÄSTERNORRLANDS LÄN</t>
        </is>
      </c>
      <c r="E1071" t="inlineStr">
        <is>
          <t>SUNDSVALL</t>
        </is>
      </c>
      <c r="G1071" t="n">
        <v>20.7</v>
      </c>
      <c r="H1071" t="n">
        <v>0</v>
      </c>
      <c r="I1071" t="n">
        <v>0</v>
      </c>
      <c r="J1071" t="n">
        <v>1</v>
      </c>
      <c r="K1071" t="n">
        <v>0</v>
      </c>
      <c r="L1071" t="n">
        <v>0</v>
      </c>
      <c r="M1071" t="n">
        <v>0</v>
      </c>
      <c r="N1071" t="n">
        <v>0</v>
      </c>
      <c r="O1071" t="n">
        <v>1</v>
      </c>
      <c r="P1071" t="n">
        <v>0</v>
      </c>
      <c r="Q1071" t="n">
        <v>1</v>
      </c>
      <c r="R1071" s="2" t="inlineStr">
        <is>
          <t>Lunglav</t>
        </is>
      </c>
      <c r="S1071">
        <f>HYPERLINK("https://klasma.github.io/Logging_2281/artfynd/A 3347-2025 artfynd.xlsx", "A 3347-2025")</f>
        <v/>
      </c>
      <c r="T1071">
        <f>HYPERLINK("https://klasma.github.io/Logging_2281/kartor/A 3347-2025 karta.png", "A 3347-2025")</f>
        <v/>
      </c>
      <c r="V1071">
        <f>HYPERLINK("https://klasma.github.io/Logging_2281/klagomål/A 3347-2025 FSC-klagomål.docx", "A 3347-2025")</f>
        <v/>
      </c>
      <c r="W1071">
        <f>HYPERLINK("https://klasma.github.io/Logging_2281/klagomålsmail/A 3347-2025 FSC-klagomål mail.docx", "A 3347-2025")</f>
        <v/>
      </c>
      <c r="X1071">
        <f>HYPERLINK("https://klasma.github.io/Logging_2281/tillsyn/A 3347-2025 tillsynsbegäran.docx", "A 3347-2025")</f>
        <v/>
      </c>
      <c r="Y1071">
        <f>HYPERLINK("https://klasma.github.io/Logging_2281/tillsynsmail/A 3347-2025 tillsynsbegäran mail.docx", "A 3347-2025")</f>
        <v/>
      </c>
    </row>
    <row r="1072" ht="15" customHeight="1">
      <c r="A1072" t="inlineStr">
        <is>
          <t>A 1343-2025</t>
        </is>
      </c>
      <c r="B1072" s="1" t="n">
        <v>45667.6043287037</v>
      </c>
      <c r="C1072" s="1" t="n">
        <v>46185</v>
      </c>
      <c r="D1072" t="inlineStr">
        <is>
          <t>VÄSTERNORRLANDS LÄN</t>
        </is>
      </c>
      <c r="E1072" t="inlineStr">
        <is>
          <t>SOLLEFTEÅ</t>
        </is>
      </c>
      <c r="G1072" t="n">
        <v>5.2</v>
      </c>
      <c r="H1072" t="n">
        <v>0</v>
      </c>
      <c r="I1072" t="n">
        <v>0</v>
      </c>
      <c r="J1072" t="n">
        <v>1</v>
      </c>
      <c r="K1072" t="n">
        <v>0</v>
      </c>
      <c r="L1072" t="n">
        <v>0</v>
      </c>
      <c r="M1072" t="n">
        <v>0</v>
      </c>
      <c r="N1072" t="n">
        <v>0</v>
      </c>
      <c r="O1072" t="n">
        <v>1</v>
      </c>
      <c r="P1072" t="n">
        <v>0</v>
      </c>
      <c r="Q1072" t="n">
        <v>1</v>
      </c>
      <c r="R1072" s="2" t="inlineStr">
        <is>
          <t>Granticka</t>
        </is>
      </c>
      <c r="S1072">
        <f>HYPERLINK("https://klasma.github.io/Logging_2283/artfynd/A 1343-2025 artfynd.xlsx", "A 1343-2025")</f>
        <v/>
      </c>
      <c r="T1072">
        <f>HYPERLINK("https://klasma.github.io/Logging_2283/kartor/A 1343-2025 karta.png", "A 1343-2025")</f>
        <v/>
      </c>
      <c r="V1072">
        <f>HYPERLINK("https://klasma.github.io/Logging_2283/klagomål/A 1343-2025 FSC-klagomål.docx", "A 1343-2025")</f>
        <v/>
      </c>
      <c r="W1072">
        <f>HYPERLINK("https://klasma.github.io/Logging_2283/klagomålsmail/A 1343-2025 FSC-klagomål mail.docx", "A 1343-2025")</f>
        <v/>
      </c>
      <c r="X1072">
        <f>HYPERLINK("https://klasma.github.io/Logging_2283/tillsyn/A 1343-2025 tillsynsbegäran.docx", "A 1343-2025")</f>
        <v/>
      </c>
      <c r="Y1072">
        <f>HYPERLINK("https://klasma.github.io/Logging_2283/tillsynsmail/A 1343-2025 tillsynsbegäran mail.docx", "A 1343-2025")</f>
        <v/>
      </c>
    </row>
    <row r="1073" ht="15" customHeight="1">
      <c r="A1073" t="inlineStr">
        <is>
          <t>A 22928-2026</t>
        </is>
      </c>
      <c r="B1073" s="1" t="n">
        <v>46160.55259259259</v>
      </c>
      <c r="C1073" s="1" t="n">
        <v>46185</v>
      </c>
      <c r="D1073" t="inlineStr">
        <is>
          <t>VÄSTERNORRLANDS LÄN</t>
        </is>
      </c>
      <c r="E1073" t="inlineStr">
        <is>
          <t>SOLLEFTEÅ</t>
        </is>
      </c>
      <c r="F1073" t="inlineStr">
        <is>
          <t>SCA</t>
        </is>
      </c>
      <c r="G1073" t="n">
        <v>1.3</v>
      </c>
      <c r="H1073" t="n">
        <v>0</v>
      </c>
      <c r="I1073" t="n">
        <v>0</v>
      </c>
      <c r="J1073" t="n">
        <v>1</v>
      </c>
      <c r="K1073" t="n">
        <v>0</v>
      </c>
      <c r="L1073" t="n">
        <v>0</v>
      </c>
      <c r="M1073" t="n">
        <v>0</v>
      </c>
      <c r="N1073" t="n">
        <v>0</v>
      </c>
      <c r="O1073" t="n">
        <v>1</v>
      </c>
      <c r="P1073" t="n">
        <v>0</v>
      </c>
      <c r="Q1073" t="n">
        <v>1</v>
      </c>
      <c r="R1073" s="2" t="inlineStr">
        <is>
          <t>Koralltaggsvamp</t>
        </is>
      </c>
      <c r="S1073">
        <f>HYPERLINK("https://klasma.github.io/Logging_2283/artfynd/A 22928-2026 artfynd.xlsx", "A 22928-2026")</f>
        <v/>
      </c>
      <c r="T1073">
        <f>HYPERLINK("https://klasma.github.io/Logging_2283/kartor/A 22928-2026 karta.png", "A 22928-2026")</f>
        <v/>
      </c>
      <c r="V1073">
        <f>HYPERLINK("https://klasma.github.io/Logging_2283/klagomål/A 22928-2026 FSC-klagomål.docx", "A 22928-2026")</f>
        <v/>
      </c>
      <c r="W1073">
        <f>HYPERLINK("https://klasma.github.io/Logging_2283/klagomålsmail/A 22928-2026 FSC-klagomål mail.docx", "A 22928-2026")</f>
        <v/>
      </c>
      <c r="X1073">
        <f>HYPERLINK("https://klasma.github.io/Logging_2283/tillsyn/A 22928-2026 tillsynsbegäran.docx", "A 22928-2026")</f>
        <v/>
      </c>
      <c r="Y1073">
        <f>HYPERLINK("https://klasma.github.io/Logging_2283/tillsynsmail/A 22928-2026 tillsynsbegäran mail.docx", "A 22928-2026")</f>
        <v/>
      </c>
    </row>
    <row r="1074" ht="15" customHeight="1">
      <c r="A1074" t="inlineStr">
        <is>
          <t>A 74325-2021</t>
        </is>
      </c>
      <c r="B1074" s="1" t="n">
        <v>44559</v>
      </c>
      <c r="C1074" s="1" t="n">
        <v>46185</v>
      </c>
      <c r="D1074" t="inlineStr">
        <is>
          <t>VÄSTERNORRLANDS LÄN</t>
        </is>
      </c>
      <c r="E1074" t="inlineStr">
        <is>
          <t>HÄRNÖSAND</t>
        </is>
      </c>
      <c r="G1074" t="n">
        <v>4.6</v>
      </c>
      <c r="H1074" t="n">
        <v>0</v>
      </c>
      <c r="I1074" t="n">
        <v>0</v>
      </c>
      <c r="J1074" t="n">
        <v>1</v>
      </c>
      <c r="K1074" t="n">
        <v>0</v>
      </c>
      <c r="L1074" t="n">
        <v>0</v>
      </c>
      <c r="M1074" t="n">
        <v>0</v>
      </c>
      <c r="N1074" t="n">
        <v>0</v>
      </c>
      <c r="O1074" t="n">
        <v>1</v>
      </c>
      <c r="P1074" t="n">
        <v>0</v>
      </c>
      <c r="Q1074" t="n">
        <v>1</v>
      </c>
      <c r="R1074" s="2" t="inlineStr">
        <is>
          <t>Skogshare</t>
        </is>
      </c>
      <c r="S1074">
        <f>HYPERLINK("https://klasma.github.io/Logging_2280/artfynd/A 74325-2021 artfynd.xlsx", "A 74325-2021")</f>
        <v/>
      </c>
      <c r="T1074">
        <f>HYPERLINK("https://klasma.github.io/Logging_2280/kartor/A 74325-2021 karta.png", "A 74325-2021")</f>
        <v/>
      </c>
      <c r="V1074">
        <f>HYPERLINK("https://klasma.github.io/Logging_2280/klagomål/A 74325-2021 FSC-klagomål.docx", "A 74325-2021")</f>
        <v/>
      </c>
      <c r="W1074">
        <f>HYPERLINK("https://klasma.github.io/Logging_2280/klagomålsmail/A 74325-2021 FSC-klagomål mail.docx", "A 74325-2021")</f>
        <v/>
      </c>
      <c r="X1074">
        <f>HYPERLINK("https://klasma.github.io/Logging_2280/tillsyn/A 74325-2021 tillsynsbegäran.docx", "A 74325-2021")</f>
        <v/>
      </c>
      <c r="Y1074">
        <f>HYPERLINK("https://klasma.github.io/Logging_2280/tillsynsmail/A 74325-2021 tillsynsbegäran mail.docx", "A 74325-2021")</f>
        <v/>
      </c>
    </row>
    <row r="1075" ht="15" customHeight="1">
      <c r="A1075" t="inlineStr">
        <is>
          <t>A 9200-2022</t>
        </is>
      </c>
      <c r="B1075" s="1" t="n">
        <v>44615.92614583333</v>
      </c>
      <c r="C1075" s="1" t="n">
        <v>46185</v>
      </c>
      <c r="D1075" t="inlineStr">
        <is>
          <t>VÄSTERNORRLANDS LÄN</t>
        </is>
      </c>
      <c r="E1075" t="inlineStr">
        <is>
          <t>SUNDSVALL</t>
        </is>
      </c>
      <c r="G1075" t="n">
        <v>17.6</v>
      </c>
      <c r="H1075" t="n">
        <v>0</v>
      </c>
      <c r="I1075" t="n">
        <v>0</v>
      </c>
      <c r="J1075" t="n">
        <v>1</v>
      </c>
      <c r="K1075" t="n">
        <v>0</v>
      </c>
      <c r="L1075" t="n">
        <v>0</v>
      </c>
      <c r="M1075" t="n">
        <v>0</v>
      </c>
      <c r="N1075" t="n">
        <v>0</v>
      </c>
      <c r="O1075" t="n">
        <v>1</v>
      </c>
      <c r="P1075" t="n">
        <v>0</v>
      </c>
      <c r="Q1075" t="n">
        <v>1</v>
      </c>
      <c r="R1075" s="2" t="inlineStr">
        <is>
          <t>Blå taggsvamp</t>
        </is>
      </c>
      <c r="S1075">
        <f>HYPERLINK("https://klasma.github.io/Logging_2281/artfynd/A 9200-2022 artfynd.xlsx", "A 9200-2022")</f>
        <v/>
      </c>
      <c r="T1075">
        <f>HYPERLINK("https://klasma.github.io/Logging_2281/kartor/A 9200-2022 karta.png", "A 9200-2022")</f>
        <v/>
      </c>
      <c r="V1075">
        <f>HYPERLINK("https://klasma.github.io/Logging_2281/klagomål/A 9200-2022 FSC-klagomål.docx", "A 9200-2022")</f>
        <v/>
      </c>
      <c r="W1075">
        <f>HYPERLINK("https://klasma.github.io/Logging_2281/klagomålsmail/A 9200-2022 FSC-klagomål mail.docx", "A 9200-2022")</f>
        <v/>
      </c>
      <c r="X1075">
        <f>HYPERLINK("https://klasma.github.io/Logging_2281/tillsyn/A 9200-2022 tillsynsbegäran.docx", "A 9200-2022")</f>
        <v/>
      </c>
      <c r="Y1075">
        <f>HYPERLINK("https://klasma.github.io/Logging_2281/tillsynsmail/A 9200-2022 tillsynsbegäran mail.docx", "A 9200-2022")</f>
        <v/>
      </c>
    </row>
    <row r="1076" ht="15" customHeight="1">
      <c r="A1076" t="inlineStr">
        <is>
          <t>A 31878-2024</t>
        </is>
      </c>
      <c r="B1076" s="1" t="n">
        <v>45509</v>
      </c>
      <c r="C1076" s="1" t="n">
        <v>46185</v>
      </c>
      <c r="D1076" t="inlineStr">
        <is>
          <t>VÄSTERNORRLANDS LÄN</t>
        </is>
      </c>
      <c r="E1076" t="inlineStr">
        <is>
          <t>ÅNGE</t>
        </is>
      </c>
      <c r="F1076" t="inlineStr">
        <is>
          <t>SCA</t>
        </is>
      </c>
      <c r="G1076" t="n">
        <v>5.1</v>
      </c>
      <c r="H1076" t="n">
        <v>0</v>
      </c>
      <c r="I1076" t="n">
        <v>1</v>
      </c>
      <c r="J1076" t="n">
        <v>0</v>
      </c>
      <c r="K1076" t="n">
        <v>0</v>
      </c>
      <c r="L1076" t="n">
        <v>0</v>
      </c>
      <c r="M1076" t="n">
        <v>0</v>
      </c>
      <c r="N1076" t="n">
        <v>0</v>
      </c>
      <c r="O1076" t="n">
        <v>0</v>
      </c>
      <c r="P1076" t="n">
        <v>0</v>
      </c>
      <c r="Q1076" t="n">
        <v>1</v>
      </c>
      <c r="R1076" s="2" t="inlineStr">
        <is>
          <t>Grönpyrola</t>
        </is>
      </c>
      <c r="S1076">
        <f>HYPERLINK("https://klasma.github.io/Logging_2260/artfynd/A 31878-2024 artfynd.xlsx", "A 31878-2024")</f>
        <v/>
      </c>
      <c r="T1076">
        <f>HYPERLINK("https://klasma.github.io/Logging_2260/kartor/A 31878-2024 karta.png", "A 31878-2024")</f>
        <v/>
      </c>
      <c r="V1076">
        <f>HYPERLINK("https://klasma.github.io/Logging_2260/klagomål/A 31878-2024 FSC-klagomål.docx", "A 31878-2024")</f>
        <v/>
      </c>
      <c r="W1076">
        <f>HYPERLINK("https://klasma.github.io/Logging_2260/klagomålsmail/A 31878-2024 FSC-klagomål mail.docx", "A 31878-2024")</f>
        <v/>
      </c>
      <c r="X1076">
        <f>HYPERLINK("https://klasma.github.io/Logging_2260/tillsyn/A 31878-2024 tillsynsbegäran.docx", "A 31878-2024")</f>
        <v/>
      </c>
      <c r="Y1076">
        <f>HYPERLINK("https://klasma.github.io/Logging_2260/tillsynsmail/A 31878-2024 tillsynsbegäran mail.docx", "A 31878-2024")</f>
        <v/>
      </c>
    </row>
    <row r="1077" ht="15" customHeight="1">
      <c r="A1077" t="inlineStr">
        <is>
          <t>A 32388-2023</t>
        </is>
      </c>
      <c r="B1077" s="1" t="n">
        <v>45110</v>
      </c>
      <c r="C1077" s="1" t="n">
        <v>46185</v>
      </c>
      <c r="D1077" t="inlineStr">
        <is>
          <t>VÄSTERNORRLANDS LÄN</t>
        </is>
      </c>
      <c r="E1077" t="inlineStr">
        <is>
          <t>ÖRNSKÖLDSVIK</t>
        </is>
      </c>
      <c r="F1077" t="inlineStr">
        <is>
          <t>Kyrkan</t>
        </is>
      </c>
      <c r="G1077" t="n">
        <v>4.9</v>
      </c>
      <c r="H1077" t="n">
        <v>0</v>
      </c>
      <c r="I1077" t="n">
        <v>0</v>
      </c>
      <c r="J1077" t="n">
        <v>1</v>
      </c>
      <c r="K1077" t="n">
        <v>0</v>
      </c>
      <c r="L1077" t="n">
        <v>0</v>
      </c>
      <c r="M1077" t="n">
        <v>0</v>
      </c>
      <c r="N1077" t="n">
        <v>0</v>
      </c>
      <c r="O1077" t="n">
        <v>1</v>
      </c>
      <c r="P1077" t="n">
        <v>0</v>
      </c>
      <c r="Q1077" t="n">
        <v>1</v>
      </c>
      <c r="R1077" s="2" t="inlineStr">
        <is>
          <t>Ullticka</t>
        </is>
      </c>
      <c r="S1077">
        <f>HYPERLINK("https://klasma.github.io/Logging_2284/artfynd/A 32388-2023 artfynd.xlsx", "A 32388-2023")</f>
        <v/>
      </c>
      <c r="T1077">
        <f>HYPERLINK("https://klasma.github.io/Logging_2284/kartor/A 32388-2023 karta.png", "A 32388-2023")</f>
        <v/>
      </c>
      <c r="V1077">
        <f>HYPERLINK("https://klasma.github.io/Logging_2284/klagomål/A 32388-2023 FSC-klagomål.docx", "A 32388-2023")</f>
        <v/>
      </c>
      <c r="W1077">
        <f>HYPERLINK("https://klasma.github.io/Logging_2284/klagomålsmail/A 32388-2023 FSC-klagomål mail.docx", "A 32388-2023")</f>
        <v/>
      </c>
      <c r="X1077">
        <f>HYPERLINK("https://klasma.github.io/Logging_2284/tillsyn/A 32388-2023 tillsynsbegäran.docx", "A 32388-2023")</f>
        <v/>
      </c>
      <c r="Y1077">
        <f>HYPERLINK("https://klasma.github.io/Logging_2284/tillsynsmail/A 32388-2023 tillsynsbegäran mail.docx", "A 32388-2023")</f>
        <v/>
      </c>
    </row>
    <row r="1078" ht="15" customHeight="1">
      <c r="A1078" t="inlineStr">
        <is>
          <t>A 29533-2024</t>
        </is>
      </c>
      <c r="B1078" s="1" t="n">
        <v>45484.4816087963</v>
      </c>
      <c r="C1078" s="1" t="n">
        <v>46185</v>
      </c>
      <c r="D1078" t="inlineStr">
        <is>
          <t>VÄSTERNORRLANDS LÄN</t>
        </is>
      </c>
      <c r="E1078" t="inlineStr">
        <is>
          <t>ÖRNSKÖLDSVIK</t>
        </is>
      </c>
      <c r="G1078" t="n">
        <v>5.2</v>
      </c>
      <c r="H1078" t="n">
        <v>1</v>
      </c>
      <c r="I1078" t="n">
        <v>0</v>
      </c>
      <c r="J1078" t="n">
        <v>1</v>
      </c>
      <c r="K1078" t="n">
        <v>0</v>
      </c>
      <c r="L1078" t="n">
        <v>0</v>
      </c>
      <c r="M1078" t="n">
        <v>0</v>
      </c>
      <c r="N1078" t="n">
        <v>0</v>
      </c>
      <c r="O1078" t="n">
        <v>1</v>
      </c>
      <c r="P1078" t="n">
        <v>0</v>
      </c>
      <c r="Q1078" t="n">
        <v>1</v>
      </c>
      <c r="R1078" s="2" t="inlineStr">
        <is>
          <t>Utter</t>
        </is>
      </c>
      <c r="S1078">
        <f>HYPERLINK("https://klasma.github.io/Logging_2284/artfynd/A 29533-2024 artfynd.xlsx", "A 29533-2024")</f>
        <v/>
      </c>
      <c r="T1078">
        <f>HYPERLINK("https://klasma.github.io/Logging_2284/kartor/A 29533-2024 karta.png", "A 29533-2024")</f>
        <v/>
      </c>
      <c r="V1078">
        <f>HYPERLINK("https://klasma.github.io/Logging_2284/klagomål/A 29533-2024 FSC-klagomål.docx", "A 29533-2024")</f>
        <v/>
      </c>
      <c r="W1078">
        <f>HYPERLINK("https://klasma.github.io/Logging_2284/klagomålsmail/A 29533-2024 FSC-klagomål mail.docx", "A 29533-2024")</f>
        <v/>
      </c>
      <c r="X1078">
        <f>HYPERLINK("https://klasma.github.io/Logging_2284/tillsyn/A 29533-2024 tillsynsbegäran.docx", "A 29533-2024")</f>
        <v/>
      </c>
      <c r="Y1078">
        <f>HYPERLINK("https://klasma.github.io/Logging_2284/tillsynsmail/A 29533-2024 tillsynsbegäran mail.docx", "A 29533-2024")</f>
        <v/>
      </c>
    </row>
    <row r="1079" ht="15" customHeight="1">
      <c r="A1079" t="inlineStr">
        <is>
          <t>A 18347-2023</t>
        </is>
      </c>
      <c r="B1079" s="1" t="n">
        <v>45040</v>
      </c>
      <c r="C1079" s="1" t="n">
        <v>46185</v>
      </c>
      <c r="D1079" t="inlineStr">
        <is>
          <t>VÄSTERNORRLANDS LÄN</t>
        </is>
      </c>
      <c r="E1079" t="inlineStr">
        <is>
          <t>SUNDSVALL</t>
        </is>
      </c>
      <c r="G1079" t="n">
        <v>16.7</v>
      </c>
      <c r="H1079" t="n">
        <v>0</v>
      </c>
      <c r="I1079" t="n">
        <v>0</v>
      </c>
      <c r="J1079" t="n">
        <v>1</v>
      </c>
      <c r="K1079" t="n">
        <v>0</v>
      </c>
      <c r="L1079" t="n">
        <v>0</v>
      </c>
      <c r="M1079" t="n">
        <v>0</v>
      </c>
      <c r="N1079" t="n">
        <v>0</v>
      </c>
      <c r="O1079" t="n">
        <v>1</v>
      </c>
      <c r="P1079" t="n">
        <v>0</v>
      </c>
      <c r="Q1079" t="n">
        <v>1</v>
      </c>
      <c r="R1079" s="2" t="inlineStr">
        <is>
          <t>Garnlav</t>
        </is>
      </c>
      <c r="S1079">
        <f>HYPERLINK("https://klasma.github.io/Logging_2281/artfynd/A 18347-2023 artfynd.xlsx", "A 18347-2023")</f>
        <v/>
      </c>
      <c r="T1079">
        <f>HYPERLINK("https://klasma.github.io/Logging_2281/kartor/A 18347-2023 karta.png", "A 18347-2023")</f>
        <v/>
      </c>
      <c r="V1079">
        <f>HYPERLINK("https://klasma.github.io/Logging_2281/klagomål/A 18347-2023 FSC-klagomål.docx", "A 18347-2023")</f>
        <v/>
      </c>
      <c r="W1079">
        <f>HYPERLINK("https://klasma.github.io/Logging_2281/klagomålsmail/A 18347-2023 FSC-klagomål mail.docx", "A 18347-2023")</f>
        <v/>
      </c>
      <c r="X1079">
        <f>HYPERLINK("https://klasma.github.io/Logging_2281/tillsyn/A 18347-2023 tillsynsbegäran.docx", "A 18347-2023")</f>
        <v/>
      </c>
      <c r="Y1079">
        <f>HYPERLINK("https://klasma.github.io/Logging_2281/tillsynsmail/A 18347-2023 tillsynsbegäran mail.docx", "A 18347-2023")</f>
        <v/>
      </c>
    </row>
    <row r="1080" ht="15" customHeight="1">
      <c r="A1080" t="inlineStr">
        <is>
          <t>A 8921-2024</t>
        </is>
      </c>
      <c r="B1080" s="1" t="n">
        <v>45355</v>
      </c>
      <c r="C1080" s="1" t="n">
        <v>46185</v>
      </c>
      <c r="D1080" t="inlineStr">
        <is>
          <t>VÄSTERNORRLANDS LÄN</t>
        </is>
      </c>
      <c r="E1080" t="inlineStr">
        <is>
          <t>HÄRNÖSAND</t>
        </is>
      </c>
      <c r="G1080" t="n">
        <v>3.7</v>
      </c>
      <c r="H1080" t="n">
        <v>0</v>
      </c>
      <c r="I1080" t="n">
        <v>0</v>
      </c>
      <c r="J1080" t="n">
        <v>1</v>
      </c>
      <c r="K1080" t="n">
        <v>0</v>
      </c>
      <c r="L1080" t="n">
        <v>0</v>
      </c>
      <c r="M1080" t="n">
        <v>0</v>
      </c>
      <c r="N1080" t="n">
        <v>0</v>
      </c>
      <c r="O1080" t="n">
        <v>1</v>
      </c>
      <c r="P1080" t="n">
        <v>0</v>
      </c>
      <c r="Q1080" t="n">
        <v>1</v>
      </c>
      <c r="R1080" s="2" t="inlineStr">
        <is>
          <t>Apelsinticka</t>
        </is>
      </c>
      <c r="S1080">
        <f>HYPERLINK("https://klasma.github.io/Logging_2280/artfynd/A 8921-2024 artfynd.xlsx", "A 8921-2024")</f>
        <v/>
      </c>
      <c r="T1080">
        <f>HYPERLINK("https://klasma.github.io/Logging_2280/kartor/A 8921-2024 karta.png", "A 8921-2024")</f>
        <v/>
      </c>
      <c r="V1080">
        <f>HYPERLINK("https://klasma.github.io/Logging_2280/klagomål/A 8921-2024 FSC-klagomål.docx", "A 8921-2024")</f>
        <v/>
      </c>
      <c r="W1080">
        <f>HYPERLINK("https://klasma.github.io/Logging_2280/klagomålsmail/A 8921-2024 FSC-klagomål mail.docx", "A 8921-2024")</f>
        <v/>
      </c>
      <c r="X1080">
        <f>HYPERLINK("https://klasma.github.io/Logging_2280/tillsyn/A 8921-2024 tillsynsbegäran.docx", "A 8921-2024")</f>
        <v/>
      </c>
      <c r="Y1080">
        <f>HYPERLINK("https://klasma.github.io/Logging_2280/tillsynsmail/A 8921-2024 tillsynsbegäran mail.docx", "A 8921-2024")</f>
        <v/>
      </c>
    </row>
    <row r="1081" ht="15" customHeight="1">
      <c r="A1081" t="inlineStr">
        <is>
          <t>A 25310-2023</t>
        </is>
      </c>
      <c r="B1081" s="1" t="n">
        <v>45086</v>
      </c>
      <c r="C1081" s="1" t="n">
        <v>46185</v>
      </c>
      <c r="D1081" t="inlineStr">
        <is>
          <t>VÄSTERNORRLANDS LÄN</t>
        </is>
      </c>
      <c r="E1081" t="inlineStr">
        <is>
          <t>SOLLEFTEÅ</t>
        </is>
      </c>
      <c r="F1081" t="inlineStr">
        <is>
          <t>SCA</t>
        </is>
      </c>
      <c r="G1081" t="n">
        <v>1.1</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HYPERLINK("https://klasma.github.io/Logging_2283/artfynd/A 25310-2023 artfynd.xlsx", "A 25310-2023")</f>
        <v/>
      </c>
      <c r="T1081">
        <f>HYPERLINK("https://klasma.github.io/Logging_2283/kartor/A 25310-2023 karta.png", "A 25310-2023")</f>
        <v/>
      </c>
      <c r="V1081">
        <f>HYPERLINK("https://klasma.github.io/Logging_2283/klagomål/A 25310-2023 FSC-klagomål.docx", "A 25310-2023")</f>
        <v/>
      </c>
      <c r="W1081">
        <f>HYPERLINK("https://klasma.github.io/Logging_2283/klagomålsmail/A 25310-2023 FSC-klagomål mail.docx", "A 25310-2023")</f>
        <v/>
      </c>
      <c r="X1081">
        <f>HYPERLINK("https://klasma.github.io/Logging_2283/tillsyn/A 25310-2023 tillsynsbegäran.docx", "A 25310-2023")</f>
        <v/>
      </c>
      <c r="Y1081">
        <f>HYPERLINK("https://klasma.github.io/Logging_2283/tillsynsmail/A 25310-2023 tillsynsbegäran mail.docx", "A 25310-2023")</f>
        <v/>
      </c>
      <c r="Z1081">
        <f>HYPERLINK("https://klasma.github.io/Logging_2283/fåglar/A 25310-2023 prioriterade fågelarter.docx", "A 25310-2023")</f>
        <v/>
      </c>
    </row>
    <row r="1082" ht="15" customHeight="1">
      <c r="A1082" t="inlineStr">
        <is>
          <t>A 18793-2025</t>
        </is>
      </c>
      <c r="B1082" s="1" t="n">
        <v>45764.34525462963</v>
      </c>
      <c r="C1082" s="1" t="n">
        <v>46185</v>
      </c>
      <c r="D1082" t="inlineStr">
        <is>
          <t>VÄSTERNORRLANDS LÄN</t>
        </is>
      </c>
      <c r="E1082" t="inlineStr">
        <is>
          <t>KRAMFORS</t>
        </is>
      </c>
      <c r="F1082" t="inlineStr">
        <is>
          <t>SCA</t>
        </is>
      </c>
      <c r="G1082" t="n">
        <v>2.8</v>
      </c>
      <c r="H1082" t="n">
        <v>1</v>
      </c>
      <c r="I1082" t="n">
        <v>0</v>
      </c>
      <c r="J1082" t="n">
        <v>1</v>
      </c>
      <c r="K1082" t="n">
        <v>0</v>
      </c>
      <c r="L1082" t="n">
        <v>0</v>
      </c>
      <c r="M1082" t="n">
        <v>0</v>
      </c>
      <c r="N1082" t="n">
        <v>0</v>
      </c>
      <c r="O1082" t="n">
        <v>1</v>
      </c>
      <c r="P1082" t="n">
        <v>0</v>
      </c>
      <c r="Q1082" t="n">
        <v>1</v>
      </c>
      <c r="R1082" s="2" t="inlineStr">
        <is>
          <t>Nordfladdermus</t>
        </is>
      </c>
      <c r="S1082">
        <f>HYPERLINK("https://klasma.github.io/Logging_2282/artfynd/A 18793-2025 artfynd.xlsx", "A 18793-2025")</f>
        <v/>
      </c>
      <c r="T1082">
        <f>HYPERLINK("https://klasma.github.io/Logging_2282/kartor/A 18793-2025 karta.png", "A 18793-2025")</f>
        <v/>
      </c>
      <c r="V1082">
        <f>HYPERLINK("https://klasma.github.io/Logging_2282/klagomål/A 18793-2025 FSC-klagomål.docx", "A 18793-2025")</f>
        <v/>
      </c>
      <c r="W1082">
        <f>HYPERLINK("https://klasma.github.io/Logging_2282/klagomålsmail/A 18793-2025 FSC-klagomål mail.docx", "A 18793-2025")</f>
        <v/>
      </c>
      <c r="X1082">
        <f>HYPERLINK("https://klasma.github.io/Logging_2282/tillsyn/A 18793-2025 tillsynsbegäran.docx", "A 18793-2025")</f>
        <v/>
      </c>
      <c r="Y1082">
        <f>HYPERLINK("https://klasma.github.io/Logging_2282/tillsynsmail/A 18793-2025 tillsynsbegäran mail.docx", "A 18793-2025")</f>
        <v/>
      </c>
    </row>
    <row r="1083" ht="15" customHeight="1">
      <c r="A1083" t="inlineStr">
        <is>
          <t>A 54734-2024</t>
        </is>
      </c>
      <c r="B1083" s="1" t="n">
        <v>45618.43879629629</v>
      </c>
      <c r="C1083" s="1" t="n">
        <v>46185</v>
      </c>
      <c r="D1083" t="inlineStr">
        <is>
          <t>VÄSTERNORRLANDS LÄN</t>
        </is>
      </c>
      <c r="E1083" t="inlineStr">
        <is>
          <t>SOLLEFTEÅ</t>
        </is>
      </c>
      <c r="F1083" t="inlineStr">
        <is>
          <t>SCA</t>
        </is>
      </c>
      <c r="G1083" t="n">
        <v>3.2</v>
      </c>
      <c r="H1083" t="n">
        <v>0</v>
      </c>
      <c r="I1083" t="n">
        <v>0</v>
      </c>
      <c r="J1083" t="n">
        <v>1</v>
      </c>
      <c r="K1083" t="n">
        <v>0</v>
      </c>
      <c r="L1083" t="n">
        <v>0</v>
      </c>
      <c r="M1083" t="n">
        <v>0</v>
      </c>
      <c r="N1083" t="n">
        <v>0</v>
      </c>
      <c r="O1083" t="n">
        <v>1</v>
      </c>
      <c r="P1083" t="n">
        <v>0</v>
      </c>
      <c r="Q1083" t="n">
        <v>1</v>
      </c>
      <c r="R1083" s="2" t="inlineStr">
        <is>
          <t>Ullticka</t>
        </is>
      </c>
      <c r="S1083">
        <f>HYPERLINK("https://klasma.github.io/Logging_2283/artfynd/A 54734-2024 artfynd.xlsx", "A 54734-2024")</f>
        <v/>
      </c>
      <c r="T1083">
        <f>HYPERLINK("https://klasma.github.io/Logging_2283/kartor/A 54734-2024 karta.png", "A 54734-2024")</f>
        <v/>
      </c>
      <c r="V1083">
        <f>HYPERLINK("https://klasma.github.io/Logging_2283/klagomål/A 54734-2024 FSC-klagomål.docx", "A 54734-2024")</f>
        <v/>
      </c>
      <c r="W1083">
        <f>HYPERLINK("https://klasma.github.io/Logging_2283/klagomålsmail/A 54734-2024 FSC-klagomål mail.docx", "A 54734-2024")</f>
        <v/>
      </c>
      <c r="X1083">
        <f>HYPERLINK("https://klasma.github.io/Logging_2283/tillsyn/A 54734-2024 tillsynsbegäran.docx", "A 54734-2024")</f>
        <v/>
      </c>
      <c r="Y1083">
        <f>HYPERLINK("https://klasma.github.io/Logging_2283/tillsynsmail/A 54734-2024 tillsynsbegäran mail.docx", "A 54734-2024")</f>
        <v/>
      </c>
    </row>
    <row r="1084" ht="15" customHeight="1">
      <c r="A1084" t="inlineStr">
        <is>
          <t>A 18583-2026</t>
        </is>
      </c>
      <c r="B1084" s="1" t="n">
        <v>46127.62497685185</v>
      </c>
      <c r="C1084" s="1" t="n">
        <v>46185</v>
      </c>
      <c r="D1084" t="inlineStr">
        <is>
          <t>VÄSTERNORRLANDS LÄN</t>
        </is>
      </c>
      <c r="E1084" t="inlineStr">
        <is>
          <t>HÄRNÖSAND</t>
        </is>
      </c>
      <c r="G1084" t="n">
        <v>2.4</v>
      </c>
      <c r="H1084" t="n">
        <v>0</v>
      </c>
      <c r="I1084" t="n">
        <v>0</v>
      </c>
      <c r="J1084" t="n">
        <v>1</v>
      </c>
      <c r="K1084" t="n">
        <v>0</v>
      </c>
      <c r="L1084" t="n">
        <v>0</v>
      </c>
      <c r="M1084" t="n">
        <v>0</v>
      </c>
      <c r="N1084" t="n">
        <v>0</v>
      </c>
      <c r="O1084" t="n">
        <v>1</v>
      </c>
      <c r="P1084" t="n">
        <v>0</v>
      </c>
      <c r="Q1084" t="n">
        <v>1</v>
      </c>
      <c r="R1084" s="2" t="inlineStr">
        <is>
          <t>Violettgrå tagellav</t>
        </is>
      </c>
      <c r="S1084">
        <f>HYPERLINK("https://klasma.github.io/Logging_2280/artfynd/A 18583-2026 artfynd.xlsx", "A 18583-2026")</f>
        <v/>
      </c>
      <c r="T1084">
        <f>HYPERLINK("https://klasma.github.io/Logging_2280/kartor/A 18583-2026 karta.png", "A 18583-2026")</f>
        <v/>
      </c>
      <c r="V1084">
        <f>HYPERLINK("https://klasma.github.io/Logging_2280/klagomål/A 18583-2026 FSC-klagomål.docx", "A 18583-2026")</f>
        <v/>
      </c>
      <c r="W1084">
        <f>HYPERLINK("https://klasma.github.io/Logging_2280/klagomålsmail/A 18583-2026 FSC-klagomål mail.docx", "A 18583-2026")</f>
        <v/>
      </c>
      <c r="X1084">
        <f>HYPERLINK("https://klasma.github.io/Logging_2280/tillsyn/A 18583-2026 tillsynsbegäran.docx", "A 18583-2026")</f>
        <v/>
      </c>
      <c r="Y1084">
        <f>HYPERLINK("https://klasma.github.io/Logging_2280/tillsynsmail/A 18583-2026 tillsynsbegäran mail.docx", "A 18583-2026")</f>
        <v/>
      </c>
    </row>
    <row r="1085" ht="15" customHeight="1">
      <c r="A1085" t="inlineStr">
        <is>
          <t>A 64642-2023</t>
        </is>
      </c>
      <c r="B1085" s="1" t="n">
        <v>45281</v>
      </c>
      <c r="C1085" s="1" t="n">
        <v>46185</v>
      </c>
      <c r="D1085" t="inlineStr">
        <is>
          <t>VÄSTERNORRLANDS LÄN</t>
        </is>
      </c>
      <c r="E1085" t="inlineStr">
        <is>
          <t>ÖRNSKÖLDSVIK</t>
        </is>
      </c>
      <c r="G1085" t="n">
        <v>0.7</v>
      </c>
      <c r="H1085" t="n">
        <v>0</v>
      </c>
      <c r="I1085" t="n">
        <v>1</v>
      </c>
      <c r="J1085" t="n">
        <v>0</v>
      </c>
      <c r="K1085" t="n">
        <v>0</v>
      </c>
      <c r="L1085" t="n">
        <v>0</v>
      </c>
      <c r="M1085" t="n">
        <v>0</v>
      </c>
      <c r="N1085" t="n">
        <v>0</v>
      </c>
      <c r="O1085" t="n">
        <v>0</v>
      </c>
      <c r="P1085" t="n">
        <v>0</v>
      </c>
      <c r="Q1085" t="n">
        <v>1</v>
      </c>
      <c r="R1085" s="2" t="inlineStr">
        <is>
          <t>Sotlav</t>
        </is>
      </c>
      <c r="S1085">
        <f>HYPERLINK("https://klasma.github.io/Logging_2284/artfynd/A 64642-2023 artfynd.xlsx", "A 64642-2023")</f>
        <v/>
      </c>
      <c r="T1085">
        <f>HYPERLINK("https://klasma.github.io/Logging_2284/kartor/A 64642-2023 karta.png", "A 64642-2023")</f>
        <v/>
      </c>
      <c r="V1085">
        <f>HYPERLINK("https://klasma.github.io/Logging_2284/klagomål/A 64642-2023 FSC-klagomål.docx", "A 64642-2023")</f>
        <v/>
      </c>
      <c r="W1085">
        <f>HYPERLINK("https://klasma.github.io/Logging_2284/klagomålsmail/A 64642-2023 FSC-klagomål mail.docx", "A 64642-2023")</f>
        <v/>
      </c>
      <c r="X1085">
        <f>HYPERLINK("https://klasma.github.io/Logging_2284/tillsyn/A 64642-2023 tillsynsbegäran.docx", "A 64642-2023")</f>
        <v/>
      </c>
      <c r="Y1085">
        <f>HYPERLINK("https://klasma.github.io/Logging_2284/tillsynsmail/A 64642-2023 tillsynsbegäran mail.docx", "A 64642-2023")</f>
        <v/>
      </c>
    </row>
    <row r="1086" ht="15" customHeight="1">
      <c r="A1086" t="inlineStr">
        <is>
          <t>A 49366-2024</t>
        </is>
      </c>
      <c r="B1086" s="1" t="n">
        <v>45595.63572916666</v>
      </c>
      <c r="C1086" s="1" t="n">
        <v>46185</v>
      </c>
      <c r="D1086" t="inlineStr">
        <is>
          <t>VÄSTERNORRLANDS LÄN</t>
        </is>
      </c>
      <c r="E1086" t="inlineStr">
        <is>
          <t>SOLLEFTEÅ</t>
        </is>
      </c>
      <c r="F1086" t="inlineStr">
        <is>
          <t>SCA</t>
        </is>
      </c>
      <c r="G1086" t="n">
        <v>1.6</v>
      </c>
      <c r="H1086" t="n">
        <v>1</v>
      </c>
      <c r="I1086" t="n">
        <v>0</v>
      </c>
      <c r="J1086" t="n">
        <v>0</v>
      </c>
      <c r="K1086" t="n">
        <v>1</v>
      </c>
      <c r="L1086" t="n">
        <v>0</v>
      </c>
      <c r="M1086" t="n">
        <v>0</v>
      </c>
      <c r="N1086" t="n">
        <v>0</v>
      </c>
      <c r="O1086" t="n">
        <v>1</v>
      </c>
      <c r="P1086" t="n">
        <v>1</v>
      </c>
      <c r="Q1086" t="n">
        <v>1</v>
      </c>
      <c r="R1086" s="2" t="inlineStr">
        <is>
          <t>Knärot</t>
        </is>
      </c>
      <c r="S1086">
        <f>HYPERLINK("https://klasma.github.io/Logging_2283/artfynd/A 49366-2024 artfynd.xlsx", "A 49366-2024")</f>
        <v/>
      </c>
      <c r="T1086">
        <f>HYPERLINK("https://klasma.github.io/Logging_2283/kartor/A 49366-2024 karta.png", "A 49366-2024")</f>
        <v/>
      </c>
      <c r="U1086">
        <f>HYPERLINK("https://klasma.github.io/Logging_2283/knärot/A 49366-2024 karta knärot.png", "A 49366-2024")</f>
        <v/>
      </c>
      <c r="V1086">
        <f>HYPERLINK("https://klasma.github.io/Logging_2283/klagomål/A 49366-2024 FSC-klagomål.docx", "A 49366-2024")</f>
        <v/>
      </c>
      <c r="W1086">
        <f>HYPERLINK("https://klasma.github.io/Logging_2283/klagomålsmail/A 49366-2024 FSC-klagomål mail.docx", "A 49366-2024")</f>
        <v/>
      </c>
      <c r="X1086">
        <f>HYPERLINK("https://klasma.github.io/Logging_2283/tillsyn/A 49366-2024 tillsynsbegäran.docx", "A 49366-2024")</f>
        <v/>
      </c>
      <c r="Y1086">
        <f>HYPERLINK("https://klasma.github.io/Logging_2283/tillsynsmail/A 49366-2024 tillsynsbegäran mail.docx", "A 49366-2024")</f>
        <v/>
      </c>
    </row>
    <row r="1087" ht="15" customHeight="1">
      <c r="A1087" t="inlineStr">
        <is>
          <t>A 12785-2022</t>
        </is>
      </c>
      <c r="B1087" s="1" t="n">
        <v>44641</v>
      </c>
      <c r="C1087" s="1" t="n">
        <v>46185</v>
      </c>
      <c r="D1087" t="inlineStr">
        <is>
          <t>VÄSTERNORRLANDS LÄN</t>
        </is>
      </c>
      <c r="E1087" t="inlineStr">
        <is>
          <t>TIMRÅ</t>
        </is>
      </c>
      <c r="G1087" t="n">
        <v>2.2</v>
      </c>
      <c r="H1087" t="n">
        <v>0</v>
      </c>
      <c r="I1087" t="n">
        <v>1</v>
      </c>
      <c r="J1087" t="n">
        <v>0</v>
      </c>
      <c r="K1087" t="n">
        <v>0</v>
      </c>
      <c r="L1087" t="n">
        <v>0</v>
      </c>
      <c r="M1087" t="n">
        <v>0</v>
      </c>
      <c r="N1087" t="n">
        <v>0</v>
      </c>
      <c r="O1087" t="n">
        <v>0</v>
      </c>
      <c r="P1087" t="n">
        <v>0</v>
      </c>
      <c r="Q1087" t="n">
        <v>1</v>
      </c>
      <c r="R1087" s="2" t="inlineStr">
        <is>
          <t>Ögonpyrola</t>
        </is>
      </c>
      <c r="S1087">
        <f>HYPERLINK("https://klasma.github.io/Logging_2262/artfynd/A 12785-2022 artfynd.xlsx", "A 12785-2022")</f>
        <v/>
      </c>
      <c r="T1087">
        <f>HYPERLINK("https://klasma.github.io/Logging_2262/kartor/A 12785-2022 karta.png", "A 12785-2022")</f>
        <v/>
      </c>
      <c r="V1087">
        <f>HYPERLINK("https://klasma.github.io/Logging_2262/klagomål/A 12785-2022 FSC-klagomål.docx", "A 12785-2022")</f>
        <v/>
      </c>
      <c r="W1087">
        <f>HYPERLINK("https://klasma.github.io/Logging_2262/klagomålsmail/A 12785-2022 FSC-klagomål mail.docx", "A 12785-2022")</f>
        <v/>
      </c>
      <c r="X1087">
        <f>HYPERLINK("https://klasma.github.io/Logging_2262/tillsyn/A 12785-2022 tillsynsbegäran.docx", "A 12785-2022")</f>
        <v/>
      </c>
      <c r="Y1087">
        <f>HYPERLINK("https://klasma.github.io/Logging_2262/tillsynsmail/A 12785-2022 tillsynsbegäran mail.docx", "A 12785-2022")</f>
        <v/>
      </c>
    </row>
    <row r="1088" ht="15" customHeight="1">
      <c r="A1088" t="inlineStr">
        <is>
          <t>A 53039-2023</t>
        </is>
      </c>
      <c r="B1088" s="1" t="n">
        <v>45226</v>
      </c>
      <c r="C1088" s="1" t="n">
        <v>46185</v>
      </c>
      <c r="D1088" t="inlineStr">
        <is>
          <t>VÄSTERNORRLANDS LÄN</t>
        </is>
      </c>
      <c r="E1088" t="inlineStr">
        <is>
          <t>SOLLEFTEÅ</t>
        </is>
      </c>
      <c r="F1088" t="inlineStr">
        <is>
          <t>SCA</t>
        </is>
      </c>
      <c r="G1088" t="n">
        <v>1.8</v>
      </c>
      <c r="H1088" t="n">
        <v>1</v>
      </c>
      <c r="I1088" t="n">
        <v>0</v>
      </c>
      <c r="J1088" t="n">
        <v>1</v>
      </c>
      <c r="K1088" t="n">
        <v>0</v>
      </c>
      <c r="L1088" t="n">
        <v>0</v>
      </c>
      <c r="M1088" t="n">
        <v>0</v>
      </c>
      <c r="N1088" t="n">
        <v>0</v>
      </c>
      <c r="O1088" t="n">
        <v>1</v>
      </c>
      <c r="P1088" t="n">
        <v>0</v>
      </c>
      <c r="Q1088" t="n">
        <v>1</v>
      </c>
      <c r="R1088" s="2" t="inlineStr">
        <is>
          <t>Nordfladdermus</t>
        </is>
      </c>
      <c r="S1088">
        <f>HYPERLINK("https://klasma.github.io/Logging_2283/artfynd/A 53039-2023 artfynd.xlsx", "A 53039-2023")</f>
        <v/>
      </c>
      <c r="T1088">
        <f>HYPERLINK("https://klasma.github.io/Logging_2283/kartor/A 53039-2023 karta.png", "A 53039-2023")</f>
        <v/>
      </c>
      <c r="V1088">
        <f>HYPERLINK("https://klasma.github.io/Logging_2283/klagomål/A 53039-2023 FSC-klagomål.docx", "A 53039-2023")</f>
        <v/>
      </c>
      <c r="W1088">
        <f>HYPERLINK("https://klasma.github.io/Logging_2283/klagomålsmail/A 53039-2023 FSC-klagomål mail.docx", "A 53039-2023")</f>
        <v/>
      </c>
      <c r="X1088">
        <f>HYPERLINK("https://klasma.github.io/Logging_2283/tillsyn/A 53039-2023 tillsynsbegäran.docx", "A 53039-2023")</f>
        <v/>
      </c>
      <c r="Y1088">
        <f>HYPERLINK("https://klasma.github.io/Logging_2283/tillsynsmail/A 53039-2023 tillsynsbegäran mail.docx", "A 53039-2023")</f>
        <v/>
      </c>
    </row>
    <row r="1089" ht="15" customHeight="1">
      <c r="A1089" t="inlineStr">
        <is>
          <t>A 24696-2026</t>
        </is>
      </c>
      <c r="B1089" s="1" t="n">
        <v>46171.49012731481</v>
      </c>
      <c r="C1089" s="1" t="n">
        <v>46185</v>
      </c>
      <c r="D1089" t="inlineStr">
        <is>
          <t>VÄSTERNORRLANDS LÄN</t>
        </is>
      </c>
      <c r="E1089" t="inlineStr">
        <is>
          <t>SOLLEFTEÅ</t>
        </is>
      </c>
      <c r="F1089" t="inlineStr">
        <is>
          <t>SCA</t>
        </is>
      </c>
      <c r="G1089" t="n">
        <v>2.3</v>
      </c>
      <c r="H1089" t="n">
        <v>0</v>
      </c>
      <c r="I1089" t="n">
        <v>1</v>
      </c>
      <c r="J1089" t="n">
        <v>0</v>
      </c>
      <c r="K1089" t="n">
        <v>0</v>
      </c>
      <c r="L1089" t="n">
        <v>0</v>
      </c>
      <c r="M1089" t="n">
        <v>0</v>
      </c>
      <c r="N1089" t="n">
        <v>0</v>
      </c>
      <c r="O1089" t="n">
        <v>0</v>
      </c>
      <c r="P1089" t="n">
        <v>0</v>
      </c>
      <c r="Q1089" t="n">
        <v>1</v>
      </c>
      <c r="R1089" s="2" t="inlineStr">
        <is>
          <t>Dropptaggsvamp</t>
        </is>
      </c>
      <c r="S1089">
        <f>HYPERLINK("https://klasma.github.io/Logging_2283/artfynd/A 24696-2026 artfynd.xlsx", "A 24696-2026")</f>
        <v/>
      </c>
      <c r="T1089">
        <f>HYPERLINK("https://klasma.github.io/Logging_2283/kartor/A 24696-2026 karta.png", "A 24696-2026")</f>
        <v/>
      </c>
      <c r="V1089">
        <f>HYPERLINK("https://klasma.github.io/Logging_2283/klagomål/A 24696-2026 FSC-klagomål.docx", "A 24696-2026")</f>
        <v/>
      </c>
      <c r="W1089">
        <f>HYPERLINK("https://klasma.github.io/Logging_2283/klagomålsmail/A 24696-2026 FSC-klagomål mail.docx", "A 24696-2026")</f>
        <v/>
      </c>
      <c r="X1089">
        <f>HYPERLINK("https://klasma.github.io/Logging_2283/tillsyn/A 24696-2026 tillsynsbegäran.docx", "A 24696-2026")</f>
        <v/>
      </c>
      <c r="Y1089">
        <f>HYPERLINK("https://klasma.github.io/Logging_2283/tillsynsmail/A 24696-2026 tillsynsbegäran mail.docx", "A 24696-2026")</f>
        <v/>
      </c>
    </row>
    <row r="1090" ht="15" customHeight="1">
      <c r="A1090" t="inlineStr">
        <is>
          <t>A 19827-2022</t>
        </is>
      </c>
      <c r="B1090" s="1" t="n">
        <v>44694</v>
      </c>
      <c r="C1090" s="1" t="n">
        <v>46185</v>
      </c>
      <c r="D1090" t="inlineStr">
        <is>
          <t>VÄSTERNORRLANDS LÄN</t>
        </is>
      </c>
      <c r="E1090" t="inlineStr">
        <is>
          <t>HÄRNÖSAND</t>
        </is>
      </c>
      <c r="F1090" t="inlineStr">
        <is>
          <t>SCA</t>
        </is>
      </c>
      <c r="G1090" t="n">
        <v>4.3</v>
      </c>
      <c r="H1090" t="n">
        <v>0</v>
      </c>
      <c r="I1090" t="n">
        <v>0</v>
      </c>
      <c r="J1090" t="n">
        <v>1</v>
      </c>
      <c r="K1090" t="n">
        <v>0</v>
      </c>
      <c r="L1090" t="n">
        <v>0</v>
      </c>
      <c r="M1090" t="n">
        <v>0</v>
      </c>
      <c r="N1090" t="n">
        <v>0</v>
      </c>
      <c r="O1090" t="n">
        <v>1</v>
      </c>
      <c r="P1090" t="n">
        <v>0</v>
      </c>
      <c r="Q1090" t="n">
        <v>1</v>
      </c>
      <c r="R1090" s="2" t="inlineStr">
        <is>
          <t>Garnlav</t>
        </is>
      </c>
      <c r="S1090">
        <f>HYPERLINK("https://klasma.github.io/Logging_2280/artfynd/A 19827-2022 artfynd.xlsx", "A 19827-2022")</f>
        <v/>
      </c>
      <c r="T1090">
        <f>HYPERLINK("https://klasma.github.io/Logging_2280/kartor/A 19827-2022 karta.png", "A 19827-2022")</f>
        <v/>
      </c>
      <c r="V1090">
        <f>HYPERLINK("https://klasma.github.io/Logging_2280/klagomål/A 19827-2022 FSC-klagomål.docx", "A 19827-2022")</f>
        <v/>
      </c>
      <c r="W1090">
        <f>HYPERLINK("https://klasma.github.io/Logging_2280/klagomålsmail/A 19827-2022 FSC-klagomål mail.docx", "A 19827-2022")</f>
        <v/>
      </c>
      <c r="X1090">
        <f>HYPERLINK("https://klasma.github.io/Logging_2280/tillsyn/A 19827-2022 tillsynsbegäran.docx", "A 19827-2022")</f>
        <v/>
      </c>
      <c r="Y1090">
        <f>HYPERLINK("https://klasma.github.io/Logging_2280/tillsynsmail/A 19827-2022 tillsynsbegäran mail.docx", "A 19827-2022")</f>
        <v/>
      </c>
    </row>
    <row r="1091" ht="15" customHeight="1">
      <c r="A1091" t="inlineStr">
        <is>
          <t>A 49863-2023</t>
        </is>
      </c>
      <c r="B1091" s="1" t="n">
        <v>45212</v>
      </c>
      <c r="C1091" s="1" t="n">
        <v>46185</v>
      </c>
      <c r="D1091" t="inlineStr">
        <is>
          <t>VÄSTERNORRLANDS LÄN</t>
        </is>
      </c>
      <c r="E1091" t="inlineStr">
        <is>
          <t>SUNDSVALL</t>
        </is>
      </c>
      <c r="F1091" t="inlineStr">
        <is>
          <t>SCA</t>
        </is>
      </c>
      <c r="G1091" t="n">
        <v>2.3</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HYPERLINK("https://klasma.github.io/Logging_2281/artfynd/A 49863-2023 artfynd.xlsx", "A 49863-2023")</f>
        <v/>
      </c>
      <c r="T1091">
        <f>HYPERLINK("https://klasma.github.io/Logging_2281/kartor/A 49863-2023 karta.png", "A 49863-2023")</f>
        <v/>
      </c>
      <c r="V1091">
        <f>HYPERLINK("https://klasma.github.io/Logging_2281/klagomål/A 49863-2023 FSC-klagomål.docx", "A 49863-2023")</f>
        <v/>
      </c>
      <c r="W1091">
        <f>HYPERLINK("https://klasma.github.io/Logging_2281/klagomålsmail/A 49863-2023 FSC-klagomål mail.docx", "A 49863-2023")</f>
        <v/>
      </c>
      <c r="X1091">
        <f>HYPERLINK("https://klasma.github.io/Logging_2281/tillsyn/A 49863-2023 tillsynsbegäran.docx", "A 49863-2023")</f>
        <v/>
      </c>
      <c r="Y1091">
        <f>HYPERLINK("https://klasma.github.io/Logging_2281/tillsynsmail/A 49863-2023 tillsynsbegäran mail.docx", "A 49863-2023")</f>
        <v/>
      </c>
      <c r="Z1091">
        <f>HYPERLINK("https://klasma.github.io/Logging_2281/fåglar/A 49863-2023 prioriterade fågelarter.docx", "A 49863-2023")</f>
        <v/>
      </c>
    </row>
    <row r="1092" ht="15" customHeight="1">
      <c r="A1092" t="inlineStr">
        <is>
          <t>A 18825-2026</t>
        </is>
      </c>
      <c r="B1092" s="1" t="n">
        <v>46128</v>
      </c>
      <c r="C1092" s="1" t="n">
        <v>46185</v>
      </c>
      <c r="D1092" t="inlineStr">
        <is>
          <t>VÄSTERNORRLANDS LÄN</t>
        </is>
      </c>
      <c r="E1092" t="inlineStr">
        <is>
          <t>SOLLEFTEÅ</t>
        </is>
      </c>
      <c r="G1092" t="n">
        <v>3.2</v>
      </c>
      <c r="H1092" t="n">
        <v>1</v>
      </c>
      <c r="I1092" t="n">
        <v>0</v>
      </c>
      <c r="J1092" t="n">
        <v>0</v>
      </c>
      <c r="K1092" t="n">
        <v>0</v>
      </c>
      <c r="L1092" t="n">
        <v>0</v>
      </c>
      <c r="M1092" t="n">
        <v>0</v>
      </c>
      <c r="N1092" t="n">
        <v>0</v>
      </c>
      <c r="O1092" t="n">
        <v>0</v>
      </c>
      <c r="P1092" t="n">
        <v>0</v>
      </c>
      <c r="Q1092" t="n">
        <v>1</v>
      </c>
      <c r="R1092" s="2" t="inlineStr">
        <is>
          <t>Blåsippa</t>
        </is>
      </c>
      <c r="S1092">
        <f>HYPERLINK("https://klasma.github.io/Logging_2283/artfynd/A 18825-2026 artfynd.xlsx", "A 18825-2026")</f>
        <v/>
      </c>
      <c r="T1092">
        <f>HYPERLINK("https://klasma.github.io/Logging_2283/kartor/A 18825-2026 karta.png", "A 18825-2026")</f>
        <v/>
      </c>
      <c r="V1092">
        <f>HYPERLINK("https://klasma.github.io/Logging_2283/klagomål/A 18825-2026 FSC-klagomål.docx", "A 18825-2026")</f>
        <v/>
      </c>
      <c r="W1092">
        <f>HYPERLINK("https://klasma.github.io/Logging_2283/klagomålsmail/A 18825-2026 FSC-klagomål mail.docx", "A 18825-2026")</f>
        <v/>
      </c>
      <c r="X1092">
        <f>HYPERLINK("https://klasma.github.io/Logging_2283/tillsyn/A 18825-2026 tillsynsbegäran.docx", "A 18825-2026")</f>
        <v/>
      </c>
      <c r="Y1092">
        <f>HYPERLINK("https://klasma.github.io/Logging_2283/tillsynsmail/A 18825-2026 tillsynsbegäran mail.docx", "A 18825-2026")</f>
        <v/>
      </c>
    </row>
    <row r="1093" ht="15" customHeight="1">
      <c r="A1093" t="inlineStr">
        <is>
          <t>A 16301-2025</t>
        </is>
      </c>
      <c r="B1093" s="1" t="n">
        <v>45751.34609953704</v>
      </c>
      <c r="C1093" s="1" t="n">
        <v>46185</v>
      </c>
      <c r="D1093" t="inlineStr">
        <is>
          <t>VÄSTERNORRLANDS LÄN</t>
        </is>
      </c>
      <c r="E1093" t="inlineStr">
        <is>
          <t>TIMRÅ</t>
        </is>
      </c>
      <c r="F1093" t="inlineStr">
        <is>
          <t>SCA</t>
        </is>
      </c>
      <c r="G1093" t="n">
        <v>1.6</v>
      </c>
      <c r="H1093" t="n">
        <v>0</v>
      </c>
      <c r="I1093" t="n">
        <v>0</v>
      </c>
      <c r="J1093" t="n">
        <v>1</v>
      </c>
      <c r="K1093" t="n">
        <v>0</v>
      </c>
      <c r="L1093" t="n">
        <v>0</v>
      </c>
      <c r="M1093" t="n">
        <v>0</v>
      </c>
      <c r="N1093" t="n">
        <v>0</v>
      </c>
      <c r="O1093" t="n">
        <v>1</v>
      </c>
      <c r="P1093" t="n">
        <v>0</v>
      </c>
      <c r="Q1093" t="n">
        <v>1</v>
      </c>
      <c r="R1093" s="2" t="inlineStr">
        <is>
          <t>Lunglav</t>
        </is>
      </c>
      <c r="S1093">
        <f>HYPERLINK("https://klasma.github.io/Logging_2262/artfynd/A 16301-2025 artfynd.xlsx", "A 16301-2025")</f>
        <v/>
      </c>
      <c r="T1093">
        <f>HYPERLINK("https://klasma.github.io/Logging_2262/kartor/A 16301-2025 karta.png", "A 16301-2025")</f>
        <v/>
      </c>
      <c r="U1093">
        <f>HYPERLINK("https://klasma.github.io/Logging_2262/knärot/A 16301-2025 karta knärot.png", "A 16301-2025")</f>
        <v/>
      </c>
      <c r="V1093">
        <f>HYPERLINK("https://klasma.github.io/Logging_2262/klagomål/A 16301-2025 FSC-klagomål.docx", "A 16301-2025")</f>
        <v/>
      </c>
      <c r="W1093">
        <f>HYPERLINK("https://klasma.github.io/Logging_2262/klagomålsmail/A 16301-2025 FSC-klagomål mail.docx", "A 16301-2025")</f>
        <v/>
      </c>
      <c r="X1093">
        <f>HYPERLINK("https://klasma.github.io/Logging_2262/tillsyn/A 16301-2025 tillsynsbegäran.docx", "A 16301-2025")</f>
        <v/>
      </c>
      <c r="Y1093">
        <f>HYPERLINK("https://klasma.github.io/Logging_2262/tillsynsmail/A 16301-2025 tillsynsbegäran mail.docx", "A 16301-2025")</f>
        <v/>
      </c>
    </row>
    <row r="1094" ht="15" customHeight="1">
      <c r="A1094" t="inlineStr">
        <is>
          <t>A 54549-2024</t>
        </is>
      </c>
      <c r="B1094" s="1" t="n">
        <v>45617.61650462963</v>
      </c>
      <c r="C1094" s="1" t="n">
        <v>46185</v>
      </c>
      <c r="D1094" t="inlineStr">
        <is>
          <t>VÄSTERNORRLANDS LÄN</t>
        </is>
      </c>
      <c r="E1094" t="inlineStr">
        <is>
          <t>ÖRNSKÖLDSVIK</t>
        </is>
      </c>
      <c r="F1094" t="inlineStr">
        <is>
          <t>Holmen skog AB</t>
        </is>
      </c>
      <c r="G1094" t="n">
        <v>0.7</v>
      </c>
      <c r="H1094" t="n">
        <v>0</v>
      </c>
      <c r="I1094" t="n">
        <v>0</v>
      </c>
      <c r="J1094" t="n">
        <v>1</v>
      </c>
      <c r="K1094" t="n">
        <v>0</v>
      </c>
      <c r="L1094" t="n">
        <v>0</v>
      </c>
      <c r="M1094" t="n">
        <v>0</v>
      </c>
      <c r="N1094" t="n">
        <v>0</v>
      </c>
      <c r="O1094" t="n">
        <v>1</v>
      </c>
      <c r="P1094" t="n">
        <v>0</v>
      </c>
      <c r="Q1094" t="n">
        <v>1</v>
      </c>
      <c r="R1094" s="2" t="inlineStr">
        <is>
          <t>Lunglav</t>
        </is>
      </c>
      <c r="S1094">
        <f>HYPERLINK("https://klasma.github.io/Logging_2284/artfynd/A 54549-2024 artfynd.xlsx", "A 54549-2024")</f>
        <v/>
      </c>
      <c r="T1094">
        <f>HYPERLINK("https://klasma.github.io/Logging_2284/kartor/A 54549-2024 karta.png", "A 54549-2024")</f>
        <v/>
      </c>
      <c r="V1094">
        <f>HYPERLINK("https://klasma.github.io/Logging_2284/klagomål/A 54549-2024 FSC-klagomål.docx", "A 54549-2024")</f>
        <v/>
      </c>
      <c r="W1094">
        <f>HYPERLINK("https://klasma.github.io/Logging_2284/klagomålsmail/A 54549-2024 FSC-klagomål mail.docx", "A 54549-2024")</f>
        <v/>
      </c>
      <c r="X1094">
        <f>HYPERLINK("https://klasma.github.io/Logging_2284/tillsyn/A 54549-2024 tillsynsbegäran.docx", "A 54549-2024")</f>
        <v/>
      </c>
      <c r="Y1094">
        <f>HYPERLINK("https://klasma.github.io/Logging_2284/tillsynsmail/A 54549-2024 tillsynsbegäran mail.docx", "A 54549-2024")</f>
        <v/>
      </c>
    </row>
    <row r="1095" ht="15" customHeight="1">
      <c r="A1095" t="inlineStr">
        <is>
          <t>A 31647-2023</t>
        </is>
      </c>
      <c r="B1095" s="1" t="n">
        <v>45105</v>
      </c>
      <c r="C1095" s="1" t="n">
        <v>46185</v>
      </c>
      <c r="D1095" t="inlineStr">
        <is>
          <t>VÄSTERNORRLANDS LÄN</t>
        </is>
      </c>
      <c r="E1095" t="inlineStr">
        <is>
          <t>ÖRNSKÖLDSVIK</t>
        </is>
      </c>
      <c r="G1095" t="n">
        <v>2.7</v>
      </c>
      <c r="H1095" t="n">
        <v>1</v>
      </c>
      <c r="I1095" t="n">
        <v>0</v>
      </c>
      <c r="J1095" t="n">
        <v>1</v>
      </c>
      <c r="K1095" t="n">
        <v>0</v>
      </c>
      <c r="L1095" t="n">
        <v>0</v>
      </c>
      <c r="M1095" t="n">
        <v>0</v>
      </c>
      <c r="N1095" t="n">
        <v>0</v>
      </c>
      <c r="O1095" t="n">
        <v>1</v>
      </c>
      <c r="P1095" t="n">
        <v>0</v>
      </c>
      <c r="Q1095" t="n">
        <v>1</v>
      </c>
      <c r="R1095" s="2" t="inlineStr">
        <is>
          <t>Kungsörn</t>
        </is>
      </c>
      <c r="S1095">
        <f>HYPERLINK("https://klasma.github.io/Logging_2284/artfynd/A 31647-2023 artfynd.xlsx", "A 31647-2023")</f>
        <v/>
      </c>
      <c r="T1095">
        <f>HYPERLINK("https://klasma.github.io/Logging_2284/kartor/A 31647-2023 karta.png", "A 31647-2023")</f>
        <v/>
      </c>
      <c r="V1095">
        <f>HYPERLINK("https://klasma.github.io/Logging_2284/klagomål/A 31647-2023 FSC-klagomål.docx", "A 31647-2023")</f>
        <v/>
      </c>
      <c r="W1095">
        <f>HYPERLINK("https://klasma.github.io/Logging_2284/klagomålsmail/A 31647-2023 FSC-klagomål mail.docx", "A 31647-2023")</f>
        <v/>
      </c>
      <c r="X1095">
        <f>HYPERLINK("https://klasma.github.io/Logging_2284/tillsyn/A 31647-2023 tillsynsbegäran.docx", "A 31647-2023")</f>
        <v/>
      </c>
      <c r="Y1095">
        <f>HYPERLINK("https://klasma.github.io/Logging_2284/tillsynsmail/A 31647-2023 tillsynsbegäran mail.docx", "A 31647-2023")</f>
        <v/>
      </c>
      <c r="Z1095">
        <f>HYPERLINK("https://klasma.github.io/Logging_2284/fåglar/A 31647-2023 prioriterade fågelarter.docx", "A 31647-2023")</f>
        <v/>
      </c>
    </row>
    <row r="1096" ht="15" customHeight="1">
      <c r="A1096" t="inlineStr">
        <is>
          <t>A 15669-2022</t>
        </is>
      </c>
      <c r="B1096" s="1" t="n">
        <v>44662</v>
      </c>
      <c r="C1096" s="1" t="n">
        <v>46185</v>
      </c>
      <c r="D1096" t="inlineStr">
        <is>
          <t>VÄSTERNORRLANDS LÄN</t>
        </is>
      </c>
      <c r="E1096" t="inlineStr">
        <is>
          <t>SOLLEFTEÅ</t>
        </is>
      </c>
      <c r="G1096" t="n">
        <v>12.1</v>
      </c>
      <c r="H1096" t="n">
        <v>0</v>
      </c>
      <c r="I1096" t="n">
        <v>1</v>
      </c>
      <c r="J1096" t="n">
        <v>0</v>
      </c>
      <c r="K1096" t="n">
        <v>0</v>
      </c>
      <c r="L1096" t="n">
        <v>0</v>
      </c>
      <c r="M1096" t="n">
        <v>0</v>
      </c>
      <c r="N1096" t="n">
        <v>0</v>
      </c>
      <c r="O1096" t="n">
        <v>0</v>
      </c>
      <c r="P1096" t="n">
        <v>0</v>
      </c>
      <c r="Q1096" t="n">
        <v>1</v>
      </c>
      <c r="R1096" s="2" t="inlineStr">
        <is>
          <t>Skinnlav</t>
        </is>
      </c>
      <c r="S1096">
        <f>HYPERLINK("https://klasma.github.io/Logging_2283/artfynd/A 15669-2022 artfynd.xlsx", "A 15669-2022")</f>
        <v/>
      </c>
      <c r="T1096">
        <f>HYPERLINK("https://klasma.github.io/Logging_2283/kartor/A 15669-2022 karta.png", "A 15669-2022")</f>
        <v/>
      </c>
      <c r="V1096">
        <f>HYPERLINK("https://klasma.github.io/Logging_2283/klagomål/A 15669-2022 FSC-klagomål.docx", "A 15669-2022")</f>
        <v/>
      </c>
      <c r="W1096">
        <f>HYPERLINK("https://klasma.github.io/Logging_2283/klagomålsmail/A 15669-2022 FSC-klagomål mail.docx", "A 15669-2022")</f>
        <v/>
      </c>
      <c r="X1096">
        <f>HYPERLINK("https://klasma.github.io/Logging_2283/tillsyn/A 15669-2022 tillsynsbegäran.docx", "A 15669-2022")</f>
        <v/>
      </c>
      <c r="Y1096">
        <f>HYPERLINK("https://klasma.github.io/Logging_2283/tillsynsmail/A 15669-2022 tillsynsbegäran mail.docx", "A 15669-2022")</f>
        <v/>
      </c>
    </row>
    <row r="1097" ht="15" customHeight="1">
      <c r="A1097" t="inlineStr">
        <is>
          <t>A 35502-2024</t>
        </is>
      </c>
      <c r="B1097" s="1" t="n">
        <v>45531</v>
      </c>
      <c r="C1097" s="1" t="n">
        <v>46185</v>
      </c>
      <c r="D1097" t="inlineStr">
        <is>
          <t>VÄSTERNORRLANDS LÄN</t>
        </is>
      </c>
      <c r="E1097" t="inlineStr">
        <is>
          <t>SOLLEFTEÅ</t>
        </is>
      </c>
      <c r="F1097" t="inlineStr">
        <is>
          <t>Övriga Aktiebolag</t>
        </is>
      </c>
      <c r="G1097" t="n">
        <v>1.1</v>
      </c>
      <c r="H1097" t="n">
        <v>0</v>
      </c>
      <c r="I1097" t="n">
        <v>0</v>
      </c>
      <c r="J1097" t="n">
        <v>0</v>
      </c>
      <c r="K1097" t="n">
        <v>1</v>
      </c>
      <c r="L1097" t="n">
        <v>0</v>
      </c>
      <c r="M1097" t="n">
        <v>0</v>
      </c>
      <c r="N1097" t="n">
        <v>0</v>
      </c>
      <c r="O1097" t="n">
        <v>1</v>
      </c>
      <c r="P1097" t="n">
        <v>1</v>
      </c>
      <c r="Q1097" t="n">
        <v>1</v>
      </c>
      <c r="R1097" s="2" t="inlineStr">
        <is>
          <t>Skuggnål</t>
        </is>
      </c>
      <c r="S1097">
        <f>HYPERLINK("https://klasma.github.io/Logging_2283/artfynd/A 35502-2024 artfynd.xlsx", "A 35502-2024")</f>
        <v/>
      </c>
      <c r="T1097">
        <f>HYPERLINK("https://klasma.github.io/Logging_2283/kartor/A 35502-2024 karta.png", "A 35502-2024")</f>
        <v/>
      </c>
      <c r="V1097">
        <f>HYPERLINK("https://klasma.github.io/Logging_2283/klagomål/A 35502-2024 FSC-klagomål.docx", "A 35502-2024")</f>
        <v/>
      </c>
      <c r="W1097">
        <f>HYPERLINK("https://klasma.github.io/Logging_2283/klagomålsmail/A 35502-2024 FSC-klagomål mail.docx", "A 35502-2024")</f>
        <v/>
      </c>
      <c r="X1097">
        <f>HYPERLINK("https://klasma.github.io/Logging_2283/tillsyn/A 35502-2024 tillsynsbegäran.docx", "A 35502-2024")</f>
        <v/>
      </c>
      <c r="Y1097">
        <f>HYPERLINK("https://klasma.github.io/Logging_2283/tillsynsmail/A 35502-2024 tillsynsbegäran mail.docx", "A 35502-2024")</f>
        <v/>
      </c>
    </row>
    <row r="1098" ht="15" customHeight="1">
      <c r="A1098" t="inlineStr">
        <is>
          <t>A 30827-2023</t>
        </is>
      </c>
      <c r="B1098" s="1" t="n">
        <v>45112</v>
      </c>
      <c r="C1098" s="1" t="n">
        <v>46185</v>
      </c>
      <c r="D1098" t="inlineStr">
        <is>
          <t>VÄSTERNORRLANDS LÄN</t>
        </is>
      </c>
      <c r="E1098" t="inlineStr">
        <is>
          <t>SUNDSVALL</t>
        </is>
      </c>
      <c r="F1098" t="inlineStr">
        <is>
          <t>SCA</t>
        </is>
      </c>
      <c r="G1098" t="n">
        <v>21.9</v>
      </c>
      <c r="H1098" t="n">
        <v>0</v>
      </c>
      <c r="I1098" t="n">
        <v>1</v>
      </c>
      <c r="J1098" t="n">
        <v>0</v>
      </c>
      <c r="K1098" t="n">
        <v>0</v>
      </c>
      <c r="L1098" t="n">
        <v>0</v>
      </c>
      <c r="M1098" t="n">
        <v>0</v>
      </c>
      <c r="N1098" t="n">
        <v>0</v>
      </c>
      <c r="O1098" t="n">
        <v>0</v>
      </c>
      <c r="P1098" t="n">
        <v>0</v>
      </c>
      <c r="Q1098" t="n">
        <v>1</v>
      </c>
      <c r="R1098" s="2" t="inlineStr">
        <is>
          <t>Dropptaggsvamp</t>
        </is>
      </c>
      <c r="S1098">
        <f>HYPERLINK("https://klasma.github.io/Logging_2281/artfynd/A 30827-2023 artfynd.xlsx", "A 30827-2023")</f>
        <v/>
      </c>
      <c r="T1098">
        <f>HYPERLINK("https://klasma.github.io/Logging_2281/kartor/A 30827-2023 karta.png", "A 30827-2023")</f>
        <v/>
      </c>
      <c r="V1098">
        <f>HYPERLINK("https://klasma.github.io/Logging_2281/klagomål/A 30827-2023 FSC-klagomål.docx", "A 30827-2023")</f>
        <v/>
      </c>
      <c r="W1098">
        <f>HYPERLINK("https://klasma.github.io/Logging_2281/klagomålsmail/A 30827-2023 FSC-klagomål mail.docx", "A 30827-2023")</f>
        <v/>
      </c>
      <c r="X1098">
        <f>HYPERLINK("https://klasma.github.io/Logging_2281/tillsyn/A 30827-2023 tillsynsbegäran.docx", "A 30827-2023")</f>
        <v/>
      </c>
      <c r="Y1098">
        <f>HYPERLINK("https://klasma.github.io/Logging_2281/tillsynsmail/A 30827-2023 tillsynsbegäran mail.docx", "A 30827-2023")</f>
        <v/>
      </c>
    </row>
    <row r="1099" ht="15" customHeight="1">
      <c r="A1099" t="inlineStr">
        <is>
          <t>A 25386-2026</t>
        </is>
      </c>
      <c r="B1099" s="1" t="n">
        <v>46176.67805555555</v>
      </c>
      <c r="C1099" s="1" t="n">
        <v>46185</v>
      </c>
      <c r="D1099" t="inlineStr">
        <is>
          <t>VÄSTERNORRLANDS LÄN</t>
        </is>
      </c>
      <c r="E1099" t="inlineStr">
        <is>
          <t>SOLLEFTEÅ</t>
        </is>
      </c>
      <c r="F1099" t="inlineStr">
        <is>
          <t>Kyrkan</t>
        </is>
      </c>
      <c r="G1099" t="n">
        <v>1.1</v>
      </c>
      <c r="H1099" t="n">
        <v>0</v>
      </c>
      <c r="I1099" t="n">
        <v>0</v>
      </c>
      <c r="J1099" t="n">
        <v>1</v>
      </c>
      <c r="K1099" t="n">
        <v>0</v>
      </c>
      <c r="L1099" t="n">
        <v>0</v>
      </c>
      <c r="M1099" t="n">
        <v>0</v>
      </c>
      <c r="N1099" t="n">
        <v>0</v>
      </c>
      <c r="O1099" t="n">
        <v>1</v>
      </c>
      <c r="P1099" t="n">
        <v>0</v>
      </c>
      <c r="Q1099" t="n">
        <v>1</v>
      </c>
      <c r="R1099" s="2" t="inlineStr">
        <is>
          <t>Lunglav</t>
        </is>
      </c>
      <c r="S1099">
        <f>HYPERLINK("https://klasma.github.io/Logging_2283/artfynd/A 25386-2026 artfynd.xlsx", "A 25386-2026")</f>
        <v/>
      </c>
      <c r="T1099">
        <f>HYPERLINK("https://klasma.github.io/Logging_2283/kartor/A 25386-2026 karta.png", "A 25386-2026")</f>
        <v/>
      </c>
      <c r="V1099">
        <f>HYPERLINK("https://klasma.github.io/Logging_2283/klagomål/A 25386-2026 FSC-klagomål.docx", "A 25386-2026")</f>
        <v/>
      </c>
      <c r="W1099">
        <f>HYPERLINK("https://klasma.github.io/Logging_2283/klagomålsmail/A 25386-2026 FSC-klagomål mail.docx", "A 25386-2026")</f>
        <v/>
      </c>
      <c r="X1099">
        <f>HYPERLINK("https://klasma.github.io/Logging_2283/tillsyn/A 25386-2026 tillsynsbegäran.docx", "A 25386-2026")</f>
        <v/>
      </c>
      <c r="Y1099">
        <f>HYPERLINK("https://klasma.github.io/Logging_2283/tillsynsmail/A 25386-2026 tillsynsbegäran mail.docx", "A 25386-2026")</f>
        <v/>
      </c>
    </row>
    <row r="1100" ht="15" customHeight="1">
      <c r="A1100" t="inlineStr">
        <is>
          <t>A 31510-2024</t>
        </is>
      </c>
      <c r="B1100" s="1" t="n">
        <v>45505</v>
      </c>
      <c r="C1100" s="1" t="n">
        <v>46185</v>
      </c>
      <c r="D1100" t="inlineStr">
        <is>
          <t>VÄSTERNORRLANDS LÄN</t>
        </is>
      </c>
      <c r="E1100" t="inlineStr">
        <is>
          <t>ÅNGE</t>
        </is>
      </c>
      <c r="F1100" t="inlineStr">
        <is>
          <t>SCA</t>
        </is>
      </c>
      <c r="G1100" t="n">
        <v>6</v>
      </c>
      <c r="H1100" t="n">
        <v>1</v>
      </c>
      <c r="I1100" t="n">
        <v>0</v>
      </c>
      <c r="J1100" t="n">
        <v>0</v>
      </c>
      <c r="K1100" t="n">
        <v>1</v>
      </c>
      <c r="L1100" t="n">
        <v>0</v>
      </c>
      <c r="M1100" t="n">
        <v>0</v>
      </c>
      <c r="N1100" t="n">
        <v>0</v>
      </c>
      <c r="O1100" t="n">
        <v>1</v>
      </c>
      <c r="P1100" t="n">
        <v>1</v>
      </c>
      <c r="Q1100" t="n">
        <v>1</v>
      </c>
      <c r="R1100" s="2" t="inlineStr">
        <is>
          <t>Doftticka</t>
        </is>
      </c>
      <c r="S1100">
        <f>HYPERLINK("https://klasma.github.io/Logging_2260/artfynd/A 31510-2024 artfynd.xlsx", "A 31510-2024")</f>
        <v/>
      </c>
      <c r="T1100">
        <f>HYPERLINK("https://klasma.github.io/Logging_2260/kartor/A 31510-2024 karta.png", "A 31510-2024")</f>
        <v/>
      </c>
      <c r="V1100">
        <f>HYPERLINK("https://klasma.github.io/Logging_2260/klagomål/A 31510-2024 FSC-klagomål.docx", "A 31510-2024")</f>
        <v/>
      </c>
      <c r="W1100">
        <f>HYPERLINK("https://klasma.github.io/Logging_2260/klagomålsmail/A 31510-2024 FSC-klagomål mail.docx", "A 31510-2024")</f>
        <v/>
      </c>
      <c r="X1100">
        <f>HYPERLINK("https://klasma.github.io/Logging_2260/tillsyn/A 31510-2024 tillsynsbegäran.docx", "A 31510-2024")</f>
        <v/>
      </c>
      <c r="Y1100">
        <f>HYPERLINK("https://klasma.github.io/Logging_2260/tillsynsmail/A 31510-2024 tillsynsbegäran mail.docx", "A 31510-2024")</f>
        <v/>
      </c>
    </row>
    <row r="1101" ht="15" customHeight="1">
      <c r="A1101" t="inlineStr">
        <is>
          <t>A 34689-2024</t>
        </is>
      </c>
      <c r="B1101" s="1" t="n">
        <v>45526</v>
      </c>
      <c r="C1101" s="1" t="n">
        <v>46185</v>
      </c>
      <c r="D1101" t="inlineStr">
        <is>
          <t>VÄSTERNORRLANDS LÄN</t>
        </is>
      </c>
      <c r="E1101" t="inlineStr">
        <is>
          <t>HÄRNÖSAND</t>
        </is>
      </c>
      <c r="F1101" t="inlineStr">
        <is>
          <t>SCA</t>
        </is>
      </c>
      <c r="G1101" t="n">
        <v>2.2</v>
      </c>
      <c r="H1101" t="n">
        <v>0</v>
      </c>
      <c r="I1101" t="n">
        <v>0</v>
      </c>
      <c r="J1101" t="n">
        <v>0</v>
      </c>
      <c r="K1101" t="n">
        <v>1</v>
      </c>
      <c r="L1101" t="n">
        <v>0</v>
      </c>
      <c r="M1101" t="n">
        <v>0</v>
      </c>
      <c r="N1101" t="n">
        <v>0</v>
      </c>
      <c r="O1101" t="n">
        <v>1</v>
      </c>
      <c r="P1101" t="n">
        <v>1</v>
      </c>
      <c r="Q1101" t="n">
        <v>1</v>
      </c>
      <c r="R1101" s="2" t="inlineStr">
        <is>
          <t>Rynkskinn</t>
        </is>
      </c>
      <c r="S1101">
        <f>HYPERLINK("https://klasma.github.io/Logging_2280/artfynd/A 34689-2024 artfynd.xlsx", "A 34689-2024")</f>
        <v/>
      </c>
      <c r="T1101">
        <f>HYPERLINK("https://klasma.github.io/Logging_2280/kartor/A 34689-2024 karta.png", "A 34689-2024")</f>
        <v/>
      </c>
      <c r="V1101">
        <f>HYPERLINK("https://klasma.github.io/Logging_2280/klagomål/A 34689-2024 FSC-klagomål.docx", "A 34689-2024")</f>
        <v/>
      </c>
      <c r="W1101">
        <f>HYPERLINK("https://klasma.github.io/Logging_2280/klagomålsmail/A 34689-2024 FSC-klagomål mail.docx", "A 34689-2024")</f>
        <v/>
      </c>
      <c r="X1101">
        <f>HYPERLINK("https://klasma.github.io/Logging_2280/tillsyn/A 34689-2024 tillsynsbegäran.docx", "A 34689-2024")</f>
        <v/>
      </c>
      <c r="Y1101">
        <f>HYPERLINK("https://klasma.github.io/Logging_2280/tillsynsmail/A 34689-2024 tillsynsbegäran mail.docx", "A 34689-2024")</f>
        <v/>
      </c>
    </row>
    <row r="1102" ht="15" customHeight="1">
      <c r="A1102" t="inlineStr">
        <is>
          <t>A 19866-2024</t>
        </is>
      </c>
      <c r="B1102" s="1" t="n">
        <v>45433</v>
      </c>
      <c r="C1102" s="1" t="n">
        <v>46185</v>
      </c>
      <c r="D1102" t="inlineStr">
        <is>
          <t>VÄSTERNORRLANDS LÄN</t>
        </is>
      </c>
      <c r="E1102" t="inlineStr">
        <is>
          <t>SUNDSVALL</t>
        </is>
      </c>
      <c r="G1102" t="n">
        <v>4.2</v>
      </c>
      <c r="H1102" t="n">
        <v>1</v>
      </c>
      <c r="I1102" t="n">
        <v>0</v>
      </c>
      <c r="J1102" t="n">
        <v>0</v>
      </c>
      <c r="K1102" t="n">
        <v>0</v>
      </c>
      <c r="L1102" t="n">
        <v>0</v>
      </c>
      <c r="M1102" t="n">
        <v>0</v>
      </c>
      <c r="N1102" t="n">
        <v>0</v>
      </c>
      <c r="O1102" t="n">
        <v>0</v>
      </c>
      <c r="P1102" t="n">
        <v>0</v>
      </c>
      <c r="Q1102" t="n">
        <v>1</v>
      </c>
      <c r="R1102" s="2" t="inlineStr">
        <is>
          <t>Grönsiska</t>
        </is>
      </c>
      <c r="S1102">
        <f>HYPERLINK("https://klasma.github.io/Logging_2281/artfynd/A 19866-2024 artfynd.xlsx", "A 19866-2024")</f>
        <v/>
      </c>
      <c r="T1102">
        <f>HYPERLINK("https://klasma.github.io/Logging_2281/kartor/A 19866-2024 karta.png", "A 19866-2024")</f>
        <v/>
      </c>
      <c r="V1102">
        <f>HYPERLINK("https://klasma.github.io/Logging_2281/klagomål/A 19866-2024 FSC-klagomål.docx", "A 19866-2024")</f>
        <v/>
      </c>
      <c r="W1102">
        <f>HYPERLINK("https://klasma.github.io/Logging_2281/klagomålsmail/A 19866-2024 FSC-klagomål mail.docx", "A 19866-2024")</f>
        <v/>
      </c>
      <c r="X1102">
        <f>HYPERLINK("https://klasma.github.io/Logging_2281/tillsyn/A 19866-2024 tillsynsbegäran.docx", "A 19866-2024")</f>
        <v/>
      </c>
      <c r="Y1102">
        <f>HYPERLINK("https://klasma.github.io/Logging_2281/tillsynsmail/A 19866-2024 tillsynsbegäran mail.docx", "A 19866-2024")</f>
        <v/>
      </c>
      <c r="Z1102">
        <f>HYPERLINK("https://klasma.github.io/Logging_2281/fåglar/A 19866-2024 prioriterade fågelarter.docx", "A 19866-2024")</f>
        <v/>
      </c>
    </row>
    <row r="1103" ht="15" customHeight="1">
      <c r="A1103" t="inlineStr">
        <is>
          <t>A 20119-2026</t>
        </is>
      </c>
      <c r="B1103" s="1" t="n">
        <v>46136.65724537037</v>
      </c>
      <c r="C1103" s="1" t="n">
        <v>46185</v>
      </c>
      <c r="D1103" t="inlineStr">
        <is>
          <t>VÄSTERNORRLANDS LÄN</t>
        </is>
      </c>
      <c r="E1103" t="inlineStr">
        <is>
          <t>SUNDSVALL</t>
        </is>
      </c>
      <c r="F1103" t="inlineStr">
        <is>
          <t>SCA</t>
        </is>
      </c>
      <c r="G1103" t="n">
        <v>2</v>
      </c>
      <c r="H1103" t="n">
        <v>1</v>
      </c>
      <c r="I1103" t="n">
        <v>0</v>
      </c>
      <c r="J1103" t="n">
        <v>0</v>
      </c>
      <c r="K1103" t="n">
        <v>0</v>
      </c>
      <c r="L1103" t="n">
        <v>0</v>
      </c>
      <c r="M1103" t="n">
        <v>0</v>
      </c>
      <c r="N1103" t="n">
        <v>0</v>
      </c>
      <c r="O1103" t="n">
        <v>0</v>
      </c>
      <c r="P1103" t="n">
        <v>0</v>
      </c>
      <c r="Q1103" t="n">
        <v>1</v>
      </c>
      <c r="R1103" s="2" t="inlineStr">
        <is>
          <t>Tjäder</t>
        </is>
      </c>
      <c r="S1103">
        <f>HYPERLINK("https://klasma.github.io/Logging_2281/artfynd/A 20119-2026 artfynd.xlsx", "A 20119-2026")</f>
        <v/>
      </c>
      <c r="T1103">
        <f>HYPERLINK("https://klasma.github.io/Logging_2281/kartor/A 20119-2026 karta.png", "A 20119-2026")</f>
        <v/>
      </c>
      <c r="V1103">
        <f>HYPERLINK("https://klasma.github.io/Logging_2281/klagomål/A 20119-2026 FSC-klagomål.docx", "A 20119-2026")</f>
        <v/>
      </c>
      <c r="W1103">
        <f>HYPERLINK("https://klasma.github.io/Logging_2281/klagomålsmail/A 20119-2026 FSC-klagomål mail.docx", "A 20119-2026")</f>
        <v/>
      </c>
      <c r="X1103">
        <f>HYPERLINK("https://klasma.github.io/Logging_2281/tillsyn/A 20119-2026 tillsynsbegäran.docx", "A 20119-2026")</f>
        <v/>
      </c>
      <c r="Y1103">
        <f>HYPERLINK("https://klasma.github.io/Logging_2281/tillsynsmail/A 20119-2026 tillsynsbegäran mail.docx", "A 20119-2026")</f>
        <v/>
      </c>
      <c r="Z1103">
        <f>HYPERLINK("https://klasma.github.io/Logging_2281/fåglar/A 20119-2026 prioriterade fågelarter.docx", "A 20119-2026")</f>
        <v/>
      </c>
    </row>
    <row r="1104" ht="15" customHeight="1">
      <c r="A1104" t="inlineStr">
        <is>
          <t>A 17215-2025</t>
        </is>
      </c>
      <c r="B1104" s="1" t="n">
        <v>45756.44856481482</v>
      </c>
      <c r="C1104" s="1" t="n">
        <v>46185</v>
      </c>
      <c r="D1104" t="inlineStr">
        <is>
          <t>VÄSTERNORRLANDS LÄN</t>
        </is>
      </c>
      <c r="E1104" t="inlineStr">
        <is>
          <t>SOLLEFTEÅ</t>
        </is>
      </c>
      <c r="F1104" t="inlineStr">
        <is>
          <t>SCA</t>
        </is>
      </c>
      <c r="G1104" t="n">
        <v>5</v>
      </c>
      <c r="H1104" t="n">
        <v>0</v>
      </c>
      <c r="I1104" t="n">
        <v>0</v>
      </c>
      <c r="J1104" t="n">
        <v>1</v>
      </c>
      <c r="K1104" t="n">
        <v>0</v>
      </c>
      <c r="L1104" t="n">
        <v>0</v>
      </c>
      <c r="M1104" t="n">
        <v>0</v>
      </c>
      <c r="N1104" t="n">
        <v>0</v>
      </c>
      <c r="O1104" t="n">
        <v>1</v>
      </c>
      <c r="P1104" t="n">
        <v>0</v>
      </c>
      <c r="Q1104" t="n">
        <v>1</v>
      </c>
      <c r="R1104" s="2" t="inlineStr">
        <is>
          <t>Vitgrynig nållav</t>
        </is>
      </c>
      <c r="S1104">
        <f>HYPERLINK("https://klasma.github.io/Logging_2283/artfynd/A 17215-2025 artfynd.xlsx", "A 17215-2025")</f>
        <v/>
      </c>
      <c r="T1104">
        <f>HYPERLINK("https://klasma.github.io/Logging_2283/kartor/A 17215-2025 karta.png", "A 17215-2025")</f>
        <v/>
      </c>
      <c r="V1104">
        <f>HYPERLINK("https://klasma.github.io/Logging_2283/klagomål/A 17215-2025 FSC-klagomål.docx", "A 17215-2025")</f>
        <v/>
      </c>
      <c r="W1104">
        <f>HYPERLINK("https://klasma.github.io/Logging_2283/klagomålsmail/A 17215-2025 FSC-klagomål mail.docx", "A 17215-2025")</f>
        <v/>
      </c>
      <c r="X1104">
        <f>HYPERLINK("https://klasma.github.io/Logging_2283/tillsyn/A 17215-2025 tillsynsbegäran.docx", "A 17215-2025")</f>
        <v/>
      </c>
      <c r="Y1104">
        <f>HYPERLINK("https://klasma.github.io/Logging_2283/tillsynsmail/A 17215-2025 tillsynsbegäran mail.docx", "A 17215-2025")</f>
        <v/>
      </c>
    </row>
    <row r="1105" ht="15" customHeight="1">
      <c r="A1105" t="inlineStr">
        <is>
          <t>A 25763-2026</t>
        </is>
      </c>
      <c r="B1105" s="1" t="n">
        <v>46178.44877314815</v>
      </c>
      <c r="C1105" s="1" t="n">
        <v>46185</v>
      </c>
      <c r="D1105" t="inlineStr">
        <is>
          <t>VÄSTERNORRLANDS LÄN</t>
        </is>
      </c>
      <c r="E1105" t="inlineStr">
        <is>
          <t>KRAMFORS</t>
        </is>
      </c>
      <c r="G1105" t="n">
        <v>3.3</v>
      </c>
      <c r="H1105" t="n">
        <v>1</v>
      </c>
      <c r="I1105" t="n">
        <v>0</v>
      </c>
      <c r="J1105" t="n">
        <v>0</v>
      </c>
      <c r="K1105" t="n">
        <v>0</v>
      </c>
      <c r="L1105" t="n">
        <v>0</v>
      </c>
      <c r="M1105" t="n">
        <v>0</v>
      </c>
      <c r="N1105" t="n">
        <v>0</v>
      </c>
      <c r="O1105" t="n">
        <v>0</v>
      </c>
      <c r="P1105" t="n">
        <v>0</v>
      </c>
      <c r="Q1105" t="n">
        <v>1</v>
      </c>
      <c r="R1105" s="2" t="inlineStr">
        <is>
          <t>Fläcknycklar</t>
        </is>
      </c>
      <c r="S1105">
        <f>HYPERLINK("https://klasma.github.io/Logging_2282/artfynd/A 25763-2026 artfynd.xlsx", "A 25763-2026")</f>
        <v/>
      </c>
      <c r="T1105">
        <f>HYPERLINK("https://klasma.github.io/Logging_2282/kartor/A 25763-2026 karta.png", "A 25763-2026")</f>
        <v/>
      </c>
      <c r="V1105">
        <f>HYPERLINK("https://klasma.github.io/Logging_2282/klagomål/A 25763-2026 FSC-klagomål.docx", "A 25763-2026")</f>
        <v/>
      </c>
      <c r="W1105">
        <f>HYPERLINK("https://klasma.github.io/Logging_2282/klagomålsmail/A 25763-2026 FSC-klagomål mail.docx", "A 25763-2026")</f>
        <v/>
      </c>
      <c r="X1105">
        <f>HYPERLINK("https://klasma.github.io/Logging_2282/tillsyn/A 25763-2026 tillsynsbegäran.docx", "A 25763-2026")</f>
        <v/>
      </c>
      <c r="Y1105">
        <f>HYPERLINK("https://klasma.github.io/Logging_2282/tillsynsmail/A 25763-2026 tillsynsbegäran mail.docx", "A 25763-2026")</f>
        <v/>
      </c>
    </row>
    <row r="1106" ht="15" customHeight="1">
      <c r="A1106" t="inlineStr">
        <is>
          <t>A 19966-2026</t>
        </is>
      </c>
      <c r="B1106" s="1" t="n">
        <v>46136.42440972223</v>
      </c>
      <c r="C1106" s="1" t="n">
        <v>46185</v>
      </c>
      <c r="D1106" t="inlineStr">
        <is>
          <t>VÄSTERNORRLANDS LÄN</t>
        </is>
      </c>
      <c r="E1106" t="inlineStr">
        <is>
          <t>SUNDSVALL</t>
        </is>
      </c>
      <c r="G1106" t="n">
        <v>6.4</v>
      </c>
      <c r="H1106" t="n">
        <v>1</v>
      </c>
      <c r="I1106" t="n">
        <v>0</v>
      </c>
      <c r="J1106" t="n">
        <v>0</v>
      </c>
      <c r="K1106" t="n">
        <v>0</v>
      </c>
      <c r="L1106" t="n">
        <v>0</v>
      </c>
      <c r="M1106" t="n">
        <v>0</v>
      </c>
      <c r="N1106" t="n">
        <v>0</v>
      </c>
      <c r="O1106" t="n">
        <v>0</v>
      </c>
      <c r="P1106" t="n">
        <v>0</v>
      </c>
      <c r="Q1106" t="n">
        <v>1</v>
      </c>
      <c r="R1106" s="2" t="inlineStr">
        <is>
          <t>Fläcknycklar</t>
        </is>
      </c>
      <c r="S1106">
        <f>HYPERLINK("https://klasma.github.io/Logging_2281/artfynd/A 19966-2026 artfynd.xlsx", "A 19966-2026")</f>
        <v/>
      </c>
      <c r="T1106">
        <f>HYPERLINK("https://klasma.github.io/Logging_2281/kartor/A 19966-2026 karta.png", "A 19966-2026")</f>
        <v/>
      </c>
      <c r="V1106">
        <f>HYPERLINK("https://klasma.github.io/Logging_2281/klagomål/A 19966-2026 FSC-klagomål.docx", "A 19966-2026")</f>
        <v/>
      </c>
      <c r="W1106">
        <f>HYPERLINK("https://klasma.github.io/Logging_2281/klagomålsmail/A 19966-2026 FSC-klagomål mail.docx", "A 19966-2026")</f>
        <v/>
      </c>
      <c r="X1106">
        <f>HYPERLINK("https://klasma.github.io/Logging_2281/tillsyn/A 19966-2026 tillsynsbegäran.docx", "A 19966-2026")</f>
        <v/>
      </c>
      <c r="Y1106">
        <f>HYPERLINK("https://klasma.github.io/Logging_2281/tillsynsmail/A 19966-2026 tillsynsbegäran mail.docx", "A 19966-2026")</f>
        <v/>
      </c>
    </row>
    <row r="1107" ht="15" customHeight="1">
      <c r="A1107" t="inlineStr">
        <is>
          <t>A 55015-2023</t>
        </is>
      </c>
      <c r="B1107" s="1" t="n">
        <v>45237.32185185186</v>
      </c>
      <c r="C1107" s="1" t="n">
        <v>46185</v>
      </c>
      <c r="D1107" t="inlineStr">
        <is>
          <t>VÄSTERNORRLANDS LÄN</t>
        </is>
      </c>
      <c r="E1107" t="inlineStr">
        <is>
          <t>ÅNGE</t>
        </is>
      </c>
      <c r="F1107" t="inlineStr">
        <is>
          <t>Sveaskog</t>
        </is>
      </c>
      <c r="G1107" t="n">
        <v>2.7</v>
      </c>
      <c r="H1107" t="n">
        <v>0</v>
      </c>
      <c r="I1107" t="n">
        <v>0</v>
      </c>
      <c r="J1107" t="n">
        <v>1</v>
      </c>
      <c r="K1107" t="n">
        <v>0</v>
      </c>
      <c r="L1107" t="n">
        <v>0</v>
      </c>
      <c r="M1107" t="n">
        <v>0</v>
      </c>
      <c r="N1107" t="n">
        <v>0</v>
      </c>
      <c r="O1107" t="n">
        <v>1</v>
      </c>
      <c r="P1107" t="n">
        <v>0</v>
      </c>
      <c r="Q1107" t="n">
        <v>1</v>
      </c>
      <c r="R1107" s="2" t="inlineStr">
        <is>
          <t>Lunglav</t>
        </is>
      </c>
      <c r="S1107">
        <f>HYPERLINK("https://klasma.github.io/Logging_2260/artfynd/A 55015-2023 artfynd.xlsx", "A 55015-2023")</f>
        <v/>
      </c>
      <c r="T1107">
        <f>HYPERLINK("https://klasma.github.io/Logging_2260/kartor/A 55015-2023 karta.png", "A 55015-2023")</f>
        <v/>
      </c>
      <c r="V1107">
        <f>HYPERLINK("https://klasma.github.io/Logging_2260/klagomål/A 55015-2023 FSC-klagomål.docx", "A 55015-2023")</f>
        <v/>
      </c>
      <c r="W1107">
        <f>HYPERLINK("https://klasma.github.io/Logging_2260/klagomålsmail/A 55015-2023 FSC-klagomål mail.docx", "A 55015-2023")</f>
        <v/>
      </c>
      <c r="X1107">
        <f>HYPERLINK("https://klasma.github.io/Logging_2260/tillsyn/A 55015-2023 tillsynsbegäran.docx", "A 55015-2023")</f>
        <v/>
      </c>
      <c r="Y1107">
        <f>HYPERLINK("https://klasma.github.io/Logging_2260/tillsynsmail/A 55015-2023 tillsynsbegäran mail.docx", "A 55015-2023")</f>
        <v/>
      </c>
    </row>
    <row r="1108" ht="15" customHeight="1">
      <c r="A1108" t="inlineStr">
        <is>
          <t>A 58802-2023</t>
        </is>
      </c>
      <c r="B1108" s="1" t="n">
        <v>45247</v>
      </c>
      <c r="C1108" s="1" t="n">
        <v>46185</v>
      </c>
      <c r="D1108" t="inlineStr">
        <is>
          <t>VÄSTERNORRLANDS LÄN</t>
        </is>
      </c>
      <c r="E1108" t="inlineStr">
        <is>
          <t>ÖRNSKÖLDSVIK</t>
        </is>
      </c>
      <c r="F1108" t="inlineStr">
        <is>
          <t>Kommuner</t>
        </is>
      </c>
      <c r="G1108" t="n">
        <v>3.4</v>
      </c>
      <c r="H1108" t="n">
        <v>1</v>
      </c>
      <c r="I1108" t="n">
        <v>0</v>
      </c>
      <c r="J1108" t="n">
        <v>1</v>
      </c>
      <c r="K1108" t="n">
        <v>0</v>
      </c>
      <c r="L1108" t="n">
        <v>0</v>
      </c>
      <c r="M1108" t="n">
        <v>0</v>
      </c>
      <c r="N1108" t="n">
        <v>0</v>
      </c>
      <c r="O1108" t="n">
        <v>1</v>
      </c>
      <c r="P1108" t="n">
        <v>0</v>
      </c>
      <c r="Q1108" t="n">
        <v>1</v>
      </c>
      <c r="R1108" s="2" t="inlineStr">
        <is>
          <t>Svartvit flugsnappare</t>
        </is>
      </c>
      <c r="S1108">
        <f>HYPERLINK("https://klasma.github.io/Logging_2284/artfynd/A 58802-2023 artfynd.xlsx", "A 58802-2023")</f>
        <v/>
      </c>
      <c r="T1108">
        <f>HYPERLINK("https://klasma.github.io/Logging_2284/kartor/A 58802-2023 karta.png", "A 58802-2023")</f>
        <v/>
      </c>
      <c r="V1108">
        <f>HYPERLINK("https://klasma.github.io/Logging_2284/klagomål/A 58802-2023 FSC-klagomål.docx", "A 58802-2023")</f>
        <v/>
      </c>
      <c r="W1108">
        <f>HYPERLINK("https://klasma.github.io/Logging_2284/klagomålsmail/A 58802-2023 FSC-klagomål mail.docx", "A 58802-2023")</f>
        <v/>
      </c>
      <c r="X1108">
        <f>HYPERLINK("https://klasma.github.io/Logging_2284/tillsyn/A 58802-2023 tillsynsbegäran.docx", "A 58802-2023")</f>
        <v/>
      </c>
      <c r="Y1108">
        <f>HYPERLINK("https://klasma.github.io/Logging_2284/tillsynsmail/A 58802-2023 tillsynsbegäran mail.docx", "A 58802-2023")</f>
        <v/>
      </c>
      <c r="Z1108">
        <f>HYPERLINK("https://klasma.github.io/Logging_2284/fåglar/A 58802-2023 prioriterade fågelarter.docx", "A 58802-2023")</f>
        <v/>
      </c>
    </row>
    <row r="1109" ht="15" customHeight="1">
      <c r="A1109" t="inlineStr">
        <is>
          <t>A 18792-2025</t>
        </is>
      </c>
      <c r="B1109" s="1" t="n">
        <v>45764.34509259259</v>
      </c>
      <c r="C1109" s="1" t="n">
        <v>46185</v>
      </c>
      <c r="D1109" t="inlineStr">
        <is>
          <t>VÄSTERNORRLANDS LÄN</t>
        </is>
      </c>
      <c r="E1109" t="inlineStr">
        <is>
          <t>KRAMFORS</t>
        </is>
      </c>
      <c r="F1109" t="inlineStr">
        <is>
          <t>SCA</t>
        </is>
      </c>
      <c r="G1109" t="n">
        <v>5.1</v>
      </c>
      <c r="H1109" t="n">
        <v>0</v>
      </c>
      <c r="I1109" t="n">
        <v>0</v>
      </c>
      <c r="J1109" t="n">
        <v>1</v>
      </c>
      <c r="K1109" t="n">
        <v>0</v>
      </c>
      <c r="L1109" t="n">
        <v>0</v>
      </c>
      <c r="M1109" t="n">
        <v>0</v>
      </c>
      <c r="N1109" t="n">
        <v>0</v>
      </c>
      <c r="O1109" t="n">
        <v>1</v>
      </c>
      <c r="P1109" t="n">
        <v>0</v>
      </c>
      <c r="Q1109" t="n">
        <v>1</v>
      </c>
      <c r="R1109" s="2" t="inlineStr">
        <is>
          <t>Gammelgransskål</t>
        </is>
      </c>
      <c r="S1109">
        <f>HYPERLINK("https://klasma.github.io/Logging_2282/artfynd/A 18792-2025 artfynd.xlsx", "A 18792-2025")</f>
        <v/>
      </c>
      <c r="T1109">
        <f>HYPERLINK("https://klasma.github.io/Logging_2282/kartor/A 18792-2025 karta.png", "A 18792-2025")</f>
        <v/>
      </c>
      <c r="V1109">
        <f>HYPERLINK("https://klasma.github.io/Logging_2282/klagomål/A 18792-2025 FSC-klagomål.docx", "A 18792-2025")</f>
        <v/>
      </c>
      <c r="W1109">
        <f>HYPERLINK("https://klasma.github.io/Logging_2282/klagomålsmail/A 18792-2025 FSC-klagomål mail.docx", "A 18792-2025")</f>
        <v/>
      </c>
      <c r="X1109">
        <f>HYPERLINK("https://klasma.github.io/Logging_2282/tillsyn/A 18792-2025 tillsynsbegäran.docx", "A 18792-2025")</f>
        <v/>
      </c>
      <c r="Y1109">
        <f>HYPERLINK("https://klasma.github.io/Logging_2282/tillsynsmail/A 18792-2025 tillsynsbegäran mail.docx", "A 18792-2025")</f>
        <v/>
      </c>
    </row>
    <row r="1110" ht="15" customHeight="1">
      <c r="A1110" t="inlineStr">
        <is>
          <t>A 20115-2026</t>
        </is>
      </c>
      <c r="B1110" s="1" t="n">
        <v>46136.65674768519</v>
      </c>
      <c r="C1110" s="1" t="n">
        <v>46185</v>
      </c>
      <c r="D1110" t="inlineStr">
        <is>
          <t>VÄSTERNORRLANDS LÄN</t>
        </is>
      </c>
      <c r="E1110" t="inlineStr">
        <is>
          <t>SUNDSVALL</t>
        </is>
      </c>
      <c r="F1110" t="inlineStr">
        <is>
          <t>SCA</t>
        </is>
      </c>
      <c r="G1110" t="n">
        <v>1.8</v>
      </c>
      <c r="H1110" t="n">
        <v>1</v>
      </c>
      <c r="I1110" t="n">
        <v>0</v>
      </c>
      <c r="J1110" t="n">
        <v>0</v>
      </c>
      <c r="K1110" t="n">
        <v>0</v>
      </c>
      <c r="L1110" t="n">
        <v>0</v>
      </c>
      <c r="M1110" t="n">
        <v>0</v>
      </c>
      <c r="N1110" t="n">
        <v>0</v>
      </c>
      <c r="O1110" t="n">
        <v>0</v>
      </c>
      <c r="P1110" t="n">
        <v>0</v>
      </c>
      <c r="Q1110" t="n">
        <v>1</v>
      </c>
      <c r="R1110" s="2" t="inlineStr">
        <is>
          <t>Tjäder</t>
        </is>
      </c>
      <c r="S1110">
        <f>HYPERLINK("https://klasma.github.io/Logging_2281/artfynd/A 20115-2026 artfynd.xlsx", "A 20115-2026")</f>
        <v/>
      </c>
      <c r="T1110">
        <f>HYPERLINK("https://klasma.github.io/Logging_2281/kartor/A 20115-2026 karta.png", "A 20115-2026")</f>
        <v/>
      </c>
      <c r="V1110">
        <f>HYPERLINK("https://klasma.github.io/Logging_2281/klagomål/A 20115-2026 FSC-klagomål.docx", "A 20115-2026")</f>
        <v/>
      </c>
      <c r="W1110">
        <f>HYPERLINK("https://klasma.github.io/Logging_2281/klagomålsmail/A 20115-2026 FSC-klagomål mail.docx", "A 20115-2026")</f>
        <v/>
      </c>
      <c r="X1110">
        <f>HYPERLINK("https://klasma.github.io/Logging_2281/tillsyn/A 20115-2026 tillsynsbegäran.docx", "A 20115-2026")</f>
        <v/>
      </c>
      <c r="Y1110">
        <f>HYPERLINK("https://klasma.github.io/Logging_2281/tillsynsmail/A 20115-2026 tillsynsbegäran mail.docx", "A 20115-2026")</f>
        <v/>
      </c>
      <c r="Z1110">
        <f>HYPERLINK("https://klasma.github.io/Logging_2281/fåglar/A 20115-2026 prioriterade fågelarter.docx", "A 20115-2026")</f>
        <v/>
      </c>
    </row>
    <row r="1111" ht="15" customHeight="1">
      <c r="A1111" t="inlineStr">
        <is>
          <t>A 64483-2023</t>
        </is>
      </c>
      <c r="B1111" s="1" t="n">
        <v>45280</v>
      </c>
      <c r="C1111" s="1" t="n">
        <v>46185</v>
      </c>
      <c r="D1111" t="inlineStr">
        <is>
          <t>VÄSTERNORRLANDS LÄN</t>
        </is>
      </c>
      <c r="E1111" t="inlineStr">
        <is>
          <t>SUNDSVALL</t>
        </is>
      </c>
      <c r="G1111" t="n">
        <v>1.5</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HYPERLINK("https://klasma.github.io/Logging_2281/artfynd/A 64483-2023 artfynd.xlsx", "A 64483-2023")</f>
        <v/>
      </c>
      <c r="T1111">
        <f>HYPERLINK("https://klasma.github.io/Logging_2281/kartor/A 64483-2023 karta.png", "A 64483-2023")</f>
        <v/>
      </c>
      <c r="V1111">
        <f>HYPERLINK("https://klasma.github.io/Logging_2281/klagomål/A 64483-2023 FSC-klagomål.docx", "A 64483-2023")</f>
        <v/>
      </c>
      <c r="W1111">
        <f>HYPERLINK("https://klasma.github.io/Logging_2281/klagomålsmail/A 64483-2023 FSC-klagomål mail.docx", "A 64483-2023")</f>
        <v/>
      </c>
      <c r="X1111">
        <f>HYPERLINK("https://klasma.github.io/Logging_2281/tillsyn/A 64483-2023 tillsynsbegäran.docx", "A 64483-2023")</f>
        <v/>
      </c>
      <c r="Y1111">
        <f>HYPERLINK("https://klasma.github.io/Logging_2281/tillsynsmail/A 64483-2023 tillsynsbegäran mail.docx", "A 64483-2023")</f>
        <v/>
      </c>
      <c r="Z1111">
        <f>HYPERLINK("https://klasma.github.io/Logging_2281/fåglar/A 64483-2023 prioriterade fågelarter.docx", "A 64483-2023")</f>
        <v/>
      </c>
    </row>
    <row r="1112" ht="15" customHeight="1">
      <c r="A1112" t="inlineStr">
        <is>
          <t>A 22810-2025</t>
        </is>
      </c>
      <c r="B1112" s="1" t="n">
        <v>45789.68076388889</v>
      </c>
      <c r="C1112" s="1" t="n">
        <v>46185</v>
      </c>
      <c r="D1112" t="inlineStr">
        <is>
          <t>VÄSTERNORRLANDS LÄN</t>
        </is>
      </c>
      <c r="E1112" t="inlineStr">
        <is>
          <t>SOLLEFTEÅ</t>
        </is>
      </c>
      <c r="G1112" t="n">
        <v>1.8</v>
      </c>
      <c r="H1112" t="n">
        <v>0</v>
      </c>
      <c r="I1112" t="n">
        <v>0</v>
      </c>
      <c r="J1112" t="n">
        <v>1</v>
      </c>
      <c r="K1112" t="n">
        <v>0</v>
      </c>
      <c r="L1112" t="n">
        <v>0</v>
      </c>
      <c r="M1112" t="n">
        <v>0</v>
      </c>
      <c r="N1112" t="n">
        <v>0</v>
      </c>
      <c r="O1112" t="n">
        <v>1</v>
      </c>
      <c r="P1112" t="n">
        <v>0</v>
      </c>
      <c r="Q1112" t="n">
        <v>1</v>
      </c>
      <c r="R1112" s="2" t="inlineStr">
        <is>
          <t>Ullticka</t>
        </is>
      </c>
      <c r="S1112">
        <f>HYPERLINK("https://klasma.github.io/Logging_2283/artfynd/A 22810-2025 artfynd.xlsx", "A 22810-2025")</f>
        <v/>
      </c>
      <c r="T1112">
        <f>HYPERLINK("https://klasma.github.io/Logging_2283/kartor/A 22810-2025 karta.png", "A 22810-2025")</f>
        <v/>
      </c>
      <c r="V1112">
        <f>HYPERLINK("https://klasma.github.io/Logging_2283/klagomål/A 22810-2025 FSC-klagomål.docx", "A 22810-2025")</f>
        <v/>
      </c>
      <c r="W1112">
        <f>HYPERLINK("https://klasma.github.io/Logging_2283/klagomålsmail/A 22810-2025 FSC-klagomål mail.docx", "A 22810-2025")</f>
        <v/>
      </c>
      <c r="X1112">
        <f>HYPERLINK("https://klasma.github.io/Logging_2283/tillsyn/A 22810-2025 tillsynsbegäran.docx", "A 22810-2025")</f>
        <v/>
      </c>
      <c r="Y1112">
        <f>HYPERLINK("https://klasma.github.io/Logging_2283/tillsynsmail/A 22810-2025 tillsynsbegäran mail.docx", "A 22810-2025")</f>
        <v/>
      </c>
    </row>
    <row r="1113" ht="15" customHeight="1">
      <c r="A1113" t="inlineStr">
        <is>
          <t>A 7704-2026</t>
        </is>
      </c>
      <c r="B1113" s="1" t="n">
        <v>46062</v>
      </c>
      <c r="C1113" s="1" t="n">
        <v>46185</v>
      </c>
      <c r="D1113" t="inlineStr">
        <is>
          <t>VÄSTERNORRLANDS LÄN</t>
        </is>
      </c>
      <c r="E1113" t="inlineStr">
        <is>
          <t>SUNDSVALL</t>
        </is>
      </c>
      <c r="G1113" t="n">
        <v>0.7</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HYPERLINK("https://klasma.github.io/Logging_2281/artfynd/A 7704-2026 artfynd.xlsx", "A 7704-2026")</f>
        <v/>
      </c>
      <c r="T1113">
        <f>HYPERLINK("https://klasma.github.io/Logging_2281/kartor/A 7704-2026 karta.png", "A 7704-2026")</f>
        <v/>
      </c>
      <c r="V1113">
        <f>HYPERLINK("https://klasma.github.io/Logging_2281/klagomål/A 7704-2026 FSC-klagomål.docx", "A 7704-2026")</f>
        <v/>
      </c>
      <c r="W1113">
        <f>HYPERLINK("https://klasma.github.io/Logging_2281/klagomålsmail/A 7704-2026 FSC-klagomål mail.docx", "A 7704-2026")</f>
        <v/>
      </c>
      <c r="X1113">
        <f>HYPERLINK("https://klasma.github.io/Logging_2281/tillsyn/A 7704-2026 tillsynsbegäran.docx", "A 7704-2026")</f>
        <v/>
      </c>
      <c r="Y1113">
        <f>HYPERLINK("https://klasma.github.io/Logging_2281/tillsynsmail/A 7704-2026 tillsynsbegäran mail.docx", "A 7704-2026")</f>
        <v/>
      </c>
      <c r="Z1113">
        <f>HYPERLINK("https://klasma.github.io/Logging_2281/fåglar/A 7704-2026 prioriterade fågelarter.docx", "A 7704-2026")</f>
        <v/>
      </c>
    </row>
    <row r="1114" ht="15" customHeight="1">
      <c r="A1114" t="inlineStr">
        <is>
          <t>A 1924-2026</t>
        </is>
      </c>
      <c r="B1114" s="1" t="n">
        <v>46035</v>
      </c>
      <c r="C1114" s="1" t="n">
        <v>46185</v>
      </c>
      <c r="D1114" t="inlineStr">
        <is>
          <t>VÄSTERNORRLANDS LÄN</t>
        </is>
      </c>
      <c r="E1114" t="inlineStr">
        <is>
          <t>SUNDSVALL</t>
        </is>
      </c>
      <c r="G1114" t="n">
        <v>7</v>
      </c>
      <c r="H1114" t="n">
        <v>1</v>
      </c>
      <c r="I1114" t="n">
        <v>0</v>
      </c>
      <c r="J1114" t="n">
        <v>1</v>
      </c>
      <c r="K1114" t="n">
        <v>0</v>
      </c>
      <c r="L1114" t="n">
        <v>0</v>
      </c>
      <c r="M1114" t="n">
        <v>0</v>
      </c>
      <c r="N1114" t="n">
        <v>0</v>
      </c>
      <c r="O1114" t="n">
        <v>1</v>
      </c>
      <c r="P1114" t="n">
        <v>0</v>
      </c>
      <c r="Q1114" t="n">
        <v>1</v>
      </c>
      <c r="R1114" s="2" t="inlineStr">
        <is>
          <t>Spillkråka</t>
        </is>
      </c>
      <c r="S1114">
        <f>HYPERLINK("https://klasma.github.io/Logging_2281/artfynd/A 1924-2026 artfynd.xlsx", "A 1924-2026")</f>
        <v/>
      </c>
      <c r="T1114">
        <f>HYPERLINK("https://klasma.github.io/Logging_2281/kartor/A 1924-2026 karta.png", "A 1924-2026")</f>
        <v/>
      </c>
      <c r="V1114">
        <f>HYPERLINK("https://klasma.github.io/Logging_2281/klagomål/A 1924-2026 FSC-klagomål.docx", "A 1924-2026")</f>
        <v/>
      </c>
      <c r="W1114">
        <f>HYPERLINK("https://klasma.github.io/Logging_2281/klagomålsmail/A 1924-2026 FSC-klagomål mail.docx", "A 1924-2026")</f>
        <v/>
      </c>
      <c r="X1114">
        <f>HYPERLINK("https://klasma.github.io/Logging_2281/tillsyn/A 1924-2026 tillsynsbegäran.docx", "A 1924-2026")</f>
        <v/>
      </c>
      <c r="Y1114">
        <f>HYPERLINK("https://klasma.github.io/Logging_2281/tillsynsmail/A 1924-2026 tillsynsbegäran mail.docx", "A 1924-2026")</f>
        <v/>
      </c>
      <c r="Z1114">
        <f>HYPERLINK("https://klasma.github.io/Logging_2281/fåglar/A 1924-2026 prioriterade fågelarter.docx", "A 1924-2026")</f>
        <v/>
      </c>
    </row>
    <row r="1115" ht="15" customHeight="1">
      <c r="A1115" t="inlineStr">
        <is>
          <t>A 27320-2024</t>
        </is>
      </c>
      <c r="B1115" s="1" t="n">
        <v>45471</v>
      </c>
      <c r="C1115" s="1" t="n">
        <v>46185</v>
      </c>
      <c r="D1115" t="inlineStr">
        <is>
          <t>VÄSTERNORRLANDS LÄN</t>
        </is>
      </c>
      <c r="E1115" t="inlineStr">
        <is>
          <t>SUNDSVALL</t>
        </is>
      </c>
      <c r="F1115" t="inlineStr">
        <is>
          <t>SCA</t>
        </is>
      </c>
      <c r="G1115" t="n">
        <v>4</v>
      </c>
      <c r="H1115" t="n">
        <v>0</v>
      </c>
      <c r="I1115" t="n">
        <v>0</v>
      </c>
      <c r="J1115" t="n">
        <v>1</v>
      </c>
      <c r="K1115" t="n">
        <v>0</v>
      </c>
      <c r="L1115" t="n">
        <v>0</v>
      </c>
      <c r="M1115" t="n">
        <v>0</v>
      </c>
      <c r="N1115" t="n">
        <v>0</v>
      </c>
      <c r="O1115" t="n">
        <v>1</v>
      </c>
      <c r="P1115" t="n">
        <v>0</v>
      </c>
      <c r="Q1115" t="n">
        <v>1</v>
      </c>
      <c r="R1115" s="2" t="inlineStr">
        <is>
          <t>Småflikig brosklav</t>
        </is>
      </c>
      <c r="S1115">
        <f>HYPERLINK("https://klasma.github.io/Logging_2281/artfynd/A 27320-2024 artfynd.xlsx", "A 27320-2024")</f>
        <v/>
      </c>
      <c r="T1115">
        <f>HYPERLINK("https://klasma.github.io/Logging_2281/kartor/A 27320-2024 karta.png", "A 27320-2024")</f>
        <v/>
      </c>
      <c r="V1115">
        <f>HYPERLINK("https://klasma.github.io/Logging_2281/klagomål/A 27320-2024 FSC-klagomål.docx", "A 27320-2024")</f>
        <v/>
      </c>
      <c r="W1115">
        <f>HYPERLINK("https://klasma.github.io/Logging_2281/klagomålsmail/A 27320-2024 FSC-klagomål mail.docx", "A 27320-2024")</f>
        <v/>
      </c>
      <c r="X1115">
        <f>HYPERLINK("https://klasma.github.io/Logging_2281/tillsyn/A 27320-2024 tillsynsbegäran.docx", "A 27320-2024")</f>
        <v/>
      </c>
      <c r="Y1115">
        <f>HYPERLINK("https://klasma.github.io/Logging_2281/tillsynsmail/A 27320-2024 tillsynsbegäran mail.docx", "A 27320-2024")</f>
        <v/>
      </c>
    </row>
    <row r="1116" ht="15" customHeight="1">
      <c r="A1116" t="inlineStr">
        <is>
          <t>A 19202-2025</t>
        </is>
      </c>
      <c r="B1116" s="1" t="n">
        <v>45769.42828703704</v>
      </c>
      <c r="C1116" s="1" t="n">
        <v>46185</v>
      </c>
      <c r="D1116" t="inlineStr">
        <is>
          <t>VÄSTERNORRLANDS LÄN</t>
        </is>
      </c>
      <c r="E1116" t="inlineStr">
        <is>
          <t>HÄRNÖSAND</t>
        </is>
      </c>
      <c r="F1116" t="inlineStr">
        <is>
          <t>SCA</t>
        </is>
      </c>
      <c r="G1116" t="n">
        <v>6.1</v>
      </c>
      <c r="H1116" t="n">
        <v>1</v>
      </c>
      <c r="I1116" t="n">
        <v>0</v>
      </c>
      <c r="J1116" t="n">
        <v>1</v>
      </c>
      <c r="K1116" t="n">
        <v>0</v>
      </c>
      <c r="L1116" t="n">
        <v>0</v>
      </c>
      <c r="M1116" t="n">
        <v>0</v>
      </c>
      <c r="N1116" t="n">
        <v>0</v>
      </c>
      <c r="O1116" t="n">
        <v>1</v>
      </c>
      <c r="P1116" t="n">
        <v>0</v>
      </c>
      <c r="Q1116" t="n">
        <v>1</v>
      </c>
      <c r="R1116" s="2" t="inlineStr">
        <is>
          <t>Järpe</t>
        </is>
      </c>
      <c r="S1116">
        <f>HYPERLINK("https://klasma.github.io/Logging_2280/artfynd/A 19202-2025 artfynd.xlsx", "A 19202-2025")</f>
        <v/>
      </c>
      <c r="T1116">
        <f>HYPERLINK("https://klasma.github.io/Logging_2280/kartor/A 19202-2025 karta.png", "A 19202-2025")</f>
        <v/>
      </c>
      <c r="V1116">
        <f>HYPERLINK("https://klasma.github.io/Logging_2280/klagomål/A 19202-2025 FSC-klagomål.docx", "A 19202-2025")</f>
        <v/>
      </c>
      <c r="W1116">
        <f>HYPERLINK("https://klasma.github.io/Logging_2280/klagomålsmail/A 19202-2025 FSC-klagomål mail.docx", "A 19202-2025")</f>
        <v/>
      </c>
      <c r="X1116">
        <f>HYPERLINK("https://klasma.github.io/Logging_2280/tillsyn/A 19202-2025 tillsynsbegäran.docx", "A 19202-2025")</f>
        <v/>
      </c>
      <c r="Y1116">
        <f>HYPERLINK("https://klasma.github.io/Logging_2280/tillsynsmail/A 19202-2025 tillsynsbegäran mail.docx", "A 19202-2025")</f>
        <v/>
      </c>
      <c r="Z1116">
        <f>HYPERLINK("https://klasma.github.io/Logging_2280/fåglar/A 19202-2025 prioriterade fågelarter.docx", "A 19202-2025")</f>
        <v/>
      </c>
    </row>
    <row r="1117" ht="15" customHeight="1">
      <c r="A1117" t="inlineStr">
        <is>
          <t>A 7853-2024</t>
        </is>
      </c>
      <c r="B1117" s="1" t="n">
        <v>45350</v>
      </c>
      <c r="C1117" s="1" t="n">
        <v>46185</v>
      </c>
      <c r="D1117" t="inlineStr">
        <is>
          <t>VÄSTERNORRLANDS LÄN</t>
        </is>
      </c>
      <c r="E1117" t="inlineStr">
        <is>
          <t>HÄRNÖSAND</t>
        </is>
      </c>
      <c r="F1117" t="inlineStr">
        <is>
          <t>SCA</t>
        </is>
      </c>
      <c r="G1117" t="n">
        <v>4.1</v>
      </c>
      <c r="H1117" t="n">
        <v>0</v>
      </c>
      <c r="I1117" t="n">
        <v>0</v>
      </c>
      <c r="J1117" t="n">
        <v>1</v>
      </c>
      <c r="K1117" t="n">
        <v>0</v>
      </c>
      <c r="L1117" t="n">
        <v>0</v>
      </c>
      <c r="M1117" t="n">
        <v>0</v>
      </c>
      <c r="N1117" t="n">
        <v>0</v>
      </c>
      <c r="O1117" t="n">
        <v>1</v>
      </c>
      <c r="P1117" t="n">
        <v>0</v>
      </c>
      <c r="Q1117" t="n">
        <v>1</v>
      </c>
      <c r="R1117" s="2" t="inlineStr">
        <is>
          <t>Igelkott</t>
        </is>
      </c>
      <c r="S1117">
        <f>HYPERLINK("https://klasma.github.io/Logging_2280/artfynd/A 7853-2024 artfynd.xlsx", "A 7853-2024")</f>
        <v/>
      </c>
      <c r="T1117">
        <f>HYPERLINK("https://klasma.github.io/Logging_2280/kartor/A 7853-2024 karta.png", "A 7853-2024")</f>
        <v/>
      </c>
      <c r="V1117">
        <f>HYPERLINK("https://klasma.github.io/Logging_2280/klagomål/A 7853-2024 FSC-klagomål.docx", "A 7853-2024")</f>
        <v/>
      </c>
      <c r="W1117">
        <f>HYPERLINK("https://klasma.github.io/Logging_2280/klagomålsmail/A 7853-2024 FSC-klagomål mail.docx", "A 7853-2024")</f>
        <v/>
      </c>
      <c r="X1117">
        <f>HYPERLINK("https://klasma.github.io/Logging_2280/tillsyn/A 7853-2024 tillsynsbegäran.docx", "A 7853-2024")</f>
        <v/>
      </c>
      <c r="Y1117">
        <f>HYPERLINK("https://klasma.github.io/Logging_2280/tillsynsmail/A 7853-2024 tillsynsbegäran mail.docx", "A 7853-2024")</f>
        <v/>
      </c>
    </row>
    <row r="1118" ht="15" customHeight="1">
      <c r="A1118" t="inlineStr">
        <is>
          <t>A 19826-2025</t>
        </is>
      </c>
      <c r="B1118" s="1" t="n">
        <v>45771.4690625</v>
      </c>
      <c r="C1118" s="1" t="n">
        <v>46185</v>
      </c>
      <c r="D1118" t="inlineStr">
        <is>
          <t>VÄSTERNORRLANDS LÄN</t>
        </is>
      </c>
      <c r="E1118" t="inlineStr">
        <is>
          <t>SUNDSVALL</t>
        </is>
      </c>
      <c r="F1118" t="inlineStr">
        <is>
          <t>Naturvårdsverket</t>
        </is>
      </c>
      <c r="G1118" t="n">
        <v>1.5</v>
      </c>
      <c r="H1118" t="n">
        <v>0</v>
      </c>
      <c r="I1118" t="n">
        <v>0</v>
      </c>
      <c r="J1118" t="n">
        <v>1</v>
      </c>
      <c r="K1118" t="n">
        <v>0</v>
      </c>
      <c r="L1118" t="n">
        <v>0</v>
      </c>
      <c r="M1118" t="n">
        <v>0</v>
      </c>
      <c r="N1118" t="n">
        <v>0</v>
      </c>
      <c r="O1118" t="n">
        <v>1</v>
      </c>
      <c r="P1118" t="n">
        <v>0</v>
      </c>
      <c r="Q1118" t="n">
        <v>1</v>
      </c>
      <c r="R1118" s="2" t="inlineStr">
        <is>
          <t>Lunglav</t>
        </is>
      </c>
      <c r="S1118">
        <f>HYPERLINK("https://klasma.github.io/Logging_2281/artfynd/A 19826-2025 artfynd.xlsx", "A 19826-2025")</f>
        <v/>
      </c>
      <c r="T1118">
        <f>HYPERLINK("https://klasma.github.io/Logging_2281/kartor/A 19826-2025 karta.png", "A 19826-2025")</f>
        <v/>
      </c>
      <c r="V1118">
        <f>HYPERLINK("https://klasma.github.io/Logging_2281/klagomål/A 19826-2025 FSC-klagomål.docx", "A 19826-2025")</f>
        <v/>
      </c>
      <c r="W1118">
        <f>HYPERLINK("https://klasma.github.io/Logging_2281/klagomålsmail/A 19826-2025 FSC-klagomål mail.docx", "A 19826-2025")</f>
        <v/>
      </c>
      <c r="X1118">
        <f>HYPERLINK("https://klasma.github.io/Logging_2281/tillsyn/A 19826-2025 tillsynsbegäran.docx", "A 19826-2025")</f>
        <v/>
      </c>
      <c r="Y1118">
        <f>HYPERLINK("https://klasma.github.io/Logging_2281/tillsynsmail/A 19826-2025 tillsynsbegäran mail.docx", "A 19826-2025")</f>
        <v/>
      </c>
    </row>
    <row r="1119" ht="15" customHeight="1">
      <c r="A1119" t="inlineStr">
        <is>
          <t>A 11546-2024</t>
        </is>
      </c>
      <c r="B1119" s="1" t="n">
        <v>45372</v>
      </c>
      <c r="C1119" s="1" t="n">
        <v>46185</v>
      </c>
      <c r="D1119" t="inlineStr">
        <is>
          <t>VÄSTERNORRLANDS LÄN</t>
        </is>
      </c>
      <c r="E1119" t="inlineStr">
        <is>
          <t>HÄRNÖSAND</t>
        </is>
      </c>
      <c r="F1119" t="inlineStr">
        <is>
          <t>SCA</t>
        </is>
      </c>
      <c r="G1119" t="n">
        <v>3.1</v>
      </c>
      <c r="H1119" t="n">
        <v>0</v>
      </c>
      <c r="I1119" t="n">
        <v>0</v>
      </c>
      <c r="J1119" t="n">
        <v>1</v>
      </c>
      <c r="K1119" t="n">
        <v>0</v>
      </c>
      <c r="L1119" t="n">
        <v>0</v>
      </c>
      <c r="M1119" t="n">
        <v>0</v>
      </c>
      <c r="N1119" t="n">
        <v>0</v>
      </c>
      <c r="O1119" t="n">
        <v>1</v>
      </c>
      <c r="P1119" t="n">
        <v>0</v>
      </c>
      <c r="Q1119" t="n">
        <v>1</v>
      </c>
      <c r="R1119" s="2" t="inlineStr">
        <is>
          <t>Garnlav</t>
        </is>
      </c>
      <c r="S1119">
        <f>HYPERLINK("https://klasma.github.io/Logging_2280/artfynd/A 11546-2024 artfynd.xlsx", "A 11546-2024")</f>
        <v/>
      </c>
      <c r="T1119">
        <f>HYPERLINK("https://klasma.github.io/Logging_2280/kartor/A 11546-2024 karta.png", "A 11546-2024")</f>
        <v/>
      </c>
      <c r="V1119">
        <f>HYPERLINK("https://klasma.github.io/Logging_2280/klagomål/A 11546-2024 FSC-klagomål.docx", "A 11546-2024")</f>
        <v/>
      </c>
      <c r="W1119">
        <f>HYPERLINK("https://klasma.github.io/Logging_2280/klagomålsmail/A 11546-2024 FSC-klagomål mail.docx", "A 11546-2024")</f>
        <v/>
      </c>
      <c r="X1119">
        <f>HYPERLINK("https://klasma.github.io/Logging_2280/tillsyn/A 11546-2024 tillsynsbegäran.docx", "A 11546-2024")</f>
        <v/>
      </c>
      <c r="Y1119">
        <f>HYPERLINK("https://klasma.github.io/Logging_2280/tillsynsmail/A 11546-2024 tillsynsbegäran mail.docx", "A 11546-2024")</f>
        <v/>
      </c>
    </row>
    <row r="1120" ht="15" customHeight="1">
      <c r="A1120" t="inlineStr">
        <is>
          <t>A 21708-2022</t>
        </is>
      </c>
      <c r="B1120" s="1" t="n">
        <v>44707</v>
      </c>
      <c r="C1120" s="1" t="n">
        <v>46185</v>
      </c>
      <c r="D1120" t="inlineStr">
        <is>
          <t>VÄSTERNORRLANDS LÄN</t>
        </is>
      </c>
      <c r="E1120" t="inlineStr">
        <is>
          <t>SOLLEFTEÅ</t>
        </is>
      </c>
      <c r="F1120" t="inlineStr">
        <is>
          <t>SCA</t>
        </is>
      </c>
      <c r="G1120" t="n">
        <v>2.6</v>
      </c>
      <c r="H1120" t="n">
        <v>0</v>
      </c>
      <c r="I1120" t="n">
        <v>0</v>
      </c>
      <c r="J1120" t="n">
        <v>1</v>
      </c>
      <c r="K1120" t="n">
        <v>0</v>
      </c>
      <c r="L1120" t="n">
        <v>0</v>
      </c>
      <c r="M1120" t="n">
        <v>0</v>
      </c>
      <c r="N1120" t="n">
        <v>0</v>
      </c>
      <c r="O1120" t="n">
        <v>1</v>
      </c>
      <c r="P1120" t="n">
        <v>0</v>
      </c>
      <c r="Q1120" t="n">
        <v>1</v>
      </c>
      <c r="R1120" s="2" t="inlineStr">
        <is>
          <t>Lunglav</t>
        </is>
      </c>
      <c r="S1120">
        <f>HYPERLINK("https://klasma.github.io/Logging_2283/artfynd/A 21708-2022 artfynd.xlsx", "A 21708-2022")</f>
        <v/>
      </c>
      <c r="T1120">
        <f>HYPERLINK("https://klasma.github.io/Logging_2283/kartor/A 21708-2022 karta.png", "A 21708-2022")</f>
        <v/>
      </c>
      <c r="V1120">
        <f>HYPERLINK("https://klasma.github.io/Logging_2283/klagomål/A 21708-2022 FSC-klagomål.docx", "A 21708-2022")</f>
        <v/>
      </c>
      <c r="W1120">
        <f>HYPERLINK("https://klasma.github.io/Logging_2283/klagomålsmail/A 21708-2022 FSC-klagomål mail.docx", "A 21708-2022")</f>
        <v/>
      </c>
      <c r="X1120">
        <f>HYPERLINK("https://klasma.github.io/Logging_2283/tillsyn/A 21708-2022 tillsynsbegäran.docx", "A 21708-2022")</f>
        <v/>
      </c>
      <c r="Y1120">
        <f>HYPERLINK("https://klasma.github.io/Logging_2283/tillsynsmail/A 21708-2022 tillsynsbegäran mail.docx", "A 21708-2022")</f>
        <v/>
      </c>
    </row>
    <row r="1121" ht="15" customHeight="1">
      <c r="A1121" t="inlineStr">
        <is>
          <t>A 1058-2024</t>
        </is>
      </c>
      <c r="B1121" s="1" t="n">
        <v>45301</v>
      </c>
      <c r="C1121" s="1" t="n">
        <v>46185</v>
      </c>
      <c r="D1121" t="inlineStr">
        <is>
          <t>VÄSTERNORRLANDS LÄN</t>
        </is>
      </c>
      <c r="E1121" t="inlineStr">
        <is>
          <t>SUNDSVALL</t>
        </is>
      </c>
      <c r="F1121" t="inlineStr">
        <is>
          <t>SCA</t>
        </is>
      </c>
      <c r="G1121" t="n">
        <v>8</v>
      </c>
      <c r="H1121" t="n">
        <v>0</v>
      </c>
      <c r="I1121" t="n">
        <v>0</v>
      </c>
      <c r="J1121" t="n">
        <v>1</v>
      </c>
      <c r="K1121" t="n">
        <v>0</v>
      </c>
      <c r="L1121" t="n">
        <v>0</v>
      </c>
      <c r="M1121" t="n">
        <v>0</v>
      </c>
      <c r="N1121" t="n">
        <v>0</v>
      </c>
      <c r="O1121" t="n">
        <v>1</v>
      </c>
      <c r="P1121" t="n">
        <v>0</v>
      </c>
      <c r="Q1121" t="n">
        <v>1</v>
      </c>
      <c r="R1121" s="2" t="inlineStr">
        <is>
          <t>Garnlav</t>
        </is>
      </c>
      <c r="S1121">
        <f>HYPERLINK("https://klasma.github.io/Logging_2281/artfynd/A 1058-2024 artfynd.xlsx", "A 1058-2024")</f>
        <v/>
      </c>
      <c r="T1121">
        <f>HYPERLINK("https://klasma.github.io/Logging_2281/kartor/A 1058-2024 karta.png", "A 1058-2024")</f>
        <v/>
      </c>
      <c r="V1121">
        <f>HYPERLINK("https://klasma.github.io/Logging_2281/klagomål/A 1058-2024 FSC-klagomål.docx", "A 1058-2024")</f>
        <v/>
      </c>
      <c r="W1121">
        <f>HYPERLINK("https://klasma.github.io/Logging_2281/klagomålsmail/A 1058-2024 FSC-klagomål mail.docx", "A 1058-2024")</f>
        <v/>
      </c>
      <c r="X1121">
        <f>HYPERLINK("https://klasma.github.io/Logging_2281/tillsyn/A 1058-2024 tillsynsbegäran.docx", "A 1058-2024")</f>
        <v/>
      </c>
      <c r="Y1121">
        <f>HYPERLINK("https://klasma.github.io/Logging_2281/tillsynsmail/A 1058-2024 tillsynsbegäran mail.docx", "A 1058-2024")</f>
        <v/>
      </c>
    </row>
    <row r="1122" ht="15" customHeight="1">
      <c r="A1122" t="inlineStr">
        <is>
          <t>A 58470-2023</t>
        </is>
      </c>
      <c r="B1122" s="1" t="n">
        <v>45250</v>
      </c>
      <c r="C1122" s="1" t="n">
        <v>46185</v>
      </c>
      <c r="D1122" t="inlineStr">
        <is>
          <t>VÄSTERNORRLANDS LÄN</t>
        </is>
      </c>
      <c r="E1122" t="inlineStr">
        <is>
          <t>SUNDSVALL</t>
        </is>
      </c>
      <c r="F1122" t="inlineStr">
        <is>
          <t>SCA</t>
        </is>
      </c>
      <c r="G1122" t="n">
        <v>3.7</v>
      </c>
      <c r="H1122" t="n">
        <v>0</v>
      </c>
      <c r="I1122" t="n">
        <v>0</v>
      </c>
      <c r="J1122" t="n">
        <v>1</v>
      </c>
      <c r="K1122" t="n">
        <v>0</v>
      </c>
      <c r="L1122" t="n">
        <v>0</v>
      </c>
      <c r="M1122" t="n">
        <v>0</v>
      </c>
      <c r="N1122" t="n">
        <v>0</v>
      </c>
      <c r="O1122" t="n">
        <v>1</v>
      </c>
      <c r="P1122" t="n">
        <v>0</v>
      </c>
      <c r="Q1122" t="n">
        <v>1</v>
      </c>
      <c r="R1122" s="2" t="inlineStr">
        <is>
          <t>Granticka</t>
        </is>
      </c>
      <c r="S1122">
        <f>HYPERLINK("https://klasma.github.io/Logging_2281/artfynd/A 58470-2023 artfynd.xlsx", "A 58470-2023")</f>
        <v/>
      </c>
      <c r="T1122">
        <f>HYPERLINK("https://klasma.github.io/Logging_2281/kartor/A 58470-2023 karta.png", "A 58470-2023")</f>
        <v/>
      </c>
      <c r="V1122">
        <f>HYPERLINK("https://klasma.github.io/Logging_2281/klagomål/A 58470-2023 FSC-klagomål.docx", "A 58470-2023")</f>
        <v/>
      </c>
      <c r="W1122">
        <f>HYPERLINK("https://klasma.github.io/Logging_2281/klagomålsmail/A 58470-2023 FSC-klagomål mail.docx", "A 58470-2023")</f>
        <v/>
      </c>
      <c r="X1122">
        <f>HYPERLINK("https://klasma.github.io/Logging_2281/tillsyn/A 58470-2023 tillsynsbegäran.docx", "A 58470-2023")</f>
        <v/>
      </c>
      <c r="Y1122">
        <f>HYPERLINK("https://klasma.github.io/Logging_2281/tillsynsmail/A 58470-2023 tillsynsbegäran mail.docx", "A 58470-2023")</f>
        <v/>
      </c>
    </row>
    <row r="1123" ht="15" customHeight="1">
      <c r="A1123" t="inlineStr">
        <is>
          <t>A 18694-2025</t>
        </is>
      </c>
      <c r="B1123" s="1" t="n">
        <v>45763.61552083334</v>
      </c>
      <c r="C1123" s="1" t="n">
        <v>46185</v>
      </c>
      <c r="D1123" t="inlineStr">
        <is>
          <t>VÄSTERNORRLANDS LÄN</t>
        </is>
      </c>
      <c r="E1123" t="inlineStr">
        <is>
          <t>HÄRNÖSAND</t>
        </is>
      </c>
      <c r="F1123" t="inlineStr">
        <is>
          <t>SCA</t>
        </is>
      </c>
      <c r="G1123" t="n">
        <v>10.5</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HYPERLINK("https://klasma.github.io/Logging_2280/artfynd/A 18694-2025 artfynd.xlsx", "A 18694-2025")</f>
        <v/>
      </c>
      <c r="T1123">
        <f>HYPERLINK("https://klasma.github.io/Logging_2280/kartor/A 18694-2025 karta.png", "A 18694-2025")</f>
        <v/>
      </c>
      <c r="V1123">
        <f>HYPERLINK("https://klasma.github.io/Logging_2280/klagomål/A 18694-2025 FSC-klagomål.docx", "A 18694-2025")</f>
        <v/>
      </c>
      <c r="W1123">
        <f>HYPERLINK("https://klasma.github.io/Logging_2280/klagomålsmail/A 18694-2025 FSC-klagomål mail.docx", "A 18694-2025")</f>
        <v/>
      </c>
      <c r="X1123">
        <f>HYPERLINK("https://klasma.github.io/Logging_2280/tillsyn/A 18694-2025 tillsynsbegäran.docx", "A 18694-2025")</f>
        <v/>
      </c>
      <c r="Y1123">
        <f>HYPERLINK("https://klasma.github.io/Logging_2280/tillsynsmail/A 18694-2025 tillsynsbegäran mail.docx", "A 18694-2025")</f>
        <v/>
      </c>
      <c r="Z1123">
        <f>HYPERLINK("https://klasma.github.io/Logging_2280/fåglar/A 18694-2025 prioriterade fågelarter.docx", "A 18694-2025")</f>
        <v/>
      </c>
    </row>
    <row r="1124" ht="15" customHeight="1">
      <c r="A1124" t="inlineStr">
        <is>
          <t>A 18697-2025</t>
        </is>
      </c>
      <c r="B1124" s="1" t="n">
        <v>45763.61592592593</v>
      </c>
      <c r="C1124" s="1" t="n">
        <v>46185</v>
      </c>
      <c r="D1124" t="inlineStr">
        <is>
          <t>VÄSTERNORRLANDS LÄN</t>
        </is>
      </c>
      <c r="E1124" t="inlineStr">
        <is>
          <t>SOLLEFTEÅ</t>
        </is>
      </c>
      <c r="F1124" t="inlineStr">
        <is>
          <t>SCA</t>
        </is>
      </c>
      <c r="G1124" t="n">
        <v>6.4</v>
      </c>
      <c r="H1124" t="n">
        <v>0</v>
      </c>
      <c r="I1124" t="n">
        <v>0</v>
      </c>
      <c r="J1124" t="n">
        <v>1</v>
      </c>
      <c r="K1124" t="n">
        <v>0</v>
      </c>
      <c r="L1124" t="n">
        <v>0</v>
      </c>
      <c r="M1124" t="n">
        <v>0</v>
      </c>
      <c r="N1124" t="n">
        <v>0</v>
      </c>
      <c r="O1124" t="n">
        <v>1</v>
      </c>
      <c r="P1124" t="n">
        <v>0</v>
      </c>
      <c r="Q1124" t="n">
        <v>1</v>
      </c>
      <c r="R1124" s="2" t="inlineStr">
        <is>
          <t>Kolflarnlav</t>
        </is>
      </c>
      <c r="S1124">
        <f>HYPERLINK("https://klasma.github.io/Logging_2283/artfynd/A 18697-2025 artfynd.xlsx", "A 18697-2025")</f>
        <v/>
      </c>
      <c r="T1124">
        <f>HYPERLINK("https://klasma.github.io/Logging_2283/kartor/A 18697-2025 karta.png", "A 18697-2025")</f>
        <v/>
      </c>
      <c r="V1124">
        <f>HYPERLINK("https://klasma.github.io/Logging_2283/klagomål/A 18697-2025 FSC-klagomål.docx", "A 18697-2025")</f>
        <v/>
      </c>
      <c r="W1124">
        <f>HYPERLINK("https://klasma.github.io/Logging_2283/klagomålsmail/A 18697-2025 FSC-klagomål mail.docx", "A 18697-2025")</f>
        <v/>
      </c>
      <c r="X1124">
        <f>HYPERLINK("https://klasma.github.io/Logging_2283/tillsyn/A 18697-2025 tillsynsbegäran.docx", "A 18697-2025")</f>
        <v/>
      </c>
      <c r="Y1124">
        <f>HYPERLINK("https://klasma.github.io/Logging_2283/tillsynsmail/A 18697-2025 tillsynsbegäran mail.docx", "A 18697-2025")</f>
        <v/>
      </c>
    </row>
    <row r="1125" ht="15" customHeight="1">
      <c r="A1125" t="inlineStr">
        <is>
          <t>A 25340-2026</t>
        </is>
      </c>
      <c r="B1125" s="1" t="n">
        <v>46176</v>
      </c>
      <c r="C1125" s="1" t="n">
        <v>46185</v>
      </c>
      <c r="D1125" t="inlineStr">
        <is>
          <t>VÄSTERNORRLANDS LÄN</t>
        </is>
      </c>
      <c r="E1125" t="inlineStr">
        <is>
          <t>HÄRNÖSAND</t>
        </is>
      </c>
      <c r="F1125" t="inlineStr">
        <is>
          <t>SCA</t>
        </is>
      </c>
      <c r="G1125" t="n">
        <v>1.5</v>
      </c>
      <c r="H1125" t="n">
        <v>0</v>
      </c>
      <c r="I1125" t="n">
        <v>0</v>
      </c>
      <c r="J1125" t="n">
        <v>1</v>
      </c>
      <c r="K1125" t="n">
        <v>0</v>
      </c>
      <c r="L1125" t="n">
        <v>0</v>
      </c>
      <c r="M1125" t="n">
        <v>0</v>
      </c>
      <c r="N1125" t="n">
        <v>0</v>
      </c>
      <c r="O1125" t="n">
        <v>1</v>
      </c>
      <c r="P1125" t="n">
        <v>0</v>
      </c>
      <c r="Q1125" t="n">
        <v>1</v>
      </c>
      <c r="R1125" s="2" t="inlineStr">
        <is>
          <t>Garnlav</t>
        </is>
      </c>
      <c r="S1125">
        <f>HYPERLINK("https://klasma.github.io/Logging_2280/artfynd/A 25340-2026 artfynd.xlsx", "A 25340-2026")</f>
        <v/>
      </c>
      <c r="T1125">
        <f>HYPERLINK("https://klasma.github.io/Logging_2280/kartor/A 25340-2026 karta.png", "A 25340-2026")</f>
        <v/>
      </c>
      <c r="V1125">
        <f>HYPERLINK("https://klasma.github.io/Logging_2280/klagomål/A 25340-2026 FSC-klagomål.docx", "A 25340-2026")</f>
        <v/>
      </c>
      <c r="W1125">
        <f>HYPERLINK("https://klasma.github.io/Logging_2280/klagomålsmail/A 25340-2026 FSC-klagomål mail.docx", "A 25340-2026")</f>
        <v/>
      </c>
      <c r="X1125">
        <f>HYPERLINK("https://klasma.github.io/Logging_2280/tillsyn/A 25340-2026 tillsynsbegäran.docx", "A 25340-2026")</f>
        <v/>
      </c>
      <c r="Y1125">
        <f>HYPERLINK("https://klasma.github.io/Logging_2280/tillsynsmail/A 25340-2026 tillsynsbegäran mail.docx", "A 25340-2026")</f>
        <v/>
      </c>
    </row>
    <row r="1126" ht="15" customHeight="1">
      <c r="A1126" t="inlineStr">
        <is>
          <t>A 55722-2025</t>
        </is>
      </c>
      <c r="B1126" s="1" t="n">
        <v>45972.51136574074</v>
      </c>
      <c r="C1126" s="1" t="n">
        <v>46185</v>
      </c>
      <c r="D1126" t="inlineStr">
        <is>
          <t>VÄSTERNORRLANDS LÄN</t>
        </is>
      </c>
      <c r="E1126" t="inlineStr">
        <is>
          <t>SOLLEFTEÅ</t>
        </is>
      </c>
      <c r="F1126" t="inlineStr">
        <is>
          <t>SCA</t>
        </is>
      </c>
      <c r="G1126" t="n">
        <v>3.3</v>
      </c>
      <c r="H1126" t="n">
        <v>0</v>
      </c>
      <c r="I1126" t="n">
        <v>0</v>
      </c>
      <c r="J1126" t="n">
        <v>1</v>
      </c>
      <c r="K1126" t="n">
        <v>0</v>
      </c>
      <c r="L1126" t="n">
        <v>0</v>
      </c>
      <c r="M1126" t="n">
        <v>0</v>
      </c>
      <c r="N1126" t="n">
        <v>0</v>
      </c>
      <c r="O1126" t="n">
        <v>1</v>
      </c>
      <c r="P1126" t="n">
        <v>0</v>
      </c>
      <c r="Q1126" t="n">
        <v>1</v>
      </c>
      <c r="R1126" s="2" t="inlineStr">
        <is>
          <t>Violettgrå tagellav</t>
        </is>
      </c>
      <c r="S1126">
        <f>HYPERLINK("https://klasma.github.io/Logging_2283/artfynd/A 55722-2025 artfynd.xlsx", "A 55722-2025")</f>
        <v/>
      </c>
      <c r="T1126">
        <f>HYPERLINK("https://klasma.github.io/Logging_2283/kartor/A 55722-2025 karta.png", "A 55722-2025")</f>
        <v/>
      </c>
      <c r="V1126">
        <f>HYPERLINK("https://klasma.github.io/Logging_2283/klagomål/A 55722-2025 FSC-klagomål.docx", "A 55722-2025")</f>
        <v/>
      </c>
      <c r="W1126">
        <f>HYPERLINK("https://klasma.github.io/Logging_2283/klagomålsmail/A 55722-2025 FSC-klagomål mail.docx", "A 55722-2025")</f>
        <v/>
      </c>
      <c r="X1126">
        <f>HYPERLINK("https://klasma.github.io/Logging_2283/tillsyn/A 55722-2025 tillsynsbegäran.docx", "A 55722-2025")</f>
        <v/>
      </c>
      <c r="Y1126">
        <f>HYPERLINK("https://klasma.github.io/Logging_2283/tillsynsmail/A 55722-2025 tillsynsbegäran mail.docx", "A 55722-2025")</f>
        <v/>
      </c>
    </row>
    <row r="1127" ht="15" customHeight="1">
      <c r="A1127" t="inlineStr">
        <is>
          <t>A 37593-2023</t>
        </is>
      </c>
      <c r="B1127" s="1" t="n">
        <v>45156</v>
      </c>
      <c r="C1127" s="1" t="n">
        <v>46185</v>
      </c>
      <c r="D1127" t="inlineStr">
        <is>
          <t>VÄSTERNORRLANDS LÄN</t>
        </is>
      </c>
      <c r="E1127" t="inlineStr">
        <is>
          <t>KRAMFORS</t>
        </is>
      </c>
      <c r="G1127" t="n">
        <v>1.7</v>
      </c>
      <c r="H1127" t="n">
        <v>0</v>
      </c>
      <c r="I1127" t="n">
        <v>0</v>
      </c>
      <c r="J1127" t="n">
        <v>1</v>
      </c>
      <c r="K1127" t="n">
        <v>0</v>
      </c>
      <c r="L1127" t="n">
        <v>0</v>
      </c>
      <c r="M1127" t="n">
        <v>0</v>
      </c>
      <c r="N1127" t="n">
        <v>0</v>
      </c>
      <c r="O1127" t="n">
        <v>1</v>
      </c>
      <c r="P1127" t="n">
        <v>0</v>
      </c>
      <c r="Q1127" t="n">
        <v>1</v>
      </c>
      <c r="R1127" s="2" t="inlineStr">
        <is>
          <t>Ullticka</t>
        </is>
      </c>
      <c r="S1127">
        <f>HYPERLINK("https://klasma.github.io/Logging_2282/artfynd/A 37593-2023 artfynd.xlsx", "A 37593-2023")</f>
        <v/>
      </c>
      <c r="T1127">
        <f>HYPERLINK("https://klasma.github.io/Logging_2282/kartor/A 37593-2023 karta.png", "A 37593-2023")</f>
        <v/>
      </c>
      <c r="V1127">
        <f>HYPERLINK("https://klasma.github.io/Logging_2282/klagomål/A 37593-2023 FSC-klagomål.docx", "A 37593-2023")</f>
        <v/>
      </c>
      <c r="W1127">
        <f>HYPERLINK("https://klasma.github.io/Logging_2282/klagomålsmail/A 37593-2023 FSC-klagomål mail.docx", "A 37593-2023")</f>
        <v/>
      </c>
      <c r="X1127">
        <f>HYPERLINK("https://klasma.github.io/Logging_2282/tillsyn/A 37593-2023 tillsynsbegäran.docx", "A 37593-2023")</f>
        <v/>
      </c>
      <c r="Y1127">
        <f>HYPERLINK("https://klasma.github.io/Logging_2282/tillsynsmail/A 37593-2023 tillsynsbegäran mail.docx", "A 37593-2023")</f>
        <v/>
      </c>
    </row>
    <row r="1128" ht="15" customHeight="1">
      <c r="A1128" t="inlineStr">
        <is>
          <t>A 58464-2023</t>
        </is>
      </c>
      <c r="B1128" s="1" t="n">
        <v>45250</v>
      </c>
      <c r="C1128" s="1" t="n">
        <v>46185</v>
      </c>
      <c r="D1128" t="inlineStr">
        <is>
          <t>VÄSTERNORRLANDS LÄN</t>
        </is>
      </c>
      <c r="E1128" t="inlineStr">
        <is>
          <t>TIMRÅ</t>
        </is>
      </c>
      <c r="F1128" t="inlineStr">
        <is>
          <t>SCA</t>
        </is>
      </c>
      <c r="G1128" t="n">
        <v>6.5</v>
      </c>
      <c r="H1128" t="n">
        <v>0</v>
      </c>
      <c r="I1128" t="n">
        <v>0</v>
      </c>
      <c r="J1128" t="n">
        <v>1</v>
      </c>
      <c r="K1128" t="n">
        <v>0</v>
      </c>
      <c r="L1128" t="n">
        <v>0</v>
      </c>
      <c r="M1128" t="n">
        <v>0</v>
      </c>
      <c r="N1128" t="n">
        <v>0</v>
      </c>
      <c r="O1128" t="n">
        <v>1</v>
      </c>
      <c r="P1128" t="n">
        <v>0</v>
      </c>
      <c r="Q1128" t="n">
        <v>1</v>
      </c>
      <c r="R1128" s="2" t="inlineStr">
        <is>
          <t>Granticka</t>
        </is>
      </c>
      <c r="S1128">
        <f>HYPERLINK("https://klasma.github.io/Logging_2262/artfynd/A 58464-2023 artfynd.xlsx", "A 58464-2023")</f>
        <v/>
      </c>
      <c r="T1128">
        <f>HYPERLINK("https://klasma.github.io/Logging_2262/kartor/A 58464-2023 karta.png", "A 58464-2023")</f>
        <v/>
      </c>
      <c r="V1128">
        <f>HYPERLINK("https://klasma.github.io/Logging_2262/klagomål/A 58464-2023 FSC-klagomål.docx", "A 58464-2023")</f>
        <v/>
      </c>
      <c r="W1128">
        <f>HYPERLINK("https://klasma.github.io/Logging_2262/klagomålsmail/A 58464-2023 FSC-klagomål mail.docx", "A 58464-2023")</f>
        <v/>
      </c>
      <c r="X1128">
        <f>HYPERLINK("https://klasma.github.io/Logging_2262/tillsyn/A 58464-2023 tillsynsbegäran.docx", "A 58464-2023")</f>
        <v/>
      </c>
      <c r="Y1128">
        <f>HYPERLINK("https://klasma.github.io/Logging_2262/tillsynsmail/A 58464-2023 tillsynsbegäran mail.docx", "A 58464-2023")</f>
        <v/>
      </c>
    </row>
    <row r="1129" ht="15" customHeight="1">
      <c r="A1129" t="inlineStr">
        <is>
          <t>A 51586-2025</t>
        </is>
      </c>
      <c r="B1129" s="1" t="n">
        <v>45951.34594907407</v>
      </c>
      <c r="C1129" s="1" t="n">
        <v>46185</v>
      </c>
      <c r="D1129" t="inlineStr">
        <is>
          <t>VÄSTERNORRLANDS LÄN</t>
        </is>
      </c>
      <c r="E1129" t="inlineStr">
        <is>
          <t>SUNDSVALL</t>
        </is>
      </c>
      <c r="G1129" t="n">
        <v>2.1</v>
      </c>
      <c r="H1129" t="n">
        <v>1</v>
      </c>
      <c r="I1129" t="n">
        <v>0</v>
      </c>
      <c r="J1129" t="n">
        <v>0</v>
      </c>
      <c r="K1129" t="n">
        <v>0</v>
      </c>
      <c r="L1129" t="n">
        <v>0</v>
      </c>
      <c r="M1129" t="n">
        <v>0</v>
      </c>
      <c r="N1129" t="n">
        <v>0</v>
      </c>
      <c r="O1129" t="n">
        <v>0</v>
      </c>
      <c r="P1129" t="n">
        <v>0</v>
      </c>
      <c r="Q1129" t="n">
        <v>1</v>
      </c>
      <c r="R1129" s="2" t="inlineStr">
        <is>
          <t>Nattviol</t>
        </is>
      </c>
      <c r="S1129">
        <f>HYPERLINK("https://klasma.github.io/Logging_2281/artfynd/A 51586-2025 artfynd.xlsx", "A 51586-2025")</f>
        <v/>
      </c>
      <c r="T1129">
        <f>HYPERLINK("https://klasma.github.io/Logging_2281/kartor/A 51586-2025 karta.png", "A 51586-2025")</f>
        <v/>
      </c>
      <c r="V1129">
        <f>HYPERLINK("https://klasma.github.io/Logging_2281/klagomål/A 51586-2025 FSC-klagomål.docx", "A 51586-2025")</f>
        <v/>
      </c>
      <c r="W1129">
        <f>HYPERLINK("https://klasma.github.io/Logging_2281/klagomålsmail/A 51586-2025 FSC-klagomål mail.docx", "A 51586-2025")</f>
        <v/>
      </c>
      <c r="X1129">
        <f>HYPERLINK("https://klasma.github.io/Logging_2281/tillsyn/A 51586-2025 tillsynsbegäran.docx", "A 51586-2025")</f>
        <v/>
      </c>
      <c r="Y1129">
        <f>HYPERLINK("https://klasma.github.io/Logging_2281/tillsynsmail/A 51586-2025 tillsynsbegäran mail.docx", "A 51586-2025")</f>
        <v/>
      </c>
    </row>
    <row r="1130" ht="15" customHeight="1">
      <c r="A1130" t="inlineStr">
        <is>
          <t>A 60137-2021</t>
        </is>
      </c>
      <c r="B1130" s="1" t="n">
        <v>44494</v>
      </c>
      <c r="C1130" s="1" t="n">
        <v>46185</v>
      </c>
      <c r="D1130" t="inlineStr">
        <is>
          <t>VÄSTERNORRLANDS LÄN</t>
        </is>
      </c>
      <c r="E1130" t="inlineStr">
        <is>
          <t>ÖRNSKÖLDSVIK</t>
        </is>
      </c>
      <c r="G1130" t="n">
        <v>7.1</v>
      </c>
      <c r="H1130" t="n">
        <v>0</v>
      </c>
      <c r="I1130" t="n">
        <v>0</v>
      </c>
      <c r="J1130" t="n">
        <v>1</v>
      </c>
      <c r="K1130" t="n">
        <v>0</v>
      </c>
      <c r="L1130" t="n">
        <v>0</v>
      </c>
      <c r="M1130" t="n">
        <v>0</v>
      </c>
      <c r="N1130" t="n">
        <v>0</v>
      </c>
      <c r="O1130" t="n">
        <v>1</v>
      </c>
      <c r="P1130" t="n">
        <v>0</v>
      </c>
      <c r="Q1130" t="n">
        <v>1</v>
      </c>
      <c r="R1130" s="2" t="inlineStr">
        <is>
          <t>Harticka</t>
        </is>
      </c>
      <c r="S1130">
        <f>HYPERLINK("https://klasma.github.io/Logging_2284/artfynd/A 60137-2021 artfynd.xlsx", "A 60137-2021")</f>
        <v/>
      </c>
      <c r="T1130">
        <f>HYPERLINK("https://klasma.github.io/Logging_2284/kartor/A 60137-2021 karta.png", "A 60137-2021")</f>
        <v/>
      </c>
      <c r="V1130">
        <f>HYPERLINK("https://klasma.github.io/Logging_2284/klagomål/A 60137-2021 FSC-klagomål.docx", "A 60137-2021")</f>
        <v/>
      </c>
      <c r="W1130">
        <f>HYPERLINK("https://klasma.github.io/Logging_2284/klagomålsmail/A 60137-2021 FSC-klagomål mail.docx", "A 60137-2021")</f>
        <v/>
      </c>
      <c r="X1130">
        <f>HYPERLINK("https://klasma.github.io/Logging_2284/tillsyn/A 60137-2021 tillsynsbegäran.docx", "A 60137-2021")</f>
        <v/>
      </c>
      <c r="Y1130">
        <f>HYPERLINK("https://klasma.github.io/Logging_2284/tillsynsmail/A 60137-2021 tillsynsbegäran mail.docx", "A 60137-2021")</f>
        <v/>
      </c>
    </row>
    <row r="1131" ht="15" customHeight="1">
      <c r="A1131" t="inlineStr">
        <is>
          <t>A 25964-2026</t>
        </is>
      </c>
      <c r="B1131" s="1" t="n">
        <v>46181.36337962963</v>
      </c>
      <c r="C1131" s="1" t="n">
        <v>46185</v>
      </c>
      <c r="D1131" t="inlineStr">
        <is>
          <t>VÄSTERNORRLANDS LÄN</t>
        </is>
      </c>
      <c r="E1131" t="inlineStr">
        <is>
          <t>SOLLEFTEÅ</t>
        </is>
      </c>
      <c r="G1131" t="n">
        <v>3.2</v>
      </c>
      <c r="H1131" t="n">
        <v>1</v>
      </c>
      <c r="I1131" t="n">
        <v>0</v>
      </c>
      <c r="J1131" t="n">
        <v>0</v>
      </c>
      <c r="K1131" t="n">
        <v>0</v>
      </c>
      <c r="L1131" t="n">
        <v>0</v>
      </c>
      <c r="M1131" t="n">
        <v>0</v>
      </c>
      <c r="N1131" t="n">
        <v>0</v>
      </c>
      <c r="O1131" t="n">
        <v>0</v>
      </c>
      <c r="P1131" t="n">
        <v>0</v>
      </c>
      <c r="Q1131" t="n">
        <v>1</v>
      </c>
      <c r="R1131" s="2" t="inlineStr">
        <is>
          <t>Grönsiska</t>
        </is>
      </c>
      <c r="S1131">
        <f>HYPERLINK("https://klasma.github.io/Logging_2283/artfynd/A 25964-2026 artfynd.xlsx", "A 25964-2026")</f>
        <v/>
      </c>
      <c r="T1131">
        <f>HYPERLINK("https://klasma.github.io/Logging_2283/kartor/A 25964-2026 karta.png", "A 25964-2026")</f>
        <v/>
      </c>
      <c r="V1131">
        <f>HYPERLINK("https://klasma.github.io/Logging_2283/klagomål/A 25964-2026 FSC-klagomål.docx", "A 25964-2026")</f>
        <v/>
      </c>
      <c r="W1131">
        <f>HYPERLINK("https://klasma.github.io/Logging_2283/klagomålsmail/A 25964-2026 FSC-klagomål mail.docx", "A 25964-2026")</f>
        <v/>
      </c>
      <c r="X1131">
        <f>HYPERLINK("https://klasma.github.io/Logging_2283/tillsyn/A 25964-2026 tillsynsbegäran.docx", "A 25964-2026")</f>
        <v/>
      </c>
      <c r="Y1131">
        <f>HYPERLINK("https://klasma.github.io/Logging_2283/tillsynsmail/A 25964-2026 tillsynsbegäran mail.docx", "A 25964-2026")</f>
        <v/>
      </c>
      <c r="Z1131">
        <f>HYPERLINK("https://klasma.github.io/Logging_2283/fåglar/A 25964-2026 prioriterade fågelarter.docx", "A 25964-2026")</f>
        <v/>
      </c>
    </row>
    <row r="1132" ht="15" customHeight="1">
      <c r="A1132" t="inlineStr">
        <is>
          <t>A 58162-2021</t>
        </is>
      </c>
      <c r="B1132" s="1" t="n">
        <v>44487</v>
      </c>
      <c r="C1132" s="1" t="n">
        <v>46185</v>
      </c>
      <c r="D1132" t="inlineStr">
        <is>
          <t>VÄSTERNORRLANDS LÄN</t>
        </is>
      </c>
      <c r="E1132" t="inlineStr">
        <is>
          <t>ÖRNSKÖLDSVIK</t>
        </is>
      </c>
      <c r="G1132" t="n">
        <v>4.9</v>
      </c>
      <c r="H1132" t="n">
        <v>1</v>
      </c>
      <c r="I1132" t="n">
        <v>0</v>
      </c>
      <c r="J1132" t="n">
        <v>0</v>
      </c>
      <c r="K1132" t="n">
        <v>1</v>
      </c>
      <c r="L1132" t="n">
        <v>0</v>
      </c>
      <c r="M1132" t="n">
        <v>0</v>
      </c>
      <c r="N1132" t="n">
        <v>0</v>
      </c>
      <c r="O1132" t="n">
        <v>1</v>
      </c>
      <c r="P1132" t="n">
        <v>1</v>
      </c>
      <c r="Q1132" t="n">
        <v>1</v>
      </c>
      <c r="R1132" s="2" t="inlineStr">
        <is>
          <t>Knottblomster</t>
        </is>
      </c>
      <c r="S1132">
        <f>HYPERLINK("https://klasma.github.io/Logging_2284/artfynd/A 58162-2021 artfynd.xlsx", "A 58162-2021")</f>
        <v/>
      </c>
      <c r="T1132">
        <f>HYPERLINK("https://klasma.github.io/Logging_2284/kartor/A 58162-2021 karta.png", "A 58162-2021")</f>
        <v/>
      </c>
      <c r="V1132">
        <f>HYPERLINK("https://klasma.github.io/Logging_2284/klagomål/A 58162-2021 FSC-klagomål.docx", "A 58162-2021")</f>
        <v/>
      </c>
      <c r="W1132">
        <f>HYPERLINK("https://klasma.github.io/Logging_2284/klagomålsmail/A 58162-2021 FSC-klagomål mail.docx", "A 58162-2021")</f>
        <v/>
      </c>
      <c r="X1132">
        <f>HYPERLINK("https://klasma.github.io/Logging_2284/tillsyn/A 58162-2021 tillsynsbegäran.docx", "A 58162-2021")</f>
        <v/>
      </c>
      <c r="Y1132">
        <f>HYPERLINK("https://klasma.github.io/Logging_2284/tillsynsmail/A 58162-2021 tillsynsbegäran mail.docx", "A 58162-2021")</f>
        <v/>
      </c>
    </row>
    <row r="1133" ht="15" customHeight="1">
      <c r="A1133" t="inlineStr">
        <is>
          <t>A 6651-2025</t>
        </is>
      </c>
      <c r="B1133" s="1" t="n">
        <v>45700.42429398148</v>
      </c>
      <c r="C1133" s="1" t="n">
        <v>46185</v>
      </c>
      <c r="D1133" t="inlineStr">
        <is>
          <t>VÄSTERNORRLANDS LÄN</t>
        </is>
      </c>
      <c r="E1133" t="inlineStr">
        <is>
          <t>ÖRNSKÖLDSVIK</t>
        </is>
      </c>
      <c r="G1133" t="n">
        <v>4.5</v>
      </c>
      <c r="H1133" t="n">
        <v>0</v>
      </c>
      <c r="I1133" t="n">
        <v>0</v>
      </c>
      <c r="J1133" t="n">
        <v>1</v>
      </c>
      <c r="K1133" t="n">
        <v>0</v>
      </c>
      <c r="L1133" t="n">
        <v>0</v>
      </c>
      <c r="M1133" t="n">
        <v>0</v>
      </c>
      <c r="N1133" t="n">
        <v>0</v>
      </c>
      <c r="O1133" t="n">
        <v>1</v>
      </c>
      <c r="P1133" t="n">
        <v>0</v>
      </c>
      <c r="Q1133" t="n">
        <v>1</v>
      </c>
      <c r="R1133" s="2" t="inlineStr">
        <is>
          <t>Ullticka</t>
        </is>
      </c>
      <c r="S1133">
        <f>HYPERLINK("https://klasma.github.io/Logging_2284/artfynd/A 6651-2025 artfynd.xlsx", "A 6651-2025")</f>
        <v/>
      </c>
      <c r="T1133">
        <f>HYPERLINK("https://klasma.github.io/Logging_2284/kartor/A 6651-2025 karta.png", "A 6651-2025")</f>
        <v/>
      </c>
      <c r="V1133">
        <f>HYPERLINK("https://klasma.github.io/Logging_2284/klagomål/A 6651-2025 FSC-klagomål.docx", "A 6651-2025")</f>
        <v/>
      </c>
      <c r="W1133">
        <f>HYPERLINK("https://klasma.github.io/Logging_2284/klagomålsmail/A 6651-2025 FSC-klagomål mail.docx", "A 6651-2025")</f>
        <v/>
      </c>
      <c r="X1133">
        <f>HYPERLINK("https://klasma.github.io/Logging_2284/tillsyn/A 6651-2025 tillsynsbegäran.docx", "A 6651-2025")</f>
        <v/>
      </c>
      <c r="Y1133">
        <f>HYPERLINK("https://klasma.github.io/Logging_2284/tillsynsmail/A 6651-2025 tillsynsbegäran mail.docx", "A 6651-2025")</f>
        <v/>
      </c>
    </row>
    <row r="1134" ht="15" customHeight="1">
      <c r="A1134" t="inlineStr">
        <is>
          <t>A 31920-2023</t>
        </is>
      </c>
      <c r="B1134" s="1" t="n">
        <v>45118</v>
      </c>
      <c r="C1134" s="1" t="n">
        <v>46185</v>
      </c>
      <c r="D1134" t="inlineStr">
        <is>
          <t>VÄSTERNORRLANDS LÄN</t>
        </is>
      </c>
      <c r="E1134" t="inlineStr">
        <is>
          <t>SOLLEFTEÅ</t>
        </is>
      </c>
      <c r="F1134" t="inlineStr">
        <is>
          <t>SCA</t>
        </is>
      </c>
      <c r="G1134" t="n">
        <v>2</v>
      </c>
      <c r="H1134" t="n">
        <v>0</v>
      </c>
      <c r="I1134" t="n">
        <v>0</v>
      </c>
      <c r="J1134" t="n">
        <v>1</v>
      </c>
      <c r="K1134" t="n">
        <v>0</v>
      </c>
      <c r="L1134" t="n">
        <v>0</v>
      </c>
      <c r="M1134" t="n">
        <v>0</v>
      </c>
      <c r="N1134" t="n">
        <v>0</v>
      </c>
      <c r="O1134" t="n">
        <v>1</v>
      </c>
      <c r="P1134" t="n">
        <v>0</v>
      </c>
      <c r="Q1134" t="n">
        <v>1</v>
      </c>
      <c r="R1134" s="2" t="inlineStr">
        <is>
          <t>Ullticka</t>
        </is>
      </c>
      <c r="S1134">
        <f>HYPERLINK("https://klasma.github.io/Logging_2283/artfynd/A 31920-2023 artfynd.xlsx", "A 31920-2023")</f>
        <v/>
      </c>
      <c r="T1134">
        <f>HYPERLINK("https://klasma.github.io/Logging_2283/kartor/A 31920-2023 karta.png", "A 31920-2023")</f>
        <v/>
      </c>
      <c r="V1134">
        <f>HYPERLINK("https://klasma.github.io/Logging_2283/klagomål/A 31920-2023 FSC-klagomål.docx", "A 31920-2023")</f>
        <v/>
      </c>
      <c r="W1134">
        <f>HYPERLINK("https://klasma.github.io/Logging_2283/klagomålsmail/A 31920-2023 FSC-klagomål mail.docx", "A 31920-2023")</f>
        <v/>
      </c>
      <c r="X1134">
        <f>HYPERLINK("https://klasma.github.io/Logging_2283/tillsyn/A 31920-2023 tillsynsbegäran.docx", "A 31920-2023")</f>
        <v/>
      </c>
      <c r="Y1134">
        <f>HYPERLINK("https://klasma.github.io/Logging_2283/tillsynsmail/A 31920-2023 tillsynsbegäran mail.docx", "A 31920-2023")</f>
        <v/>
      </c>
    </row>
    <row r="1135" ht="15" customHeight="1">
      <c r="A1135" t="inlineStr">
        <is>
          <t>A 41493-2021</t>
        </is>
      </c>
      <c r="B1135" s="1" t="n">
        <v>44424</v>
      </c>
      <c r="C1135" s="1" t="n">
        <v>46185</v>
      </c>
      <c r="D1135" t="inlineStr">
        <is>
          <t>VÄSTERNORRLANDS LÄN</t>
        </is>
      </c>
      <c r="E1135" t="inlineStr">
        <is>
          <t>ÅNGE</t>
        </is>
      </c>
      <c r="F1135" t="inlineStr">
        <is>
          <t>SCA</t>
        </is>
      </c>
      <c r="G1135" t="n">
        <v>8</v>
      </c>
      <c r="H1135" t="n">
        <v>1</v>
      </c>
      <c r="I1135" t="n">
        <v>0</v>
      </c>
      <c r="J1135" t="n">
        <v>0</v>
      </c>
      <c r="K1135" t="n">
        <v>1</v>
      </c>
      <c r="L1135" t="n">
        <v>0</v>
      </c>
      <c r="M1135" t="n">
        <v>0</v>
      </c>
      <c r="N1135" t="n">
        <v>0</v>
      </c>
      <c r="O1135" t="n">
        <v>1</v>
      </c>
      <c r="P1135" t="n">
        <v>1</v>
      </c>
      <c r="Q1135" t="n">
        <v>1</v>
      </c>
      <c r="R1135" s="2" t="inlineStr">
        <is>
          <t>Knärot</t>
        </is>
      </c>
      <c r="S1135">
        <f>HYPERLINK("https://klasma.github.io/Logging_2260/artfynd/A 41493-2021 artfynd.xlsx", "A 41493-2021")</f>
        <v/>
      </c>
      <c r="T1135">
        <f>HYPERLINK("https://klasma.github.io/Logging_2260/kartor/A 41493-2021 karta.png", "A 41493-2021")</f>
        <v/>
      </c>
      <c r="U1135">
        <f>HYPERLINK("https://klasma.github.io/Logging_2260/knärot/A 41493-2021 karta knärot.png", "A 41493-2021")</f>
        <v/>
      </c>
      <c r="V1135">
        <f>HYPERLINK("https://klasma.github.io/Logging_2260/klagomål/A 41493-2021 FSC-klagomål.docx", "A 41493-2021")</f>
        <v/>
      </c>
      <c r="W1135">
        <f>HYPERLINK("https://klasma.github.io/Logging_2260/klagomålsmail/A 41493-2021 FSC-klagomål mail.docx", "A 41493-2021")</f>
        <v/>
      </c>
      <c r="X1135">
        <f>HYPERLINK("https://klasma.github.io/Logging_2260/tillsyn/A 41493-2021 tillsynsbegäran.docx", "A 41493-2021")</f>
        <v/>
      </c>
      <c r="Y1135">
        <f>HYPERLINK("https://klasma.github.io/Logging_2260/tillsynsmail/A 41493-2021 tillsynsbegäran mail.docx", "A 41493-2021")</f>
        <v/>
      </c>
    </row>
    <row r="1136" ht="15" customHeight="1">
      <c r="A1136" t="inlineStr">
        <is>
          <t>A 386-2024</t>
        </is>
      </c>
      <c r="B1136" s="1" t="n">
        <v>45296</v>
      </c>
      <c r="C1136" s="1" t="n">
        <v>46185</v>
      </c>
      <c r="D1136" t="inlineStr">
        <is>
          <t>VÄSTERNORRLANDS LÄN</t>
        </is>
      </c>
      <c r="E1136" t="inlineStr">
        <is>
          <t>SOLLEFTEÅ</t>
        </is>
      </c>
      <c r="G1136" t="n">
        <v>3.7</v>
      </c>
      <c r="H1136" t="n">
        <v>0</v>
      </c>
      <c r="I1136" t="n">
        <v>0</v>
      </c>
      <c r="J1136" t="n">
        <v>1</v>
      </c>
      <c r="K1136" t="n">
        <v>0</v>
      </c>
      <c r="L1136" t="n">
        <v>0</v>
      </c>
      <c r="M1136" t="n">
        <v>0</v>
      </c>
      <c r="N1136" t="n">
        <v>0</v>
      </c>
      <c r="O1136" t="n">
        <v>1</v>
      </c>
      <c r="P1136" t="n">
        <v>0</v>
      </c>
      <c r="Q1136" t="n">
        <v>1</v>
      </c>
      <c r="R1136" s="2" t="inlineStr">
        <is>
          <t>Kolflarnlav</t>
        </is>
      </c>
      <c r="S1136">
        <f>HYPERLINK("https://klasma.github.io/Logging_2283/artfynd/A 386-2024 artfynd.xlsx", "A 386-2024")</f>
        <v/>
      </c>
      <c r="T1136">
        <f>HYPERLINK("https://klasma.github.io/Logging_2283/kartor/A 386-2024 karta.png", "A 386-2024")</f>
        <v/>
      </c>
      <c r="V1136">
        <f>HYPERLINK("https://klasma.github.io/Logging_2283/klagomål/A 386-2024 FSC-klagomål.docx", "A 386-2024")</f>
        <v/>
      </c>
      <c r="W1136">
        <f>HYPERLINK("https://klasma.github.io/Logging_2283/klagomålsmail/A 386-2024 FSC-klagomål mail.docx", "A 386-2024")</f>
        <v/>
      </c>
      <c r="X1136">
        <f>HYPERLINK("https://klasma.github.io/Logging_2283/tillsyn/A 386-2024 tillsynsbegäran.docx", "A 386-2024")</f>
        <v/>
      </c>
      <c r="Y1136">
        <f>HYPERLINK("https://klasma.github.io/Logging_2283/tillsynsmail/A 386-2024 tillsynsbegäran mail.docx", "A 386-2024")</f>
        <v/>
      </c>
    </row>
    <row r="1137" ht="15" customHeight="1">
      <c r="A1137" t="inlineStr">
        <is>
          <t>A 62864-2025</t>
        </is>
      </c>
      <c r="B1137" s="1" t="n">
        <v>46008</v>
      </c>
      <c r="C1137" s="1" t="n">
        <v>46185</v>
      </c>
      <c r="D1137" t="inlineStr">
        <is>
          <t>VÄSTERNORRLANDS LÄN</t>
        </is>
      </c>
      <c r="E1137" t="inlineStr">
        <is>
          <t>ÖRNSKÖLDSVIK</t>
        </is>
      </c>
      <c r="G1137" t="n">
        <v>10.1</v>
      </c>
      <c r="H1137" t="n">
        <v>1</v>
      </c>
      <c r="I1137" t="n">
        <v>1</v>
      </c>
      <c r="J1137" t="n">
        <v>0</v>
      </c>
      <c r="K1137" t="n">
        <v>0</v>
      </c>
      <c r="L1137" t="n">
        <v>0</v>
      </c>
      <c r="M1137" t="n">
        <v>0</v>
      </c>
      <c r="N1137" t="n">
        <v>0</v>
      </c>
      <c r="O1137" t="n">
        <v>0</v>
      </c>
      <c r="P1137" t="n">
        <v>0</v>
      </c>
      <c r="Q1137" t="n">
        <v>1</v>
      </c>
      <c r="R1137" s="2" t="inlineStr">
        <is>
          <t>Lappranunkel</t>
        </is>
      </c>
      <c r="S1137">
        <f>HYPERLINK("https://klasma.github.io/Logging_2284/artfynd/A 62864-2025 artfynd.xlsx", "A 62864-2025")</f>
        <v/>
      </c>
      <c r="T1137">
        <f>HYPERLINK("https://klasma.github.io/Logging_2284/kartor/A 62864-2025 karta.png", "A 62864-2025")</f>
        <v/>
      </c>
      <c r="V1137">
        <f>HYPERLINK("https://klasma.github.io/Logging_2284/klagomål/A 62864-2025 FSC-klagomål.docx", "A 62864-2025")</f>
        <v/>
      </c>
      <c r="W1137">
        <f>HYPERLINK("https://klasma.github.io/Logging_2284/klagomålsmail/A 62864-2025 FSC-klagomål mail.docx", "A 62864-2025")</f>
        <v/>
      </c>
      <c r="X1137">
        <f>HYPERLINK("https://klasma.github.io/Logging_2284/tillsyn/A 62864-2025 tillsynsbegäran.docx", "A 62864-2025")</f>
        <v/>
      </c>
      <c r="Y1137">
        <f>HYPERLINK("https://klasma.github.io/Logging_2284/tillsynsmail/A 62864-2025 tillsynsbegäran mail.docx", "A 62864-2025")</f>
        <v/>
      </c>
    </row>
    <row r="1138" ht="15" customHeight="1">
      <c r="A1138" t="inlineStr">
        <is>
          <t>A 49189-2025</t>
        </is>
      </c>
      <c r="B1138" s="1" t="n">
        <v>45938</v>
      </c>
      <c r="C1138" s="1" t="n">
        <v>46185</v>
      </c>
      <c r="D1138" t="inlineStr">
        <is>
          <t>VÄSTERNORRLANDS LÄN</t>
        </is>
      </c>
      <c r="E1138" t="inlineStr">
        <is>
          <t>SOLLEFTEÅ</t>
        </is>
      </c>
      <c r="F1138" t="inlineStr">
        <is>
          <t>SCA</t>
        </is>
      </c>
      <c r="G1138" t="n">
        <v>7.5</v>
      </c>
      <c r="H1138" t="n">
        <v>0</v>
      </c>
      <c r="I1138" t="n">
        <v>0</v>
      </c>
      <c r="J1138" t="n">
        <v>1</v>
      </c>
      <c r="K1138" t="n">
        <v>0</v>
      </c>
      <c r="L1138" t="n">
        <v>0</v>
      </c>
      <c r="M1138" t="n">
        <v>0</v>
      </c>
      <c r="N1138" t="n">
        <v>0</v>
      </c>
      <c r="O1138" t="n">
        <v>1</v>
      </c>
      <c r="P1138" t="n">
        <v>0</v>
      </c>
      <c r="Q1138" t="n">
        <v>1</v>
      </c>
      <c r="R1138" s="2" t="inlineStr">
        <is>
          <t>Rosenticka</t>
        </is>
      </c>
      <c r="S1138">
        <f>HYPERLINK("https://klasma.github.io/Logging_2283/artfynd/A 49189-2025 artfynd.xlsx", "A 49189-2025")</f>
        <v/>
      </c>
      <c r="T1138">
        <f>HYPERLINK("https://klasma.github.io/Logging_2283/kartor/A 49189-2025 karta.png", "A 49189-2025")</f>
        <v/>
      </c>
      <c r="U1138">
        <f>HYPERLINK("https://klasma.github.io/Logging_2283/knärot/A 49189-2025 karta knärot.png", "A 49189-2025")</f>
        <v/>
      </c>
      <c r="V1138">
        <f>HYPERLINK("https://klasma.github.io/Logging_2283/klagomål/A 49189-2025 FSC-klagomål.docx", "A 49189-2025")</f>
        <v/>
      </c>
      <c r="W1138">
        <f>HYPERLINK("https://klasma.github.io/Logging_2283/klagomålsmail/A 49189-2025 FSC-klagomål mail.docx", "A 49189-2025")</f>
        <v/>
      </c>
      <c r="X1138">
        <f>HYPERLINK("https://klasma.github.io/Logging_2283/tillsyn/A 49189-2025 tillsynsbegäran.docx", "A 49189-2025")</f>
        <v/>
      </c>
      <c r="Y1138">
        <f>HYPERLINK("https://klasma.github.io/Logging_2283/tillsynsmail/A 49189-2025 tillsynsbegäran mail.docx", "A 49189-2025")</f>
        <v/>
      </c>
    </row>
    <row r="1139" ht="15" customHeight="1">
      <c r="A1139" t="inlineStr">
        <is>
          <t>A 40123-2021</t>
        </is>
      </c>
      <c r="B1139" s="1" t="n">
        <v>44418</v>
      </c>
      <c r="C1139" s="1" t="n">
        <v>46185</v>
      </c>
      <c r="D1139" t="inlineStr">
        <is>
          <t>VÄSTERNORRLANDS LÄN</t>
        </is>
      </c>
      <c r="E1139" t="inlineStr">
        <is>
          <t>SUNDSVALL</t>
        </is>
      </c>
      <c r="G1139" t="n">
        <v>12.2</v>
      </c>
      <c r="H1139" t="n">
        <v>1</v>
      </c>
      <c r="I1139" t="n">
        <v>0</v>
      </c>
      <c r="J1139" t="n">
        <v>1</v>
      </c>
      <c r="K1139" t="n">
        <v>0</v>
      </c>
      <c r="L1139" t="n">
        <v>0</v>
      </c>
      <c r="M1139" t="n">
        <v>0</v>
      </c>
      <c r="N1139" t="n">
        <v>0</v>
      </c>
      <c r="O1139" t="n">
        <v>1</v>
      </c>
      <c r="P1139" t="n">
        <v>0</v>
      </c>
      <c r="Q1139" t="n">
        <v>1</v>
      </c>
      <c r="R1139" s="2" t="inlineStr">
        <is>
          <t>Skogsfru</t>
        </is>
      </c>
      <c r="S1139">
        <f>HYPERLINK("https://klasma.github.io/Logging_2281/artfynd/A 40123-2021 artfynd.xlsx", "A 40123-2021")</f>
        <v/>
      </c>
      <c r="T1139">
        <f>HYPERLINK("https://klasma.github.io/Logging_2281/kartor/A 40123-2021 karta.png", "A 40123-2021")</f>
        <v/>
      </c>
      <c r="V1139">
        <f>HYPERLINK("https://klasma.github.io/Logging_2281/klagomål/A 40123-2021 FSC-klagomål.docx", "A 40123-2021")</f>
        <v/>
      </c>
      <c r="W1139">
        <f>HYPERLINK("https://klasma.github.io/Logging_2281/klagomålsmail/A 40123-2021 FSC-klagomål mail.docx", "A 40123-2021")</f>
        <v/>
      </c>
      <c r="X1139">
        <f>HYPERLINK("https://klasma.github.io/Logging_2281/tillsyn/A 40123-2021 tillsynsbegäran.docx", "A 40123-2021")</f>
        <v/>
      </c>
      <c r="Y1139">
        <f>HYPERLINK("https://klasma.github.io/Logging_2281/tillsynsmail/A 40123-2021 tillsynsbegäran mail.docx", "A 40123-2021")</f>
        <v/>
      </c>
    </row>
    <row r="1140" ht="15" customHeight="1">
      <c r="A1140" t="inlineStr">
        <is>
          <t>A 7692-2026</t>
        </is>
      </c>
      <c r="B1140" s="1" t="n">
        <v>46059</v>
      </c>
      <c r="C1140" s="1" t="n">
        <v>46185</v>
      </c>
      <c r="D1140" t="inlineStr">
        <is>
          <t>VÄSTERNORRLANDS LÄN</t>
        </is>
      </c>
      <c r="E1140" t="inlineStr">
        <is>
          <t>TIMRÅ</t>
        </is>
      </c>
      <c r="G1140" t="n">
        <v>2.4</v>
      </c>
      <c r="H1140" t="n">
        <v>0</v>
      </c>
      <c r="I1140" t="n">
        <v>1</v>
      </c>
      <c r="J1140" t="n">
        <v>0</v>
      </c>
      <c r="K1140" t="n">
        <v>0</v>
      </c>
      <c r="L1140" t="n">
        <v>0</v>
      </c>
      <c r="M1140" t="n">
        <v>0</v>
      </c>
      <c r="N1140" t="n">
        <v>0</v>
      </c>
      <c r="O1140" t="n">
        <v>0</v>
      </c>
      <c r="P1140" t="n">
        <v>0</v>
      </c>
      <c r="Q1140" t="n">
        <v>1</v>
      </c>
      <c r="R1140" s="2" t="inlineStr">
        <is>
          <t>Stor aspticka</t>
        </is>
      </c>
      <c r="S1140">
        <f>HYPERLINK("https://klasma.github.io/Logging_2262/artfynd/A 7692-2026 artfynd.xlsx", "A 7692-2026")</f>
        <v/>
      </c>
      <c r="T1140">
        <f>HYPERLINK("https://klasma.github.io/Logging_2262/kartor/A 7692-2026 karta.png", "A 7692-2026")</f>
        <v/>
      </c>
      <c r="V1140">
        <f>HYPERLINK("https://klasma.github.io/Logging_2262/klagomål/A 7692-2026 FSC-klagomål.docx", "A 7692-2026")</f>
        <v/>
      </c>
      <c r="W1140">
        <f>HYPERLINK("https://klasma.github.io/Logging_2262/klagomålsmail/A 7692-2026 FSC-klagomål mail.docx", "A 7692-2026")</f>
        <v/>
      </c>
      <c r="X1140">
        <f>HYPERLINK("https://klasma.github.io/Logging_2262/tillsyn/A 7692-2026 tillsynsbegäran.docx", "A 7692-2026")</f>
        <v/>
      </c>
      <c r="Y1140">
        <f>HYPERLINK("https://klasma.github.io/Logging_2262/tillsynsmail/A 7692-2026 tillsynsbegäran mail.docx", "A 7692-2026")</f>
        <v/>
      </c>
    </row>
    <row r="1141" ht="15" customHeight="1">
      <c r="A1141" t="inlineStr">
        <is>
          <t>A 20883-2026</t>
        </is>
      </c>
      <c r="B1141" s="1" t="n">
        <v>46142.42783564814</v>
      </c>
      <c r="C1141" s="1" t="n">
        <v>46185</v>
      </c>
      <c r="D1141" t="inlineStr">
        <is>
          <t>VÄSTERNORRLANDS LÄN</t>
        </is>
      </c>
      <c r="E1141" t="inlineStr">
        <is>
          <t>SUNDSVALL</t>
        </is>
      </c>
      <c r="F1141" t="inlineStr">
        <is>
          <t>SCA</t>
        </is>
      </c>
      <c r="G1141" t="n">
        <v>1.7</v>
      </c>
      <c r="H1141" t="n">
        <v>0</v>
      </c>
      <c r="I1141" t="n">
        <v>0</v>
      </c>
      <c r="J1141" t="n">
        <v>1</v>
      </c>
      <c r="K1141" t="n">
        <v>0</v>
      </c>
      <c r="L1141" t="n">
        <v>0</v>
      </c>
      <c r="M1141" t="n">
        <v>0</v>
      </c>
      <c r="N1141" t="n">
        <v>0</v>
      </c>
      <c r="O1141" t="n">
        <v>1</v>
      </c>
      <c r="P1141" t="n">
        <v>0</v>
      </c>
      <c r="Q1141" t="n">
        <v>1</v>
      </c>
      <c r="R1141" s="2" t="inlineStr">
        <is>
          <t>Kolflarnlav</t>
        </is>
      </c>
      <c r="S1141">
        <f>HYPERLINK("https://klasma.github.io/Logging_2281/artfynd/A 20883-2026 artfynd.xlsx", "A 20883-2026")</f>
        <v/>
      </c>
      <c r="T1141">
        <f>HYPERLINK("https://klasma.github.io/Logging_2281/kartor/A 20883-2026 karta.png", "A 20883-2026")</f>
        <v/>
      </c>
      <c r="V1141">
        <f>HYPERLINK("https://klasma.github.io/Logging_2281/klagomål/A 20883-2026 FSC-klagomål.docx", "A 20883-2026")</f>
        <v/>
      </c>
      <c r="W1141">
        <f>HYPERLINK("https://klasma.github.io/Logging_2281/klagomålsmail/A 20883-2026 FSC-klagomål mail.docx", "A 20883-2026")</f>
        <v/>
      </c>
      <c r="X1141">
        <f>HYPERLINK("https://klasma.github.io/Logging_2281/tillsyn/A 20883-2026 tillsynsbegäran.docx", "A 20883-2026")</f>
        <v/>
      </c>
      <c r="Y1141">
        <f>HYPERLINK("https://klasma.github.io/Logging_2281/tillsynsmail/A 20883-2026 tillsynsbegäran mail.docx", "A 20883-2026")</f>
        <v/>
      </c>
    </row>
    <row r="1142" ht="15" customHeight="1">
      <c r="A1142" t="inlineStr">
        <is>
          <t>A 48087-2023</t>
        </is>
      </c>
      <c r="B1142" s="1" t="n">
        <v>45204</v>
      </c>
      <c r="C1142" s="1" t="n">
        <v>46185</v>
      </c>
      <c r="D1142" t="inlineStr">
        <is>
          <t>VÄSTERNORRLANDS LÄN</t>
        </is>
      </c>
      <c r="E1142" t="inlineStr">
        <is>
          <t>SOLLEFTEÅ</t>
        </is>
      </c>
      <c r="F1142" t="inlineStr">
        <is>
          <t>SCA</t>
        </is>
      </c>
      <c r="G1142" t="n">
        <v>0.6</v>
      </c>
      <c r="H1142" t="n">
        <v>0</v>
      </c>
      <c r="I1142" t="n">
        <v>0</v>
      </c>
      <c r="J1142" t="n">
        <v>1</v>
      </c>
      <c r="K1142" t="n">
        <v>0</v>
      </c>
      <c r="L1142" t="n">
        <v>0</v>
      </c>
      <c r="M1142" t="n">
        <v>0</v>
      </c>
      <c r="N1142" t="n">
        <v>0</v>
      </c>
      <c r="O1142" t="n">
        <v>1</v>
      </c>
      <c r="P1142" t="n">
        <v>0</v>
      </c>
      <c r="Q1142" t="n">
        <v>1</v>
      </c>
      <c r="R1142" s="2" t="inlineStr">
        <is>
          <t>Doftskinn</t>
        </is>
      </c>
      <c r="S1142">
        <f>HYPERLINK("https://klasma.github.io/Logging_2283/artfynd/A 48087-2023 artfynd.xlsx", "A 48087-2023")</f>
        <v/>
      </c>
      <c r="T1142">
        <f>HYPERLINK("https://klasma.github.io/Logging_2283/kartor/A 48087-2023 karta.png", "A 48087-2023")</f>
        <v/>
      </c>
      <c r="V1142">
        <f>HYPERLINK("https://klasma.github.io/Logging_2283/klagomål/A 48087-2023 FSC-klagomål.docx", "A 48087-2023")</f>
        <v/>
      </c>
      <c r="W1142">
        <f>HYPERLINK("https://klasma.github.io/Logging_2283/klagomålsmail/A 48087-2023 FSC-klagomål mail.docx", "A 48087-2023")</f>
        <v/>
      </c>
      <c r="X1142">
        <f>HYPERLINK("https://klasma.github.io/Logging_2283/tillsyn/A 48087-2023 tillsynsbegäran.docx", "A 48087-2023")</f>
        <v/>
      </c>
      <c r="Y1142">
        <f>HYPERLINK("https://klasma.github.io/Logging_2283/tillsynsmail/A 48087-2023 tillsynsbegäran mail.docx", "A 48087-2023")</f>
        <v/>
      </c>
    </row>
    <row r="1143" ht="15" customHeight="1">
      <c r="A1143" t="inlineStr">
        <is>
          <t>A 21845-2024</t>
        </is>
      </c>
      <c r="B1143" s="1" t="n">
        <v>45442</v>
      </c>
      <c r="C1143" s="1" t="n">
        <v>46185</v>
      </c>
      <c r="D1143" t="inlineStr">
        <is>
          <t>VÄSTERNORRLANDS LÄN</t>
        </is>
      </c>
      <c r="E1143" t="inlineStr">
        <is>
          <t>TIMRÅ</t>
        </is>
      </c>
      <c r="F1143" t="inlineStr">
        <is>
          <t>SCA</t>
        </is>
      </c>
      <c r="G1143" t="n">
        <v>14.7</v>
      </c>
      <c r="H1143" t="n">
        <v>0</v>
      </c>
      <c r="I1143" t="n">
        <v>0</v>
      </c>
      <c r="J1143" t="n">
        <v>1</v>
      </c>
      <c r="K1143" t="n">
        <v>0</v>
      </c>
      <c r="L1143" t="n">
        <v>0</v>
      </c>
      <c r="M1143" t="n">
        <v>0</v>
      </c>
      <c r="N1143" t="n">
        <v>0</v>
      </c>
      <c r="O1143" t="n">
        <v>1</v>
      </c>
      <c r="P1143" t="n">
        <v>0</v>
      </c>
      <c r="Q1143" t="n">
        <v>1</v>
      </c>
      <c r="R1143" s="2" t="inlineStr">
        <is>
          <t>Lunglav</t>
        </is>
      </c>
      <c r="S1143">
        <f>HYPERLINK("https://klasma.github.io/Logging_2262/artfynd/A 21845-2024 artfynd.xlsx", "A 21845-2024")</f>
        <v/>
      </c>
      <c r="T1143">
        <f>HYPERLINK("https://klasma.github.io/Logging_2262/kartor/A 21845-2024 karta.png", "A 21845-2024")</f>
        <v/>
      </c>
      <c r="V1143">
        <f>HYPERLINK("https://klasma.github.io/Logging_2262/klagomål/A 21845-2024 FSC-klagomål.docx", "A 21845-2024")</f>
        <v/>
      </c>
      <c r="W1143">
        <f>HYPERLINK("https://klasma.github.io/Logging_2262/klagomålsmail/A 21845-2024 FSC-klagomål mail.docx", "A 21845-2024")</f>
        <v/>
      </c>
      <c r="X1143">
        <f>HYPERLINK("https://klasma.github.io/Logging_2262/tillsyn/A 21845-2024 tillsynsbegäran.docx", "A 21845-2024")</f>
        <v/>
      </c>
      <c r="Y1143">
        <f>HYPERLINK("https://klasma.github.io/Logging_2262/tillsynsmail/A 21845-2024 tillsynsbegäran mail.docx", "A 21845-2024")</f>
        <v/>
      </c>
    </row>
    <row r="1144" ht="15" customHeight="1">
      <c r="A1144" t="inlineStr">
        <is>
          <t>A 25705-2024</t>
        </is>
      </c>
      <c r="B1144" s="1" t="n">
        <v>45463.9428587963</v>
      </c>
      <c r="C1144" s="1" t="n">
        <v>46185</v>
      </c>
      <c r="D1144" t="inlineStr">
        <is>
          <t>VÄSTERNORRLANDS LÄN</t>
        </is>
      </c>
      <c r="E1144" t="inlineStr">
        <is>
          <t>ÅNGE</t>
        </is>
      </c>
      <c r="F1144" t="inlineStr">
        <is>
          <t>SCA</t>
        </is>
      </c>
      <c r="G1144" t="n">
        <v>10.6</v>
      </c>
      <c r="H1144" t="n">
        <v>1</v>
      </c>
      <c r="I1144" t="n">
        <v>1</v>
      </c>
      <c r="J1144" t="n">
        <v>0</v>
      </c>
      <c r="K1144" t="n">
        <v>0</v>
      </c>
      <c r="L1144" t="n">
        <v>0</v>
      </c>
      <c r="M1144" t="n">
        <v>0</v>
      </c>
      <c r="N1144" t="n">
        <v>0</v>
      </c>
      <c r="O1144" t="n">
        <v>0</v>
      </c>
      <c r="P1144" t="n">
        <v>0</v>
      </c>
      <c r="Q1144" t="n">
        <v>1</v>
      </c>
      <c r="R1144" s="2" t="inlineStr">
        <is>
          <t>Korallrot</t>
        </is>
      </c>
      <c r="S1144">
        <f>HYPERLINK("https://klasma.github.io/Logging_2260/artfynd/A 25705-2024 artfynd.xlsx", "A 25705-2024")</f>
        <v/>
      </c>
      <c r="T1144">
        <f>HYPERLINK("https://klasma.github.io/Logging_2260/kartor/A 25705-2024 karta.png", "A 25705-2024")</f>
        <v/>
      </c>
      <c r="V1144">
        <f>HYPERLINK("https://klasma.github.io/Logging_2260/klagomål/A 25705-2024 FSC-klagomål.docx", "A 25705-2024")</f>
        <v/>
      </c>
      <c r="W1144">
        <f>HYPERLINK("https://klasma.github.io/Logging_2260/klagomålsmail/A 25705-2024 FSC-klagomål mail.docx", "A 25705-2024")</f>
        <v/>
      </c>
      <c r="X1144">
        <f>HYPERLINK("https://klasma.github.io/Logging_2260/tillsyn/A 25705-2024 tillsynsbegäran.docx", "A 25705-2024")</f>
        <v/>
      </c>
      <c r="Y1144">
        <f>HYPERLINK("https://klasma.github.io/Logging_2260/tillsynsmail/A 25705-2024 tillsynsbegäran mail.docx", "A 25705-2024")</f>
        <v/>
      </c>
    </row>
    <row r="1145" ht="15" customHeight="1">
      <c r="A1145" t="inlineStr">
        <is>
          <t>A 22993-2023</t>
        </is>
      </c>
      <c r="B1145" s="1" t="n">
        <v>45072</v>
      </c>
      <c r="C1145" s="1" t="n">
        <v>46185</v>
      </c>
      <c r="D1145" t="inlineStr">
        <is>
          <t>VÄSTERNORRLANDS LÄN</t>
        </is>
      </c>
      <c r="E1145" t="inlineStr">
        <is>
          <t>SUNDSVALL</t>
        </is>
      </c>
      <c r="F1145" t="inlineStr">
        <is>
          <t>SCA</t>
        </is>
      </c>
      <c r="G1145" t="n">
        <v>3.6</v>
      </c>
      <c r="H1145" t="n">
        <v>0</v>
      </c>
      <c r="I1145" t="n">
        <v>0</v>
      </c>
      <c r="J1145" t="n">
        <v>1</v>
      </c>
      <c r="K1145" t="n">
        <v>0</v>
      </c>
      <c r="L1145" t="n">
        <v>0</v>
      </c>
      <c r="M1145" t="n">
        <v>0</v>
      </c>
      <c r="N1145" t="n">
        <v>0</v>
      </c>
      <c r="O1145" t="n">
        <v>1</v>
      </c>
      <c r="P1145" t="n">
        <v>0</v>
      </c>
      <c r="Q1145" t="n">
        <v>1</v>
      </c>
      <c r="R1145" s="2" t="inlineStr">
        <is>
          <t>Lunglav</t>
        </is>
      </c>
      <c r="S1145">
        <f>HYPERLINK("https://klasma.github.io/Logging_2281/artfynd/A 22993-2023 artfynd.xlsx", "A 22993-2023")</f>
        <v/>
      </c>
      <c r="T1145">
        <f>HYPERLINK("https://klasma.github.io/Logging_2281/kartor/A 22993-2023 karta.png", "A 22993-2023")</f>
        <v/>
      </c>
      <c r="V1145">
        <f>HYPERLINK("https://klasma.github.io/Logging_2281/klagomål/A 22993-2023 FSC-klagomål.docx", "A 22993-2023")</f>
        <v/>
      </c>
      <c r="W1145">
        <f>HYPERLINK("https://klasma.github.io/Logging_2281/klagomålsmail/A 22993-2023 FSC-klagomål mail.docx", "A 22993-2023")</f>
        <v/>
      </c>
      <c r="X1145">
        <f>HYPERLINK("https://klasma.github.io/Logging_2281/tillsyn/A 22993-2023 tillsynsbegäran.docx", "A 22993-2023")</f>
        <v/>
      </c>
      <c r="Y1145">
        <f>HYPERLINK("https://klasma.github.io/Logging_2281/tillsynsmail/A 22993-2023 tillsynsbegäran mail.docx", "A 22993-2023")</f>
        <v/>
      </c>
    </row>
    <row r="1146" ht="15" customHeight="1">
      <c r="A1146" t="inlineStr">
        <is>
          <t>A 24431-2025</t>
        </is>
      </c>
      <c r="B1146" s="1" t="n">
        <v>45797</v>
      </c>
      <c r="C1146" s="1" t="n">
        <v>46185</v>
      </c>
      <c r="D1146" t="inlineStr">
        <is>
          <t>VÄSTERNORRLANDS LÄN</t>
        </is>
      </c>
      <c r="E1146" t="inlineStr">
        <is>
          <t>SUNDSVALL</t>
        </is>
      </c>
      <c r="F1146" t="inlineStr">
        <is>
          <t>SCA</t>
        </is>
      </c>
      <c r="G1146" t="n">
        <v>2.3</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HYPERLINK("https://klasma.github.io/Logging_2281/artfynd/A 24431-2025 artfynd.xlsx", "A 24431-2025")</f>
        <v/>
      </c>
      <c r="T1146">
        <f>HYPERLINK("https://klasma.github.io/Logging_2281/kartor/A 24431-2025 karta.png", "A 24431-2025")</f>
        <v/>
      </c>
      <c r="V1146">
        <f>HYPERLINK("https://klasma.github.io/Logging_2281/klagomål/A 24431-2025 FSC-klagomål.docx", "A 24431-2025")</f>
        <v/>
      </c>
      <c r="W1146">
        <f>HYPERLINK("https://klasma.github.io/Logging_2281/klagomålsmail/A 24431-2025 FSC-klagomål mail.docx", "A 24431-2025")</f>
        <v/>
      </c>
      <c r="X1146">
        <f>HYPERLINK("https://klasma.github.io/Logging_2281/tillsyn/A 24431-2025 tillsynsbegäran.docx", "A 24431-2025")</f>
        <v/>
      </c>
      <c r="Y1146">
        <f>HYPERLINK("https://klasma.github.io/Logging_2281/tillsynsmail/A 24431-2025 tillsynsbegäran mail.docx", "A 24431-2025")</f>
        <v/>
      </c>
      <c r="Z1146">
        <f>HYPERLINK("https://klasma.github.io/Logging_2281/fåglar/A 24431-2025 prioriterade fågelarter.docx", "A 24431-2025")</f>
        <v/>
      </c>
    </row>
    <row r="1147" ht="15" customHeight="1">
      <c r="A1147" t="inlineStr">
        <is>
          <t>A 10853-2026</t>
        </is>
      </c>
      <c r="B1147" s="1" t="n">
        <v>46078.65715277778</v>
      </c>
      <c r="C1147" s="1" t="n">
        <v>46185</v>
      </c>
      <c r="D1147" t="inlineStr">
        <is>
          <t>VÄSTERNORRLANDS LÄN</t>
        </is>
      </c>
      <c r="E1147" t="inlineStr">
        <is>
          <t>SOLLEFTEÅ</t>
        </is>
      </c>
      <c r="F1147" t="inlineStr">
        <is>
          <t>SCA</t>
        </is>
      </c>
      <c r="G1147" t="n">
        <v>1.8</v>
      </c>
      <c r="H1147" t="n">
        <v>1</v>
      </c>
      <c r="I1147" t="n">
        <v>0</v>
      </c>
      <c r="J1147" t="n">
        <v>0</v>
      </c>
      <c r="K1147" t="n">
        <v>1</v>
      </c>
      <c r="L1147" t="n">
        <v>0</v>
      </c>
      <c r="M1147" t="n">
        <v>0</v>
      </c>
      <c r="N1147" t="n">
        <v>0</v>
      </c>
      <c r="O1147" t="n">
        <v>1</v>
      </c>
      <c r="P1147" t="n">
        <v>1</v>
      </c>
      <c r="Q1147" t="n">
        <v>1</v>
      </c>
      <c r="R1147" s="2" t="inlineStr">
        <is>
          <t>Knärot</t>
        </is>
      </c>
      <c r="S1147">
        <f>HYPERLINK("https://klasma.github.io/Logging_2283/artfynd/A 10853-2026 artfynd.xlsx", "A 10853-2026")</f>
        <v/>
      </c>
      <c r="T1147">
        <f>HYPERLINK("https://klasma.github.io/Logging_2283/kartor/A 10853-2026 karta.png", "A 10853-2026")</f>
        <v/>
      </c>
      <c r="U1147">
        <f>HYPERLINK("https://klasma.github.io/Logging_2283/knärot/A 10853-2026 karta knärot.png", "A 10853-2026")</f>
        <v/>
      </c>
      <c r="V1147">
        <f>HYPERLINK("https://klasma.github.io/Logging_2283/klagomål/A 10853-2026 FSC-klagomål.docx", "A 10853-2026")</f>
        <v/>
      </c>
      <c r="W1147">
        <f>HYPERLINK("https://klasma.github.io/Logging_2283/klagomålsmail/A 10853-2026 FSC-klagomål mail.docx", "A 10853-2026")</f>
        <v/>
      </c>
      <c r="X1147">
        <f>HYPERLINK("https://klasma.github.io/Logging_2283/tillsyn/A 10853-2026 tillsynsbegäran.docx", "A 10853-2026")</f>
        <v/>
      </c>
      <c r="Y1147">
        <f>HYPERLINK("https://klasma.github.io/Logging_2283/tillsynsmail/A 10853-2026 tillsynsbegäran mail.docx", "A 10853-2026")</f>
        <v/>
      </c>
    </row>
    <row r="1148" ht="15" customHeight="1">
      <c r="A1148" t="inlineStr">
        <is>
          <t>A 37506-2024</t>
        </is>
      </c>
      <c r="B1148" s="1" t="n">
        <v>45541.38001157407</v>
      </c>
      <c r="C1148" s="1" t="n">
        <v>46185</v>
      </c>
      <c r="D1148" t="inlineStr">
        <is>
          <t>VÄSTERNORRLANDS LÄN</t>
        </is>
      </c>
      <c r="E1148" t="inlineStr">
        <is>
          <t>ÖRNSKÖLDSVIK</t>
        </is>
      </c>
      <c r="G1148" t="n">
        <v>13.3</v>
      </c>
      <c r="H1148" t="n">
        <v>0</v>
      </c>
      <c r="I1148" t="n">
        <v>0</v>
      </c>
      <c r="J1148" t="n">
        <v>1</v>
      </c>
      <c r="K1148" t="n">
        <v>0</v>
      </c>
      <c r="L1148" t="n">
        <v>0</v>
      </c>
      <c r="M1148" t="n">
        <v>0</v>
      </c>
      <c r="N1148" t="n">
        <v>0</v>
      </c>
      <c r="O1148" t="n">
        <v>1</v>
      </c>
      <c r="P1148" t="n">
        <v>0</v>
      </c>
      <c r="Q1148" t="n">
        <v>1</v>
      </c>
      <c r="R1148" s="2" t="inlineStr">
        <is>
          <t>Garnlav</t>
        </is>
      </c>
      <c r="S1148">
        <f>HYPERLINK("https://klasma.github.io/Logging_2284/artfynd/A 37506-2024 artfynd.xlsx", "A 37506-2024")</f>
        <v/>
      </c>
      <c r="T1148">
        <f>HYPERLINK("https://klasma.github.io/Logging_2284/kartor/A 37506-2024 karta.png", "A 37506-2024")</f>
        <v/>
      </c>
      <c r="V1148">
        <f>HYPERLINK("https://klasma.github.io/Logging_2284/klagomål/A 37506-2024 FSC-klagomål.docx", "A 37506-2024")</f>
        <v/>
      </c>
      <c r="W1148">
        <f>HYPERLINK("https://klasma.github.io/Logging_2284/klagomålsmail/A 37506-2024 FSC-klagomål mail.docx", "A 37506-2024")</f>
        <v/>
      </c>
      <c r="X1148">
        <f>HYPERLINK("https://klasma.github.io/Logging_2284/tillsyn/A 37506-2024 tillsynsbegäran.docx", "A 37506-2024")</f>
        <v/>
      </c>
      <c r="Y1148">
        <f>HYPERLINK("https://klasma.github.io/Logging_2284/tillsynsmail/A 37506-2024 tillsynsbegäran mail.docx", "A 37506-2024")</f>
        <v/>
      </c>
    </row>
    <row r="1149" ht="15" customHeight="1">
      <c r="A1149" t="inlineStr">
        <is>
          <t>A 11681-2024</t>
        </is>
      </c>
      <c r="B1149" s="1" t="n">
        <v>45373.58155092593</v>
      </c>
      <c r="C1149" s="1" t="n">
        <v>46185</v>
      </c>
      <c r="D1149" t="inlineStr">
        <is>
          <t>VÄSTERNORRLANDS LÄN</t>
        </is>
      </c>
      <c r="E1149" t="inlineStr">
        <is>
          <t>SUNDSVALL</t>
        </is>
      </c>
      <c r="F1149" t="inlineStr">
        <is>
          <t>Holmen skog AB</t>
        </is>
      </c>
      <c r="G1149" t="n">
        <v>9</v>
      </c>
      <c r="H1149" t="n">
        <v>1</v>
      </c>
      <c r="I1149" t="n">
        <v>0</v>
      </c>
      <c r="J1149" t="n">
        <v>0</v>
      </c>
      <c r="K1149" t="n">
        <v>0</v>
      </c>
      <c r="L1149" t="n">
        <v>0</v>
      </c>
      <c r="M1149" t="n">
        <v>0</v>
      </c>
      <c r="N1149" t="n">
        <v>0</v>
      </c>
      <c r="O1149" t="n">
        <v>0</v>
      </c>
      <c r="P1149" t="n">
        <v>0</v>
      </c>
      <c r="Q1149" t="n">
        <v>1</v>
      </c>
      <c r="R1149" s="2" t="inlineStr">
        <is>
          <t>Tjäder</t>
        </is>
      </c>
      <c r="S1149">
        <f>HYPERLINK("https://klasma.github.io/Logging_2281/artfynd/A 11681-2024 artfynd.xlsx", "A 11681-2024")</f>
        <v/>
      </c>
      <c r="T1149">
        <f>HYPERLINK("https://klasma.github.io/Logging_2281/kartor/A 11681-2024 karta.png", "A 11681-2024")</f>
        <v/>
      </c>
      <c r="V1149">
        <f>HYPERLINK("https://klasma.github.io/Logging_2281/klagomål/A 11681-2024 FSC-klagomål.docx", "A 11681-2024")</f>
        <v/>
      </c>
      <c r="W1149">
        <f>HYPERLINK("https://klasma.github.io/Logging_2281/klagomålsmail/A 11681-2024 FSC-klagomål mail.docx", "A 11681-2024")</f>
        <v/>
      </c>
      <c r="X1149">
        <f>HYPERLINK("https://klasma.github.io/Logging_2281/tillsyn/A 11681-2024 tillsynsbegäran.docx", "A 11681-2024")</f>
        <v/>
      </c>
      <c r="Y1149">
        <f>HYPERLINK("https://klasma.github.io/Logging_2281/tillsynsmail/A 11681-2024 tillsynsbegäran mail.docx", "A 11681-2024")</f>
        <v/>
      </c>
      <c r="Z1149">
        <f>HYPERLINK("https://klasma.github.io/Logging_2281/fåglar/A 11681-2024 prioriterade fågelarter.docx", "A 11681-2024")</f>
        <v/>
      </c>
    </row>
    <row r="1150" ht="15" customHeight="1">
      <c r="A1150" t="inlineStr">
        <is>
          <t>A 19305-2022</t>
        </is>
      </c>
      <c r="B1150" s="1" t="n">
        <v>44692</v>
      </c>
      <c r="C1150" s="1" t="n">
        <v>46185</v>
      </c>
      <c r="D1150" t="inlineStr">
        <is>
          <t>VÄSTERNORRLANDS LÄN</t>
        </is>
      </c>
      <c r="E1150" t="inlineStr">
        <is>
          <t>SUNDSVALL</t>
        </is>
      </c>
      <c r="G1150" t="n">
        <v>4.1</v>
      </c>
      <c r="H1150" t="n">
        <v>0</v>
      </c>
      <c r="I1150" t="n">
        <v>0</v>
      </c>
      <c r="J1150" t="n">
        <v>1</v>
      </c>
      <c r="K1150" t="n">
        <v>0</v>
      </c>
      <c r="L1150" t="n">
        <v>0</v>
      </c>
      <c r="M1150" t="n">
        <v>0</v>
      </c>
      <c r="N1150" t="n">
        <v>0</v>
      </c>
      <c r="O1150" t="n">
        <v>1</v>
      </c>
      <c r="P1150" t="n">
        <v>0</v>
      </c>
      <c r="Q1150" t="n">
        <v>1</v>
      </c>
      <c r="R1150" s="2" t="inlineStr">
        <is>
          <t>Månlåsbräken</t>
        </is>
      </c>
      <c r="S1150">
        <f>HYPERLINK("https://klasma.github.io/Logging_2281/artfynd/A 19305-2022 artfynd.xlsx", "A 19305-2022")</f>
        <v/>
      </c>
      <c r="T1150">
        <f>HYPERLINK("https://klasma.github.io/Logging_2281/kartor/A 19305-2022 karta.png", "A 19305-2022")</f>
        <v/>
      </c>
      <c r="V1150">
        <f>HYPERLINK("https://klasma.github.io/Logging_2281/klagomål/A 19305-2022 FSC-klagomål.docx", "A 19305-2022")</f>
        <v/>
      </c>
      <c r="W1150">
        <f>HYPERLINK("https://klasma.github.io/Logging_2281/klagomålsmail/A 19305-2022 FSC-klagomål mail.docx", "A 19305-2022")</f>
        <v/>
      </c>
      <c r="X1150">
        <f>HYPERLINK("https://klasma.github.io/Logging_2281/tillsyn/A 19305-2022 tillsynsbegäran.docx", "A 19305-2022")</f>
        <v/>
      </c>
      <c r="Y1150">
        <f>HYPERLINK("https://klasma.github.io/Logging_2281/tillsynsmail/A 19305-2022 tillsynsbegäran mail.docx", "A 19305-2022")</f>
        <v/>
      </c>
    </row>
    <row r="1151" ht="15" customHeight="1">
      <c r="A1151" t="inlineStr">
        <is>
          <t>A 26731-2026</t>
        </is>
      </c>
      <c r="B1151" s="1" t="n">
        <v>46184.5733912037</v>
      </c>
      <c r="C1151" s="1" t="n">
        <v>46185</v>
      </c>
      <c r="D1151" t="inlineStr">
        <is>
          <t>VÄSTERNORRLANDS LÄN</t>
        </is>
      </c>
      <c r="E1151" t="inlineStr">
        <is>
          <t>SOLLEFTEÅ</t>
        </is>
      </c>
      <c r="F1151" t="inlineStr">
        <is>
          <t>SCA</t>
        </is>
      </c>
      <c r="G1151" t="n">
        <v>1.8</v>
      </c>
      <c r="H1151" t="n">
        <v>1</v>
      </c>
      <c r="I1151" t="n">
        <v>0</v>
      </c>
      <c r="J1151" t="n">
        <v>0</v>
      </c>
      <c r="K1151" t="n">
        <v>1</v>
      </c>
      <c r="L1151" t="n">
        <v>0</v>
      </c>
      <c r="M1151" t="n">
        <v>0</v>
      </c>
      <c r="N1151" t="n">
        <v>0</v>
      </c>
      <c r="O1151" t="n">
        <v>1</v>
      </c>
      <c r="P1151" t="n">
        <v>1</v>
      </c>
      <c r="Q1151" t="n">
        <v>1</v>
      </c>
      <c r="R1151" s="2" t="inlineStr">
        <is>
          <t>Knärot</t>
        </is>
      </c>
      <c r="S1151">
        <f>HYPERLINK("https://klasma.github.io/Logging_2283/artfynd/A 26731-2026 artfynd.xlsx", "A 26731-2026")</f>
        <v/>
      </c>
      <c r="T1151">
        <f>HYPERLINK("https://klasma.github.io/Logging_2283/kartor/A 26731-2026 karta.png", "A 26731-2026")</f>
        <v/>
      </c>
      <c r="U1151">
        <f>HYPERLINK("https://klasma.github.io/Logging_2283/knärot/A 26731-2026 karta knärot.png", "A 26731-2026")</f>
        <v/>
      </c>
      <c r="V1151">
        <f>HYPERLINK("https://klasma.github.io/Logging_2283/klagomål/A 26731-2026 FSC-klagomål.docx", "A 26731-2026")</f>
        <v/>
      </c>
      <c r="W1151">
        <f>HYPERLINK("https://klasma.github.io/Logging_2283/klagomålsmail/A 26731-2026 FSC-klagomål mail.docx", "A 26731-2026")</f>
        <v/>
      </c>
      <c r="X1151">
        <f>HYPERLINK("https://klasma.github.io/Logging_2283/tillsyn/A 26731-2026 tillsynsbegäran.docx", "A 26731-2026")</f>
        <v/>
      </c>
      <c r="Y1151">
        <f>HYPERLINK("https://klasma.github.io/Logging_2283/tillsynsmail/A 26731-2026 tillsynsbegäran mail.docx", "A 26731-2026")</f>
        <v/>
      </c>
    </row>
    <row r="1152" ht="15" customHeight="1">
      <c r="A1152" t="inlineStr">
        <is>
          <t>A 16269-2022</t>
        </is>
      </c>
      <c r="B1152" s="1" t="n">
        <v>44670</v>
      </c>
      <c r="C1152" s="1" t="n">
        <v>46185</v>
      </c>
      <c r="D1152" t="inlineStr">
        <is>
          <t>VÄSTERNORRLANDS LÄN</t>
        </is>
      </c>
      <c r="E1152" t="inlineStr">
        <is>
          <t>SOLLEFTEÅ</t>
        </is>
      </c>
      <c r="F1152" t="inlineStr">
        <is>
          <t>Holmen skog AB</t>
        </is>
      </c>
      <c r="G1152" t="n">
        <v>4.6</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HYPERLINK("https://klasma.github.io/Logging_2283/artfynd/A 16269-2022 artfynd.xlsx", "A 16269-2022")</f>
        <v/>
      </c>
      <c r="T1152">
        <f>HYPERLINK("https://klasma.github.io/Logging_2283/kartor/A 16269-2022 karta.png", "A 16269-2022")</f>
        <v/>
      </c>
      <c r="V1152">
        <f>HYPERLINK("https://klasma.github.io/Logging_2283/klagomål/A 16269-2022 FSC-klagomål.docx", "A 16269-2022")</f>
        <v/>
      </c>
      <c r="W1152">
        <f>HYPERLINK("https://klasma.github.io/Logging_2283/klagomålsmail/A 16269-2022 FSC-klagomål mail.docx", "A 16269-2022")</f>
        <v/>
      </c>
      <c r="X1152">
        <f>HYPERLINK("https://klasma.github.io/Logging_2283/tillsyn/A 16269-2022 tillsynsbegäran.docx", "A 16269-2022")</f>
        <v/>
      </c>
      <c r="Y1152">
        <f>HYPERLINK("https://klasma.github.io/Logging_2283/tillsynsmail/A 16269-2022 tillsynsbegäran mail.docx", "A 16269-2022")</f>
        <v/>
      </c>
      <c r="Z1152">
        <f>HYPERLINK("https://klasma.github.io/Logging_2283/fåglar/A 16269-2022 prioriterade fågelarter.docx", "A 16269-2022")</f>
        <v/>
      </c>
    </row>
    <row r="1153" ht="15" customHeight="1">
      <c r="A1153" t="inlineStr">
        <is>
          <t>A 21980-2026</t>
        </is>
      </c>
      <c r="B1153" s="1" t="n">
        <v>46153</v>
      </c>
      <c r="C1153" s="1" t="n">
        <v>46185</v>
      </c>
      <c r="D1153" t="inlineStr">
        <is>
          <t>VÄSTERNORRLANDS LÄN</t>
        </is>
      </c>
      <c r="E1153" t="inlineStr">
        <is>
          <t>ÖRNSKÖLDSVIK</t>
        </is>
      </c>
      <c r="F1153" t="inlineStr">
        <is>
          <t>Holmen skog AB</t>
        </is>
      </c>
      <c r="G1153" t="n">
        <v>1</v>
      </c>
      <c r="H1153" t="n">
        <v>0</v>
      </c>
      <c r="I1153" t="n">
        <v>0</v>
      </c>
      <c r="J1153" t="n">
        <v>1</v>
      </c>
      <c r="K1153" t="n">
        <v>0</v>
      </c>
      <c r="L1153" t="n">
        <v>0</v>
      </c>
      <c r="M1153" t="n">
        <v>0</v>
      </c>
      <c r="N1153" t="n">
        <v>0</v>
      </c>
      <c r="O1153" t="n">
        <v>1</v>
      </c>
      <c r="P1153" t="n">
        <v>0</v>
      </c>
      <c r="Q1153" t="n">
        <v>1</v>
      </c>
      <c r="R1153" s="2" t="inlineStr">
        <is>
          <t>Garnlav</t>
        </is>
      </c>
      <c r="S1153">
        <f>HYPERLINK("https://klasma.github.io/Logging_2284/artfynd/A 21980-2026 artfynd.xlsx", "A 21980-2026")</f>
        <v/>
      </c>
      <c r="T1153">
        <f>HYPERLINK("https://klasma.github.io/Logging_2284/kartor/A 21980-2026 karta.png", "A 21980-2026")</f>
        <v/>
      </c>
      <c r="V1153">
        <f>HYPERLINK("https://klasma.github.io/Logging_2284/klagomål/A 21980-2026 FSC-klagomål.docx", "A 21980-2026")</f>
        <v/>
      </c>
      <c r="W1153">
        <f>HYPERLINK("https://klasma.github.io/Logging_2284/klagomålsmail/A 21980-2026 FSC-klagomål mail.docx", "A 21980-2026")</f>
        <v/>
      </c>
      <c r="X1153">
        <f>HYPERLINK("https://klasma.github.io/Logging_2284/tillsyn/A 21980-2026 tillsynsbegäran.docx", "A 21980-2026")</f>
        <v/>
      </c>
      <c r="Y1153">
        <f>HYPERLINK("https://klasma.github.io/Logging_2284/tillsynsmail/A 21980-2026 tillsynsbegäran mail.docx", "A 21980-2026")</f>
        <v/>
      </c>
    </row>
    <row r="1154" ht="15" customHeight="1">
      <c r="A1154" t="inlineStr">
        <is>
          <t>A 52424-2023</t>
        </is>
      </c>
      <c r="B1154" s="1" t="n">
        <v>45217</v>
      </c>
      <c r="C1154" s="1" t="n">
        <v>46185</v>
      </c>
      <c r="D1154" t="inlineStr">
        <is>
          <t>VÄSTERNORRLANDS LÄN</t>
        </is>
      </c>
      <c r="E1154" t="inlineStr">
        <is>
          <t>ÅNGE</t>
        </is>
      </c>
      <c r="F1154" t="inlineStr">
        <is>
          <t>SCA</t>
        </is>
      </c>
      <c r="G1154" t="n">
        <v>3.8</v>
      </c>
      <c r="H1154" t="n">
        <v>1</v>
      </c>
      <c r="I1154" t="n">
        <v>0</v>
      </c>
      <c r="J1154" t="n">
        <v>0</v>
      </c>
      <c r="K1154" t="n">
        <v>0</v>
      </c>
      <c r="L1154" t="n">
        <v>0</v>
      </c>
      <c r="M1154" t="n">
        <v>0</v>
      </c>
      <c r="N1154" t="n">
        <v>0</v>
      </c>
      <c r="O1154" t="n">
        <v>0</v>
      </c>
      <c r="P1154" t="n">
        <v>0</v>
      </c>
      <c r="Q1154" t="n">
        <v>1</v>
      </c>
      <c r="R1154" s="2" t="inlineStr">
        <is>
          <t>Revlummer</t>
        </is>
      </c>
      <c r="S1154">
        <f>HYPERLINK("https://klasma.github.io/Logging_2260/artfynd/A 52424-2023 artfynd.xlsx", "A 52424-2023")</f>
        <v/>
      </c>
      <c r="T1154">
        <f>HYPERLINK("https://klasma.github.io/Logging_2260/kartor/A 52424-2023 karta.png", "A 52424-2023")</f>
        <v/>
      </c>
      <c r="V1154">
        <f>HYPERLINK("https://klasma.github.io/Logging_2260/klagomål/A 52424-2023 FSC-klagomål.docx", "A 52424-2023")</f>
        <v/>
      </c>
      <c r="W1154">
        <f>HYPERLINK("https://klasma.github.io/Logging_2260/klagomålsmail/A 52424-2023 FSC-klagomål mail.docx", "A 52424-2023")</f>
        <v/>
      </c>
      <c r="X1154">
        <f>HYPERLINK("https://klasma.github.io/Logging_2260/tillsyn/A 52424-2023 tillsynsbegäran.docx", "A 52424-2023")</f>
        <v/>
      </c>
      <c r="Y1154">
        <f>HYPERLINK("https://klasma.github.io/Logging_2260/tillsynsmail/A 52424-2023 tillsynsbegäran mail.docx", "A 52424-2023")</f>
        <v/>
      </c>
    </row>
    <row r="1155" ht="15" customHeight="1">
      <c r="A1155" t="inlineStr">
        <is>
          <t>A 13347-2024</t>
        </is>
      </c>
      <c r="B1155" s="1" t="n">
        <v>45386</v>
      </c>
      <c r="C1155" s="1" t="n">
        <v>46185</v>
      </c>
      <c r="D1155" t="inlineStr">
        <is>
          <t>VÄSTERNORRLANDS LÄN</t>
        </is>
      </c>
      <c r="E1155" t="inlineStr">
        <is>
          <t>SUNDSVALL</t>
        </is>
      </c>
      <c r="G1155" t="n">
        <v>1.6</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HYPERLINK("https://klasma.github.io/Logging_2281/artfynd/A 13347-2024 artfynd.xlsx", "A 13347-2024")</f>
        <v/>
      </c>
      <c r="T1155">
        <f>HYPERLINK("https://klasma.github.io/Logging_2281/kartor/A 13347-2024 karta.png", "A 13347-2024")</f>
        <v/>
      </c>
      <c r="V1155">
        <f>HYPERLINK("https://klasma.github.io/Logging_2281/klagomål/A 13347-2024 FSC-klagomål.docx", "A 13347-2024")</f>
        <v/>
      </c>
      <c r="W1155">
        <f>HYPERLINK("https://klasma.github.io/Logging_2281/klagomålsmail/A 13347-2024 FSC-klagomål mail.docx", "A 13347-2024")</f>
        <v/>
      </c>
      <c r="X1155">
        <f>HYPERLINK("https://klasma.github.io/Logging_2281/tillsyn/A 13347-2024 tillsynsbegäran.docx", "A 13347-2024")</f>
        <v/>
      </c>
      <c r="Y1155">
        <f>HYPERLINK("https://klasma.github.io/Logging_2281/tillsynsmail/A 13347-2024 tillsynsbegäran mail.docx", "A 13347-2024")</f>
        <v/>
      </c>
      <c r="Z1155">
        <f>HYPERLINK("https://klasma.github.io/Logging_2281/fåglar/A 13347-2024 prioriterade fågelarter.docx", "A 13347-2024")</f>
        <v/>
      </c>
    </row>
    <row r="1156" ht="15" customHeight="1">
      <c r="A1156" t="inlineStr">
        <is>
          <t>A 47948-2024</t>
        </is>
      </c>
      <c r="B1156" s="1" t="n">
        <v>45589.36137731482</v>
      </c>
      <c r="C1156" s="1" t="n">
        <v>46185</v>
      </c>
      <c r="D1156" t="inlineStr">
        <is>
          <t>VÄSTERNORRLANDS LÄN</t>
        </is>
      </c>
      <c r="E1156" t="inlineStr">
        <is>
          <t>ÖRNSKÖLDSVIK</t>
        </is>
      </c>
      <c r="F1156" t="inlineStr">
        <is>
          <t>Holmen skog AB</t>
        </is>
      </c>
      <c r="G1156" t="n">
        <v>2.3</v>
      </c>
      <c r="H1156" t="n">
        <v>0</v>
      </c>
      <c r="I1156" t="n">
        <v>0</v>
      </c>
      <c r="J1156" t="n">
        <v>1</v>
      </c>
      <c r="K1156" t="n">
        <v>0</v>
      </c>
      <c r="L1156" t="n">
        <v>0</v>
      </c>
      <c r="M1156" t="n">
        <v>0</v>
      </c>
      <c r="N1156" t="n">
        <v>0</v>
      </c>
      <c r="O1156" t="n">
        <v>1</v>
      </c>
      <c r="P1156" t="n">
        <v>0</v>
      </c>
      <c r="Q1156" t="n">
        <v>1</v>
      </c>
      <c r="R1156" s="2" t="inlineStr">
        <is>
          <t>Granticka</t>
        </is>
      </c>
      <c r="S1156">
        <f>HYPERLINK("https://klasma.github.io/Logging_2284/artfynd/A 47948-2024 artfynd.xlsx", "A 47948-2024")</f>
        <v/>
      </c>
      <c r="T1156">
        <f>HYPERLINK("https://klasma.github.io/Logging_2284/kartor/A 47948-2024 karta.png", "A 47948-2024")</f>
        <v/>
      </c>
      <c r="V1156">
        <f>HYPERLINK("https://klasma.github.io/Logging_2284/klagomål/A 47948-2024 FSC-klagomål.docx", "A 47948-2024")</f>
        <v/>
      </c>
      <c r="W1156">
        <f>HYPERLINK("https://klasma.github.io/Logging_2284/klagomålsmail/A 47948-2024 FSC-klagomål mail.docx", "A 47948-2024")</f>
        <v/>
      </c>
      <c r="X1156">
        <f>HYPERLINK("https://klasma.github.io/Logging_2284/tillsyn/A 47948-2024 tillsynsbegäran.docx", "A 47948-2024")</f>
        <v/>
      </c>
      <c r="Y1156">
        <f>HYPERLINK("https://klasma.github.io/Logging_2284/tillsynsmail/A 47948-2024 tillsynsbegäran mail.docx", "A 47948-2024")</f>
        <v/>
      </c>
    </row>
    <row r="1157" ht="15" customHeight="1">
      <c r="A1157" t="inlineStr">
        <is>
          <t>A 45721-2024</t>
        </is>
      </c>
      <c r="B1157" s="1" t="n">
        <v>45579.59434027778</v>
      </c>
      <c r="C1157" s="1" t="n">
        <v>46185</v>
      </c>
      <c r="D1157" t="inlineStr">
        <is>
          <t>VÄSTERNORRLANDS LÄN</t>
        </is>
      </c>
      <c r="E1157" t="inlineStr">
        <is>
          <t>TIMRÅ</t>
        </is>
      </c>
      <c r="F1157" t="inlineStr">
        <is>
          <t>SCA</t>
        </is>
      </c>
      <c r="G1157" t="n">
        <v>6</v>
      </c>
      <c r="H1157" t="n">
        <v>0</v>
      </c>
      <c r="I1157" t="n">
        <v>0</v>
      </c>
      <c r="J1157" t="n">
        <v>1</v>
      </c>
      <c r="K1157" t="n">
        <v>0</v>
      </c>
      <c r="L1157" t="n">
        <v>0</v>
      </c>
      <c r="M1157" t="n">
        <v>0</v>
      </c>
      <c r="N1157" t="n">
        <v>0</v>
      </c>
      <c r="O1157" t="n">
        <v>1</v>
      </c>
      <c r="P1157" t="n">
        <v>0</v>
      </c>
      <c r="Q1157" t="n">
        <v>1</v>
      </c>
      <c r="R1157" s="2" t="inlineStr">
        <is>
          <t>Gammelgransskål</t>
        </is>
      </c>
      <c r="S1157">
        <f>HYPERLINK("https://klasma.github.io/Logging_2262/artfynd/A 45721-2024 artfynd.xlsx", "A 45721-2024")</f>
        <v/>
      </c>
      <c r="T1157">
        <f>HYPERLINK("https://klasma.github.io/Logging_2262/kartor/A 45721-2024 karta.png", "A 45721-2024")</f>
        <v/>
      </c>
      <c r="V1157">
        <f>HYPERLINK("https://klasma.github.io/Logging_2262/klagomål/A 45721-2024 FSC-klagomål.docx", "A 45721-2024")</f>
        <v/>
      </c>
      <c r="W1157">
        <f>HYPERLINK("https://klasma.github.io/Logging_2262/klagomålsmail/A 45721-2024 FSC-klagomål mail.docx", "A 45721-2024")</f>
        <v/>
      </c>
      <c r="X1157">
        <f>HYPERLINK("https://klasma.github.io/Logging_2262/tillsyn/A 45721-2024 tillsynsbegäran.docx", "A 45721-2024")</f>
        <v/>
      </c>
      <c r="Y1157">
        <f>HYPERLINK("https://klasma.github.io/Logging_2262/tillsynsmail/A 45721-2024 tillsynsbegäran mail.docx", "A 45721-2024")</f>
        <v/>
      </c>
    </row>
    <row r="1158" ht="15" customHeight="1">
      <c r="A1158" t="inlineStr">
        <is>
          <t>A 54751-2021</t>
        </is>
      </c>
      <c r="B1158" s="1" t="n">
        <v>44473</v>
      </c>
      <c r="C1158" s="1" t="n">
        <v>46185</v>
      </c>
      <c r="D1158" t="inlineStr">
        <is>
          <t>VÄSTERNORRLANDS LÄN</t>
        </is>
      </c>
      <c r="E1158" t="inlineStr">
        <is>
          <t>ÅNGE</t>
        </is>
      </c>
      <c r="G1158" t="n">
        <v>6.5</v>
      </c>
      <c r="H1158" t="n">
        <v>0</v>
      </c>
      <c r="I1158" t="n">
        <v>0</v>
      </c>
      <c r="J1158" t="n">
        <v>0</v>
      </c>
      <c r="K1158" t="n">
        <v>1</v>
      </c>
      <c r="L1158" t="n">
        <v>0</v>
      </c>
      <c r="M1158" t="n">
        <v>0</v>
      </c>
      <c r="N1158" t="n">
        <v>0</v>
      </c>
      <c r="O1158" t="n">
        <v>1</v>
      </c>
      <c r="P1158" t="n">
        <v>1</v>
      </c>
      <c r="Q1158" t="n">
        <v>1</v>
      </c>
      <c r="R1158" s="2" t="inlineStr">
        <is>
          <t>Gräddporing</t>
        </is>
      </c>
      <c r="S1158">
        <f>HYPERLINK("https://klasma.github.io/Logging_2260/artfynd/A 54751-2021 artfynd.xlsx", "A 54751-2021")</f>
        <v/>
      </c>
      <c r="T1158">
        <f>HYPERLINK("https://klasma.github.io/Logging_2260/kartor/A 54751-2021 karta.png", "A 54751-2021")</f>
        <v/>
      </c>
      <c r="V1158">
        <f>HYPERLINK("https://klasma.github.io/Logging_2260/klagomål/A 54751-2021 FSC-klagomål.docx", "A 54751-2021")</f>
        <v/>
      </c>
      <c r="W1158">
        <f>HYPERLINK("https://klasma.github.io/Logging_2260/klagomålsmail/A 54751-2021 FSC-klagomål mail.docx", "A 54751-2021")</f>
        <v/>
      </c>
      <c r="X1158">
        <f>HYPERLINK("https://klasma.github.io/Logging_2260/tillsyn/A 54751-2021 tillsynsbegäran.docx", "A 54751-2021")</f>
        <v/>
      </c>
      <c r="Y1158">
        <f>HYPERLINK("https://klasma.github.io/Logging_2260/tillsynsmail/A 54751-2021 tillsynsbegäran mail.docx", "A 54751-2021")</f>
        <v/>
      </c>
    </row>
    <row r="1159" ht="15" customHeight="1">
      <c r="A1159" t="inlineStr">
        <is>
          <t>A 59895-2024</t>
        </is>
      </c>
      <c r="B1159" s="1" t="n">
        <v>45641.59408564815</v>
      </c>
      <c r="C1159" s="1" t="n">
        <v>46185</v>
      </c>
      <c r="D1159" t="inlineStr">
        <is>
          <t>VÄSTERNORRLANDS LÄN</t>
        </is>
      </c>
      <c r="E1159" t="inlineStr">
        <is>
          <t>SUNDSVALL</t>
        </is>
      </c>
      <c r="F1159" t="inlineStr">
        <is>
          <t>SCA</t>
        </is>
      </c>
      <c r="G1159" t="n">
        <v>3.4</v>
      </c>
      <c r="H1159" t="n">
        <v>1</v>
      </c>
      <c r="I1159" t="n">
        <v>0</v>
      </c>
      <c r="J1159" t="n">
        <v>0</v>
      </c>
      <c r="K1159" t="n">
        <v>1</v>
      </c>
      <c r="L1159" t="n">
        <v>0</v>
      </c>
      <c r="M1159" t="n">
        <v>0</v>
      </c>
      <c r="N1159" t="n">
        <v>0</v>
      </c>
      <c r="O1159" t="n">
        <v>1</v>
      </c>
      <c r="P1159" t="n">
        <v>1</v>
      </c>
      <c r="Q1159" t="n">
        <v>1</v>
      </c>
      <c r="R1159" s="2" t="inlineStr">
        <is>
          <t>Knärot</t>
        </is>
      </c>
      <c r="S1159">
        <f>HYPERLINK("https://klasma.github.io/Logging_2281/artfynd/A 59895-2024 artfynd.xlsx", "A 59895-2024")</f>
        <v/>
      </c>
      <c r="T1159">
        <f>HYPERLINK("https://klasma.github.io/Logging_2281/kartor/A 59895-2024 karta.png", "A 59895-2024")</f>
        <v/>
      </c>
      <c r="U1159">
        <f>HYPERLINK("https://klasma.github.io/Logging_2281/knärot/A 59895-2024 karta knärot.png", "A 59895-2024")</f>
        <v/>
      </c>
      <c r="V1159">
        <f>HYPERLINK("https://klasma.github.io/Logging_2281/klagomål/A 59895-2024 FSC-klagomål.docx", "A 59895-2024")</f>
        <v/>
      </c>
      <c r="W1159">
        <f>HYPERLINK("https://klasma.github.io/Logging_2281/klagomålsmail/A 59895-2024 FSC-klagomål mail.docx", "A 59895-2024")</f>
        <v/>
      </c>
      <c r="X1159">
        <f>HYPERLINK("https://klasma.github.io/Logging_2281/tillsyn/A 59895-2024 tillsynsbegäran.docx", "A 59895-2024")</f>
        <v/>
      </c>
      <c r="Y1159">
        <f>HYPERLINK("https://klasma.github.io/Logging_2281/tillsynsmail/A 59895-2024 tillsynsbegäran mail.docx", "A 59895-2024")</f>
        <v/>
      </c>
    </row>
    <row r="1160" ht="15" customHeight="1">
      <c r="A1160" t="inlineStr">
        <is>
          <t>A 7153-2024</t>
        </is>
      </c>
      <c r="B1160" s="1" t="n">
        <v>45344</v>
      </c>
      <c r="C1160" s="1" t="n">
        <v>46185</v>
      </c>
      <c r="D1160" t="inlineStr">
        <is>
          <t>VÄSTERNORRLANDS LÄN</t>
        </is>
      </c>
      <c r="E1160" t="inlineStr">
        <is>
          <t>KRAMFORS</t>
        </is>
      </c>
      <c r="G1160" t="n">
        <v>7.6</v>
      </c>
      <c r="H1160" t="n">
        <v>0</v>
      </c>
      <c r="I1160" t="n">
        <v>0</v>
      </c>
      <c r="J1160" t="n">
        <v>1</v>
      </c>
      <c r="K1160" t="n">
        <v>0</v>
      </c>
      <c r="L1160" t="n">
        <v>0</v>
      </c>
      <c r="M1160" t="n">
        <v>0</v>
      </c>
      <c r="N1160" t="n">
        <v>0</v>
      </c>
      <c r="O1160" t="n">
        <v>1</v>
      </c>
      <c r="P1160" t="n">
        <v>0</v>
      </c>
      <c r="Q1160" t="n">
        <v>1</v>
      </c>
      <c r="R1160" s="2" t="inlineStr">
        <is>
          <t>Luddfingersvamp</t>
        </is>
      </c>
      <c r="S1160">
        <f>HYPERLINK("https://klasma.github.io/Logging_2282/artfynd/A 7153-2024 artfynd.xlsx", "A 7153-2024")</f>
        <v/>
      </c>
      <c r="T1160">
        <f>HYPERLINK("https://klasma.github.io/Logging_2282/kartor/A 7153-2024 karta.png", "A 7153-2024")</f>
        <v/>
      </c>
      <c r="V1160">
        <f>HYPERLINK("https://klasma.github.io/Logging_2282/klagomål/A 7153-2024 FSC-klagomål.docx", "A 7153-2024")</f>
        <v/>
      </c>
      <c r="W1160">
        <f>HYPERLINK("https://klasma.github.io/Logging_2282/klagomålsmail/A 7153-2024 FSC-klagomål mail.docx", "A 7153-2024")</f>
        <v/>
      </c>
      <c r="X1160">
        <f>HYPERLINK("https://klasma.github.io/Logging_2282/tillsyn/A 7153-2024 tillsynsbegäran.docx", "A 7153-2024")</f>
        <v/>
      </c>
      <c r="Y1160">
        <f>HYPERLINK("https://klasma.github.io/Logging_2282/tillsynsmail/A 7153-2024 tillsynsbegäran mail.docx", "A 7153-2024")</f>
        <v/>
      </c>
    </row>
    <row r="1161" ht="15" customHeight="1">
      <c r="A1161" t="inlineStr">
        <is>
          <t>A 40214-2024</t>
        </is>
      </c>
      <c r="B1161" s="1" t="n">
        <v>45554.59460648148</v>
      </c>
      <c r="C1161" s="1" t="n">
        <v>46185</v>
      </c>
      <c r="D1161" t="inlineStr">
        <is>
          <t>VÄSTERNORRLANDS LÄN</t>
        </is>
      </c>
      <c r="E1161" t="inlineStr">
        <is>
          <t>ÅNGE</t>
        </is>
      </c>
      <c r="F1161" t="inlineStr">
        <is>
          <t>SCA</t>
        </is>
      </c>
      <c r="G1161" t="n">
        <v>7.7</v>
      </c>
      <c r="H1161" t="n">
        <v>0</v>
      </c>
      <c r="I1161" t="n">
        <v>0</v>
      </c>
      <c r="J1161" t="n">
        <v>1</v>
      </c>
      <c r="K1161" t="n">
        <v>0</v>
      </c>
      <c r="L1161" t="n">
        <v>0</v>
      </c>
      <c r="M1161" t="n">
        <v>0</v>
      </c>
      <c r="N1161" t="n">
        <v>0</v>
      </c>
      <c r="O1161" t="n">
        <v>1</v>
      </c>
      <c r="P1161" t="n">
        <v>0</v>
      </c>
      <c r="Q1161" t="n">
        <v>1</v>
      </c>
      <c r="R1161" s="2" t="inlineStr">
        <is>
          <t>Lunglav</t>
        </is>
      </c>
      <c r="S1161">
        <f>HYPERLINK("https://klasma.github.io/Logging_2260/artfynd/A 40214-2024 artfynd.xlsx", "A 40214-2024")</f>
        <v/>
      </c>
      <c r="T1161">
        <f>HYPERLINK("https://klasma.github.io/Logging_2260/kartor/A 40214-2024 karta.png", "A 40214-2024")</f>
        <v/>
      </c>
      <c r="V1161">
        <f>HYPERLINK("https://klasma.github.io/Logging_2260/klagomål/A 40214-2024 FSC-klagomål.docx", "A 40214-2024")</f>
        <v/>
      </c>
      <c r="W1161">
        <f>HYPERLINK("https://klasma.github.io/Logging_2260/klagomålsmail/A 40214-2024 FSC-klagomål mail.docx", "A 40214-2024")</f>
        <v/>
      </c>
      <c r="X1161">
        <f>HYPERLINK("https://klasma.github.io/Logging_2260/tillsyn/A 40214-2024 tillsynsbegäran.docx", "A 40214-2024")</f>
        <v/>
      </c>
      <c r="Y1161">
        <f>HYPERLINK("https://klasma.github.io/Logging_2260/tillsynsmail/A 40214-2024 tillsynsbegäran mail.docx", "A 40214-2024")</f>
        <v/>
      </c>
    </row>
    <row r="1162" ht="15" customHeight="1">
      <c r="A1162" t="inlineStr">
        <is>
          <t>A 40265-2024</t>
        </is>
      </c>
      <c r="B1162" s="1" t="n">
        <v>45554.63729166667</v>
      </c>
      <c r="C1162" s="1" t="n">
        <v>46185</v>
      </c>
      <c r="D1162" t="inlineStr">
        <is>
          <t>VÄSTERNORRLANDS LÄN</t>
        </is>
      </c>
      <c r="E1162" t="inlineStr">
        <is>
          <t>HÄRNÖSAND</t>
        </is>
      </c>
      <c r="G1162" t="n">
        <v>4.9</v>
      </c>
      <c r="H1162" t="n">
        <v>0</v>
      </c>
      <c r="I1162" t="n">
        <v>1</v>
      </c>
      <c r="J1162" t="n">
        <v>0</v>
      </c>
      <c r="K1162" t="n">
        <v>0</v>
      </c>
      <c r="L1162" t="n">
        <v>0</v>
      </c>
      <c r="M1162" t="n">
        <v>0</v>
      </c>
      <c r="N1162" t="n">
        <v>0</v>
      </c>
      <c r="O1162" t="n">
        <v>0</v>
      </c>
      <c r="P1162" t="n">
        <v>0</v>
      </c>
      <c r="Q1162" t="n">
        <v>1</v>
      </c>
      <c r="R1162" s="2" t="inlineStr">
        <is>
          <t>Stor aspticka</t>
        </is>
      </c>
      <c r="S1162">
        <f>HYPERLINK("https://klasma.github.io/Logging_2280/artfynd/A 40265-2024 artfynd.xlsx", "A 40265-2024")</f>
        <v/>
      </c>
      <c r="T1162">
        <f>HYPERLINK("https://klasma.github.io/Logging_2280/kartor/A 40265-2024 karta.png", "A 40265-2024")</f>
        <v/>
      </c>
      <c r="V1162">
        <f>HYPERLINK("https://klasma.github.io/Logging_2280/klagomål/A 40265-2024 FSC-klagomål.docx", "A 40265-2024")</f>
        <v/>
      </c>
      <c r="W1162">
        <f>HYPERLINK("https://klasma.github.io/Logging_2280/klagomålsmail/A 40265-2024 FSC-klagomål mail.docx", "A 40265-2024")</f>
        <v/>
      </c>
      <c r="X1162">
        <f>HYPERLINK("https://klasma.github.io/Logging_2280/tillsyn/A 40265-2024 tillsynsbegäran.docx", "A 40265-2024")</f>
        <v/>
      </c>
      <c r="Y1162">
        <f>HYPERLINK("https://klasma.github.io/Logging_2280/tillsynsmail/A 40265-2024 tillsynsbegäran mail.docx", "A 40265-2024")</f>
        <v/>
      </c>
    </row>
    <row r="1163" ht="15" customHeight="1">
      <c r="A1163" t="inlineStr">
        <is>
          <t>A 7904-2024</t>
        </is>
      </c>
      <c r="B1163" s="1" t="n">
        <v>45349</v>
      </c>
      <c r="C1163" s="1" t="n">
        <v>46185</v>
      </c>
      <c r="D1163" t="inlineStr">
        <is>
          <t>VÄSTERNORRLANDS LÄN</t>
        </is>
      </c>
      <c r="E1163" t="inlineStr">
        <is>
          <t>TIMRÅ</t>
        </is>
      </c>
      <c r="G1163" t="n">
        <v>7.3</v>
      </c>
      <c r="H1163" t="n">
        <v>1</v>
      </c>
      <c r="I1163" t="n">
        <v>0</v>
      </c>
      <c r="J1163" t="n">
        <v>0</v>
      </c>
      <c r="K1163" t="n">
        <v>1</v>
      </c>
      <c r="L1163" t="n">
        <v>0</v>
      </c>
      <c r="M1163" t="n">
        <v>0</v>
      </c>
      <c r="N1163" t="n">
        <v>0</v>
      </c>
      <c r="O1163" t="n">
        <v>1</v>
      </c>
      <c r="P1163" t="n">
        <v>1</v>
      </c>
      <c r="Q1163" t="n">
        <v>1</v>
      </c>
      <c r="R1163" s="2" t="inlineStr">
        <is>
          <t>Bergviol</t>
        </is>
      </c>
      <c r="S1163">
        <f>HYPERLINK("https://klasma.github.io/Logging_2262/artfynd/A 7904-2024 artfynd.xlsx", "A 7904-2024")</f>
        <v/>
      </c>
      <c r="T1163">
        <f>HYPERLINK("https://klasma.github.io/Logging_2262/kartor/A 7904-2024 karta.png", "A 7904-2024")</f>
        <v/>
      </c>
      <c r="V1163">
        <f>HYPERLINK("https://klasma.github.io/Logging_2262/klagomål/A 7904-2024 FSC-klagomål.docx", "A 7904-2024")</f>
        <v/>
      </c>
      <c r="W1163">
        <f>HYPERLINK("https://klasma.github.io/Logging_2262/klagomålsmail/A 7904-2024 FSC-klagomål mail.docx", "A 7904-2024")</f>
        <v/>
      </c>
      <c r="X1163">
        <f>HYPERLINK("https://klasma.github.io/Logging_2262/tillsyn/A 7904-2024 tillsynsbegäran.docx", "A 7904-2024")</f>
        <v/>
      </c>
      <c r="Y1163">
        <f>HYPERLINK("https://klasma.github.io/Logging_2262/tillsynsmail/A 7904-2024 tillsynsbegäran mail.docx", "A 7904-2024")</f>
        <v/>
      </c>
    </row>
    <row r="1164" ht="15" customHeight="1">
      <c r="A1164" t="inlineStr">
        <is>
          <t>A 517-2025</t>
        </is>
      </c>
      <c r="B1164" s="1" t="n">
        <v>45664.47754629629</v>
      </c>
      <c r="C1164" s="1" t="n">
        <v>46185</v>
      </c>
      <c r="D1164" t="inlineStr">
        <is>
          <t>VÄSTERNORRLANDS LÄN</t>
        </is>
      </c>
      <c r="E1164" t="inlineStr">
        <is>
          <t>KRAMFORS</t>
        </is>
      </c>
      <c r="G1164" t="n">
        <v>1.7</v>
      </c>
      <c r="H1164" t="n">
        <v>0</v>
      </c>
      <c r="I1164" t="n">
        <v>0</v>
      </c>
      <c r="J1164" t="n">
        <v>1</v>
      </c>
      <c r="K1164" t="n">
        <v>0</v>
      </c>
      <c r="L1164" t="n">
        <v>0</v>
      </c>
      <c r="M1164" t="n">
        <v>0</v>
      </c>
      <c r="N1164" t="n">
        <v>0</v>
      </c>
      <c r="O1164" t="n">
        <v>1</v>
      </c>
      <c r="P1164" t="n">
        <v>0</v>
      </c>
      <c r="Q1164" t="n">
        <v>1</v>
      </c>
      <c r="R1164" s="2" t="inlineStr">
        <is>
          <t>Storplattnos</t>
        </is>
      </c>
      <c r="S1164">
        <f>HYPERLINK("https://klasma.github.io/Logging_2282/artfynd/A 517-2025 artfynd.xlsx", "A 517-2025")</f>
        <v/>
      </c>
      <c r="T1164">
        <f>HYPERLINK("https://klasma.github.io/Logging_2282/kartor/A 517-2025 karta.png", "A 517-2025")</f>
        <v/>
      </c>
      <c r="V1164">
        <f>HYPERLINK("https://klasma.github.io/Logging_2282/klagomål/A 517-2025 FSC-klagomål.docx", "A 517-2025")</f>
        <v/>
      </c>
      <c r="W1164">
        <f>HYPERLINK("https://klasma.github.io/Logging_2282/klagomålsmail/A 517-2025 FSC-klagomål mail.docx", "A 517-2025")</f>
        <v/>
      </c>
      <c r="X1164">
        <f>HYPERLINK("https://klasma.github.io/Logging_2282/tillsyn/A 517-2025 tillsynsbegäran.docx", "A 517-2025")</f>
        <v/>
      </c>
      <c r="Y1164">
        <f>HYPERLINK("https://klasma.github.io/Logging_2282/tillsynsmail/A 517-2025 tillsynsbegäran mail.docx", "A 517-2025")</f>
        <v/>
      </c>
    </row>
    <row r="1165" ht="15" customHeight="1">
      <c r="A1165" t="inlineStr">
        <is>
          <t>A 39180-2024</t>
        </is>
      </c>
      <c r="B1165" s="1" t="n">
        <v>45548.6571412037</v>
      </c>
      <c r="C1165" s="1" t="n">
        <v>46185</v>
      </c>
      <c r="D1165" t="inlineStr">
        <is>
          <t>VÄSTERNORRLANDS LÄN</t>
        </is>
      </c>
      <c r="E1165" t="inlineStr">
        <is>
          <t>ÅNGE</t>
        </is>
      </c>
      <c r="F1165" t="inlineStr">
        <is>
          <t>SCA</t>
        </is>
      </c>
      <c r="G1165" t="n">
        <v>8.699999999999999</v>
      </c>
      <c r="H1165" t="n">
        <v>0</v>
      </c>
      <c r="I1165" t="n">
        <v>0</v>
      </c>
      <c r="J1165" t="n">
        <v>1</v>
      </c>
      <c r="K1165" t="n">
        <v>0</v>
      </c>
      <c r="L1165" t="n">
        <v>0</v>
      </c>
      <c r="M1165" t="n">
        <v>0</v>
      </c>
      <c r="N1165" t="n">
        <v>0</v>
      </c>
      <c r="O1165" t="n">
        <v>1</v>
      </c>
      <c r="P1165" t="n">
        <v>0</v>
      </c>
      <c r="Q1165" t="n">
        <v>1</v>
      </c>
      <c r="R1165" s="2" t="inlineStr">
        <is>
          <t>Lunglav</t>
        </is>
      </c>
      <c r="S1165">
        <f>HYPERLINK("https://klasma.github.io/Logging_2260/artfynd/A 39180-2024 artfynd.xlsx", "A 39180-2024")</f>
        <v/>
      </c>
      <c r="T1165">
        <f>HYPERLINK("https://klasma.github.io/Logging_2260/kartor/A 39180-2024 karta.png", "A 39180-2024")</f>
        <v/>
      </c>
      <c r="V1165">
        <f>HYPERLINK("https://klasma.github.io/Logging_2260/klagomål/A 39180-2024 FSC-klagomål.docx", "A 39180-2024")</f>
        <v/>
      </c>
      <c r="W1165">
        <f>HYPERLINK("https://klasma.github.io/Logging_2260/klagomålsmail/A 39180-2024 FSC-klagomål mail.docx", "A 39180-2024")</f>
        <v/>
      </c>
      <c r="X1165">
        <f>HYPERLINK("https://klasma.github.io/Logging_2260/tillsyn/A 39180-2024 tillsynsbegäran.docx", "A 39180-2024")</f>
        <v/>
      </c>
      <c r="Y1165">
        <f>HYPERLINK("https://klasma.github.io/Logging_2260/tillsynsmail/A 39180-2024 tillsynsbegäran mail.docx", "A 39180-2024")</f>
        <v/>
      </c>
    </row>
    <row r="1166" ht="15" customHeight="1">
      <c r="A1166" t="inlineStr">
        <is>
          <t>A 15346-2023</t>
        </is>
      </c>
      <c r="B1166" s="1" t="n">
        <v>45016</v>
      </c>
      <c r="C1166" s="1" t="n">
        <v>46185</v>
      </c>
      <c r="D1166" t="inlineStr">
        <is>
          <t>VÄSTERNORRLANDS LÄN</t>
        </is>
      </c>
      <c r="E1166" t="inlineStr">
        <is>
          <t>SUNDSVALL</t>
        </is>
      </c>
      <c r="G1166" t="n">
        <v>3.8</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HYPERLINK("https://klasma.github.io/Logging_2281/artfynd/A 15346-2023 artfynd.xlsx", "A 15346-2023")</f>
        <v/>
      </c>
      <c r="T1166">
        <f>HYPERLINK("https://klasma.github.io/Logging_2281/kartor/A 15346-2023 karta.png", "A 15346-2023")</f>
        <v/>
      </c>
      <c r="V1166">
        <f>HYPERLINK("https://klasma.github.io/Logging_2281/klagomål/A 15346-2023 FSC-klagomål.docx", "A 15346-2023")</f>
        <v/>
      </c>
      <c r="W1166">
        <f>HYPERLINK("https://klasma.github.io/Logging_2281/klagomålsmail/A 15346-2023 FSC-klagomål mail.docx", "A 15346-2023")</f>
        <v/>
      </c>
      <c r="X1166">
        <f>HYPERLINK("https://klasma.github.io/Logging_2281/tillsyn/A 15346-2023 tillsynsbegäran.docx", "A 15346-2023")</f>
        <v/>
      </c>
      <c r="Y1166">
        <f>HYPERLINK("https://klasma.github.io/Logging_2281/tillsynsmail/A 15346-2023 tillsynsbegäran mail.docx", "A 15346-2023")</f>
        <v/>
      </c>
      <c r="Z1166">
        <f>HYPERLINK("https://klasma.github.io/Logging_2281/fåglar/A 15346-2023 prioriterade fågelarter.docx", "A 15346-2023")</f>
        <v/>
      </c>
    </row>
    <row r="1167" ht="15" customHeight="1">
      <c r="A1167" t="inlineStr">
        <is>
          <t>A 57242-2022</t>
        </is>
      </c>
      <c r="B1167" s="1" t="n">
        <v>44889</v>
      </c>
      <c r="C1167" s="1" t="n">
        <v>46185</v>
      </c>
      <c r="D1167" t="inlineStr">
        <is>
          <t>VÄSTERNORRLANDS LÄN</t>
        </is>
      </c>
      <c r="E1167" t="inlineStr">
        <is>
          <t>TIMRÅ</t>
        </is>
      </c>
      <c r="G1167" t="n">
        <v>18.8</v>
      </c>
      <c r="H1167" t="n">
        <v>0</v>
      </c>
      <c r="I1167" t="n">
        <v>0</v>
      </c>
      <c r="J1167" t="n">
        <v>0</v>
      </c>
      <c r="K1167" t="n">
        <v>0</v>
      </c>
      <c r="L1167" t="n">
        <v>1</v>
      </c>
      <c r="M1167" t="n">
        <v>0</v>
      </c>
      <c r="N1167" t="n">
        <v>0</v>
      </c>
      <c r="O1167" t="n">
        <v>1</v>
      </c>
      <c r="P1167" t="n">
        <v>1</v>
      </c>
      <c r="Q1167" t="n">
        <v>1</v>
      </c>
      <c r="R1167" s="2" t="inlineStr">
        <is>
          <t>Flodpärlmussla</t>
        </is>
      </c>
      <c r="S1167">
        <f>HYPERLINK("https://klasma.github.io/Logging_2262/artfynd/A 57242-2022 artfynd.xlsx", "A 57242-2022")</f>
        <v/>
      </c>
      <c r="T1167">
        <f>HYPERLINK("https://klasma.github.io/Logging_2262/kartor/A 57242-2022 karta.png", "A 57242-2022")</f>
        <v/>
      </c>
      <c r="V1167">
        <f>HYPERLINK("https://klasma.github.io/Logging_2262/klagomål/A 57242-2022 FSC-klagomål.docx", "A 57242-2022")</f>
        <v/>
      </c>
      <c r="W1167">
        <f>HYPERLINK("https://klasma.github.io/Logging_2262/klagomålsmail/A 57242-2022 FSC-klagomål mail.docx", "A 57242-2022")</f>
        <v/>
      </c>
      <c r="X1167">
        <f>HYPERLINK("https://klasma.github.io/Logging_2262/tillsyn/A 57242-2022 tillsynsbegäran.docx", "A 57242-2022")</f>
        <v/>
      </c>
      <c r="Y1167">
        <f>HYPERLINK("https://klasma.github.io/Logging_2262/tillsynsmail/A 57242-2022 tillsynsbegäran mail.docx", "A 57242-2022")</f>
        <v/>
      </c>
    </row>
    <row r="1168" ht="15" customHeight="1">
      <c r="A1168" t="inlineStr">
        <is>
          <t>A 49367-2024</t>
        </is>
      </c>
      <c r="B1168" s="1" t="n">
        <v>45595.63591435185</v>
      </c>
      <c r="C1168" s="1" t="n">
        <v>46185</v>
      </c>
      <c r="D1168" t="inlineStr">
        <is>
          <t>VÄSTERNORRLANDS LÄN</t>
        </is>
      </c>
      <c r="E1168" t="inlineStr">
        <is>
          <t>SOLLEFTEÅ</t>
        </is>
      </c>
      <c r="F1168" t="inlineStr">
        <is>
          <t>SCA</t>
        </is>
      </c>
      <c r="G1168" t="n">
        <v>1.6</v>
      </c>
      <c r="H1168" t="n">
        <v>1</v>
      </c>
      <c r="I1168" t="n">
        <v>0</v>
      </c>
      <c r="J1168" t="n">
        <v>0</v>
      </c>
      <c r="K1168" t="n">
        <v>1</v>
      </c>
      <c r="L1168" t="n">
        <v>0</v>
      </c>
      <c r="M1168" t="n">
        <v>0</v>
      </c>
      <c r="N1168" t="n">
        <v>0</v>
      </c>
      <c r="O1168" t="n">
        <v>1</v>
      </c>
      <c r="P1168" t="n">
        <v>1</v>
      </c>
      <c r="Q1168" t="n">
        <v>1</v>
      </c>
      <c r="R1168" s="2" t="inlineStr">
        <is>
          <t>Knärot</t>
        </is>
      </c>
      <c r="S1168">
        <f>HYPERLINK("https://klasma.github.io/Logging_2283/artfynd/A 49367-2024 artfynd.xlsx", "A 49367-2024")</f>
        <v/>
      </c>
      <c r="T1168">
        <f>HYPERLINK("https://klasma.github.io/Logging_2283/kartor/A 49367-2024 karta.png", "A 49367-2024")</f>
        <v/>
      </c>
      <c r="U1168">
        <f>HYPERLINK("https://klasma.github.io/Logging_2283/knärot/A 49367-2024 karta knärot.png", "A 49367-2024")</f>
        <v/>
      </c>
      <c r="V1168">
        <f>HYPERLINK("https://klasma.github.io/Logging_2283/klagomål/A 49367-2024 FSC-klagomål.docx", "A 49367-2024")</f>
        <v/>
      </c>
      <c r="W1168">
        <f>HYPERLINK("https://klasma.github.io/Logging_2283/klagomålsmail/A 49367-2024 FSC-klagomål mail.docx", "A 49367-2024")</f>
        <v/>
      </c>
      <c r="X1168">
        <f>HYPERLINK("https://klasma.github.io/Logging_2283/tillsyn/A 49367-2024 tillsynsbegäran.docx", "A 49367-2024")</f>
        <v/>
      </c>
      <c r="Y1168">
        <f>HYPERLINK("https://klasma.github.io/Logging_2283/tillsynsmail/A 49367-2024 tillsynsbegäran mail.docx", "A 49367-2024")</f>
        <v/>
      </c>
    </row>
    <row r="1169" ht="15" customHeight="1">
      <c r="A1169" t="inlineStr">
        <is>
          <t>A 35295-2023</t>
        </is>
      </c>
      <c r="B1169" s="1" t="n">
        <v>45145</v>
      </c>
      <c r="C1169" s="1" t="n">
        <v>46185</v>
      </c>
      <c r="D1169" t="inlineStr">
        <is>
          <t>VÄSTERNORRLANDS LÄN</t>
        </is>
      </c>
      <c r="E1169" t="inlineStr">
        <is>
          <t>SOLLEFTEÅ</t>
        </is>
      </c>
      <c r="F1169" t="inlineStr">
        <is>
          <t>SCA</t>
        </is>
      </c>
      <c r="G1169" t="n">
        <v>8.9</v>
      </c>
      <c r="H1169" t="n">
        <v>1</v>
      </c>
      <c r="I1169" t="n">
        <v>0</v>
      </c>
      <c r="J1169" t="n">
        <v>1</v>
      </c>
      <c r="K1169" t="n">
        <v>0</v>
      </c>
      <c r="L1169" t="n">
        <v>0</v>
      </c>
      <c r="M1169" t="n">
        <v>0</v>
      </c>
      <c r="N1169" t="n">
        <v>0</v>
      </c>
      <c r="O1169" t="n">
        <v>1</v>
      </c>
      <c r="P1169" t="n">
        <v>0</v>
      </c>
      <c r="Q1169" t="n">
        <v>1</v>
      </c>
      <c r="R1169" s="2" t="inlineStr">
        <is>
          <t>Talltita</t>
        </is>
      </c>
      <c r="S1169">
        <f>HYPERLINK("https://klasma.github.io/Logging_2283/artfynd/A 35295-2023 artfynd.xlsx", "A 35295-2023")</f>
        <v/>
      </c>
      <c r="T1169">
        <f>HYPERLINK("https://klasma.github.io/Logging_2283/kartor/A 35295-2023 karta.png", "A 35295-2023")</f>
        <v/>
      </c>
      <c r="V1169">
        <f>HYPERLINK("https://klasma.github.io/Logging_2283/klagomål/A 35295-2023 FSC-klagomål.docx", "A 35295-2023")</f>
        <v/>
      </c>
      <c r="W1169">
        <f>HYPERLINK("https://klasma.github.io/Logging_2283/klagomålsmail/A 35295-2023 FSC-klagomål mail.docx", "A 35295-2023")</f>
        <v/>
      </c>
      <c r="X1169">
        <f>HYPERLINK("https://klasma.github.io/Logging_2283/tillsyn/A 35295-2023 tillsynsbegäran.docx", "A 35295-2023")</f>
        <v/>
      </c>
      <c r="Y1169">
        <f>HYPERLINK("https://klasma.github.io/Logging_2283/tillsynsmail/A 35295-2023 tillsynsbegäran mail.docx", "A 35295-2023")</f>
        <v/>
      </c>
      <c r="Z1169">
        <f>HYPERLINK("https://klasma.github.io/Logging_2283/fåglar/A 35295-2023 prioriterade fågelarter.docx", "A 35295-2023")</f>
        <v/>
      </c>
    </row>
    <row r="1170" ht="15" customHeight="1">
      <c r="A1170" t="inlineStr">
        <is>
          <t>A 7264-2025</t>
        </is>
      </c>
      <c r="B1170" s="1" t="n">
        <v>45702.59416666667</v>
      </c>
      <c r="C1170" s="1" t="n">
        <v>46185</v>
      </c>
      <c r="D1170" t="inlineStr">
        <is>
          <t>VÄSTERNORRLANDS LÄN</t>
        </is>
      </c>
      <c r="E1170" t="inlineStr">
        <is>
          <t>SUNDSVALL</t>
        </is>
      </c>
      <c r="F1170" t="inlineStr">
        <is>
          <t>SCA</t>
        </is>
      </c>
      <c r="G1170" t="n">
        <v>2.1</v>
      </c>
      <c r="H1170" t="n">
        <v>0</v>
      </c>
      <c r="I1170" t="n">
        <v>0</v>
      </c>
      <c r="J1170" t="n">
        <v>1</v>
      </c>
      <c r="K1170" t="n">
        <v>0</v>
      </c>
      <c r="L1170" t="n">
        <v>0</v>
      </c>
      <c r="M1170" t="n">
        <v>0</v>
      </c>
      <c r="N1170" t="n">
        <v>0</v>
      </c>
      <c r="O1170" t="n">
        <v>1</v>
      </c>
      <c r="P1170" t="n">
        <v>0</v>
      </c>
      <c r="Q1170" t="n">
        <v>1</v>
      </c>
      <c r="R1170" s="2" t="inlineStr">
        <is>
          <t>Ullticka</t>
        </is>
      </c>
      <c r="S1170">
        <f>HYPERLINK("https://klasma.github.io/Logging_2281/artfynd/A 7264-2025 artfynd.xlsx", "A 7264-2025")</f>
        <v/>
      </c>
      <c r="T1170">
        <f>HYPERLINK("https://klasma.github.io/Logging_2281/kartor/A 7264-2025 karta.png", "A 7264-2025")</f>
        <v/>
      </c>
      <c r="U1170">
        <f>HYPERLINK("https://klasma.github.io/Logging_2281/knärot/A 7264-2025 karta knärot.png", "A 7264-2025")</f>
        <v/>
      </c>
      <c r="V1170">
        <f>HYPERLINK("https://klasma.github.io/Logging_2281/klagomål/A 7264-2025 FSC-klagomål.docx", "A 7264-2025")</f>
        <v/>
      </c>
      <c r="W1170">
        <f>HYPERLINK("https://klasma.github.io/Logging_2281/klagomålsmail/A 7264-2025 FSC-klagomål mail.docx", "A 7264-2025")</f>
        <v/>
      </c>
      <c r="X1170">
        <f>HYPERLINK("https://klasma.github.io/Logging_2281/tillsyn/A 7264-2025 tillsynsbegäran.docx", "A 7264-2025")</f>
        <v/>
      </c>
      <c r="Y1170">
        <f>HYPERLINK("https://klasma.github.io/Logging_2281/tillsynsmail/A 7264-2025 tillsynsbegäran mail.docx", "A 7264-2025")</f>
        <v/>
      </c>
    </row>
    <row r="1171" ht="15" customHeight="1">
      <c r="A1171" t="inlineStr">
        <is>
          <t>A 39933-2022</t>
        </is>
      </c>
      <c r="B1171" s="1" t="n">
        <v>44819</v>
      </c>
      <c r="C1171" s="1" t="n">
        <v>46185</v>
      </c>
      <c r="D1171" t="inlineStr">
        <is>
          <t>VÄSTERNORRLANDS LÄN</t>
        </is>
      </c>
      <c r="E1171" t="inlineStr">
        <is>
          <t>ÅNGE</t>
        </is>
      </c>
      <c r="F1171" t="inlineStr">
        <is>
          <t>SCA</t>
        </is>
      </c>
      <c r="G1171" t="n">
        <v>13.8</v>
      </c>
      <c r="H1171" t="n">
        <v>1</v>
      </c>
      <c r="I1171" t="n">
        <v>0</v>
      </c>
      <c r="J1171" t="n">
        <v>0</v>
      </c>
      <c r="K1171" t="n">
        <v>1</v>
      </c>
      <c r="L1171" t="n">
        <v>0</v>
      </c>
      <c r="M1171" t="n">
        <v>0</v>
      </c>
      <c r="N1171" t="n">
        <v>0</v>
      </c>
      <c r="O1171" t="n">
        <v>1</v>
      </c>
      <c r="P1171" t="n">
        <v>1</v>
      </c>
      <c r="Q1171" t="n">
        <v>1</v>
      </c>
      <c r="R1171" s="2" t="inlineStr">
        <is>
          <t>Knärot</t>
        </is>
      </c>
      <c r="S1171">
        <f>HYPERLINK("https://klasma.github.io/Logging_2260/artfynd/A 39933-2022 artfynd.xlsx", "A 39933-2022")</f>
        <v/>
      </c>
      <c r="T1171">
        <f>HYPERLINK("https://klasma.github.io/Logging_2260/kartor/A 39933-2022 karta.png", "A 39933-2022")</f>
        <v/>
      </c>
      <c r="U1171">
        <f>HYPERLINK("https://klasma.github.io/Logging_2260/knärot/A 39933-2022 karta knärot.png", "A 39933-2022")</f>
        <v/>
      </c>
      <c r="V1171">
        <f>HYPERLINK("https://klasma.github.io/Logging_2260/klagomål/A 39933-2022 FSC-klagomål.docx", "A 39933-2022")</f>
        <v/>
      </c>
      <c r="W1171">
        <f>HYPERLINK("https://klasma.github.io/Logging_2260/klagomålsmail/A 39933-2022 FSC-klagomål mail.docx", "A 39933-2022")</f>
        <v/>
      </c>
      <c r="X1171">
        <f>HYPERLINK("https://klasma.github.io/Logging_2260/tillsyn/A 39933-2022 tillsynsbegäran.docx", "A 39933-2022")</f>
        <v/>
      </c>
      <c r="Y1171">
        <f>HYPERLINK("https://klasma.github.io/Logging_2260/tillsynsmail/A 39933-2022 tillsynsbegäran mail.docx", "A 39933-2022")</f>
        <v/>
      </c>
    </row>
    <row r="1172" ht="15" customHeight="1">
      <c r="A1172" t="inlineStr">
        <is>
          <t>A 9584-2023</t>
        </is>
      </c>
      <c r="B1172" s="1" t="n">
        <v>44982</v>
      </c>
      <c r="C1172" s="1" t="n">
        <v>46185</v>
      </c>
      <c r="D1172" t="inlineStr">
        <is>
          <t>VÄSTERNORRLANDS LÄN</t>
        </is>
      </c>
      <c r="E1172" t="inlineStr">
        <is>
          <t>SUNDSVALL</t>
        </is>
      </c>
      <c r="F1172" t="inlineStr">
        <is>
          <t>SCA</t>
        </is>
      </c>
      <c r="G1172" t="n">
        <v>3.7</v>
      </c>
      <c r="H1172" t="n">
        <v>1</v>
      </c>
      <c r="I1172" t="n">
        <v>0</v>
      </c>
      <c r="J1172" t="n">
        <v>0</v>
      </c>
      <c r="K1172" t="n">
        <v>0</v>
      </c>
      <c r="L1172" t="n">
        <v>0</v>
      </c>
      <c r="M1172" t="n">
        <v>0</v>
      </c>
      <c r="N1172" t="n">
        <v>0</v>
      </c>
      <c r="O1172" t="n">
        <v>0</v>
      </c>
      <c r="P1172" t="n">
        <v>0</v>
      </c>
      <c r="Q1172" t="n">
        <v>1</v>
      </c>
      <c r="R1172" s="2" t="inlineStr">
        <is>
          <t>Orre</t>
        </is>
      </c>
      <c r="S1172">
        <f>HYPERLINK("https://klasma.github.io/Logging_2281/artfynd/A 9584-2023 artfynd.xlsx", "A 9584-2023")</f>
        <v/>
      </c>
      <c r="T1172">
        <f>HYPERLINK("https://klasma.github.io/Logging_2281/kartor/A 9584-2023 karta.png", "A 9584-2023")</f>
        <v/>
      </c>
      <c r="V1172">
        <f>HYPERLINK("https://klasma.github.io/Logging_2281/klagomål/A 9584-2023 FSC-klagomål.docx", "A 9584-2023")</f>
        <v/>
      </c>
      <c r="W1172">
        <f>HYPERLINK("https://klasma.github.io/Logging_2281/klagomålsmail/A 9584-2023 FSC-klagomål mail.docx", "A 9584-2023")</f>
        <v/>
      </c>
      <c r="X1172">
        <f>HYPERLINK("https://klasma.github.io/Logging_2281/tillsyn/A 9584-2023 tillsynsbegäran.docx", "A 9584-2023")</f>
        <v/>
      </c>
      <c r="Y1172">
        <f>HYPERLINK("https://klasma.github.io/Logging_2281/tillsynsmail/A 9584-2023 tillsynsbegäran mail.docx", "A 9584-2023")</f>
        <v/>
      </c>
      <c r="Z1172">
        <f>HYPERLINK("https://klasma.github.io/Logging_2281/fåglar/A 9584-2023 prioriterade fågelarter.docx", "A 9584-2023")</f>
        <v/>
      </c>
    </row>
    <row r="1173" ht="15" customHeight="1">
      <c r="A1173" t="inlineStr">
        <is>
          <t>A 10683-2025</t>
        </is>
      </c>
      <c r="B1173" s="1" t="n">
        <v>45721.94451388889</v>
      </c>
      <c r="C1173" s="1" t="n">
        <v>46185</v>
      </c>
      <c r="D1173" t="inlineStr">
        <is>
          <t>VÄSTERNORRLANDS LÄN</t>
        </is>
      </c>
      <c r="E1173" t="inlineStr">
        <is>
          <t>SUNDSVALL</t>
        </is>
      </c>
      <c r="G1173" t="n">
        <v>1.5</v>
      </c>
      <c r="H1173" t="n">
        <v>1</v>
      </c>
      <c r="I1173" t="n">
        <v>0</v>
      </c>
      <c r="J1173" t="n">
        <v>1</v>
      </c>
      <c r="K1173" t="n">
        <v>0</v>
      </c>
      <c r="L1173" t="n">
        <v>0</v>
      </c>
      <c r="M1173" t="n">
        <v>0</v>
      </c>
      <c r="N1173" t="n">
        <v>0</v>
      </c>
      <c r="O1173" t="n">
        <v>1</v>
      </c>
      <c r="P1173" t="n">
        <v>0</v>
      </c>
      <c r="Q1173" t="n">
        <v>1</v>
      </c>
      <c r="R1173" s="2" t="inlineStr">
        <is>
          <t>Björktrast</t>
        </is>
      </c>
      <c r="S1173">
        <f>HYPERLINK("https://klasma.github.io/Logging_2281/artfynd/A 10683-2025 artfynd.xlsx", "A 10683-2025")</f>
        <v/>
      </c>
      <c r="T1173">
        <f>HYPERLINK("https://klasma.github.io/Logging_2281/kartor/A 10683-2025 karta.png", "A 10683-2025")</f>
        <v/>
      </c>
      <c r="V1173">
        <f>HYPERLINK("https://klasma.github.io/Logging_2281/klagomål/A 10683-2025 FSC-klagomål.docx", "A 10683-2025")</f>
        <v/>
      </c>
      <c r="W1173">
        <f>HYPERLINK("https://klasma.github.io/Logging_2281/klagomålsmail/A 10683-2025 FSC-klagomål mail.docx", "A 10683-2025")</f>
        <v/>
      </c>
      <c r="X1173">
        <f>HYPERLINK("https://klasma.github.io/Logging_2281/tillsyn/A 10683-2025 tillsynsbegäran.docx", "A 10683-2025")</f>
        <v/>
      </c>
      <c r="Y1173">
        <f>HYPERLINK("https://klasma.github.io/Logging_2281/tillsynsmail/A 10683-2025 tillsynsbegäran mail.docx", "A 10683-2025")</f>
        <v/>
      </c>
      <c r="Z1173">
        <f>HYPERLINK("https://klasma.github.io/Logging_2281/fåglar/A 10683-2025 prioriterade fågelarter.docx", "A 10683-2025")</f>
        <v/>
      </c>
    </row>
    <row r="1174" ht="15" customHeight="1">
      <c r="A1174" t="inlineStr">
        <is>
          <t>A 38363-2022</t>
        </is>
      </c>
      <c r="B1174" s="1" t="n">
        <v>44812</v>
      </c>
      <c r="C1174" s="1" t="n">
        <v>46185</v>
      </c>
      <c r="D1174" t="inlineStr">
        <is>
          <t>VÄSTERNORRLANDS LÄN</t>
        </is>
      </c>
      <c r="E1174" t="inlineStr">
        <is>
          <t>SOLLEFTEÅ</t>
        </is>
      </c>
      <c r="F1174" t="inlineStr">
        <is>
          <t>Kommuner</t>
        </is>
      </c>
      <c r="G1174" t="n">
        <v>16</v>
      </c>
      <c r="H1174" t="n">
        <v>0</v>
      </c>
      <c r="I1174" t="n">
        <v>0</v>
      </c>
      <c r="J1174" t="n">
        <v>1</v>
      </c>
      <c r="K1174" t="n">
        <v>0</v>
      </c>
      <c r="L1174" t="n">
        <v>0</v>
      </c>
      <c r="M1174" t="n">
        <v>0</v>
      </c>
      <c r="N1174" t="n">
        <v>0</v>
      </c>
      <c r="O1174" t="n">
        <v>1</v>
      </c>
      <c r="P1174" t="n">
        <v>0</v>
      </c>
      <c r="Q1174" t="n">
        <v>1</v>
      </c>
      <c r="R1174" s="2" t="inlineStr">
        <is>
          <t>Garnlav</t>
        </is>
      </c>
      <c r="S1174">
        <f>HYPERLINK("https://klasma.github.io/Logging_2283/artfynd/A 38363-2022 artfynd.xlsx", "A 38363-2022")</f>
        <v/>
      </c>
      <c r="T1174">
        <f>HYPERLINK("https://klasma.github.io/Logging_2283/kartor/A 38363-2022 karta.png", "A 38363-2022")</f>
        <v/>
      </c>
      <c r="V1174">
        <f>HYPERLINK("https://klasma.github.io/Logging_2283/klagomål/A 38363-2022 FSC-klagomål.docx", "A 38363-2022")</f>
        <v/>
      </c>
      <c r="W1174">
        <f>HYPERLINK("https://klasma.github.io/Logging_2283/klagomålsmail/A 38363-2022 FSC-klagomål mail.docx", "A 38363-2022")</f>
        <v/>
      </c>
      <c r="X1174">
        <f>HYPERLINK("https://klasma.github.io/Logging_2283/tillsyn/A 38363-2022 tillsynsbegäran.docx", "A 38363-2022")</f>
        <v/>
      </c>
      <c r="Y1174">
        <f>HYPERLINK("https://klasma.github.io/Logging_2283/tillsynsmail/A 38363-2022 tillsynsbegäran mail.docx", "A 38363-2022")</f>
        <v/>
      </c>
    </row>
    <row r="1175" ht="15" customHeight="1">
      <c r="A1175" t="inlineStr">
        <is>
          <t>A 42565-2023</t>
        </is>
      </c>
      <c r="B1175" s="1" t="n">
        <v>45176</v>
      </c>
      <c r="C1175" s="1" t="n">
        <v>46185</v>
      </c>
      <c r="D1175" t="inlineStr">
        <is>
          <t>VÄSTERNORRLANDS LÄN</t>
        </is>
      </c>
      <c r="E1175" t="inlineStr">
        <is>
          <t>ÖRNSKÖLDSVIK</t>
        </is>
      </c>
      <c r="G1175" t="n">
        <v>1.9</v>
      </c>
      <c r="H1175" t="n">
        <v>0</v>
      </c>
      <c r="I1175" t="n">
        <v>0</v>
      </c>
      <c r="J1175" t="n">
        <v>1</v>
      </c>
      <c r="K1175" t="n">
        <v>0</v>
      </c>
      <c r="L1175" t="n">
        <v>0</v>
      </c>
      <c r="M1175" t="n">
        <v>0</v>
      </c>
      <c r="N1175" t="n">
        <v>0</v>
      </c>
      <c r="O1175" t="n">
        <v>1</v>
      </c>
      <c r="P1175" t="n">
        <v>0</v>
      </c>
      <c r="Q1175" t="n">
        <v>1</v>
      </c>
      <c r="R1175" s="2" t="inlineStr">
        <is>
          <t>Ullticka</t>
        </is>
      </c>
      <c r="S1175">
        <f>HYPERLINK("https://klasma.github.io/Logging_2284/artfynd/A 42565-2023 artfynd.xlsx", "A 42565-2023")</f>
        <v/>
      </c>
      <c r="T1175">
        <f>HYPERLINK("https://klasma.github.io/Logging_2284/kartor/A 42565-2023 karta.png", "A 42565-2023")</f>
        <v/>
      </c>
      <c r="V1175">
        <f>HYPERLINK("https://klasma.github.io/Logging_2284/klagomål/A 42565-2023 FSC-klagomål.docx", "A 42565-2023")</f>
        <v/>
      </c>
      <c r="W1175">
        <f>HYPERLINK("https://klasma.github.io/Logging_2284/klagomålsmail/A 42565-2023 FSC-klagomål mail.docx", "A 42565-2023")</f>
        <v/>
      </c>
      <c r="X1175">
        <f>HYPERLINK("https://klasma.github.io/Logging_2284/tillsyn/A 42565-2023 tillsynsbegäran.docx", "A 42565-2023")</f>
        <v/>
      </c>
      <c r="Y1175">
        <f>HYPERLINK("https://klasma.github.io/Logging_2284/tillsynsmail/A 42565-2023 tillsynsbegäran mail.docx", "A 42565-2023")</f>
        <v/>
      </c>
    </row>
    <row r="1176" ht="15" customHeight="1">
      <c r="A1176" t="inlineStr">
        <is>
          <t>A 19077-2024</t>
        </is>
      </c>
      <c r="B1176" s="1" t="n">
        <v>45428</v>
      </c>
      <c r="C1176" s="1" t="n">
        <v>46185</v>
      </c>
      <c r="D1176" t="inlineStr">
        <is>
          <t>VÄSTERNORRLANDS LÄN</t>
        </is>
      </c>
      <c r="E1176" t="inlineStr">
        <is>
          <t>HÄRNÖSAND</t>
        </is>
      </c>
      <c r="F1176" t="inlineStr">
        <is>
          <t>SCA</t>
        </is>
      </c>
      <c r="G1176" t="n">
        <v>3.3</v>
      </c>
      <c r="H1176" t="n">
        <v>0</v>
      </c>
      <c r="I1176" t="n">
        <v>0</v>
      </c>
      <c r="J1176" t="n">
        <v>1</v>
      </c>
      <c r="K1176" t="n">
        <v>0</v>
      </c>
      <c r="L1176" t="n">
        <v>0</v>
      </c>
      <c r="M1176" t="n">
        <v>0</v>
      </c>
      <c r="N1176" t="n">
        <v>0</v>
      </c>
      <c r="O1176" t="n">
        <v>1</v>
      </c>
      <c r="P1176" t="n">
        <v>0</v>
      </c>
      <c r="Q1176" t="n">
        <v>1</v>
      </c>
      <c r="R1176" s="2" t="inlineStr">
        <is>
          <t>Garnlav</t>
        </is>
      </c>
      <c r="S1176">
        <f>HYPERLINK("https://klasma.github.io/Logging_2280/artfynd/A 19077-2024 artfynd.xlsx", "A 19077-2024")</f>
        <v/>
      </c>
      <c r="T1176">
        <f>HYPERLINK("https://klasma.github.io/Logging_2280/kartor/A 19077-2024 karta.png", "A 19077-2024")</f>
        <v/>
      </c>
      <c r="V1176">
        <f>HYPERLINK("https://klasma.github.io/Logging_2280/klagomål/A 19077-2024 FSC-klagomål.docx", "A 19077-2024")</f>
        <v/>
      </c>
      <c r="W1176">
        <f>HYPERLINK("https://klasma.github.io/Logging_2280/klagomålsmail/A 19077-2024 FSC-klagomål mail.docx", "A 19077-2024")</f>
        <v/>
      </c>
      <c r="X1176">
        <f>HYPERLINK("https://klasma.github.io/Logging_2280/tillsyn/A 19077-2024 tillsynsbegäran.docx", "A 19077-2024")</f>
        <v/>
      </c>
      <c r="Y1176">
        <f>HYPERLINK("https://klasma.github.io/Logging_2280/tillsynsmail/A 19077-2024 tillsynsbegäran mail.docx", "A 19077-2024")</f>
        <v/>
      </c>
    </row>
    <row r="1177" ht="15" customHeight="1">
      <c r="A1177" t="inlineStr">
        <is>
          <t>A 3959-2024</t>
        </is>
      </c>
      <c r="B1177" s="1" t="n">
        <v>45322</v>
      </c>
      <c r="C1177" s="1" t="n">
        <v>46185</v>
      </c>
      <c r="D1177" t="inlineStr">
        <is>
          <t>VÄSTERNORRLANDS LÄN</t>
        </is>
      </c>
      <c r="E1177" t="inlineStr">
        <is>
          <t>SOLLEFTEÅ</t>
        </is>
      </c>
      <c r="F1177" t="inlineStr">
        <is>
          <t>Kommuner</t>
        </is>
      </c>
      <c r="G1177" t="n">
        <v>1</v>
      </c>
      <c r="H1177" t="n">
        <v>0</v>
      </c>
      <c r="I1177" t="n">
        <v>0</v>
      </c>
      <c r="J1177" t="n">
        <v>1</v>
      </c>
      <c r="K1177" t="n">
        <v>0</v>
      </c>
      <c r="L1177" t="n">
        <v>0</v>
      </c>
      <c r="M1177" t="n">
        <v>0</v>
      </c>
      <c r="N1177" t="n">
        <v>0</v>
      </c>
      <c r="O1177" t="n">
        <v>1</v>
      </c>
      <c r="P1177" t="n">
        <v>0</v>
      </c>
      <c r="Q1177" t="n">
        <v>1</v>
      </c>
      <c r="R1177" s="2" t="inlineStr">
        <is>
          <t>Garnlav</t>
        </is>
      </c>
      <c r="S1177">
        <f>HYPERLINK("https://klasma.github.io/Logging_2283/artfynd/A 3959-2024 artfynd.xlsx", "A 3959-2024")</f>
        <v/>
      </c>
      <c r="T1177">
        <f>HYPERLINK("https://klasma.github.io/Logging_2283/kartor/A 3959-2024 karta.png", "A 3959-2024")</f>
        <v/>
      </c>
      <c r="V1177">
        <f>HYPERLINK("https://klasma.github.io/Logging_2283/klagomål/A 3959-2024 FSC-klagomål.docx", "A 3959-2024")</f>
        <v/>
      </c>
      <c r="W1177">
        <f>HYPERLINK("https://klasma.github.io/Logging_2283/klagomålsmail/A 3959-2024 FSC-klagomål mail.docx", "A 3959-2024")</f>
        <v/>
      </c>
      <c r="X1177">
        <f>HYPERLINK("https://klasma.github.io/Logging_2283/tillsyn/A 3959-2024 tillsynsbegäran.docx", "A 3959-2024")</f>
        <v/>
      </c>
      <c r="Y1177">
        <f>HYPERLINK("https://klasma.github.io/Logging_2283/tillsynsmail/A 3959-2024 tillsynsbegäran mail.docx", "A 3959-2024")</f>
        <v/>
      </c>
    </row>
    <row r="1178" ht="15" customHeight="1">
      <c r="A1178" t="inlineStr">
        <is>
          <t>A 4351-2024</t>
        </is>
      </c>
      <c r="B1178" s="1" t="n">
        <v>45324</v>
      </c>
      <c r="C1178" s="1" t="n">
        <v>46185</v>
      </c>
      <c r="D1178" t="inlineStr">
        <is>
          <t>VÄSTERNORRLANDS LÄN</t>
        </is>
      </c>
      <c r="E1178" t="inlineStr">
        <is>
          <t>ÅNGE</t>
        </is>
      </c>
      <c r="F1178" t="inlineStr">
        <is>
          <t>SCA</t>
        </is>
      </c>
      <c r="G1178" t="n">
        <v>0.5</v>
      </c>
      <c r="H1178" t="n">
        <v>0</v>
      </c>
      <c r="I1178" t="n">
        <v>0</v>
      </c>
      <c r="J1178" t="n">
        <v>1</v>
      </c>
      <c r="K1178" t="n">
        <v>0</v>
      </c>
      <c r="L1178" t="n">
        <v>0</v>
      </c>
      <c r="M1178" t="n">
        <v>0</v>
      </c>
      <c r="N1178" t="n">
        <v>0</v>
      </c>
      <c r="O1178" t="n">
        <v>1</v>
      </c>
      <c r="P1178" t="n">
        <v>0</v>
      </c>
      <c r="Q1178" t="n">
        <v>1</v>
      </c>
      <c r="R1178" s="2" t="inlineStr">
        <is>
          <t>Garnlav</t>
        </is>
      </c>
      <c r="S1178">
        <f>HYPERLINK("https://klasma.github.io/Logging_2260/artfynd/A 4351-2024 artfynd.xlsx", "A 4351-2024")</f>
        <v/>
      </c>
      <c r="T1178">
        <f>HYPERLINK("https://klasma.github.io/Logging_2260/kartor/A 4351-2024 karta.png", "A 4351-2024")</f>
        <v/>
      </c>
      <c r="V1178">
        <f>HYPERLINK("https://klasma.github.io/Logging_2260/klagomål/A 4351-2024 FSC-klagomål.docx", "A 4351-2024")</f>
        <v/>
      </c>
      <c r="W1178">
        <f>HYPERLINK("https://klasma.github.io/Logging_2260/klagomålsmail/A 4351-2024 FSC-klagomål mail.docx", "A 4351-2024")</f>
        <v/>
      </c>
      <c r="X1178">
        <f>HYPERLINK("https://klasma.github.io/Logging_2260/tillsyn/A 4351-2024 tillsynsbegäran.docx", "A 4351-2024")</f>
        <v/>
      </c>
      <c r="Y1178">
        <f>HYPERLINK("https://klasma.github.io/Logging_2260/tillsynsmail/A 4351-2024 tillsynsbegäran mail.docx", "A 4351-2024")</f>
        <v/>
      </c>
    </row>
    <row r="1179" ht="15" customHeight="1">
      <c r="A1179" t="inlineStr">
        <is>
          <t>A 27308-2024</t>
        </is>
      </c>
      <c r="B1179" s="1" t="n">
        <v>45471</v>
      </c>
      <c r="C1179" s="1" t="n">
        <v>46185</v>
      </c>
      <c r="D1179" t="inlineStr">
        <is>
          <t>VÄSTERNORRLANDS LÄN</t>
        </is>
      </c>
      <c r="E1179" t="inlineStr">
        <is>
          <t>ÅNGE</t>
        </is>
      </c>
      <c r="F1179" t="inlineStr">
        <is>
          <t>SCA</t>
        </is>
      </c>
      <c r="G1179" t="n">
        <v>15.9</v>
      </c>
      <c r="H1179" t="n">
        <v>0</v>
      </c>
      <c r="I1179" t="n">
        <v>0</v>
      </c>
      <c r="J1179" t="n">
        <v>1</v>
      </c>
      <c r="K1179" t="n">
        <v>0</v>
      </c>
      <c r="L1179" t="n">
        <v>0</v>
      </c>
      <c r="M1179" t="n">
        <v>0</v>
      </c>
      <c r="N1179" t="n">
        <v>0</v>
      </c>
      <c r="O1179" t="n">
        <v>1</v>
      </c>
      <c r="P1179" t="n">
        <v>0</v>
      </c>
      <c r="Q1179" t="n">
        <v>1</v>
      </c>
      <c r="R1179" s="2" t="inlineStr">
        <is>
          <t>Lunglav</t>
        </is>
      </c>
      <c r="S1179">
        <f>HYPERLINK("https://klasma.github.io/Logging_2260/artfynd/A 27308-2024 artfynd.xlsx", "A 27308-2024")</f>
        <v/>
      </c>
      <c r="T1179">
        <f>HYPERLINK("https://klasma.github.io/Logging_2260/kartor/A 27308-2024 karta.png", "A 27308-2024")</f>
        <v/>
      </c>
      <c r="V1179">
        <f>HYPERLINK("https://klasma.github.io/Logging_2260/klagomål/A 27308-2024 FSC-klagomål.docx", "A 27308-2024")</f>
        <v/>
      </c>
      <c r="W1179">
        <f>HYPERLINK("https://klasma.github.io/Logging_2260/klagomålsmail/A 27308-2024 FSC-klagomål mail.docx", "A 27308-2024")</f>
        <v/>
      </c>
      <c r="X1179">
        <f>HYPERLINK("https://klasma.github.io/Logging_2260/tillsyn/A 27308-2024 tillsynsbegäran.docx", "A 27308-2024")</f>
        <v/>
      </c>
      <c r="Y1179">
        <f>HYPERLINK("https://klasma.github.io/Logging_2260/tillsynsmail/A 27308-2024 tillsynsbegäran mail.docx", "A 27308-2024")</f>
        <v/>
      </c>
    </row>
    <row r="1180" ht="15" customHeight="1">
      <c r="A1180" t="inlineStr">
        <is>
          <t>A 39565-2023</t>
        </is>
      </c>
      <c r="B1180" s="1" t="n">
        <v>45167</v>
      </c>
      <c r="C1180" s="1" t="n">
        <v>46185</v>
      </c>
      <c r="D1180" t="inlineStr">
        <is>
          <t>VÄSTERNORRLANDS LÄN</t>
        </is>
      </c>
      <c r="E1180" t="inlineStr">
        <is>
          <t>SOLLEFTEÅ</t>
        </is>
      </c>
      <c r="G1180" t="n">
        <v>3.2</v>
      </c>
      <c r="H1180" t="n">
        <v>0</v>
      </c>
      <c r="I1180" t="n">
        <v>0</v>
      </c>
      <c r="J1180" t="n">
        <v>1</v>
      </c>
      <c r="K1180" t="n">
        <v>0</v>
      </c>
      <c r="L1180" t="n">
        <v>0</v>
      </c>
      <c r="M1180" t="n">
        <v>0</v>
      </c>
      <c r="N1180" t="n">
        <v>0</v>
      </c>
      <c r="O1180" t="n">
        <v>1</v>
      </c>
      <c r="P1180" t="n">
        <v>0</v>
      </c>
      <c r="Q1180" t="n">
        <v>1</v>
      </c>
      <c r="R1180" s="2" t="inlineStr">
        <is>
          <t>Ullticka</t>
        </is>
      </c>
      <c r="S1180">
        <f>HYPERLINK("https://klasma.github.io/Logging_2283/artfynd/A 39565-2023 artfynd.xlsx", "A 39565-2023")</f>
        <v/>
      </c>
      <c r="T1180">
        <f>HYPERLINK("https://klasma.github.io/Logging_2283/kartor/A 39565-2023 karta.png", "A 39565-2023")</f>
        <v/>
      </c>
      <c r="V1180">
        <f>HYPERLINK("https://klasma.github.io/Logging_2283/klagomål/A 39565-2023 FSC-klagomål.docx", "A 39565-2023")</f>
        <v/>
      </c>
      <c r="W1180">
        <f>HYPERLINK("https://klasma.github.io/Logging_2283/klagomålsmail/A 39565-2023 FSC-klagomål mail.docx", "A 39565-2023")</f>
        <v/>
      </c>
      <c r="X1180">
        <f>HYPERLINK("https://klasma.github.io/Logging_2283/tillsyn/A 39565-2023 tillsynsbegäran.docx", "A 39565-2023")</f>
        <v/>
      </c>
      <c r="Y1180">
        <f>HYPERLINK("https://klasma.github.io/Logging_2283/tillsynsmail/A 39565-2023 tillsynsbegäran mail.docx", "A 39565-2023")</f>
        <v/>
      </c>
    </row>
    <row r="1181" ht="15" customHeight="1">
      <c r="A1181" t="inlineStr">
        <is>
          <t>A 20631-2025</t>
        </is>
      </c>
      <c r="B1181" s="1" t="n">
        <v>45776</v>
      </c>
      <c r="C1181" s="1" t="n">
        <v>46185</v>
      </c>
      <c r="D1181" t="inlineStr">
        <is>
          <t>VÄSTERNORRLANDS LÄN</t>
        </is>
      </c>
      <c r="E1181" t="inlineStr">
        <is>
          <t>SUNDSVALL</t>
        </is>
      </c>
      <c r="F1181" t="inlineStr">
        <is>
          <t>Naturvårdsverket</t>
        </is>
      </c>
      <c r="G1181" t="n">
        <v>9.6</v>
      </c>
      <c r="H1181" t="n">
        <v>0</v>
      </c>
      <c r="I1181" t="n">
        <v>0</v>
      </c>
      <c r="J1181" t="n">
        <v>1</v>
      </c>
      <c r="K1181" t="n">
        <v>0</v>
      </c>
      <c r="L1181" t="n">
        <v>0</v>
      </c>
      <c r="M1181" t="n">
        <v>0</v>
      </c>
      <c r="N1181" t="n">
        <v>0</v>
      </c>
      <c r="O1181" t="n">
        <v>1</v>
      </c>
      <c r="P1181" t="n">
        <v>0</v>
      </c>
      <c r="Q1181" t="n">
        <v>1</v>
      </c>
      <c r="R1181" s="2" t="inlineStr">
        <is>
          <t>Nordtagging</t>
        </is>
      </c>
      <c r="S1181">
        <f>HYPERLINK("https://klasma.github.io/Logging_2281/artfynd/A 20631-2025 artfynd.xlsx", "A 20631-2025")</f>
        <v/>
      </c>
      <c r="T1181">
        <f>HYPERLINK("https://klasma.github.io/Logging_2281/kartor/A 20631-2025 karta.png", "A 20631-2025")</f>
        <v/>
      </c>
      <c r="V1181">
        <f>HYPERLINK("https://klasma.github.io/Logging_2281/klagomål/A 20631-2025 FSC-klagomål.docx", "A 20631-2025")</f>
        <v/>
      </c>
      <c r="W1181">
        <f>HYPERLINK("https://klasma.github.io/Logging_2281/klagomålsmail/A 20631-2025 FSC-klagomål mail.docx", "A 20631-2025")</f>
        <v/>
      </c>
      <c r="X1181">
        <f>HYPERLINK("https://klasma.github.io/Logging_2281/tillsyn/A 20631-2025 tillsynsbegäran.docx", "A 20631-2025")</f>
        <v/>
      </c>
      <c r="Y1181">
        <f>HYPERLINK("https://klasma.github.io/Logging_2281/tillsynsmail/A 20631-2025 tillsynsbegäran mail.docx", "A 20631-2025")</f>
        <v/>
      </c>
    </row>
    <row r="1182" ht="15" customHeight="1">
      <c r="A1182" t="inlineStr">
        <is>
          <t>A 21318-2025</t>
        </is>
      </c>
      <c r="B1182" s="1" t="n">
        <v>45782.34424768519</v>
      </c>
      <c r="C1182" s="1" t="n">
        <v>46185</v>
      </c>
      <c r="D1182" t="inlineStr">
        <is>
          <t>VÄSTERNORRLANDS LÄN</t>
        </is>
      </c>
      <c r="E1182" t="inlineStr">
        <is>
          <t>SUNDSVALL</t>
        </is>
      </c>
      <c r="F1182" t="inlineStr">
        <is>
          <t>Naturvårdsverket</t>
        </is>
      </c>
      <c r="G1182" t="n">
        <v>3.7</v>
      </c>
      <c r="H1182" t="n">
        <v>0</v>
      </c>
      <c r="I1182" t="n">
        <v>0</v>
      </c>
      <c r="J1182" t="n">
        <v>1</v>
      </c>
      <c r="K1182" t="n">
        <v>0</v>
      </c>
      <c r="L1182" t="n">
        <v>0</v>
      </c>
      <c r="M1182" t="n">
        <v>0</v>
      </c>
      <c r="N1182" t="n">
        <v>0</v>
      </c>
      <c r="O1182" t="n">
        <v>1</v>
      </c>
      <c r="P1182" t="n">
        <v>0</v>
      </c>
      <c r="Q1182" t="n">
        <v>1</v>
      </c>
      <c r="R1182" s="2" t="inlineStr">
        <is>
          <t>Reliktbock</t>
        </is>
      </c>
      <c r="S1182">
        <f>HYPERLINK("https://klasma.github.io/Logging_2281/artfynd/A 21318-2025 artfynd.xlsx", "A 21318-2025")</f>
        <v/>
      </c>
      <c r="T1182">
        <f>HYPERLINK("https://klasma.github.io/Logging_2281/kartor/A 21318-2025 karta.png", "A 21318-2025")</f>
        <v/>
      </c>
      <c r="V1182">
        <f>HYPERLINK("https://klasma.github.io/Logging_2281/klagomål/A 21318-2025 FSC-klagomål.docx", "A 21318-2025")</f>
        <v/>
      </c>
      <c r="W1182">
        <f>HYPERLINK("https://klasma.github.io/Logging_2281/klagomålsmail/A 21318-2025 FSC-klagomål mail.docx", "A 21318-2025")</f>
        <v/>
      </c>
      <c r="X1182">
        <f>HYPERLINK("https://klasma.github.io/Logging_2281/tillsyn/A 21318-2025 tillsynsbegäran.docx", "A 21318-2025")</f>
        <v/>
      </c>
      <c r="Y1182">
        <f>HYPERLINK("https://klasma.github.io/Logging_2281/tillsynsmail/A 21318-2025 tillsynsbegäran mail.docx", "A 21318-2025")</f>
        <v/>
      </c>
    </row>
    <row r="1183" ht="15" customHeight="1">
      <c r="A1183" t="inlineStr">
        <is>
          <t>A 21356-2025</t>
        </is>
      </c>
      <c r="B1183" s="1" t="n">
        <v>45782.42341435186</v>
      </c>
      <c r="C1183" s="1" t="n">
        <v>46185</v>
      </c>
      <c r="D1183" t="inlineStr">
        <is>
          <t>VÄSTERNORRLANDS LÄN</t>
        </is>
      </c>
      <c r="E1183" t="inlineStr">
        <is>
          <t>ÖRNSKÖLDSVIK</t>
        </is>
      </c>
      <c r="F1183" t="inlineStr">
        <is>
          <t>Holmen skog AB</t>
        </is>
      </c>
      <c r="G1183" t="n">
        <v>7.3</v>
      </c>
      <c r="H1183" t="n">
        <v>0</v>
      </c>
      <c r="I1183" t="n">
        <v>0</v>
      </c>
      <c r="J1183" t="n">
        <v>1</v>
      </c>
      <c r="K1183" t="n">
        <v>0</v>
      </c>
      <c r="L1183" t="n">
        <v>0</v>
      </c>
      <c r="M1183" t="n">
        <v>0</v>
      </c>
      <c r="N1183" t="n">
        <v>0</v>
      </c>
      <c r="O1183" t="n">
        <v>1</v>
      </c>
      <c r="P1183" t="n">
        <v>0</v>
      </c>
      <c r="Q1183" t="n">
        <v>1</v>
      </c>
      <c r="R1183" s="2" t="inlineStr">
        <is>
          <t>Garnlav</t>
        </is>
      </c>
      <c r="S1183">
        <f>HYPERLINK("https://klasma.github.io/Logging_2284/artfynd/A 21356-2025 artfynd.xlsx", "A 21356-2025")</f>
        <v/>
      </c>
      <c r="T1183">
        <f>HYPERLINK("https://klasma.github.io/Logging_2284/kartor/A 21356-2025 karta.png", "A 21356-2025")</f>
        <v/>
      </c>
      <c r="V1183">
        <f>HYPERLINK("https://klasma.github.io/Logging_2284/klagomål/A 21356-2025 FSC-klagomål.docx", "A 21356-2025")</f>
        <v/>
      </c>
      <c r="W1183">
        <f>HYPERLINK("https://klasma.github.io/Logging_2284/klagomålsmail/A 21356-2025 FSC-klagomål mail.docx", "A 21356-2025")</f>
        <v/>
      </c>
      <c r="X1183">
        <f>HYPERLINK("https://klasma.github.io/Logging_2284/tillsyn/A 21356-2025 tillsynsbegäran.docx", "A 21356-2025")</f>
        <v/>
      </c>
      <c r="Y1183">
        <f>HYPERLINK("https://klasma.github.io/Logging_2284/tillsynsmail/A 21356-2025 tillsynsbegäran mail.docx", "A 21356-2025")</f>
        <v/>
      </c>
    </row>
    <row r="1184" ht="15" customHeight="1">
      <c r="A1184" t="inlineStr">
        <is>
          <t>A 22050-2025</t>
        </is>
      </c>
      <c r="B1184" s="1" t="n">
        <v>45785.34451388889</v>
      </c>
      <c r="C1184" s="1" t="n">
        <v>46185</v>
      </c>
      <c r="D1184" t="inlineStr">
        <is>
          <t>VÄSTERNORRLANDS LÄN</t>
        </is>
      </c>
      <c r="E1184" t="inlineStr">
        <is>
          <t>TIMRÅ</t>
        </is>
      </c>
      <c r="F1184" t="inlineStr">
        <is>
          <t>SCA</t>
        </is>
      </c>
      <c r="G1184" t="n">
        <v>2.4</v>
      </c>
      <c r="H1184" t="n">
        <v>0</v>
      </c>
      <c r="I1184" t="n">
        <v>0</v>
      </c>
      <c r="J1184" t="n">
        <v>1</v>
      </c>
      <c r="K1184" t="n">
        <v>0</v>
      </c>
      <c r="L1184" t="n">
        <v>0</v>
      </c>
      <c r="M1184" t="n">
        <v>0</v>
      </c>
      <c r="N1184" t="n">
        <v>0</v>
      </c>
      <c r="O1184" t="n">
        <v>1</v>
      </c>
      <c r="P1184" t="n">
        <v>0</v>
      </c>
      <c r="Q1184" t="n">
        <v>1</v>
      </c>
      <c r="R1184" s="2" t="inlineStr">
        <is>
          <t>Lunglav</t>
        </is>
      </c>
      <c r="S1184">
        <f>HYPERLINK("https://klasma.github.io/Logging_2262/artfynd/A 22050-2025 artfynd.xlsx", "A 22050-2025")</f>
        <v/>
      </c>
      <c r="T1184">
        <f>HYPERLINK("https://klasma.github.io/Logging_2262/kartor/A 22050-2025 karta.png", "A 22050-2025")</f>
        <v/>
      </c>
      <c r="V1184">
        <f>HYPERLINK("https://klasma.github.io/Logging_2262/klagomål/A 22050-2025 FSC-klagomål.docx", "A 22050-2025")</f>
        <v/>
      </c>
      <c r="W1184">
        <f>HYPERLINK("https://klasma.github.io/Logging_2262/klagomålsmail/A 22050-2025 FSC-klagomål mail.docx", "A 22050-2025")</f>
        <v/>
      </c>
      <c r="X1184">
        <f>HYPERLINK("https://klasma.github.io/Logging_2262/tillsyn/A 22050-2025 tillsynsbegäran.docx", "A 22050-2025")</f>
        <v/>
      </c>
      <c r="Y1184">
        <f>HYPERLINK("https://klasma.github.io/Logging_2262/tillsynsmail/A 22050-2025 tillsynsbegäran mail.docx", "A 22050-2025")</f>
        <v/>
      </c>
    </row>
    <row r="1185" ht="15" customHeight="1">
      <c r="A1185" t="inlineStr">
        <is>
          <t>A 22212-2025</t>
        </is>
      </c>
      <c r="B1185" s="1" t="n">
        <v>45785.65763888889</v>
      </c>
      <c r="C1185" s="1" t="n">
        <v>46185</v>
      </c>
      <c r="D1185" t="inlineStr">
        <is>
          <t>VÄSTERNORRLANDS LÄN</t>
        </is>
      </c>
      <c r="E1185" t="inlineStr">
        <is>
          <t>TIMRÅ</t>
        </is>
      </c>
      <c r="F1185" t="inlineStr">
        <is>
          <t>SCA</t>
        </is>
      </c>
      <c r="G1185" t="n">
        <v>6.9</v>
      </c>
      <c r="H1185" t="n">
        <v>0</v>
      </c>
      <c r="I1185" t="n">
        <v>0</v>
      </c>
      <c r="J1185" t="n">
        <v>1</v>
      </c>
      <c r="K1185" t="n">
        <v>0</v>
      </c>
      <c r="L1185" t="n">
        <v>0</v>
      </c>
      <c r="M1185" t="n">
        <v>0</v>
      </c>
      <c r="N1185" t="n">
        <v>0</v>
      </c>
      <c r="O1185" t="n">
        <v>1</v>
      </c>
      <c r="P1185" t="n">
        <v>0</v>
      </c>
      <c r="Q1185" t="n">
        <v>1</v>
      </c>
      <c r="R1185" s="2" t="inlineStr">
        <is>
          <t>Ullticka</t>
        </is>
      </c>
      <c r="S1185">
        <f>HYPERLINK("https://klasma.github.io/Logging_2262/artfynd/A 22212-2025 artfynd.xlsx", "A 22212-2025")</f>
        <v/>
      </c>
      <c r="T1185">
        <f>HYPERLINK("https://klasma.github.io/Logging_2262/kartor/A 22212-2025 karta.png", "A 22212-2025")</f>
        <v/>
      </c>
      <c r="V1185">
        <f>HYPERLINK("https://klasma.github.io/Logging_2262/klagomål/A 22212-2025 FSC-klagomål.docx", "A 22212-2025")</f>
        <v/>
      </c>
      <c r="W1185">
        <f>HYPERLINK("https://klasma.github.io/Logging_2262/klagomålsmail/A 22212-2025 FSC-klagomål mail.docx", "A 22212-2025")</f>
        <v/>
      </c>
      <c r="X1185">
        <f>HYPERLINK("https://klasma.github.io/Logging_2262/tillsyn/A 22212-2025 tillsynsbegäran.docx", "A 22212-2025")</f>
        <v/>
      </c>
      <c r="Y1185">
        <f>HYPERLINK("https://klasma.github.io/Logging_2262/tillsynsmail/A 22212-2025 tillsynsbegäran mail.docx", "A 22212-2025")</f>
        <v/>
      </c>
    </row>
    <row r="1186" ht="15" customHeight="1">
      <c r="A1186" t="inlineStr">
        <is>
          <t>A 12753-2022</t>
        </is>
      </c>
      <c r="B1186" s="1" t="n">
        <v>44641</v>
      </c>
      <c r="C1186" s="1" t="n">
        <v>46185</v>
      </c>
      <c r="D1186" t="inlineStr">
        <is>
          <t>VÄSTERNORRLANDS LÄN</t>
        </is>
      </c>
      <c r="E1186" t="inlineStr">
        <is>
          <t>TIMRÅ</t>
        </is>
      </c>
      <c r="G1186" t="n">
        <v>1.6</v>
      </c>
      <c r="H1186" t="n">
        <v>0</v>
      </c>
      <c r="I1186" t="n">
        <v>1</v>
      </c>
      <c r="J1186" t="n">
        <v>0</v>
      </c>
      <c r="K1186" t="n">
        <v>0</v>
      </c>
      <c r="L1186" t="n">
        <v>0</v>
      </c>
      <c r="M1186" t="n">
        <v>0</v>
      </c>
      <c r="N1186" t="n">
        <v>0</v>
      </c>
      <c r="O1186" t="n">
        <v>0</v>
      </c>
      <c r="P1186" t="n">
        <v>0</v>
      </c>
      <c r="Q1186" t="n">
        <v>1</v>
      </c>
      <c r="R1186" s="2" t="inlineStr">
        <is>
          <t>Strutbräken</t>
        </is>
      </c>
      <c r="S1186">
        <f>HYPERLINK("https://klasma.github.io/Logging_2262/artfynd/A 12753-2022 artfynd.xlsx", "A 12753-2022")</f>
        <v/>
      </c>
      <c r="T1186">
        <f>HYPERLINK("https://klasma.github.io/Logging_2262/kartor/A 12753-2022 karta.png", "A 12753-2022")</f>
        <v/>
      </c>
      <c r="V1186">
        <f>HYPERLINK("https://klasma.github.io/Logging_2262/klagomål/A 12753-2022 FSC-klagomål.docx", "A 12753-2022")</f>
        <v/>
      </c>
      <c r="W1186">
        <f>HYPERLINK("https://klasma.github.io/Logging_2262/klagomålsmail/A 12753-2022 FSC-klagomål mail.docx", "A 12753-2022")</f>
        <v/>
      </c>
      <c r="X1186">
        <f>HYPERLINK("https://klasma.github.io/Logging_2262/tillsyn/A 12753-2022 tillsynsbegäran.docx", "A 12753-2022")</f>
        <v/>
      </c>
      <c r="Y1186">
        <f>HYPERLINK("https://klasma.github.io/Logging_2262/tillsynsmail/A 12753-2022 tillsynsbegäran mail.docx", "A 12753-2022")</f>
        <v/>
      </c>
    </row>
    <row r="1187" ht="15" customHeight="1">
      <c r="A1187" t="inlineStr">
        <is>
          <t>A 27901-2024</t>
        </is>
      </c>
      <c r="B1187" s="1" t="n">
        <v>45475.92859953704</v>
      </c>
      <c r="C1187" s="1" t="n">
        <v>46185</v>
      </c>
      <c r="D1187" t="inlineStr">
        <is>
          <t>VÄSTERNORRLANDS LÄN</t>
        </is>
      </c>
      <c r="E1187" t="inlineStr">
        <is>
          <t>SOLLEFTEÅ</t>
        </is>
      </c>
      <c r="G1187" t="n">
        <v>12.7</v>
      </c>
      <c r="H1187" t="n">
        <v>0</v>
      </c>
      <c r="I1187" t="n">
        <v>0</v>
      </c>
      <c r="J1187" t="n">
        <v>1</v>
      </c>
      <c r="K1187" t="n">
        <v>0</v>
      </c>
      <c r="L1187" t="n">
        <v>0</v>
      </c>
      <c r="M1187" t="n">
        <v>0</v>
      </c>
      <c r="N1187" t="n">
        <v>0</v>
      </c>
      <c r="O1187" t="n">
        <v>1</v>
      </c>
      <c r="P1187" t="n">
        <v>0</v>
      </c>
      <c r="Q1187" t="n">
        <v>1</v>
      </c>
      <c r="R1187" s="2" t="inlineStr">
        <is>
          <t>Garnlav</t>
        </is>
      </c>
      <c r="S1187">
        <f>HYPERLINK("https://klasma.github.io/Logging_2283/artfynd/A 27901-2024 artfynd.xlsx", "A 27901-2024")</f>
        <v/>
      </c>
      <c r="T1187">
        <f>HYPERLINK("https://klasma.github.io/Logging_2283/kartor/A 27901-2024 karta.png", "A 27901-2024")</f>
        <v/>
      </c>
      <c r="V1187">
        <f>HYPERLINK("https://klasma.github.io/Logging_2283/klagomål/A 27901-2024 FSC-klagomål.docx", "A 27901-2024")</f>
        <v/>
      </c>
      <c r="W1187">
        <f>HYPERLINK("https://klasma.github.io/Logging_2283/klagomålsmail/A 27901-2024 FSC-klagomål mail.docx", "A 27901-2024")</f>
        <v/>
      </c>
      <c r="X1187">
        <f>HYPERLINK("https://klasma.github.io/Logging_2283/tillsyn/A 27901-2024 tillsynsbegäran.docx", "A 27901-2024")</f>
        <v/>
      </c>
      <c r="Y1187">
        <f>HYPERLINK("https://klasma.github.io/Logging_2283/tillsynsmail/A 27901-2024 tillsynsbegäran mail.docx", "A 27901-2024")</f>
        <v/>
      </c>
    </row>
    <row r="1188" ht="15" customHeight="1">
      <c r="A1188" t="inlineStr">
        <is>
          <t>A 22897-2025</t>
        </is>
      </c>
      <c r="B1188" s="1" t="n">
        <v>45790</v>
      </c>
      <c r="C1188" s="1" t="n">
        <v>46185</v>
      </c>
      <c r="D1188" t="inlineStr">
        <is>
          <t>VÄSTERNORRLANDS LÄN</t>
        </is>
      </c>
      <c r="E1188" t="inlineStr">
        <is>
          <t>TIMRÅ</t>
        </is>
      </c>
      <c r="F1188" t="inlineStr">
        <is>
          <t>SCA</t>
        </is>
      </c>
      <c r="G1188" t="n">
        <v>6.2</v>
      </c>
      <c r="H1188" t="n">
        <v>0</v>
      </c>
      <c r="I1188" t="n">
        <v>0</v>
      </c>
      <c r="J1188" t="n">
        <v>1</v>
      </c>
      <c r="K1188" t="n">
        <v>0</v>
      </c>
      <c r="L1188" t="n">
        <v>0</v>
      </c>
      <c r="M1188" t="n">
        <v>0</v>
      </c>
      <c r="N1188" t="n">
        <v>0</v>
      </c>
      <c r="O1188" t="n">
        <v>1</v>
      </c>
      <c r="P1188" t="n">
        <v>0</v>
      </c>
      <c r="Q1188" t="n">
        <v>1</v>
      </c>
      <c r="R1188" s="2" t="inlineStr">
        <is>
          <t>Garnlav</t>
        </is>
      </c>
      <c r="S1188">
        <f>HYPERLINK("https://klasma.github.io/Logging_2262/artfynd/A 22897-2025 artfynd.xlsx", "A 22897-2025")</f>
        <v/>
      </c>
      <c r="T1188">
        <f>HYPERLINK("https://klasma.github.io/Logging_2262/kartor/A 22897-2025 karta.png", "A 22897-2025")</f>
        <v/>
      </c>
      <c r="V1188">
        <f>HYPERLINK("https://klasma.github.io/Logging_2262/klagomål/A 22897-2025 FSC-klagomål.docx", "A 22897-2025")</f>
        <v/>
      </c>
      <c r="W1188">
        <f>HYPERLINK("https://klasma.github.io/Logging_2262/klagomålsmail/A 22897-2025 FSC-klagomål mail.docx", "A 22897-2025")</f>
        <v/>
      </c>
      <c r="X1188">
        <f>HYPERLINK("https://klasma.github.io/Logging_2262/tillsyn/A 22897-2025 tillsynsbegäran.docx", "A 22897-2025")</f>
        <v/>
      </c>
      <c r="Y1188">
        <f>HYPERLINK("https://klasma.github.io/Logging_2262/tillsynsmail/A 22897-2025 tillsynsbegäran mail.docx", "A 22897-2025")</f>
        <v/>
      </c>
    </row>
    <row r="1189" ht="15" customHeight="1">
      <c r="A1189" t="inlineStr">
        <is>
          <t>A 8998-2024</t>
        </is>
      </c>
      <c r="B1189" s="1" t="n">
        <v>45356</v>
      </c>
      <c r="C1189" s="1" t="n">
        <v>46185</v>
      </c>
      <c r="D1189" t="inlineStr">
        <is>
          <t>VÄSTERNORRLANDS LÄN</t>
        </is>
      </c>
      <c r="E1189" t="inlineStr">
        <is>
          <t>TIMRÅ</t>
        </is>
      </c>
      <c r="G1189" t="n">
        <v>2.1</v>
      </c>
      <c r="H1189" t="n">
        <v>0</v>
      </c>
      <c r="I1189" t="n">
        <v>1</v>
      </c>
      <c r="J1189" t="n">
        <v>0</v>
      </c>
      <c r="K1189" t="n">
        <v>0</v>
      </c>
      <c r="L1189" t="n">
        <v>0</v>
      </c>
      <c r="M1189" t="n">
        <v>0</v>
      </c>
      <c r="N1189" t="n">
        <v>0</v>
      </c>
      <c r="O1189" t="n">
        <v>0</v>
      </c>
      <c r="P1189" t="n">
        <v>0</v>
      </c>
      <c r="Q1189" t="n">
        <v>1</v>
      </c>
      <c r="R1189" s="2" t="inlineStr">
        <is>
          <t>Strutbräken</t>
        </is>
      </c>
      <c r="S1189">
        <f>HYPERLINK("https://klasma.github.io/Logging_2262/artfynd/A 8998-2024 artfynd.xlsx", "A 8998-2024")</f>
        <v/>
      </c>
      <c r="T1189">
        <f>HYPERLINK("https://klasma.github.io/Logging_2262/kartor/A 8998-2024 karta.png", "A 8998-2024")</f>
        <v/>
      </c>
      <c r="V1189">
        <f>HYPERLINK("https://klasma.github.io/Logging_2262/klagomål/A 8998-2024 FSC-klagomål.docx", "A 8998-2024")</f>
        <v/>
      </c>
      <c r="W1189">
        <f>HYPERLINK("https://klasma.github.io/Logging_2262/klagomålsmail/A 8998-2024 FSC-klagomål mail.docx", "A 8998-2024")</f>
        <v/>
      </c>
      <c r="X1189">
        <f>HYPERLINK("https://klasma.github.io/Logging_2262/tillsyn/A 8998-2024 tillsynsbegäran.docx", "A 8998-2024")</f>
        <v/>
      </c>
      <c r="Y1189">
        <f>HYPERLINK("https://klasma.github.io/Logging_2262/tillsynsmail/A 8998-2024 tillsynsbegäran mail.docx", "A 8998-2024")</f>
        <v/>
      </c>
    </row>
    <row r="1190" ht="15" customHeight="1">
      <c r="A1190" t="inlineStr">
        <is>
          <t>A 22819-2025</t>
        </is>
      </c>
      <c r="B1190" s="1" t="n">
        <v>45789.71935185185</v>
      </c>
      <c r="C1190" s="1" t="n">
        <v>46185</v>
      </c>
      <c r="D1190" t="inlineStr">
        <is>
          <t>VÄSTERNORRLANDS LÄN</t>
        </is>
      </c>
      <c r="E1190" t="inlineStr">
        <is>
          <t>TIMRÅ</t>
        </is>
      </c>
      <c r="G1190" t="n">
        <v>1.2</v>
      </c>
      <c r="H1190" t="n">
        <v>1</v>
      </c>
      <c r="I1190" t="n">
        <v>0</v>
      </c>
      <c r="J1190" t="n">
        <v>0</v>
      </c>
      <c r="K1190" t="n">
        <v>0</v>
      </c>
      <c r="L1190" t="n">
        <v>0</v>
      </c>
      <c r="M1190" t="n">
        <v>0</v>
      </c>
      <c r="N1190" t="n">
        <v>0</v>
      </c>
      <c r="O1190" t="n">
        <v>0</v>
      </c>
      <c r="P1190" t="n">
        <v>0</v>
      </c>
      <c r="Q1190" t="n">
        <v>1</v>
      </c>
      <c r="R1190" s="2" t="inlineStr">
        <is>
          <t>Orre</t>
        </is>
      </c>
      <c r="S1190">
        <f>HYPERLINK("https://klasma.github.io/Logging_2262/artfynd/A 22819-2025 artfynd.xlsx", "A 22819-2025")</f>
        <v/>
      </c>
      <c r="T1190">
        <f>HYPERLINK("https://klasma.github.io/Logging_2262/kartor/A 22819-2025 karta.png", "A 22819-2025")</f>
        <v/>
      </c>
      <c r="V1190">
        <f>HYPERLINK("https://klasma.github.io/Logging_2262/klagomål/A 22819-2025 FSC-klagomål.docx", "A 22819-2025")</f>
        <v/>
      </c>
      <c r="W1190">
        <f>HYPERLINK("https://klasma.github.io/Logging_2262/klagomålsmail/A 22819-2025 FSC-klagomål mail.docx", "A 22819-2025")</f>
        <v/>
      </c>
      <c r="X1190">
        <f>HYPERLINK("https://klasma.github.io/Logging_2262/tillsyn/A 22819-2025 tillsynsbegäran.docx", "A 22819-2025")</f>
        <v/>
      </c>
      <c r="Y1190">
        <f>HYPERLINK("https://klasma.github.io/Logging_2262/tillsynsmail/A 22819-2025 tillsynsbegäran mail.docx", "A 22819-2025")</f>
        <v/>
      </c>
      <c r="Z1190">
        <f>HYPERLINK("https://klasma.github.io/Logging_2262/fåglar/A 22819-2025 prioriterade fågelarter.docx", "A 22819-2025")</f>
        <v/>
      </c>
    </row>
    <row r="1191" ht="15" customHeight="1">
      <c r="A1191" t="inlineStr">
        <is>
          <t>A 23171-2025</t>
        </is>
      </c>
      <c r="B1191" s="1" t="n">
        <v>45791.4278587963</v>
      </c>
      <c r="C1191" s="1" t="n">
        <v>46185</v>
      </c>
      <c r="D1191" t="inlineStr">
        <is>
          <t>VÄSTERNORRLANDS LÄN</t>
        </is>
      </c>
      <c r="E1191" t="inlineStr">
        <is>
          <t>TIMRÅ</t>
        </is>
      </c>
      <c r="F1191" t="inlineStr">
        <is>
          <t>SCA</t>
        </is>
      </c>
      <c r="G1191" t="n">
        <v>3.4</v>
      </c>
      <c r="H1191" t="n">
        <v>0</v>
      </c>
      <c r="I1191" t="n">
        <v>0</v>
      </c>
      <c r="J1191" t="n">
        <v>1</v>
      </c>
      <c r="K1191" t="n">
        <v>0</v>
      </c>
      <c r="L1191" t="n">
        <v>0</v>
      </c>
      <c r="M1191" t="n">
        <v>0</v>
      </c>
      <c r="N1191" t="n">
        <v>0</v>
      </c>
      <c r="O1191" t="n">
        <v>1</v>
      </c>
      <c r="P1191" t="n">
        <v>0</v>
      </c>
      <c r="Q1191" t="n">
        <v>1</v>
      </c>
      <c r="R1191" s="2" t="inlineStr">
        <is>
          <t>Lunglav</t>
        </is>
      </c>
      <c r="S1191">
        <f>HYPERLINK("https://klasma.github.io/Logging_2262/artfynd/A 23171-2025 artfynd.xlsx", "A 23171-2025")</f>
        <v/>
      </c>
      <c r="T1191">
        <f>HYPERLINK("https://klasma.github.io/Logging_2262/kartor/A 23171-2025 karta.png", "A 23171-2025")</f>
        <v/>
      </c>
      <c r="V1191">
        <f>HYPERLINK("https://klasma.github.io/Logging_2262/klagomål/A 23171-2025 FSC-klagomål.docx", "A 23171-2025")</f>
        <v/>
      </c>
      <c r="W1191">
        <f>HYPERLINK("https://klasma.github.io/Logging_2262/klagomålsmail/A 23171-2025 FSC-klagomål mail.docx", "A 23171-2025")</f>
        <v/>
      </c>
      <c r="X1191">
        <f>HYPERLINK("https://klasma.github.io/Logging_2262/tillsyn/A 23171-2025 tillsynsbegäran.docx", "A 23171-2025")</f>
        <v/>
      </c>
      <c r="Y1191">
        <f>HYPERLINK("https://klasma.github.io/Logging_2262/tillsynsmail/A 23171-2025 tillsynsbegäran mail.docx", "A 23171-2025")</f>
        <v/>
      </c>
    </row>
    <row r="1192" ht="15" customHeight="1">
      <c r="A1192" t="inlineStr">
        <is>
          <t>A 23159-2025</t>
        </is>
      </c>
      <c r="B1192" s="1" t="n">
        <v>45791.40748842592</v>
      </c>
      <c r="C1192" s="1" t="n">
        <v>46185</v>
      </c>
      <c r="D1192" t="inlineStr">
        <is>
          <t>VÄSTERNORRLANDS LÄN</t>
        </is>
      </c>
      <c r="E1192" t="inlineStr">
        <is>
          <t>TIMRÅ</t>
        </is>
      </c>
      <c r="F1192" t="inlineStr">
        <is>
          <t>SCA</t>
        </is>
      </c>
      <c r="G1192" t="n">
        <v>1.1</v>
      </c>
      <c r="H1192" t="n">
        <v>1</v>
      </c>
      <c r="I1192" t="n">
        <v>0</v>
      </c>
      <c r="J1192" t="n">
        <v>0</v>
      </c>
      <c r="K1192" t="n">
        <v>0</v>
      </c>
      <c r="L1192" t="n">
        <v>0</v>
      </c>
      <c r="M1192" t="n">
        <v>0</v>
      </c>
      <c r="N1192" t="n">
        <v>0</v>
      </c>
      <c r="O1192" t="n">
        <v>0</v>
      </c>
      <c r="P1192" t="n">
        <v>0</v>
      </c>
      <c r="Q1192" t="n">
        <v>1</v>
      </c>
      <c r="R1192" s="2" t="inlineStr">
        <is>
          <t>Revlummer</t>
        </is>
      </c>
      <c r="S1192">
        <f>HYPERLINK("https://klasma.github.io/Logging_2262/artfynd/A 23159-2025 artfynd.xlsx", "A 23159-2025")</f>
        <v/>
      </c>
      <c r="T1192">
        <f>HYPERLINK("https://klasma.github.io/Logging_2262/kartor/A 23159-2025 karta.png", "A 23159-2025")</f>
        <v/>
      </c>
      <c r="V1192">
        <f>HYPERLINK("https://klasma.github.io/Logging_2262/klagomål/A 23159-2025 FSC-klagomål.docx", "A 23159-2025")</f>
        <v/>
      </c>
      <c r="W1192">
        <f>HYPERLINK("https://klasma.github.io/Logging_2262/klagomålsmail/A 23159-2025 FSC-klagomål mail.docx", "A 23159-2025")</f>
        <v/>
      </c>
      <c r="X1192">
        <f>HYPERLINK("https://klasma.github.io/Logging_2262/tillsyn/A 23159-2025 tillsynsbegäran.docx", "A 23159-2025")</f>
        <v/>
      </c>
      <c r="Y1192">
        <f>HYPERLINK("https://klasma.github.io/Logging_2262/tillsynsmail/A 23159-2025 tillsynsbegäran mail.docx", "A 23159-2025")</f>
        <v/>
      </c>
    </row>
    <row r="1193" ht="15" customHeight="1">
      <c r="A1193" t="inlineStr">
        <is>
          <t>A 23283-2025</t>
        </is>
      </c>
      <c r="B1193" s="1" t="n">
        <v>45791.57354166666</v>
      </c>
      <c r="C1193" s="1" t="n">
        <v>46185</v>
      </c>
      <c r="D1193" t="inlineStr">
        <is>
          <t>VÄSTERNORRLANDS LÄN</t>
        </is>
      </c>
      <c r="E1193" t="inlineStr">
        <is>
          <t>TIMRÅ</t>
        </is>
      </c>
      <c r="F1193" t="inlineStr">
        <is>
          <t>SCA</t>
        </is>
      </c>
      <c r="G1193" t="n">
        <v>1.3</v>
      </c>
      <c r="H1193" t="n">
        <v>0</v>
      </c>
      <c r="I1193" t="n">
        <v>0</v>
      </c>
      <c r="J1193" t="n">
        <v>1</v>
      </c>
      <c r="K1193" t="n">
        <v>0</v>
      </c>
      <c r="L1193" t="n">
        <v>0</v>
      </c>
      <c r="M1193" t="n">
        <v>0</v>
      </c>
      <c r="N1193" t="n">
        <v>0</v>
      </c>
      <c r="O1193" t="n">
        <v>1</v>
      </c>
      <c r="P1193" t="n">
        <v>0</v>
      </c>
      <c r="Q1193" t="n">
        <v>1</v>
      </c>
      <c r="R1193" s="2" t="inlineStr">
        <is>
          <t>Lunglav</t>
        </is>
      </c>
      <c r="S1193">
        <f>HYPERLINK("https://klasma.github.io/Logging_2262/artfynd/A 23283-2025 artfynd.xlsx", "A 23283-2025")</f>
        <v/>
      </c>
      <c r="T1193">
        <f>HYPERLINK("https://klasma.github.io/Logging_2262/kartor/A 23283-2025 karta.png", "A 23283-2025")</f>
        <v/>
      </c>
      <c r="V1193">
        <f>HYPERLINK("https://klasma.github.io/Logging_2262/klagomål/A 23283-2025 FSC-klagomål.docx", "A 23283-2025")</f>
        <v/>
      </c>
      <c r="W1193">
        <f>HYPERLINK("https://klasma.github.io/Logging_2262/klagomålsmail/A 23283-2025 FSC-klagomål mail.docx", "A 23283-2025")</f>
        <v/>
      </c>
      <c r="X1193">
        <f>HYPERLINK("https://klasma.github.io/Logging_2262/tillsyn/A 23283-2025 tillsynsbegäran.docx", "A 23283-2025")</f>
        <v/>
      </c>
      <c r="Y1193">
        <f>HYPERLINK("https://klasma.github.io/Logging_2262/tillsynsmail/A 23283-2025 tillsynsbegäran mail.docx", "A 23283-2025")</f>
        <v/>
      </c>
    </row>
    <row r="1194" ht="15" customHeight="1">
      <c r="A1194" t="inlineStr">
        <is>
          <t>A 1152-2024</t>
        </is>
      </c>
      <c r="B1194" s="1" t="n">
        <v>45302</v>
      </c>
      <c r="C1194" s="1" t="n">
        <v>46185</v>
      </c>
      <c r="D1194" t="inlineStr">
        <is>
          <t>VÄSTERNORRLANDS LÄN</t>
        </is>
      </c>
      <c r="E1194" t="inlineStr">
        <is>
          <t>TIMRÅ</t>
        </is>
      </c>
      <c r="G1194" t="n">
        <v>5.8</v>
      </c>
      <c r="H1194" t="n">
        <v>0</v>
      </c>
      <c r="I1194" t="n">
        <v>1</v>
      </c>
      <c r="J1194" t="n">
        <v>0</v>
      </c>
      <c r="K1194" t="n">
        <v>0</v>
      </c>
      <c r="L1194" t="n">
        <v>0</v>
      </c>
      <c r="M1194" t="n">
        <v>0</v>
      </c>
      <c r="N1194" t="n">
        <v>0</v>
      </c>
      <c r="O1194" t="n">
        <v>0</v>
      </c>
      <c r="P1194" t="n">
        <v>0</v>
      </c>
      <c r="Q1194" t="n">
        <v>1</v>
      </c>
      <c r="R1194" s="2" t="inlineStr">
        <is>
          <t>Tibast</t>
        </is>
      </c>
      <c r="S1194">
        <f>HYPERLINK("https://klasma.github.io/Logging_2262/artfynd/A 1152-2024 artfynd.xlsx", "A 1152-2024")</f>
        <v/>
      </c>
      <c r="T1194">
        <f>HYPERLINK("https://klasma.github.io/Logging_2262/kartor/A 1152-2024 karta.png", "A 1152-2024")</f>
        <v/>
      </c>
      <c r="V1194">
        <f>HYPERLINK("https://klasma.github.io/Logging_2262/klagomål/A 1152-2024 FSC-klagomål.docx", "A 1152-2024")</f>
        <v/>
      </c>
      <c r="W1194">
        <f>HYPERLINK("https://klasma.github.io/Logging_2262/klagomålsmail/A 1152-2024 FSC-klagomål mail.docx", "A 1152-2024")</f>
        <v/>
      </c>
      <c r="X1194">
        <f>HYPERLINK("https://klasma.github.io/Logging_2262/tillsyn/A 1152-2024 tillsynsbegäran.docx", "A 1152-2024")</f>
        <v/>
      </c>
      <c r="Y1194">
        <f>HYPERLINK("https://klasma.github.io/Logging_2262/tillsynsmail/A 1152-2024 tillsynsbegäran mail.docx", "A 1152-2024")</f>
        <v/>
      </c>
    </row>
    <row r="1195" ht="15" customHeight="1">
      <c r="A1195" t="inlineStr">
        <is>
          <t>A 23825-2025</t>
        </is>
      </c>
      <c r="B1195" s="1" t="n">
        <v>45793.59447916667</v>
      </c>
      <c r="C1195" s="1" t="n">
        <v>46185</v>
      </c>
      <c r="D1195" t="inlineStr">
        <is>
          <t>VÄSTERNORRLANDS LÄN</t>
        </is>
      </c>
      <c r="E1195" t="inlineStr">
        <is>
          <t>HÄRNÖSAND</t>
        </is>
      </c>
      <c r="F1195" t="inlineStr">
        <is>
          <t>SCA</t>
        </is>
      </c>
      <c r="G1195" t="n">
        <v>2.1</v>
      </c>
      <c r="H1195" t="n">
        <v>0</v>
      </c>
      <c r="I1195" t="n">
        <v>0</v>
      </c>
      <c r="J1195" t="n">
        <v>1</v>
      </c>
      <c r="K1195" t="n">
        <v>0</v>
      </c>
      <c r="L1195" t="n">
        <v>0</v>
      </c>
      <c r="M1195" t="n">
        <v>0</v>
      </c>
      <c r="N1195" t="n">
        <v>0</v>
      </c>
      <c r="O1195" t="n">
        <v>1</v>
      </c>
      <c r="P1195" t="n">
        <v>0</v>
      </c>
      <c r="Q1195" t="n">
        <v>1</v>
      </c>
      <c r="R1195" s="2" t="inlineStr">
        <is>
          <t>Garnlav</t>
        </is>
      </c>
      <c r="S1195">
        <f>HYPERLINK("https://klasma.github.io/Logging_2280/artfynd/A 23825-2025 artfynd.xlsx", "A 23825-2025")</f>
        <v/>
      </c>
      <c r="T1195">
        <f>HYPERLINK("https://klasma.github.io/Logging_2280/kartor/A 23825-2025 karta.png", "A 23825-2025")</f>
        <v/>
      </c>
      <c r="V1195">
        <f>HYPERLINK("https://klasma.github.io/Logging_2280/klagomål/A 23825-2025 FSC-klagomål.docx", "A 23825-2025")</f>
        <v/>
      </c>
      <c r="W1195">
        <f>HYPERLINK("https://klasma.github.io/Logging_2280/klagomålsmail/A 23825-2025 FSC-klagomål mail.docx", "A 23825-2025")</f>
        <v/>
      </c>
      <c r="X1195">
        <f>HYPERLINK("https://klasma.github.io/Logging_2280/tillsyn/A 23825-2025 tillsynsbegäran.docx", "A 23825-2025")</f>
        <v/>
      </c>
      <c r="Y1195">
        <f>HYPERLINK("https://klasma.github.io/Logging_2280/tillsynsmail/A 23825-2025 tillsynsbegäran mail.docx", "A 23825-2025")</f>
        <v/>
      </c>
    </row>
    <row r="1196" ht="15" customHeight="1">
      <c r="A1196" t="inlineStr">
        <is>
          <t>A 24423-2025</t>
        </is>
      </c>
      <c r="B1196" s="1" t="n">
        <v>45797.67813657408</v>
      </c>
      <c r="C1196" s="1" t="n">
        <v>46185</v>
      </c>
      <c r="D1196" t="inlineStr">
        <is>
          <t>VÄSTERNORRLANDS LÄN</t>
        </is>
      </c>
      <c r="E1196" t="inlineStr">
        <is>
          <t>TIMRÅ</t>
        </is>
      </c>
      <c r="F1196" t="inlineStr">
        <is>
          <t>SCA</t>
        </is>
      </c>
      <c r="G1196" t="n">
        <v>2.4</v>
      </c>
      <c r="H1196" t="n">
        <v>0</v>
      </c>
      <c r="I1196" t="n">
        <v>0</v>
      </c>
      <c r="J1196" t="n">
        <v>1</v>
      </c>
      <c r="K1196" t="n">
        <v>0</v>
      </c>
      <c r="L1196" t="n">
        <v>0</v>
      </c>
      <c r="M1196" t="n">
        <v>0</v>
      </c>
      <c r="N1196" t="n">
        <v>0</v>
      </c>
      <c r="O1196" t="n">
        <v>1</v>
      </c>
      <c r="P1196" t="n">
        <v>0</v>
      </c>
      <c r="Q1196" t="n">
        <v>1</v>
      </c>
      <c r="R1196" s="2" t="inlineStr">
        <is>
          <t>Gammelgransskål</t>
        </is>
      </c>
      <c r="S1196">
        <f>HYPERLINK("https://klasma.github.io/Logging_2262/artfynd/A 24423-2025 artfynd.xlsx", "A 24423-2025")</f>
        <v/>
      </c>
      <c r="T1196">
        <f>HYPERLINK("https://klasma.github.io/Logging_2262/kartor/A 24423-2025 karta.png", "A 24423-2025")</f>
        <v/>
      </c>
      <c r="V1196">
        <f>HYPERLINK("https://klasma.github.io/Logging_2262/klagomål/A 24423-2025 FSC-klagomål.docx", "A 24423-2025")</f>
        <v/>
      </c>
      <c r="W1196">
        <f>HYPERLINK("https://klasma.github.io/Logging_2262/klagomålsmail/A 24423-2025 FSC-klagomål mail.docx", "A 24423-2025")</f>
        <v/>
      </c>
      <c r="X1196">
        <f>HYPERLINK("https://klasma.github.io/Logging_2262/tillsyn/A 24423-2025 tillsynsbegäran.docx", "A 24423-2025")</f>
        <v/>
      </c>
      <c r="Y1196">
        <f>HYPERLINK("https://klasma.github.io/Logging_2262/tillsynsmail/A 24423-2025 tillsynsbegäran mail.docx", "A 24423-2025")</f>
        <v/>
      </c>
    </row>
    <row r="1197" ht="15" customHeight="1">
      <c r="A1197" t="inlineStr">
        <is>
          <t>A 58723-2024</t>
        </is>
      </c>
      <c r="B1197" s="1" t="n">
        <v>45635.66302083333</v>
      </c>
      <c r="C1197" s="1" t="n">
        <v>46185</v>
      </c>
      <c r="D1197" t="inlineStr">
        <is>
          <t>VÄSTERNORRLANDS LÄN</t>
        </is>
      </c>
      <c r="E1197" t="inlineStr">
        <is>
          <t>SUNDSVALL</t>
        </is>
      </c>
      <c r="G1197" t="n">
        <v>2.2</v>
      </c>
      <c r="H1197" t="n">
        <v>1</v>
      </c>
      <c r="I1197" t="n">
        <v>0</v>
      </c>
      <c r="J1197" t="n">
        <v>1</v>
      </c>
      <c r="K1197" t="n">
        <v>0</v>
      </c>
      <c r="L1197" t="n">
        <v>0</v>
      </c>
      <c r="M1197" t="n">
        <v>0</v>
      </c>
      <c r="N1197" t="n">
        <v>0</v>
      </c>
      <c r="O1197" t="n">
        <v>1</v>
      </c>
      <c r="P1197" t="n">
        <v>0</v>
      </c>
      <c r="Q1197" t="n">
        <v>1</v>
      </c>
      <c r="R1197" s="2" t="inlineStr">
        <is>
          <t>Talltita</t>
        </is>
      </c>
      <c r="S1197">
        <f>HYPERLINK("https://klasma.github.io/Logging_2281/artfynd/A 58723-2024 artfynd.xlsx", "A 58723-2024")</f>
        <v/>
      </c>
      <c r="T1197">
        <f>HYPERLINK("https://klasma.github.io/Logging_2281/kartor/A 58723-2024 karta.png", "A 58723-2024")</f>
        <v/>
      </c>
      <c r="V1197">
        <f>HYPERLINK("https://klasma.github.io/Logging_2281/klagomål/A 58723-2024 FSC-klagomål.docx", "A 58723-2024")</f>
        <v/>
      </c>
      <c r="W1197">
        <f>HYPERLINK("https://klasma.github.io/Logging_2281/klagomålsmail/A 58723-2024 FSC-klagomål mail.docx", "A 58723-2024")</f>
        <v/>
      </c>
      <c r="X1197">
        <f>HYPERLINK("https://klasma.github.io/Logging_2281/tillsyn/A 58723-2024 tillsynsbegäran.docx", "A 58723-2024")</f>
        <v/>
      </c>
      <c r="Y1197">
        <f>HYPERLINK("https://klasma.github.io/Logging_2281/tillsynsmail/A 58723-2024 tillsynsbegäran mail.docx", "A 58723-2024")</f>
        <v/>
      </c>
      <c r="Z1197">
        <f>HYPERLINK("https://klasma.github.io/Logging_2281/fåglar/A 58723-2024 prioriterade fågelarter.docx", "A 58723-2024")</f>
        <v/>
      </c>
    </row>
    <row r="1198" ht="15" customHeight="1">
      <c r="A1198" t="inlineStr">
        <is>
          <t>A 53989-2022</t>
        </is>
      </c>
      <c r="B1198" s="1" t="n">
        <v>44881</v>
      </c>
      <c r="C1198" s="1" t="n">
        <v>46185</v>
      </c>
      <c r="D1198" t="inlineStr">
        <is>
          <t>VÄSTERNORRLANDS LÄN</t>
        </is>
      </c>
      <c r="E1198" t="inlineStr">
        <is>
          <t>ÖRNSKÖLDSVIK</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44610-2021</t>
        </is>
      </c>
      <c r="B1199" s="1" t="n">
        <v>44435.94177083333</v>
      </c>
      <c r="C1199" s="1" t="n">
        <v>46185</v>
      </c>
      <c r="D1199" t="inlineStr">
        <is>
          <t>VÄSTERNORRLANDS LÄN</t>
        </is>
      </c>
      <c r="E1199" t="inlineStr">
        <is>
          <t>SUNDSVALL</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39364-2022</t>
        </is>
      </c>
      <c r="B1200" s="1" t="n">
        <v>44817</v>
      </c>
      <c r="C1200" s="1" t="n">
        <v>46185</v>
      </c>
      <c r="D1200" t="inlineStr">
        <is>
          <t>VÄSTERNORRLANDS LÄN</t>
        </is>
      </c>
      <c r="E1200" t="inlineStr">
        <is>
          <t>KRAMFORS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36644-2022</t>
        </is>
      </c>
      <c r="B1201" s="1" t="n">
        <v>44804.74203703704</v>
      </c>
      <c r="C1201" s="1" t="n">
        <v>46185</v>
      </c>
      <c r="D1201" t="inlineStr">
        <is>
          <t>VÄSTERNORRLANDS LÄN</t>
        </is>
      </c>
      <c r="E1201" t="inlineStr">
        <is>
          <t>KRAMFORS</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53095-2022</t>
        </is>
      </c>
      <c r="B1202" s="1" t="n">
        <v>44873</v>
      </c>
      <c r="C1202" s="1" t="n">
        <v>46185</v>
      </c>
      <c r="D1202" t="inlineStr">
        <is>
          <t>VÄSTERNORRLANDS LÄN</t>
        </is>
      </c>
      <c r="E1202" t="inlineStr">
        <is>
          <t>ÖRNSKÖLDSVIK</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49181-2022</t>
        </is>
      </c>
      <c r="B1203" s="1" t="n">
        <v>44860.95321759259</v>
      </c>
      <c r="C1203" s="1" t="n">
        <v>46185</v>
      </c>
      <c r="D1203" t="inlineStr">
        <is>
          <t>VÄSTERNORRLANDS LÄN</t>
        </is>
      </c>
      <c r="E1203" t="inlineStr">
        <is>
          <t>SOLLEFTEÅ</t>
        </is>
      </c>
      <c r="F1203" t="inlineStr">
        <is>
          <t>SCA</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44399-2022</t>
        </is>
      </c>
      <c r="B1204" s="1" t="n">
        <v>44838</v>
      </c>
      <c r="C1204" s="1" t="n">
        <v>46185</v>
      </c>
      <c r="D1204" t="inlineStr">
        <is>
          <t>VÄSTERNORRLANDS LÄN</t>
        </is>
      </c>
      <c r="E1204" t="inlineStr">
        <is>
          <t>SUNDSVALL</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50127-2021</t>
        </is>
      </c>
      <c r="B1205" s="1" t="n">
        <v>44456</v>
      </c>
      <c r="C1205" s="1" t="n">
        <v>46185</v>
      </c>
      <c r="D1205" t="inlineStr">
        <is>
          <t>VÄSTERNORRLANDS LÄN</t>
        </is>
      </c>
      <c r="E1205" t="inlineStr">
        <is>
          <t>SUNDSVALL</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43660-2022</t>
        </is>
      </c>
      <c r="B1206" s="1" t="n">
        <v>44837</v>
      </c>
      <c r="C1206" s="1" t="n">
        <v>46185</v>
      </c>
      <c r="D1206" t="inlineStr">
        <is>
          <t>VÄSTERNORRLANDS LÄN</t>
        </is>
      </c>
      <c r="E1206" t="inlineStr">
        <is>
          <t>ÖRNSKÖLDSVIK</t>
        </is>
      </c>
      <c r="F1206" t="inlineStr">
        <is>
          <t>Holmen skog AB</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44528-2022</t>
        </is>
      </c>
      <c r="B1207" s="1" t="n">
        <v>44840.43861111111</v>
      </c>
      <c r="C1207" s="1" t="n">
        <v>46185</v>
      </c>
      <c r="D1207" t="inlineStr">
        <is>
          <t>VÄSTERNORRLANDS LÄN</t>
        </is>
      </c>
      <c r="E1207" t="inlineStr">
        <is>
          <t>ÖRNSKÖLDSVIK</t>
        </is>
      </c>
      <c r="F1207" t="inlineStr">
        <is>
          <t>Holmen skog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40367-2021</t>
        </is>
      </c>
      <c r="B1208" s="1" t="n">
        <v>44419.60454861111</v>
      </c>
      <c r="C1208" s="1" t="n">
        <v>46185</v>
      </c>
      <c r="D1208" t="inlineStr">
        <is>
          <t>VÄSTERNORRLANDS LÄN</t>
        </is>
      </c>
      <c r="E1208" t="inlineStr">
        <is>
          <t>ÖRNSKÖLDSVIK</t>
        </is>
      </c>
      <c r="F1208" t="inlineStr">
        <is>
          <t>Holmen skog AB</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33737-2021</t>
        </is>
      </c>
      <c r="B1209" s="1" t="n">
        <v>44377</v>
      </c>
      <c r="C1209" s="1" t="n">
        <v>46185</v>
      </c>
      <c r="D1209" t="inlineStr">
        <is>
          <t>VÄSTERNORRLANDS LÄN</t>
        </is>
      </c>
      <c r="E1209" t="inlineStr">
        <is>
          <t>ÖRNSKÖLDSVIK</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50237-2021</t>
        </is>
      </c>
      <c r="B1210" s="1" t="n">
        <v>44457.94170138889</v>
      </c>
      <c r="C1210" s="1" t="n">
        <v>46185</v>
      </c>
      <c r="D1210" t="inlineStr">
        <is>
          <t>VÄSTERNORRLANDS LÄN</t>
        </is>
      </c>
      <c r="E1210" t="inlineStr">
        <is>
          <t>SUNDSVALL</t>
        </is>
      </c>
      <c r="F1210" t="inlineStr">
        <is>
          <t>SCA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48350-2021</t>
        </is>
      </c>
      <c r="B1211" s="1" t="n">
        <v>44451</v>
      </c>
      <c r="C1211" s="1" t="n">
        <v>46185</v>
      </c>
      <c r="D1211" t="inlineStr">
        <is>
          <t>VÄSTERNORRLANDS LÄN</t>
        </is>
      </c>
      <c r="E1211" t="inlineStr">
        <is>
          <t>ÖRNSKÖLDSVIK</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51104-2021</t>
        </is>
      </c>
      <c r="B1212" s="1" t="n">
        <v>44459</v>
      </c>
      <c r="C1212" s="1" t="n">
        <v>46185</v>
      </c>
      <c r="D1212" t="inlineStr">
        <is>
          <t>VÄSTERNORRLANDS LÄN</t>
        </is>
      </c>
      <c r="E1212" t="inlineStr">
        <is>
          <t>SOLLEFTEÅ</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42042-2021</t>
        </is>
      </c>
      <c r="B1213" s="1" t="n">
        <v>44426</v>
      </c>
      <c r="C1213" s="1" t="n">
        <v>46185</v>
      </c>
      <c r="D1213" t="inlineStr">
        <is>
          <t>VÄSTERNORRLANDS LÄN</t>
        </is>
      </c>
      <c r="E1213" t="inlineStr">
        <is>
          <t>ÖRNSKÖLDSVIK</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33915-2021</t>
        </is>
      </c>
      <c r="B1214" s="1" t="n">
        <v>44378</v>
      </c>
      <c r="C1214" s="1" t="n">
        <v>46185</v>
      </c>
      <c r="D1214" t="inlineStr">
        <is>
          <t>VÄSTERNORRLANDS LÄN</t>
        </is>
      </c>
      <c r="E1214" t="inlineStr">
        <is>
          <t>ÖRNSKÖLDSVIK</t>
        </is>
      </c>
      <c r="F1214" t="inlineStr">
        <is>
          <t>Holmen skog AB</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47203-2021</t>
        </is>
      </c>
      <c r="B1215" s="1" t="n">
        <v>44447.3393287037</v>
      </c>
      <c r="C1215" s="1" t="n">
        <v>46185</v>
      </c>
      <c r="D1215" t="inlineStr">
        <is>
          <t>VÄSTERNORRLANDS LÄN</t>
        </is>
      </c>
      <c r="E1215" t="inlineStr">
        <is>
          <t>TIMRÅ</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53578-2021</t>
        </is>
      </c>
      <c r="B1216" s="1" t="n">
        <v>44469</v>
      </c>
      <c r="C1216" s="1" t="n">
        <v>46185</v>
      </c>
      <c r="D1216" t="inlineStr">
        <is>
          <t>VÄSTERNORRLANDS LÄN</t>
        </is>
      </c>
      <c r="E1216" t="inlineStr">
        <is>
          <t>KRAMFORS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53626-2021</t>
        </is>
      </c>
      <c r="B1217" s="1" t="n">
        <v>44469</v>
      </c>
      <c r="C1217" s="1" t="n">
        <v>46185</v>
      </c>
      <c r="D1217" t="inlineStr">
        <is>
          <t>VÄSTERNORRLANDS LÄN</t>
        </is>
      </c>
      <c r="E1217" t="inlineStr">
        <is>
          <t>ÖRNSKÖLDSVIK</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12564-2022</t>
        </is>
      </c>
      <c r="B1218" s="1" t="n">
        <v>44638.94256944444</v>
      </c>
      <c r="C1218" s="1" t="n">
        <v>46185</v>
      </c>
      <c r="D1218" t="inlineStr">
        <is>
          <t>VÄSTERNORRLANDS LÄN</t>
        </is>
      </c>
      <c r="E1218" t="inlineStr">
        <is>
          <t>SOLLEFTEÅ</t>
        </is>
      </c>
      <c r="F1218" t="inlineStr">
        <is>
          <t>SCA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61851-2021</t>
        </is>
      </c>
      <c r="B1219" s="1" t="n">
        <v>44501</v>
      </c>
      <c r="C1219" s="1" t="n">
        <v>46185</v>
      </c>
      <c r="D1219" t="inlineStr">
        <is>
          <t>VÄSTERNORRLANDS LÄN</t>
        </is>
      </c>
      <c r="E1219" t="inlineStr">
        <is>
          <t>SUNDSVALL</t>
        </is>
      </c>
      <c r="F1219" t="inlineStr">
        <is>
          <t>SCA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64478-2021</t>
        </is>
      </c>
      <c r="B1220" s="1" t="n">
        <v>44511</v>
      </c>
      <c r="C1220" s="1" t="n">
        <v>46185</v>
      </c>
      <c r="D1220" t="inlineStr">
        <is>
          <t>VÄSTERNORRLANDS LÄN</t>
        </is>
      </c>
      <c r="E1220" t="inlineStr">
        <is>
          <t>SUNDSVALL</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11838-2022</t>
        </is>
      </c>
      <c r="B1221" s="1" t="n">
        <v>44634.92177083333</v>
      </c>
      <c r="C1221" s="1" t="n">
        <v>46185</v>
      </c>
      <c r="D1221" t="inlineStr">
        <is>
          <t>VÄSTERNORRLANDS LÄN</t>
        </is>
      </c>
      <c r="E1221" t="inlineStr">
        <is>
          <t>KRAMFORS</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24353-2022</t>
        </is>
      </c>
      <c r="B1222" s="1" t="n">
        <v>44726.37769675926</v>
      </c>
      <c r="C1222" s="1" t="n">
        <v>46185</v>
      </c>
      <c r="D1222" t="inlineStr">
        <is>
          <t>VÄSTERNORRLANDS LÄN</t>
        </is>
      </c>
      <c r="E1222" t="inlineStr">
        <is>
          <t>ÅNGE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73344-2021</t>
        </is>
      </c>
      <c r="B1223" s="1" t="n">
        <v>44550</v>
      </c>
      <c r="C1223" s="1" t="n">
        <v>46185</v>
      </c>
      <c r="D1223" t="inlineStr">
        <is>
          <t>VÄSTERNORRLANDS LÄN</t>
        </is>
      </c>
      <c r="E1223" t="inlineStr">
        <is>
          <t>ÖRNSKÖLDSVIK</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52413-2021</t>
        </is>
      </c>
      <c r="B1224" s="1" t="n">
        <v>44466.32505787037</v>
      </c>
      <c r="C1224" s="1" t="n">
        <v>46185</v>
      </c>
      <c r="D1224" t="inlineStr">
        <is>
          <t>VÄSTERNORRLANDS LÄN</t>
        </is>
      </c>
      <c r="E1224" t="inlineStr">
        <is>
          <t>ÖRNSKÖLDSVIK</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45001-2022</t>
        </is>
      </c>
      <c r="B1225" s="1" t="n">
        <v>44841</v>
      </c>
      <c r="C1225" s="1" t="n">
        <v>46185</v>
      </c>
      <c r="D1225" t="inlineStr">
        <is>
          <t>VÄSTERNORRLANDS LÄN</t>
        </is>
      </c>
      <c r="E1225" t="inlineStr">
        <is>
          <t>ÖRNSKÖLDSVIK</t>
        </is>
      </c>
      <c r="F1225" t="inlineStr">
        <is>
          <t>Holmen skog AB</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29484-2021</t>
        </is>
      </c>
      <c r="B1226" s="1" t="n">
        <v>44361.64238425926</v>
      </c>
      <c r="C1226" s="1" t="n">
        <v>46185</v>
      </c>
      <c r="D1226" t="inlineStr">
        <is>
          <t>VÄSTERNORRLANDS LÄN</t>
        </is>
      </c>
      <c r="E1226" t="inlineStr">
        <is>
          <t>SUNDSVALL</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974-2022</t>
        </is>
      </c>
      <c r="B1227" s="1" t="n">
        <v>44571.57930555556</v>
      </c>
      <c r="C1227" s="1" t="n">
        <v>46185</v>
      </c>
      <c r="D1227" t="inlineStr">
        <is>
          <t>VÄSTERNORRLANDS LÄN</t>
        </is>
      </c>
      <c r="E1227" t="inlineStr">
        <is>
          <t>ÖRNSKÖLDSVIK</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25196-2022</t>
        </is>
      </c>
      <c r="B1228" s="1" t="n">
        <v>44729.64677083334</v>
      </c>
      <c r="C1228" s="1" t="n">
        <v>46185</v>
      </c>
      <c r="D1228" t="inlineStr">
        <is>
          <t>VÄSTERNORRLANDS LÄN</t>
        </is>
      </c>
      <c r="E1228" t="inlineStr">
        <is>
          <t>SUNDSVALL</t>
        </is>
      </c>
      <c r="F1228" t="inlineStr">
        <is>
          <t>Holmen skog AB</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43323-2021</t>
        </is>
      </c>
      <c r="B1229" s="1" t="n">
        <v>44432</v>
      </c>
      <c r="C1229" s="1" t="n">
        <v>46185</v>
      </c>
      <c r="D1229" t="inlineStr">
        <is>
          <t>VÄSTERNORRLANDS LÄN</t>
        </is>
      </c>
      <c r="E1229" t="inlineStr">
        <is>
          <t>ÖRNSKÖLDSVIK</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43360-2021</t>
        </is>
      </c>
      <c r="B1230" s="1" t="n">
        <v>44432</v>
      </c>
      <c r="C1230" s="1" t="n">
        <v>46185</v>
      </c>
      <c r="D1230" t="inlineStr">
        <is>
          <t>VÄSTERNORRLANDS LÄN</t>
        </is>
      </c>
      <c r="E1230" t="inlineStr">
        <is>
          <t>ÖRNSKÖLDSVIK</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69799-2021</t>
        </is>
      </c>
      <c r="B1231" s="1" t="n">
        <v>44532</v>
      </c>
      <c r="C1231" s="1" t="n">
        <v>46185</v>
      </c>
      <c r="D1231" t="inlineStr">
        <is>
          <t>VÄSTERNORRLANDS LÄN</t>
        </is>
      </c>
      <c r="E1231" t="inlineStr">
        <is>
          <t>ÖRNSKÖLDSVIK</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37040-2021</t>
        </is>
      </c>
      <c r="B1232" s="1" t="n">
        <v>44393.93452546297</v>
      </c>
      <c r="C1232" s="1" t="n">
        <v>46185</v>
      </c>
      <c r="D1232" t="inlineStr">
        <is>
          <t>VÄSTERNORRLANDS LÄN</t>
        </is>
      </c>
      <c r="E1232" t="inlineStr">
        <is>
          <t>SUNDSVALL</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49434-2022</t>
        </is>
      </c>
      <c r="B1233" s="1" t="n">
        <v>44859</v>
      </c>
      <c r="C1233" s="1" t="n">
        <v>46185</v>
      </c>
      <c r="D1233" t="inlineStr">
        <is>
          <t>VÄSTERNORRLANDS LÄN</t>
        </is>
      </c>
      <c r="E1233" t="inlineStr">
        <is>
          <t>KRAMFORS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22434-2022</t>
        </is>
      </c>
      <c r="B1234" s="1" t="n">
        <v>44713</v>
      </c>
      <c r="C1234" s="1" t="n">
        <v>46185</v>
      </c>
      <c r="D1234" t="inlineStr">
        <is>
          <t>VÄSTERNORRLANDS LÄN</t>
        </is>
      </c>
      <c r="E1234" t="inlineStr">
        <is>
          <t>ÖRNSKÖLDSVIK</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36251-2021</t>
        </is>
      </c>
      <c r="B1235" s="1" t="n">
        <v>44390.3167824074</v>
      </c>
      <c r="C1235" s="1" t="n">
        <v>46185</v>
      </c>
      <c r="D1235" t="inlineStr">
        <is>
          <t>VÄSTERNORRLANDS LÄN</t>
        </is>
      </c>
      <c r="E1235" t="inlineStr">
        <is>
          <t>SUNDSVALL</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37624-2021</t>
        </is>
      </c>
      <c r="B1236" s="1" t="n">
        <v>44399</v>
      </c>
      <c r="C1236" s="1" t="n">
        <v>46185</v>
      </c>
      <c r="D1236" t="inlineStr">
        <is>
          <t>VÄSTERNORRLANDS LÄN</t>
        </is>
      </c>
      <c r="E1236" t="inlineStr">
        <is>
          <t>ÅNGE</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5381-2022</t>
        </is>
      </c>
      <c r="B1237" s="1" t="n">
        <v>44594.9337037037</v>
      </c>
      <c r="C1237" s="1" t="n">
        <v>46185</v>
      </c>
      <c r="D1237" t="inlineStr">
        <is>
          <t>VÄSTERNORRLANDS LÄN</t>
        </is>
      </c>
      <c r="E1237" t="inlineStr">
        <is>
          <t>ÅNGE</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38432-2021</t>
        </is>
      </c>
      <c r="B1238" s="1" t="n">
        <v>44406</v>
      </c>
      <c r="C1238" s="1" t="n">
        <v>46185</v>
      </c>
      <c r="D1238" t="inlineStr">
        <is>
          <t>VÄSTERNORRLANDS LÄN</t>
        </is>
      </c>
      <c r="E1238" t="inlineStr">
        <is>
          <t>ÅNGE</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25643-2022</t>
        </is>
      </c>
      <c r="B1239" s="1" t="n">
        <v>44732.94244212963</v>
      </c>
      <c r="C1239" s="1" t="n">
        <v>46185</v>
      </c>
      <c r="D1239" t="inlineStr">
        <is>
          <t>VÄSTERNORRLANDS LÄN</t>
        </is>
      </c>
      <c r="E1239" t="inlineStr">
        <is>
          <t>SUNDSVALL</t>
        </is>
      </c>
      <c r="F1239" t="inlineStr">
        <is>
          <t>Naturvårdsverket</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41455-2022</t>
        </is>
      </c>
      <c r="B1240" s="1" t="n">
        <v>44826</v>
      </c>
      <c r="C1240" s="1" t="n">
        <v>46185</v>
      </c>
      <c r="D1240" t="inlineStr">
        <is>
          <t>VÄSTERNORRLANDS LÄN</t>
        </is>
      </c>
      <c r="E1240" t="inlineStr">
        <is>
          <t>SOLLEFTEÅ</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52700-2022</t>
        </is>
      </c>
      <c r="B1241" s="1" t="n">
        <v>44874</v>
      </c>
      <c r="C1241" s="1" t="n">
        <v>46185</v>
      </c>
      <c r="D1241" t="inlineStr">
        <is>
          <t>VÄSTERNORRLANDS LÄN</t>
        </is>
      </c>
      <c r="E1241" t="inlineStr">
        <is>
          <t>HÄRNÖSAND</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48860-2021</t>
        </is>
      </c>
      <c r="B1242" s="1" t="n">
        <v>44452.94059027778</v>
      </c>
      <c r="C1242" s="1" t="n">
        <v>46185</v>
      </c>
      <c r="D1242" t="inlineStr">
        <is>
          <t>VÄSTERNORRLANDS LÄN</t>
        </is>
      </c>
      <c r="E1242" t="inlineStr">
        <is>
          <t>HÄRNÖSAND</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48876-2021</t>
        </is>
      </c>
      <c r="B1243" s="1" t="n">
        <v>44452</v>
      </c>
      <c r="C1243" s="1" t="n">
        <v>46185</v>
      </c>
      <c r="D1243" t="inlineStr">
        <is>
          <t>VÄSTERNORRLANDS LÄN</t>
        </is>
      </c>
      <c r="E1243" t="inlineStr">
        <is>
          <t>ÅNGE</t>
        </is>
      </c>
      <c r="F1243" t="inlineStr">
        <is>
          <t>SCA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17039-2022</t>
        </is>
      </c>
      <c r="B1244" s="1" t="n">
        <v>44676.92622685185</v>
      </c>
      <c r="C1244" s="1" t="n">
        <v>46185</v>
      </c>
      <c r="D1244" t="inlineStr">
        <is>
          <t>VÄSTERNORRLANDS LÄN</t>
        </is>
      </c>
      <c r="E1244" t="inlineStr">
        <is>
          <t>SUNDSVALL</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51798-2021</t>
        </is>
      </c>
      <c r="B1245" s="1" t="n">
        <v>44462</v>
      </c>
      <c r="C1245" s="1" t="n">
        <v>46185</v>
      </c>
      <c r="D1245" t="inlineStr">
        <is>
          <t>VÄSTERNORRLANDS LÄN</t>
        </is>
      </c>
      <c r="E1245" t="inlineStr">
        <is>
          <t>ÖRNSKÖLDSVIK</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30937-2022</t>
        </is>
      </c>
      <c r="B1246" s="1" t="n">
        <v>44767.94092592593</v>
      </c>
      <c r="C1246" s="1" t="n">
        <v>46185</v>
      </c>
      <c r="D1246" t="inlineStr">
        <is>
          <t>VÄSTERNORRLANDS LÄN</t>
        </is>
      </c>
      <c r="E1246" t="inlineStr">
        <is>
          <t>SOLLEFTEÅ</t>
        </is>
      </c>
      <c r="F1246" t="inlineStr">
        <is>
          <t>SCA</t>
        </is>
      </c>
      <c r="G1246" t="n">
        <v>10.2</v>
      </c>
      <c r="H1246" t="n">
        <v>0</v>
      </c>
      <c r="I1246" t="n">
        <v>0</v>
      </c>
      <c r="J1246" t="n">
        <v>0</v>
      </c>
      <c r="K1246" t="n">
        <v>0</v>
      </c>
      <c r="L1246" t="n">
        <v>0</v>
      </c>
      <c r="M1246" t="n">
        <v>0</v>
      </c>
      <c r="N1246" t="n">
        <v>0</v>
      </c>
      <c r="O1246" t="n">
        <v>0</v>
      </c>
      <c r="P1246" t="n">
        <v>0</v>
      </c>
      <c r="Q1246" t="n">
        <v>0</v>
      </c>
      <c r="R1246" s="2" t="inlineStr"/>
    </row>
    <row r="1247" ht="15" customHeight="1">
      <c r="A1247" t="inlineStr">
        <is>
          <t>A 48990-2021</t>
        </is>
      </c>
      <c r="B1247" s="1" t="n">
        <v>44453</v>
      </c>
      <c r="C1247" s="1" t="n">
        <v>46185</v>
      </c>
      <c r="D1247" t="inlineStr">
        <is>
          <t>VÄSTERNORRLANDS LÄN</t>
        </is>
      </c>
      <c r="E1247" t="inlineStr">
        <is>
          <t>ÅNGE</t>
        </is>
      </c>
      <c r="F1247" t="inlineStr">
        <is>
          <t>Sveaskog</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45812-2022</t>
        </is>
      </c>
      <c r="B1248" s="1" t="n">
        <v>44846.47394675926</v>
      </c>
      <c r="C1248" s="1" t="n">
        <v>46185</v>
      </c>
      <c r="D1248" t="inlineStr">
        <is>
          <t>VÄSTERNORRLANDS LÄN</t>
        </is>
      </c>
      <c r="E1248" t="inlineStr">
        <is>
          <t>ÖRNSKÖLDSVIK</t>
        </is>
      </c>
      <c r="F1248" t="inlineStr">
        <is>
          <t>Holmen skog AB</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47879-2022</t>
        </is>
      </c>
      <c r="B1249" s="1" t="n">
        <v>44855</v>
      </c>
      <c r="C1249" s="1" t="n">
        <v>46185</v>
      </c>
      <c r="D1249" t="inlineStr">
        <is>
          <t>VÄSTERNORRLANDS LÄN</t>
        </is>
      </c>
      <c r="E1249" t="inlineStr">
        <is>
          <t>ÖRNSKÖLDSVIK</t>
        </is>
      </c>
      <c r="F1249" t="inlineStr">
        <is>
          <t>Holmen skog AB</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45187-2021</t>
        </is>
      </c>
      <c r="B1250" s="1" t="n">
        <v>44439</v>
      </c>
      <c r="C1250" s="1" t="n">
        <v>46185</v>
      </c>
      <c r="D1250" t="inlineStr">
        <is>
          <t>VÄSTERNORRLANDS LÄN</t>
        </is>
      </c>
      <c r="E1250" t="inlineStr">
        <is>
          <t>SOLLEFTEÅ</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49001-2022</t>
        </is>
      </c>
      <c r="B1251" s="1" t="n">
        <v>44860</v>
      </c>
      <c r="C1251" s="1" t="n">
        <v>46185</v>
      </c>
      <c r="D1251" t="inlineStr">
        <is>
          <t>VÄSTERNORRLANDS LÄN</t>
        </is>
      </c>
      <c r="E1251" t="inlineStr">
        <is>
          <t>ÖRNSKÖLDSVIK</t>
        </is>
      </c>
      <c r="F1251" t="inlineStr">
        <is>
          <t>Holmen skog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54626-2021</t>
        </is>
      </c>
      <c r="B1252" s="1" t="n">
        <v>44473</v>
      </c>
      <c r="C1252" s="1" t="n">
        <v>46185</v>
      </c>
      <c r="D1252" t="inlineStr">
        <is>
          <t>VÄSTERNORRLANDS LÄN</t>
        </is>
      </c>
      <c r="E1252" t="inlineStr">
        <is>
          <t>ÖRNSKÖLDSVIK</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39744-2021</t>
        </is>
      </c>
      <c r="B1253" s="1" t="n">
        <v>44417</v>
      </c>
      <c r="C1253" s="1" t="n">
        <v>46185</v>
      </c>
      <c r="D1253" t="inlineStr">
        <is>
          <t>VÄSTERNORRLANDS LÄN</t>
        </is>
      </c>
      <c r="E1253" t="inlineStr">
        <is>
          <t>ÅNGE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40247-2021</t>
        </is>
      </c>
      <c r="B1254" s="1" t="n">
        <v>44419</v>
      </c>
      <c r="C1254" s="1" t="n">
        <v>46185</v>
      </c>
      <c r="D1254" t="inlineStr">
        <is>
          <t>VÄSTERNORRLANDS LÄN</t>
        </is>
      </c>
      <c r="E1254" t="inlineStr">
        <is>
          <t>ÖRNSKÖLDSVIK</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44047-2021</t>
        </is>
      </c>
      <c r="B1255" s="1" t="n">
        <v>44434</v>
      </c>
      <c r="C1255" s="1" t="n">
        <v>46185</v>
      </c>
      <c r="D1255" t="inlineStr">
        <is>
          <t>VÄSTERNORRLANDS LÄN</t>
        </is>
      </c>
      <c r="E1255" t="inlineStr">
        <is>
          <t>HÄRNÖSAND</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52074-2021</t>
        </is>
      </c>
      <c r="B1256" s="1" t="n">
        <v>44463.4021875</v>
      </c>
      <c r="C1256" s="1" t="n">
        <v>46185</v>
      </c>
      <c r="D1256" t="inlineStr">
        <is>
          <t>VÄSTERNORRLANDS LÄN</t>
        </is>
      </c>
      <c r="E1256" t="inlineStr">
        <is>
          <t>ÖRNSKÖLDSVIK</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54416-2021</t>
        </is>
      </c>
      <c r="B1257" s="1" t="n">
        <v>44472</v>
      </c>
      <c r="C1257" s="1" t="n">
        <v>46185</v>
      </c>
      <c r="D1257" t="inlineStr">
        <is>
          <t>VÄSTERNORRLANDS LÄN</t>
        </is>
      </c>
      <c r="E1257" t="inlineStr">
        <is>
          <t>ÖRNSKÖLDSVIK</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47570-2021</t>
        </is>
      </c>
      <c r="B1258" s="1" t="n">
        <v>44447.94371527778</v>
      </c>
      <c r="C1258" s="1" t="n">
        <v>46185</v>
      </c>
      <c r="D1258" t="inlineStr">
        <is>
          <t>VÄSTERNORRLANDS LÄN</t>
        </is>
      </c>
      <c r="E1258" t="inlineStr">
        <is>
          <t>TIMRÅ</t>
        </is>
      </c>
      <c r="F1258" t="inlineStr">
        <is>
          <t>SCA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74088-2021</t>
        </is>
      </c>
      <c r="B1259" s="1" t="n">
        <v>44557.59435185185</v>
      </c>
      <c r="C1259" s="1" t="n">
        <v>46185</v>
      </c>
      <c r="D1259" t="inlineStr">
        <is>
          <t>VÄSTERNORRLANDS LÄN</t>
        </is>
      </c>
      <c r="E1259" t="inlineStr">
        <is>
          <t>ÅNGE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54436-2021</t>
        </is>
      </c>
      <c r="B1260" s="1" t="n">
        <v>44473</v>
      </c>
      <c r="C1260" s="1" t="n">
        <v>46185</v>
      </c>
      <c r="D1260" t="inlineStr">
        <is>
          <t>VÄSTERNORRLANDS LÄN</t>
        </is>
      </c>
      <c r="E1260" t="inlineStr">
        <is>
          <t>ÖRNSKÖLDSVIK</t>
        </is>
      </c>
      <c r="F1260" t="inlineStr">
        <is>
          <t>Holmen skog AB</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54461-2021</t>
        </is>
      </c>
      <c r="B1261" s="1" t="n">
        <v>44473</v>
      </c>
      <c r="C1261" s="1" t="n">
        <v>46185</v>
      </c>
      <c r="D1261" t="inlineStr">
        <is>
          <t>VÄSTERNORRLANDS LÄN</t>
        </is>
      </c>
      <c r="E1261" t="inlineStr">
        <is>
          <t>ÖRNSKÖLDSVIK</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14433-2022</t>
        </is>
      </c>
      <c r="B1262" s="1" t="n">
        <v>44652</v>
      </c>
      <c r="C1262" s="1" t="n">
        <v>46185</v>
      </c>
      <c r="D1262" t="inlineStr">
        <is>
          <t>VÄSTERNORRLANDS LÄN</t>
        </is>
      </c>
      <c r="E1262" t="inlineStr">
        <is>
          <t>ÅNGE</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64367-2021</t>
        </is>
      </c>
      <c r="B1263" s="1" t="n">
        <v>44511</v>
      </c>
      <c r="C1263" s="1" t="n">
        <v>46185</v>
      </c>
      <c r="D1263" t="inlineStr">
        <is>
          <t>VÄSTERNORRLANDS LÄN</t>
        </is>
      </c>
      <c r="E1263" t="inlineStr">
        <is>
          <t>SUNDSVALL</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68145-2021</t>
        </is>
      </c>
      <c r="B1264" s="1" t="n">
        <v>44526</v>
      </c>
      <c r="C1264" s="1" t="n">
        <v>46185</v>
      </c>
      <c r="D1264" t="inlineStr">
        <is>
          <t>VÄSTERNORRLANDS LÄN</t>
        </is>
      </c>
      <c r="E1264" t="inlineStr">
        <is>
          <t>ÖRNSKÖLDSVIK</t>
        </is>
      </c>
      <c r="F1264" t="inlineStr">
        <is>
          <t>Holmen skog AB</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63424-2021</t>
        </is>
      </c>
      <c r="B1265" s="1" t="n">
        <v>44508</v>
      </c>
      <c r="C1265" s="1" t="n">
        <v>46185</v>
      </c>
      <c r="D1265" t="inlineStr">
        <is>
          <t>VÄSTERNORRLANDS LÄN</t>
        </is>
      </c>
      <c r="E1265" t="inlineStr">
        <is>
          <t>KRAMFORS</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63426-2021</t>
        </is>
      </c>
      <c r="B1266" s="1" t="n">
        <v>44508</v>
      </c>
      <c r="C1266" s="1" t="n">
        <v>46185</v>
      </c>
      <c r="D1266" t="inlineStr">
        <is>
          <t>VÄSTERNORRLANDS LÄN</t>
        </is>
      </c>
      <c r="E1266" t="inlineStr">
        <is>
          <t>ÖRNSKÖLDSVIK</t>
        </is>
      </c>
      <c r="F1266" t="inlineStr">
        <is>
          <t>Holmen skog AB</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63446-2021</t>
        </is>
      </c>
      <c r="B1267" s="1" t="n">
        <v>44508</v>
      </c>
      <c r="C1267" s="1" t="n">
        <v>46185</v>
      </c>
      <c r="D1267" t="inlineStr">
        <is>
          <t>VÄSTERNORRLANDS LÄN</t>
        </is>
      </c>
      <c r="E1267" t="inlineStr">
        <is>
          <t>KRAMFORS</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63447-2021</t>
        </is>
      </c>
      <c r="B1268" s="1" t="n">
        <v>44508.58561342592</v>
      </c>
      <c r="C1268" s="1" t="n">
        <v>46185</v>
      </c>
      <c r="D1268" t="inlineStr">
        <is>
          <t>VÄSTERNORRLANDS LÄN</t>
        </is>
      </c>
      <c r="E1268" t="inlineStr">
        <is>
          <t>ÖRNSKÖLDSVIK</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36810-2021</t>
        </is>
      </c>
      <c r="B1269" s="1" t="n">
        <v>44392</v>
      </c>
      <c r="C1269" s="1" t="n">
        <v>46185</v>
      </c>
      <c r="D1269" t="inlineStr">
        <is>
          <t>VÄSTERNORRLANDS LÄN</t>
        </is>
      </c>
      <c r="E1269" t="inlineStr">
        <is>
          <t>HÄRNÖSAND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66154-2021</t>
        </is>
      </c>
      <c r="B1270" s="1" t="n">
        <v>44517</v>
      </c>
      <c r="C1270" s="1" t="n">
        <v>46185</v>
      </c>
      <c r="D1270" t="inlineStr">
        <is>
          <t>VÄSTERNORRLANDS LÄN</t>
        </is>
      </c>
      <c r="E1270" t="inlineStr">
        <is>
          <t>TIMRÅ</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71396-2021</t>
        </is>
      </c>
      <c r="B1271" s="1" t="n">
        <v>44540.35644675926</v>
      </c>
      <c r="C1271" s="1" t="n">
        <v>46185</v>
      </c>
      <c r="D1271" t="inlineStr">
        <is>
          <t>VÄSTERNORRLANDS LÄN</t>
        </is>
      </c>
      <c r="E1271" t="inlineStr">
        <is>
          <t>ÅNGE</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5300-2022</t>
        </is>
      </c>
      <c r="B1272" s="1" t="n">
        <v>44594</v>
      </c>
      <c r="C1272" s="1" t="n">
        <v>46185</v>
      </c>
      <c r="D1272" t="inlineStr">
        <is>
          <t>VÄSTERNORRLANDS LÄN</t>
        </is>
      </c>
      <c r="E1272" t="inlineStr">
        <is>
          <t>KRAMFORS</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851-2022</t>
        </is>
      </c>
      <c r="B1273" s="1" t="n">
        <v>44568</v>
      </c>
      <c r="C1273" s="1" t="n">
        <v>46185</v>
      </c>
      <c r="D1273" t="inlineStr">
        <is>
          <t>VÄSTERNORRLANDS LÄN</t>
        </is>
      </c>
      <c r="E1273" t="inlineStr">
        <is>
          <t>ÖRNSKÖLDSVIK</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1232-2022</t>
        </is>
      </c>
      <c r="B1274" s="1" t="n">
        <v>44572.57984953704</v>
      </c>
      <c r="C1274" s="1" t="n">
        <v>46185</v>
      </c>
      <c r="D1274" t="inlineStr">
        <is>
          <t>VÄSTERNORRLANDS LÄN</t>
        </is>
      </c>
      <c r="E1274" t="inlineStr">
        <is>
          <t>SUNDSVALL</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34542-2022</t>
        </is>
      </c>
      <c r="B1275" s="1" t="n">
        <v>44793</v>
      </c>
      <c r="C1275" s="1" t="n">
        <v>46185</v>
      </c>
      <c r="D1275" t="inlineStr">
        <is>
          <t>VÄSTERNORRLANDS LÄN</t>
        </is>
      </c>
      <c r="E1275" t="inlineStr">
        <is>
          <t>SOLLEFTEÅ</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7437-2022</t>
        </is>
      </c>
      <c r="B1276" s="1" t="n">
        <v>44606</v>
      </c>
      <c r="C1276" s="1" t="n">
        <v>46185</v>
      </c>
      <c r="D1276" t="inlineStr">
        <is>
          <t>VÄSTERNORRLANDS LÄN</t>
        </is>
      </c>
      <c r="E1276" t="inlineStr">
        <is>
          <t>SUNDSVALL</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58486-2021</t>
        </is>
      </c>
      <c r="B1277" s="1" t="n">
        <v>44488</v>
      </c>
      <c r="C1277" s="1" t="n">
        <v>46185</v>
      </c>
      <c r="D1277" t="inlineStr">
        <is>
          <t>VÄSTERNORRLANDS LÄN</t>
        </is>
      </c>
      <c r="E1277" t="inlineStr">
        <is>
          <t>SOLLEFTEÅ</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42365-2021</t>
        </is>
      </c>
      <c r="B1278" s="1" t="n">
        <v>44427</v>
      </c>
      <c r="C1278" s="1" t="n">
        <v>46185</v>
      </c>
      <c r="D1278" t="inlineStr">
        <is>
          <t>VÄSTERNORRLANDS LÄN</t>
        </is>
      </c>
      <c r="E1278" t="inlineStr">
        <is>
          <t>ÖRNSKÖLDSVIK</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62404-2021</t>
        </is>
      </c>
      <c r="B1279" s="1" t="n">
        <v>44503.48112268518</v>
      </c>
      <c r="C1279" s="1" t="n">
        <v>46185</v>
      </c>
      <c r="D1279" t="inlineStr">
        <is>
          <t>VÄSTERNORRLANDS LÄN</t>
        </is>
      </c>
      <c r="E1279" t="inlineStr">
        <is>
          <t>ÖRNSKÖLDSVIK</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63394-2021</t>
        </is>
      </c>
      <c r="B1280" s="1" t="n">
        <v>44505</v>
      </c>
      <c r="C1280" s="1" t="n">
        <v>46185</v>
      </c>
      <c r="D1280" t="inlineStr">
        <is>
          <t>VÄSTERNORRLANDS LÄN</t>
        </is>
      </c>
      <c r="E1280" t="inlineStr">
        <is>
          <t>ÖRNSKÖLDSVIK</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228-2022</t>
        </is>
      </c>
      <c r="B1281" s="1" t="n">
        <v>44564</v>
      </c>
      <c r="C1281" s="1" t="n">
        <v>46185</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54377-2021</t>
        </is>
      </c>
      <c r="B1282" s="1" t="n">
        <v>44473.36232638889</v>
      </c>
      <c r="C1282" s="1" t="n">
        <v>46185</v>
      </c>
      <c r="D1282" t="inlineStr">
        <is>
          <t>VÄSTERNORRLANDS LÄN</t>
        </is>
      </c>
      <c r="E1282" t="inlineStr">
        <is>
          <t>ÖRNSKÖLDSVIK</t>
        </is>
      </c>
      <c r="F1282" t="inlineStr">
        <is>
          <t>Holmen skog AB</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63974-2021</t>
        </is>
      </c>
      <c r="B1283" s="1" t="n">
        <v>44509.91273148148</v>
      </c>
      <c r="C1283" s="1" t="n">
        <v>46185</v>
      </c>
      <c r="D1283" t="inlineStr">
        <is>
          <t>VÄSTERNORRLANDS LÄN</t>
        </is>
      </c>
      <c r="E1283" t="inlineStr">
        <is>
          <t>KRAMFORS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66751-2021</t>
        </is>
      </c>
      <c r="B1284" s="1" t="n">
        <v>44521</v>
      </c>
      <c r="C1284" s="1" t="n">
        <v>46185</v>
      </c>
      <c r="D1284" t="inlineStr">
        <is>
          <t>VÄSTERNORRLANDS LÄN</t>
        </is>
      </c>
      <c r="E1284" t="inlineStr">
        <is>
          <t>ÖRNSKÖLDSVIK</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74044-2021</t>
        </is>
      </c>
      <c r="B1285" s="1" t="n">
        <v>44557</v>
      </c>
      <c r="C1285" s="1" t="n">
        <v>46185</v>
      </c>
      <c r="D1285" t="inlineStr">
        <is>
          <t>VÄSTERNORRLANDS LÄN</t>
        </is>
      </c>
      <c r="E1285" t="inlineStr">
        <is>
          <t>TIMRÅ</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29623-2021</t>
        </is>
      </c>
      <c r="B1286" s="1" t="n">
        <v>44361</v>
      </c>
      <c r="C1286" s="1" t="n">
        <v>46185</v>
      </c>
      <c r="D1286" t="inlineStr">
        <is>
          <t>VÄSTERNORRLANDS LÄN</t>
        </is>
      </c>
      <c r="E1286" t="inlineStr">
        <is>
          <t>SOLLEFTEÅ</t>
        </is>
      </c>
      <c r="F1286" t="inlineStr">
        <is>
          <t>SCA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66265-2021</t>
        </is>
      </c>
      <c r="B1287" s="1" t="n">
        <v>44518.45263888889</v>
      </c>
      <c r="C1287" s="1" t="n">
        <v>46185</v>
      </c>
      <c r="D1287" t="inlineStr">
        <is>
          <t>VÄSTERNORRLANDS LÄN</t>
        </is>
      </c>
      <c r="E1287" t="inlineStr">
        <is>
          <t>ÅNGE</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7822-2022</t>
        </is>
      </c>
      <c r="B1288" s="1" t="n">
        <v>44608</v>
      </c>
      <c r="C1288" s="1" t="n">
        <v>46185</v>
      </c>
      <c r="D1288" t="inlineStr">
        <is>
          <t>VÄSTERNORRLANDS LÄN</t>
        </is>
      </c>
      <c r="E1288" t="inlineStr">
        <is>
          <t>KRAMFORS</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71350-2021</t>
        </is>
      </c>
      <c r="B1289" s="1" t="n">
        <v>44539</v>
      </c>
      <c r="C1289" s="1" t="n">
        <v>46185</v>
      </c>
      <c r="D1289" t="inlineStr">
        <is>
          <t>VÄSTERNORRLANDS LÄN</t>
        </is>
      </c>
      <c r="E1289" t="inlineStr">
        <is>
          <t>SOLLEFTEÅ</t>
        </is>
      </c>
      <c r="G1289" t="n">
        <v>0</v>
      </c>
      <c r="H1289" t="n">
        <v>0</v>
      </c>
      <c r="I1289" t="n">
        <v>0</v>
      </c>
      <c r="J1289" t="n">
        <v>0</v>
      </c>
      <c r="K1289" t="n">
        <v>0</v>
      </c>
      <c r="L1289" t="n">
        <v>0</v>
      </c>
      <c r="M1289" t="n">
        <v>0</v>
      </c>
      <c r="N1289" t="n">
        <v>0</v>
      </c>
      <c r="O1289" t="n">
        <v>0</v>
      </c>
      <c r="P1289" t="n">
        <v>0</v>
      </c>
      <c r="Q1289" t="n">
        <v>0</v>
      </c>
      <c r="R1289" s="2" t="inlineStr"/>
    </row>
    <row r="1290" ht="15" customHeight="1">
      <c r="A1290" t="inlineStr">
        <is>
          <t>A 15895-2022</t>
        </is>
      </c>
      <c r="B1290" s="1" t="n">
        <v>44664</v>
      </c>
      <c r="C1290" s="1" t="n">
        <v>46185</v>
      </c>
      <c r="D1290" t="inlineStr">
        <is>
          <t>VÄSTERNORRLANDS LÄN</t>
        </is>
      </c>
      <c r="E1290" t="inlineStr">
        <is>
          <t>HÄRNÖSAND</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55496-2022</t>
        </is>
      </c>
      <c r="B1291" s="1" t="n">
        <v>44887.72143518519</v>
      </c>
      <c r="C1291" s="1" t="n">
        <v>46185</v>
      </c>
      <c r="D1291" t="inlineStr">
        <is>
          <t>VÄSTERNORRLANDS LÄN</t>
        </is>
      </c>
      <c r="E1291" t="inlineStr">
        <is>
          <t>SUNDSVALL</t>
        </is>
      </c>
      <c r="F1291" t="inlineStr">
        <is>
          <t>Holmen skog AB</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67388-2021</t>
        </is>
      </c>
      <c r="B1292" s="1" t="n">
        <v>44523.92046296296</v>
      </c>
      <c r="C1292" s="1" t="n">
        <v>46185</v>
      </c>
      <c r="D1292" t="inlineStr">
        <is>
          <t>VÄSTERNORRLANDS LÄN</t>
        </is>
      </c>
      <c r="E1292" t="inlineStr">
        <is>
          <t>SUNDSVALL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71669-2021</t>
        </is>
      </c>
      <c r="B1293" s="1" t="n">
        <v>44538</v>
      </c>
      <c r="C1293" s="1" t="n">
        <v>46185</v>
      </c>
      <c r="D1293" t="inlineStr">
        <is>
          <t>VÄSTERNORRLANDS LÄN</t>
        </is>
      </c>
      <c r="E1293" t="inlineStr">
        <is>
          <t>ÅNGE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39372-2022</t>
        </is>
      </c>
      <c r="B1294" s="1" t="n">
        <v>44817.94298611111</v>
      </c>
      <c r="C1294" s="1" t="n">
        <v>46185</v>
      </c>
      <c r="D1294" t="inlineStr">
        <is>
          <t>VÄSTERNORRLANDS LÄN</t>
        </is>
      </c>
      <c r="E1294" t="inlineStr">
        <is>
          <t>SOLLEFTEÅ</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12177-2022</t>
        </is>
      </c>
      <c r="B1295" s="1" t="n">
        <v>44636.77550925926</v>
      </c>
      <c r="C1295" s="1" t="n">
        <v>46185</v>
      </c>
      <c r="D1295" t="inlineStr">
        <is>
          <t>VÄSTERNORRLANDS LÄN</t>
        </is>
      </c>
      <c r="E1295" t="inlineStr">
        <is>
          <t>SUNDSVALL</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69260-2021</t>
        </is>
      </c>
      <c r="B1296" s="1" t="n">
        <v>44530</v>
      </c>
      <c r="C1296" s="1" t="n">
        <v>46185</v>
      </c>
      <c r="D1296" t="inlineStr">
        <is>
          <t>VÄSTERNORRLANDS LÄN</t>
        </is>
      </c>
      <c r="E1296" t="inlineStr">
        <is>
          <t>SUNDSVALL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67123-2021</t>
        </is>
      </c>
      <c r="B1297" s="1" t="n">
        <v>44522</v>
      </c>
      <c r="C1297" s="1" t="n">
        <v>46185</v>
      </c>
      <c r="D1297" t="inlineStr">
        <is>
          <t>VÄSTERNORRLANDS LÄN</t>
        </is>
      </c>
      <c r="E1297" t="inlineStr">
        <is>
          <t>SUNDSVALL</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38117-2022</t>
        </is>
      </c>
      <c r="B1298" s="1" t="n">
        <v>44811</v>
      </c>
      <c r="C1298" s="1" t="n">
        <v>46185</v>
      </c>
      <c r="D1298" t="inlineStr">
        <is>
          <t>VÄSTERNORRLANDS LÄN</t>
        </is>
      </c>
      <c r="E1298" t="inlineStr">
        <is>
          <t>ÖRNSKÖLDSVIK</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37149-2022</t>
        </is>
      </c>
      <c r="B1299" s="1" t="n">
        <v>44806</v>
      </c>
      <c r="C1299" s="1" t="n">
        <v>46185</v>
      </c>
      <c r="D1299" t="inlineStr">
        <is>
          <t>VÄSTERNORRLANDS LÄN</t>
        </is>
      </c>
      <c r="E1299" t="inlineStr">
        <is>
          <t>HÄRNÖSAND</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36316-2021</t>
        </is>
      </c>
      <c r="B1300" s="1" t="n">
        <v>44390.45508101852</v>
      </c>
      <c r="C1300" s="1" t="n">
        <v>46185</v>
      </c>
      <c r="D1300" t="inlineStr">
        <is>
          <t>VÄSTERNORRLANDS LÄN</t>
        </is>
      </c>
      <c r="E1300" t="inlineStr">
        <is>
          <t>SUNDSVALL</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67452-2021</t>
        </is>
      </c>
      <c r="B1301" s="1" t="n">
        <v>44524.37556712963</v>
      </c>
      <c r="C1301" s="1" t="n">
        <v>46185</v>
      </c>
      <c r="D1301" t="inlineStr">
        <is>
          <t>VÄSTERNORRLANDS LÄN</t>
        </is>
      </c>
      <c r="E1301" t="inlineStr">
        <is>
          <t>ÖRNSKÖLDSVIK</t>
        </is>
      </c>
      <c r="F1301" t="inlineStr">
        <is>
          <t>Holmen skog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29853-2021</t>
        </is>
      </c>
      <c r="B1302" s="1" t="n">
        <v>44362</v>
      </c>
      <c r="C1302" s="1" t="n">
        <v>46185</v>
      </c>
      <c r="D1302" t="inlineStr">
        <is>
          <t>VÄSTERNORRLANDS LÄN</t>
        </is>
      </c>
      <c r="E1302" t="inlineStr">
        <is>
          <t>ÖRNSKÖLDSVIK</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47413-2021</t>
        </is>
      </c>
      <c r="B1303" s="1" t="n">
        <v>44447</v>
      </c>
      <c r="C1303" s="1" t="n">
        <v>46185</v>
      </c>
      <c r="D1303" t="inlineStr">
        <is>
          <t>VÄSTERNORRLANDS LÄN</t>
        </is>
      </c>
      <c r="E1303" t="inlineStr">
        <is>
          <t>ÖRNSKÖLDSVIK</t>
        </is>
      </c>
      <c r="F1303" t="inlineStr">
        <is>
          <t>Holmen skog AB</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41482-2021</t>
        </is>
      </c>
      <c r="B1304" s="1" t="n">
        <v>44424.92148148148</v>
      </c>
      <c r="C1304" s="1" t="n">
        <v>46185</v>
      </c>
      <c r="D1304" t="inlineStr">
        <is>
          <t>VÄSTERNORRLANDS LÄN</t>
        </is>
      </c>
      <c r="E1304" t="inlineStr">
        <is>
          <t>HÄRNÖSAND</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46350-2022</t>
        </is>
      </c>
      <c r="B1305" s="1" t="n">
        <v>44847.95120370371</v>
      </c>
      <c r="C1305" s="1" t="n">
        <v>46185</v>
      </c>
      <c r="D1305" t="inlineStr">
        <is>
          <t>VÄSTERNORRLANDS LÄN</t>
        </is>
      </c>
      <c r="E1305" t="inlineStr">
        <is>
          <t>ÅNGE</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14233-2022</t>
        </is>
      </c>
      <c r="B1306" s="1" t="n">
        <v>44651</v>
      </c>
      <c r="C1306" s="1" t="n">
        <v>46185</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43233-2022</t>
        </is>
      </c>
      <c r="B1307" s="1" t="n">
        <v>44833</v>
      </c>
      <c r="C1307" s="1" t="n">
        <v>46185</v>
      </c>
      <c r="D1307" t="inlineStr">
        <is>
          <t>VÄSTERNORRLANDS LÄN</t>
        </is>
      </c>
      <c r="E1307" t="inlineStr">
        <is>
          <t>TIMRÅ</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17045-2022</t>
        </is>
      </c>
      <c r="B1308" s="1" t="n">
        <v>44676</v>
      </c>
      <c r="C1308" s="1" t="n">
        <v>46185</v>
      </c>
      <c r="D1308" t="inlineStr">
        <is>
          <t>VÄSTERNORRLANDS LÄN</t>
        </is>
      </c>
      <c r="E1308" t="inlineStr">
        <is>
          <t>SOLLEFTEÅ</t>
        </is>
      </c>
      <c r="F1308" t="inlineStr">
        <is>
          <t>SCA</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43205-2021</t>
        </is>
      </c>
      <c r="B1309" s="1" t="n">
        <v>44431</v>
      </c>
      <c r="C1309" s="1" t="n">
        <v>46185</v>
      </c>
      <c r="D1309" t="inlineStr">
        <is>
          <t>VÄSTERNORRLANDS LÄN</t>
        </is>
      </c>
      <c r="E1309" t="inlineStr">
        <is>
          <t>SUNDSVALL</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45775-2021</t>
        </is>
      </c>
      <c r="B1310" s="1" t="n">
        <v>44441</v>
      </c>
      <c r="C1310" s="1" t="n">
        <v>46185</v>
      </c>
      <c r="D1310" t="inlineStr">
        <is>
          <t>VÄSTERNORRLANDS LÄN</t>
        </is>
      </c>
      <c r="E1310" t="inlineStr">
        <is>
          <t>SUNDSVALL</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56361-2021</t>
        </is>
      </c>
      <c r="B1311" s="1" t="n">
        <v>44480.42358796296</v>
      </c>
      <c r="C1311" s="1" t="n">
        <v>46185</v>
      </c>
      <c r="D1311" t="inlineStr">
        <is>
          <t>VÄSTERNORRLANDS LÄN</t>
        </is>
      </c>
      <c r="E1311" t="inlineStr">
        <is>
          <t>ÖRNSKÖLDSVIK</t>
        </is>
      </c>
      <c r="F1311" t="inlineStr">
        <is>
          <t>Holmen skog AB</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11293-2022</t>
        </is>
      </c>
      <c r="B1312" s="1" t="n">
        <v>44629</v>
      </c>
      <c r="C1312" s="1" t="n">
        <v>46185</v>
      </c>
      <c r="D1312" t="inlineStr">
        <is>
          <t>VÄSTERNORRLANDS LÄN</t>
        </is>
      </c>
      <c r="E1312" t="inlineStr">
        <is>
          <t>KRAMFORS</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18015-2022</t>
        </is>
      </c>
      <c r="B1313" s="1" t="n">
        <v>44683.94319444444</v>
      </c>
      <c r="C1313" s="1" t="n">
        <v>46185</v>
      </c>
      <c r="D1313" t="inlineStr">
        <is>
          <t>VÄSTERNORRLANDS LÄN</t>
        </is>
      </c>
      <c r="E1313" t="inlineStr">
        <is>
          <t>SOLLEFTEÅ</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36198-2021</t>
        </is>
      </c>
      <c r="B1314" s="1" t="n">
        <v>44388</v>
      </c>
      <c r="C1314" s="1" t="n">
        <v>46185</v>
      </c>
      <c r="D1314" t="inlineStr">
        <is>
          <t>VÄSTERNORRLANDS LÄN</t>
        </is>
      </c>
      <c r="E1314" t="inlineStr">
        <is>
          <t>KRAMFORS</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67390-2021</t>
        </is>
      </c>
      <c r="B1315" s="1" t="n">
        <v>44523.93848379629</v>
      </c>
      <c r="C1315" s="1" t="n">
        <v>46185</v>
      </c>
      <c r="D1315" t="inlineStr">
        <is>
          <t>VÄSTERNORRLANDS LÄN</t>
        </is>
      </c>
      <c r="E1315" t="inlineStr">
        <is>
          <t>SOLLEFTEÅ</t>
        </is>
      </c>
      <c r="F1315" t="inlineStr">
        <is>
          <t>SCA</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63806-2021</t>
        </is>
      </c>
      <c r="B1316" s="1" t="n">
        <v>44508</v>
      </c>
      <c r="C1316" s="1" t="n">
        <v>46185</v>
      </c>
      <c r="D1316" t="inlineStr">
        <is>
          <t>VÄSTERNORRLANDS LÄN</t>
        </is>
      </c>
      <c r="E1316" t="inlineStr">
        <is>
          <t>ÖRNSKÖLDSVIK</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3557-2022</t>
        </is>
      </c>
      <c r="B1317" s="1" t="n">
        <v>44585.93833333333</v>
      </c>
      <c r="C1317" s="1" t="n">
        <v>46185</v>
      </c>
      <c r="D1317" t="inlineStr">
        <is>
          <t>VÄSTERNORRLANDS LÄN</t>
        </is>
      </c>
      <c r="E1317" t="inlineStr">
        <is>
          <t>SOLLEFTEÅ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74043-2021</t>
        </is>
      </c>
      <c r="B1318" s="1" t="n">
        <v>44557</v>
      </c>
      <c r="C1318" s="1" t="n">
        <v>46185</v>
      </c>
      <c r="D1318" t="inlineStr">
        <is>
          <t>VÄSTERNORRLANDS LÄN</t>
        </is>
      </c>
      <c r="E1318" t="inlineStr">
        <is>
          <t>TIMRÅ</t>
        </is>
      </c>
      <c r="G1318" t="n">
        <v>0.1</v>
      </c>
      <c r="H1318" t="n">
        <v>0</v>
      </c>
      <c r="I1318" t="n">
        <v>0</v>
      </c>
      <c r="J1318" t="n">
        <v>0</v>
      </c>
      <c r="K1318" t="n">
        <v>0</v>
      </c>
      <c r="L1318" t="n">
        <v>0</v>
      </c>
      <c r="M1318" t="n">
        <v>0</v>
      </c>
      <c r="N1318" t="n">
        <v>0</v>
      </c>
      <c r="O1318" t="n">
        <v>0</v>
      </c>
      <c r="P1318" t="n">
        <v>0</v>
      </c>
      <c r="Q1318" t="n">
        <v>0</v>
      </c>
      <c r="R1318" s="2" t="inlineStr"/>
    </row>
    <row r="1319" ht="15" customHeight="1">
      <c r="A1319" t="inlineStr">
        <is>
          <t>A 47572-2021</t>
        </is>
      </c>
      <c r="B1319" s="1" t="n">
        <v>44447</v>
      </c>
      <c r="C1319" s="1" t="n">
        <v>46185</v>
      </c>
      <c r="D1319" t="inlineStr">
        <is>
          <t>VÄSTERNORRLANDS LÄN</t>
        </is>
      </c>
      <c r="E1319" t="inlineStr">
        <is>
          <t>KRAMFORS</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64108-2021</t>
        </is>
      </c>
      <c r="B1320" s="1" t="n">
        <v>44509</v>
      </c>
      <c r="C1320" s="1" t="n">
        <v>46185</v>
      </c>
      <c r="D1320" t="inlineStr">
        <is>
          <t>VÄSTERNORRLANDS LÄN</t>
        </is>
      </c>
      <c r="E1320" t="inlineStr">
        <is>
          <t>ÖRNSKÖLDSVIK</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4555-2022</t>
        </is>
      </c>
      <c r="B1321" s="1" t="n">
        <v>44590.93231481482</v>
      </c>
      <c r="C1321" s="1" t="n">
        <v>46185</v>
      </c>
      <c r="D1321" t="inlineStr">
        <is>
          <t>VÄSTERNORRLANDS LÄN</t>
        </is>
      </c>
      <c r="E1321" t="inlineStr">
        <is>
          <t>SOLLEFTEÅ</t>
        </is>
      </c>
      <c r="F1321" t="inlineStr">
        <is>
          <t>SCA</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70309-2021</t>
        </is>
      </c>
      <c r="B1322" s="1" t="n">
        <v>44533</v>
      </c>
      <c r="C1322" s="1" t="n">
        <v>46185</v>
      </c>
      <c r="D1322" t="inlineStr">
        <is>
          <t>VÄSTERNORRLANDS LÄN</t>
        </is>
      </c>
      <c r="E1322" t="inlineStr">
        <is>
          <t>SUNDSVALL</t>
        </is>
      </c>
      <c r="G1322" t="n">
        <v>18.8</v>
      </c>
      <c r="H1322" t="n">
        <v>0</v>
      </c>
      <c r="I1322" t="n">
        <v>0</v>
      </c>
      <c r="J1322" t="n">
        <v>0</v>
      </c>
      <c r="K1322" t="n">
        <v>0</v>
      </c>
      <c r="L1322" t="n">
        <v>0</v>
      </c>
      <c r="M1322" t="n">
        <v>0</v>
      </c>
      <c r="N1322" t="n">
        <v>0</v>
      </c>
      <c r="O1322" t="n">
        <v>0</v>
      </c>
      <c r="P1322" t="n">
        <v>0</v>
      </c>
      <c r="Q1322" t="n">
        <v>0</v>
      </c>
      <c r="R1322" s="2" t="inlineStr"/>
    </row>
    <row r="1323" ht="15" customHeight="1">
      <c r="A1323" t="inlineStr">
        <is>
          <t>A 10927-2022</t>
        </is>
      </c>
      <c r="B1323" s="1" t="n">
        <v>44627.94453703704</v>
      </c>
      <c r="C1323" s="1" t="n">
        <v>46185</v>
      </c>
      <c r="D1323" t="inlineStr">
        <is>
          <t>VÄSTERNORRLANDS LÄN</t>
        </is>
      </c>
      <c r="E1323" t="inlineStr">
        <is>
          <t>SOLLEFTEÅ</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27282-2022</t>
        </is>
      </c>
      <c r="B1324" s="1" t="n">
        <v>44741</v>
      </c>
      <c r="C1324" s="1" t="n">
        <v>46185</v>
      </c>
      <c r="D1324" t="inlineStr">
        <is>
          <t>VÄSTERNORRLANDS LÄN</t>
        </is>
      </c>
      <c r="E1324" t="inlineStr">
        <is>
          <t>SOLLEFTEÅ</t>
        </is>
      </c>
      <c r="F1324" t="inlineStr">
        <is>
          <t>SCA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24322-2022</t>
        </is>
      </c>
      <c r="B1325" s="1" t="n">
        <v>44725.94471064815</v>
      </c>
      <c r="C1325" s="1" t="n">
        <v>46185</v>
      </c>
      <c r="D1325" t="inlineStr">
        <is>
          <t>VÄSTERNORRLANDS LÄN</t>
        </is>
      </c>
      <c r="E1325" t="inlineStr">
        <is>
          <t>SOLLEFTEÅ</t>
        </is>
      </c>
      <c r="F1325" t="inlineStr">
        <is>
          <t>SCA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39006-2022</t>
        </is>
      </c>
      <c r="B1326" s="1" t="n">
        <v>44816.94675925926</v>
      </c>
      <c r="C1326" s="1" t="n">
        <v>46185</v>
      </c>
      <c r="D1326" t="inlineStr">
        <is>
          <t>VÄSTERNORRLANDS LÄN</t>
        </is>
      </c>
      <c r="E1326" t="inlineStr">
        <is>
          <t>SOLLEFTEÅ</t>
        </is>
      </c>
      <c r="F1326" t="inlineStr">
        <is>
          <t>SCA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53969-2021</t>
        </is>
      </c>
      <c r="B1327" s="1" t="n">
        <v>44469</v>
      </c>
      <c r="C1327" s="1" t="n">
        <v>46185</v>
      </c>
      <c r="D1327" t="inlineStr">
        <is>
          <t>VÄSTERNORRLANDS LÄN</t>
        </is>
      </c>
      <c r="E1327" t="inlineStr">
        <is>
          <t>ÅNGE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74383-2021</t>
        </is>
      </c>
      <c r="B1328" s="1" t="n">
        <v>44559</v>
      </c>
      <c r="C1328" s="1" t="n">
        <v>46185</v>
      </c>
      <c r="D1328" t="inlineStr">
        <is>
          <t>VÄSTERNORRLANDS LÄN</t>
        </is>
      </c>
      <c r="E1328" t="inlineStr">
        <is>
          <t>SUNDSVALL</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44784-2022</t>
        </is>
      </c>
      <c r="B1329" s="1" t="n">
        <v>44841.35232638889</v>
      </c>
      <c r="C1329" s="1" t="n">
        <v>46185</v>
      </c>
      <c r="D1329" t="inlineStr">
        <is>
          <t>VÄSTERNORRLANDS LÄN</t>
        </is>
      </c>
      <c r="E1329" t="inlineStr">
        <is>
          <t>ÖRNSKÖLDSVIK</t>
        </is>
      </c>
      <c r="F1329" t="inlineStr">
        <is>
          <t>Holmen skog AB</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9028-2022</t>
        </is>
      </c>
      <c r="B1330" s="1" t="n">
        <v>44615</v>
      </c>
      <c r="C1330" s="1" t="n">
        <v>46185</v>
      </c>
      <c r="D1330" t="inlineStr">
        <is>
          <t>VÄSTERNORRLANDS LÄN</t>
        </is>
      </c>
      <c r="E1330" t="inlineStr">
        <is>
          <t>ÖRNSKÖLDSVIK</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26287-2022</t>
        </is>
      </c>
      <c r="B1331" s="1" t="n">
        <v>44735</v>
      </c>
      <c r="C1331" s="1" t="n">
        <v>46185</v>
      </c>
      <c r="D1331" t="inlineStr">
        <is>
          <t>VÄSTERNORRLANDS LÄN</t>
        </is>
      </c>
      <c r="E1331" t="inlineStr">
        <is>
          <t>SUNDSVALL</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48589-2021</t>
        </is>
      </c>
      <c r="B1332" s="1" t="n">
        <v>44452</v>
      </c>
      <c r="C1332" s="1" t="n">
        <v>46185</v>
      </c>
      <c r="D1332" t="inlineStr">
        <is>
          <t>VÄSTERNORRLANDS LÄN</t>
        </is>
      </c>
      <c r="E1332" t="inlineStr">
        <is>
          <t>ÖRNSKÖLDSVIK</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47767-2021</t>
        </is>
      </c>
      <c r="B1333" s="1" t="n">
        <v>44448</v>
      </c>
      <c r="C1333" s="1" t="n">
        <v>46185</v>
      </c>
      <c r="D1333" t="inlineStr">
        <is>
          <t>VÄSTERNORRLANDS LÄN</t>
        </is>
      </c>
      <c r="E1333" t="inlineStr">
        <is>
          <t>ÖRNSKÖLDSVIK</t>
        </is>
      </c>
      <c r="F1333" t="inlineStr">
        <is>
          <t>Holmen skog AB</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47783-2021</t>
        </is>
      </c>
      <c r="B1334" s="1" t="n">
        <v>44448.59229166667</v>
      </c>
      <c r="C1334" s="1" t="n">
        <v>46185</v>
      </c>
      <c r="D1334" t="inlineStr">
        <is>
          <t>VÄSTERNORRLANDS LÄN</t>
        </is>
      </c>
      <c r="E1334" t="inlineStr">
        <is>
          <t>ÖRNSKÖLDSVIK</t>
        </is>
      </c>
      <c r="F1334" t="inlineStr">
        <is>
          <t>Holmen skog AB</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23693-2022</t>
        </is>
      </c>
      <c r="B1335" s="1" t="n">
        <v>44721</v>
      </c>
      <c r="C1335" s="1" t="n">
        <v>46185</v>
      </c>
      <c r="D1335" t="inlineStr">
        <is>
          <t>VÄSTERNORRLANDS LÄN</t>
        </is>
      </c>
      <c r="E1335" t="inlineStr">
        <is>
          <t>TIMRÅ</t>
        </is>
      </c>
      <c r="F1335" t="inlineStr">
        <is>
          <t>SCA</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29842-2022</t>
        </is>
      </c>
      <c r="B1336" s="1" t="n">
        <v>44756.32835648148</v>
      </c>
      <c r="C1336" s="1" t="n">
        <v>46185</v>
      </c>
      <c r="D1336" t="inlineStr">
        <is>
          <t>VÄSTERNORRLANDS LÄN</t>
        </is>
      </c>
      <c r="E1336" t="inlineStr">
        <is>
          <t>SOLLEFTEÅ</t>
        </is>
      </c>
      <c r="F1336" t="inlineStr">
        <is>
          <t>Holmen skog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21790-2022</t>
        </is>
      </c>
      <c r="B1337" s="1" t="n">
        <v>44708.56934027778</v>
      </c>
      <c r="C1337" s="1" t="n">
        <v>46185</v>
      </c>
      <c r="D1337" t="inlineStr">
        <is>
          <t>VÄSTERNORRLANDS LÄN</t>
        </is>
      </c>
      <c r="E1337" t="inlineStr">
        <is>
          <t>ÖRNSKÖLDSVIK</t>
        </is>
      </c>
      <c r="F1337" t="inlineStr">
        <is>
          <t>Holmen skog AB</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30043-2022</t>
        </is>
      </c>
      <c r="B1338" s="1" t="n">
        <v>44756</v>
      </c>
      <c r="C1338" s="1" t="n">
        <v>46185</v>
      </c>
      <c r="D1338" t="inlineStr">
        <is>
          <t>VÄSTERNORRLANDS LÄN</t>
        </is>
      </c>
      <c r="E1338" t="inlineStr">
        <is>
          <t>SOLLEFTEÅ</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44442-2021</t>
        </is>
      </c>
      <c r="B1339" s="1" t="n">
        <v>44435</v>
      </c>
      <c r="C1339" s="1" t="n">
        <v>46185</v>
      </c>
      <c r="D1339" t="inlineStr">
        <is>
          <t>VÄSTERNORRLANDS LÄN</t>
        </is>
      </c>
      <c r="E1339" t="inlineStr">
        <is>
          <t>ÖRNSKÖLDSVIK</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67277-2021</t>
        </is>
      </c>
      <c r="B1340" s="1" t="n">
        <v>44523.6065162037</v>
      </c>
      <c r="C1340" s="1" t="n">
        <v>46185</v>
      </c>
      <c r="D1340" t="inlineStr">
        <is>
          <t>VÄSTERNORRLANDS LÄN</t>
        </is>
      </c>
      <c r="E1340" t="inlineStr">
        <is>
          <t>SUNDSVALL</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30716-2022</t>
        </is>
      </c>
      <c r="B1341" s="1" t="n">
        <v>44763.94292824074</v>
      </c>
      <c r="C1341" s="1" t="n">
        <v>46185</v>
      </c>
      <c r="D1341" t="inlineStr">
        <is>
          <t>VÄSTERNORRLANDS LÄN</t>
        </is>
      </c>
      <c r="E1341" t="inlineStr">
        <is>
          <t>ÖRNSKÖLDSVIK</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31959-2022</t>
        </is>
      </c>
      <c r="B1342" s="1" t="n">
        <v>44777.92671296297</v>
      </c>
      <c r="C1342" s="1" t="n">
        <v>46185</v>
      </c>
      <c r="D1342" t="inlineStr">
        <is>
          <t>VÄSTERNORRLANDS LÄN</t>
        </is>
      </c>
      <c r="E1342" t="inlineStr">
        <is>
          <t>SUNDSVALL</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35359-2021</t>
        </is>
      </c>
      <c r="B1343" s="1" t="n">
        <v>44384.93608796296</v>
      </c>
      <c r="C1343" s="1" t="n">
        <v>46185</v>
      </c>
      <c r="D1343" t="inlineStr">
        <is>
          <t>VÄSTERNORRLANDS LÄN</t>
        </is>
      </c>
      <c r="E1343" t="inlineStr">
        <is>
          <t>ÅNGE</t>
        </is>
      </c>
      <c r="F1343" t="inlineStr">
        <is>
          <t>SCA</t>
        </is>
      </c>
      <c r="G1343" t="n">
        <v>10.1</v>
      </c>
      <c r="H1343" t="n">
        <v>0</v>
      </c>
      <c r="I1343" t="n">
        <v>0</v>
      </c>
      <c r="J1343" t="n">
        <v>0</v>
      </c>
      <c r="K1343" t="n">
        <v>0</v>
      </c>
      <c r="L1343" t="n">
        <v>0</v>
      </c>
      <c r="M1343" t="n">
        <v>0</v>
      </c>
      <c r="N1343" t="n">
        <v>0</v>
      </c>
      <c r="O1343" t="n">
        <v>0</v>
      </c>
      <c r="P1343" t="n">
        <v>0</v>
      </c>
      <c r="Q1343" t="n">
        <v>0</v>
      </c>
      <c r="R1343" s="2" t="inlineStr"/>
    </row>
    <row r="1344" ht="15" customHeight="1">
      <c r="A1344" t="inlineStr">
        <is>
          <t>A 21706-2022</t>
        </is>
      </c>
      <c r="B1344" s="1" t="n">
        <v>44707</v>
      </c>
      <c r="C1344" s="1" t="n">
        <v>46185</v>
      </c>
      <c r="D1344" t="inlineStr">
        <is>
          <t>VÄSTERNORRLANDS LÄN</t>
        </is>
      </c>
      <c r="E1344" t="inlineStr">
        <is>
          <t>ÖRNSKÖLDSVIK</t>
        </is>
      </c>
      <c r="F1344" t="inlineStr">
        <is>
          <t>SCA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47058-2022</t>
        </is>
      </c>
      <c r="B1345" s="1" t="n">
        <v>44852</v>
      </c>
      <c r="C1345" s="1" t="n">
        <v>46185</v>
      </c>
      <c r="D1345" t="inlineStr">
        <is>
          <t>VÄSTERNORRLANDS LÄN</t>
        </is>
      </c>
      <c r="E1345" t="inlineStr">
        <is>
          <t>ÖRNSKÖLDSVIK</t>
        </is>
      </c>
      <c r="F1345" t="inlineStr">
        <is>
          <t>Holmen skog AB</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56741-2021</t>
        </is>
      </c>
      <c r="B1346" s="1" t="n">
        <v>44481</v>
      </c>
      <c r="C1346" s="1" t="n">
        <v>46185</v>
      </c>
      <c r="D1346" t="inlineStr">
        <is>
          <t>VÄSTERNORRLANDS LÄN</t>
        </is>
      </c>
      <c r="E1346" t="inlineStr">
        <is>
          <t>ÖRNSKÖLDSVIK</t>
        </is>
      </c>
      <c r="F1346" t="inlineStr">
        <is>
          <t>Holmen skog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45006-2021</t>
        </is>
      </c>
      <c r="B1347" s="1" t="n">
        <v>44438.91969907407</v>
      </c>
      <c r="C1347" s="1" t="n">
        <v>46185</v>
      </c>
      <c r="D1347" t="inlineStr">
        <is>
          <t>VÄSTERNORRLANDS LÄN</t>
        </is>
      </c>
      <c r="E1347" t="inlineStr">
        <is>
          <t>SUNDSVALL</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69962-2021</t>
        </is>
      </c>
      <c r="B1348" s="1" t="n">
        <v>44533</v>
      </c>
      <c r="C1348" s="1" t="n">
        <v>46185</v>
      </c>
      <c r="D1348" t="inlineStr">
        <is>
          <t>VÄSTERNORRLANDS LÄN</t>
        </is>
      </c>
      <c r="E1348" t="inlineStr">
        <is>
          <t>ÖRNSKÖLDSVIK</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47569-2021</t>
        </is>
      </c>
      <c r="B1349" s="1" t="n">
        <v>44447</v>
      </c>
      <c r="C1349" s="1" t="n">
        <v>46185</v>
      </c>
      <c r="D1349" t="inlineStr">
        <is>
          <t>VÄSTERNORRLANDS LÄN</t>
        </is>
      </c>
      <c r="E1349" t="inlineStr">
        <is>
          <t>TIMRÅ</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21714-2022</t>
        </is>
      </c>
      <c r="B1350" s="1" t="n">
        <v>44707.94015046296</v>
      </c>
      <c r="C1350" s="1" t="n">
        <v>46185</v>
      </c>
      <c r="D1350" t="inlineStr">
        <is>
          <t>VÄSTERNORRLANDS LÄN</t>
        </is>
      </c>
      <c r="E1350" t="inlineStr">
        <is>
          <t>SOLLEFTEÅ</t>
        </is>
      </c>
      <c r="F1350" t="inlineStr">
        <is>
          <t>SCA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49175-2022</t>
        </is>
      </c>
      <c r="B1351" s="1" t="n">
        <v>44860.92922453704</v>
      </c>
      <c r="C1351" s="1" t="n">
        <v>46185</v>
      </c>
      <c r="D1351" t="inlineStr">
        <is>
          <t>VÄSTERNORRLANDS LÄN</t>
        </is>
      </c>
      <c r="E1351" t="inlineStr">
        <is>
          <t>SOLLEFTEÅ</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2271-2022</t>
        </is>
      </c>
      <c r="B1352" s="1" t="n">
        <v>44578</v>
      </c>
      <c r="C1352" s="1" t="n">
        <v>46185</v>
      </c>
      <c r="D1352" t="inlineStr">
        <is>
          <t>VÄSTERNORRLANDS LÄN</t>
        </is>
      </c>
      <c r="E1352" t="inlineStr">
        <is>
          <t>ÖRNSKÖLDSVIK</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67085-2021</t>
        </is>
      </c>
      <c r="B1353" s="1" t="n">
        <v>44522.94458333333</v>
      </c>
      <c r="C1353" s="1" t="n">
        <v>46185</v>
      </c>
      <c r="D1353" t="inlineStr">
        <is>
          <t>VÄSTERNORRLANDS LÄN</t>
        </is>
      </c>
      <c r="E1353" t="inlineStr">
        <is>
          <t>SOLLEFTEÅ</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10417-2022</t>
        </is>
      </c>
      <c r="B1354" s="1" t="n">
        <v>44623</v>
      </c>
      <c r="C1354" s="1" t="n">
        <v>46185</v>
      </c>
      <c r="D1354" t="inlineStr">
        <is>
          <t>VÄSTERNORRLANDS LÄN</t>
        </is>
      </c>
      <c r="E1354" t="inlineStr">
        <is>
          <t>SOLLEFTEÅ</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31191-2021</t>
        </is>
      </c>
      <c r="B1355" s="1" t="n">
        <v>44368</v>
      </c>
      <c r="C1355" s="1" t="n">
        <v>46185</v>
      </c>
      <c r="D1355" t="inlineStr">
        <is>
          <t>VÄSTERNORRLANDS LÄN</t>
        </is>
      </c>
      <c r="E1355" t="inlineStr">
        <is>
          <t>ÅNGE</t>
        </is>
      </c>
      <c r="F1355" t="inlineStr">
        <is>
          <t>Sveaskog</t>
        </is>
      </c>
      <c r="G1355" t="n">
        <v>21.6</v>
      </c>
      <c r="H1355" t="n">
        <v>0</v>
      </c>
      <c r="I1355" t="n">
        <v>0</v>
      </c>
      <c r="J1355" t="n">
        <v>0</v>
      </c>
      <c r="K1355" t="n">
        <v>0</v>
      </c>
      <c r="L1355" t="n">
        <v>0</v>
      </c>
      <c r="M1355" t="n">
        <v>0</v>
      </c>
      <c r="N1355" t="n">
        <v>0</v>
      </c>
      <c r="O1355" t="n">
        <v>0</v>
      </c>
      <c r="P1355" t="n">
        <v>0</v>
      </c>
      <c r="Q1355" t="n">
        <v>0</v>
      </c>
      <c r="R1355" s="2" t="inlineStr"/>
    </row>
    <row r="1356" ht="15" customHeight="1">
      <c r="A1356" t="inlineStr">
        <is>
          <t>A 59496-2021</t>
        </is>
      </c>
      <c r="B1356" s="1" t="n">
        <v>44491</v>
      </c>
      <c r="C1356" s="1" t="n">
        <v>46185</v>
      </c>
      <c r="D1356" t="inlineStr">
        <is>
          <t>VÄSTERNORRLANDS LÄN</t>
        </is>
      </c>
      <c r="E1356" t="inlineStr">
        <is>
          <t>SUNDSVALL</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67698-2021</t>
        </is>
      </c>
      <c r="B1357" s="1" t="n">
        <v>44524.94635416667</v>
      </c>
      <c r="C1357" s="1" t="n">
        <v>46185</v>
      </c>
      <c r="D1357" t="inlineStr">
        <is>
          <t>VÄSTERNORRLANDS LÄN</t>
        </is>
      </c>
      <c r="E1357" t="inlineStr">
        <is>
          <t>SUNDSVALL</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59127-2021</t>
        </is>
      </c>
      <c r="B1358" s="1" t="n">
        <v>44490</v>
      </c>
      <c r="C1358" s="1" t="n">
        <v>46185</v>
      </c>
      <c r="D1358" t="inlineStr">
        <is>
          <t>VÄSTERNORRLANDS LÄN</t>
        </is>
      </c>
      <c r="E1358" t="inlineStr">
        <is>
          <t>SUNDSVALL</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17940-2022</t>
        </is>
      </c>
      <c r="B1359" s="1" t="n">
        <v>44683</v>
      </c>
      <c r="C1359" s="1" t="n">
        <v>46185</v>
      </c>
      <c r="D1359" t="inlineStr">
        <is>
          <t>VÄSTERNORRLANDS LÄN</t>
        </is>
      </c>
      <c r="E1359" t="inlineStr">
        <is>
          <t>ÖRNSKÖLDSVIK</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45423-2022</t>
        </is>
      </c>
      <c r="B1360" s="1" t="n">
        <v>44844.95256944445</v>
      </c>
      <c r="C1360" s="1" t="n">
        <v>46185</v>
      </c>
      <c r="D1360" t="inlineStr">
        <is>
          <t>VÄSTERNORRLANDS LÄN</t>
        </is>
      </c>
      <c r="E1360" t="inlineStr">
        <is>
          <t>SOLLEFTEÅ</t>
        </is>
      </c>
      <c r="F1360" t="inlineStr">
        <is>
          <t>SCA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38445-2022</t>
        </is>
      </c>
      <c r="B1361" s="1" t="n">
        <v>44813</v>
      </c>
      <c r="C1361" s="1" t="n">
        <v>46185</v>
      </c>
      <c r="D1361" t="inlineStr">
        <is>
          <t>VÄSTERNORRLANDS LÄN</t>
        </is>
      </c>
      <c r="E1361" t="inlineStr">
        <is>
          <t>TIMRÅ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30460-2021</t>
        </is>
      </c>
      <c r="B1362" s="1" t="n">
        <v>44364</v>
      </c>
      <c r="C1362" s="1" t="n">
        <v>46185</v>
      </c>
      <c r="D1362" t="inlineStr">
        <is>
          <t>VÄSTERNORRLANDS LÄN</t>
        </is>
      </c>
      <c r="E1362" t="inlineStr">
        <is>
          <t>SUNDSVALL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46045-2022</t>
        </is>
      </c>
      <c r="B1363" s="1" t="n">
        <v>44846</v>
      </c>
      <c r="C1363" s="1" t="n">
        <v>46185</v>
      </c>
      <c r="D1363" t="inlineStr">
        <is>
          <t>VÄSTERNORRLANDS LÄN</t>
        </is>
      </c>
      <c r="E1363" t="inlineStr">
        <is>
          <t>HÄRNÖSAND</t>
        </is>
      </c>
      <c r="F1363" t="inlineStr">
        <is>
          <t>SCA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63609-2021</t>
        </is>
      </c>
      <c r="B1364" s="1" t="n">
        <v>44508.94660879629</v>
      </c>
      <c r="C1364" s="1" t="n">
        <v>46185</v>
      </c>
      <c r="D1364" t="inlineStr">
        <is>
          <t>VÄSTERNORRLANDS LÄN</t>
        </is>
      </c>
      <c r="E1364" t="inlineStr">
        <is>
          <t>ÅNGE</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23054-2022</t>
        </is>
      </c>
      <c r="B1365" s="1" t="n">
        <v>44719.43481481481</v>
      </c>
      <c r="C1365" s="1" t="n">
        <v>46185</v>
      </c>
      <c r="D1365" t="inlineStr">
        <is>
          <t>VÄSTERNORRLANDS LÄN</t>
        </is>
      </c>
      <c r="E1365" t="inlineStr">
        <is>
          <t>SUNDSVALL</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38157-2021</t>
        </is>
      </c>
      <c r="B1366" s="1" t="n">
        <v>44405.4246412037</v>
      </c>
      <c r="C1366" s="1" t="n">
        <v>46185</v>
      </c>
      <c r="D1366" t="inlineStr">
        <is>
          <t>VÄSTERNORRLANDS LÄN</t>
        </is>
      </c>
      <c r="E1366" t="inlineStr">
        <is>
          <t>ÖRNSKÖLDSVIK</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42219-2021</t>
        </is>
      </c>
      <c r="B1367" s="1" t="n">
        <v>44426.87444444445</v>
      </c>
      <c r="C1367" s="1" t="n">
        <v>46185</v>
      </c>
      <c r="D1367" t="inlineStr">
        <is>
          <t>VÄSTERNORRLANDS LÄN</t>
        </is>
      </c>
      <c r="E1367" t="inlineStr">
        <is>
          <t>SOLLEFTEÅ</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69929-2021</t>
        </is>
      </c>
      <c r="B1368" s="1" t="n">
        <v>44532</v>
      </c>
      <c r="C1368" s="1" t="n">
        <v>46185</v>
      </c>
      <c r="D1368" t="inlineStr">
        <is>
          <t>VÄSTERNORRLANDS LÄN</t>
        </is>
      </c>
      <c r="E1368" t="inlineStr">
        <is>
          <t>HÄRNÖSAND</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60630-2021</t>
        </is>
      </c>
      <c r="B1369" s="1" t="n">
        <v>44496</v>
      </c>
      <c r="C1369" s="1" t="n">
        <v>46185</v>
      </c>
      <c r="D1369" t="inlineStr">
        <is>
          <t>VÄSTERNORRLANDS LÄN</t>
        </is>
      </c>
      <c r="E1369" t="inlineStr">
        <is>
          <t>KRAMFORS</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52985-2022</t>
        </is>
      </c>
      <c r="B1370" s="1" t="n">
        <v>44875.92774305555</v>
      </c>
      <c r="C1370" s="1" t="n">
        <v>46185</v>
      </c>
      <c r="D1370" t="inlineStr">
        <is>
          <t>VÄSTERNORRLANDS LÄN</t>
        </is>
      </c>
      <c r="E1370" t="inlineStr">
        <is>
          <t>HÄRNÖSAND</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41166-2022</t>
        </is>
      </c>
      <c r="B1371" s="1" t="n">
        <v>44825.94456018518</v>
      </c>
      <c r="C1371" s="1" t="n">
        <v>46185</v>
      </c>
      <c r="D1371" t="inlineStr">
        <is>
          <t>VÄSTERNORRLANDS LÄN</t>
        </is>
      </c>
      <c r="E1371" t="inlineStr">
        <is>
          <t>ÖRNSKÖLDSVIK</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41172-2022</t>
        </is>
      </c>
      <c r="B1372" s="1" t="n">
        <v>44825.94738425926</v>
      </c>
      <c r="C1372" s="1" t="n">
        <v>46185</v>
      </c>
      <c r="D1372" t="inlineStr">
        <is>
          <t>VÄSTERNORRLANDS LÄN</t>
        </is>
      </c>
      <c r="E1372" t="inlineStr">
        <is>
          <t>SOLLEFTEÅ</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7158-2022</t>
        </is>
      </c>
      <c r="B1373" s="1" t="n">
        <v>44603.96534722222</v>
      </c>
      <c r="C1373" s="1" t="n">
        <v>46185</v>
      </c>
      <c r="D1373" t="inlineStr">
        <is>
          <t>VÄSTERNORRLANDS LÄN</t>
        </is>
      </c>
      <c r="E1373" t="inlineStr">
        <is>
          <t>ÅNGE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52474-2022</t>
        </is>
      </c>
      <c r="B1374" s="1" t="n">
        <v>44874.48275462963</v>
      </c>
      <c r="C1374" s="1" t="n">
        <v>46185</v>
      </c>
      <c r="D1374" t="inlineStr">
        <is>
          <t>VÄSTERNORRLANDS LÄN</t>
        </is>
      </c>
      <c r="E1374" t="inlineStr">
        <is>
          <t>TIMRÅ</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1987-2022</t>
        </is>
      </c>
      <c r="B1375" s="1" t="n">
        <v>44575</v>
      </c>
      <c r="C1375" s="1" t="n">
        <v>46185</v>
      </c>
      <c r="D1375" t="inlineStr">
        <is>
          <t>VÄSTERNORRLANDS LÄN</t>
        </is>
      </c>
      <c r="E1375" t="inlineStr">
        <is>
          <t>SOLLEFTEÅ</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52096-2022</t>
        </is>
      </c>
      <c r="B1376" s="1" t="n">
        <v>44868</v>
      </c>
      <c r="C1376" s="1" t="n">
        <v>46185</v>
      </c>
      <c r="D1376" t="inlineStr">
        <is>
          <t>VÄSTERNORRLANDS LÄN</t>
        </is>
      </c>
      <c r="E1376" t="inlineStr">
        <is>
          <t>TIMRÅ</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38663-2022</t>
        </is>
      </c>
      <c r="B1377" s="1" t="n">
        <v>44813.94670138889</v>
      </c>
      <c r="C1377" s="1" t="n">
        <v>46185</v>
      </c>
      <c r="D1377" t="inlineStr">
        <is>
          <t>VÄSTERNORRLANDS LÄN</t>
        </is>
      </c>
      <c r="E1377" t="inlineStr">
        <is>
          <t>SOLLEFTEÅ</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29602-2021</t>
        </is>
      </c>
      <c r="B1378" s="1" t="n">
        <v>44361.93674768518</v>
      </c>
      <c r="C1378" s="1" t="n">
        <v>46185</v>
      </c>
      <c r="D1378" t="inlineStr">
        <is>
          <t>VÄSTERNORRLANDS LÄN</t>
        </is>
      </c>
      <c r="E1378" t="inlineStr">
        <is>
          <t>SOLLEFTEÅ</t>
        </is>
      </c>
      <c r="F1378" t="inlineStr">
        <is>
          <t>SCA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38670-2022</t>
        </is>
      </c>
      <c r="B1379" s="1" t="n">
        <v>44813.94760416666</v>
      </c>
      <c r="C1379" s="1" t="n">
        <v>46185</v>
      </c>
      <c r="D1379" t="inlineStr">
        <is>
          <t>VÄSTERNORRLANDS LÄN</t>
        </is>
      </c>
      <c r="E1379" t="inlineStr">
        <is>
          <t>SUNDSVALL</t>
        </is>
      </c>
      <c r="F1379" t="inlineStr">
        <is>
          <t>SCA</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41515-2021</t>
        </is>
      </c>
      <c r="B1380" s="1" t="n">
        <v>44424</v>
      </c>
      <c r="C1380" s="1" t="n">
        <v>46185</v>
      </c>
      <c r="D1380" t="inlineStr">
        <is>
          <t>VÄSTERNORRLANDS LÄN</t>
        </is>
      </c>
      <c r="E1380" t="inlineStr">
        <is>
          <t>ÖRNSKÖLDSVIK</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32103-2021</t>
        </is>
      </c>
      <c r="B1381" s="1" t="n">
        <v>44370</v>
      </c>
      <c r="C1381" s="1" t="n">
        <v>46185</v>
      </c>
      <c r="D1381" t="inlineStr">
        <is>
          <t>VÄSTERNORRLANDS LÄN</t>
        </is>
      </c>
      <c r="E1381" t="inlineStr">
        <is>
          <t>HÄRNÖSAND</t>
        </is>
      </c>
      <c r="F1381" t="inlineStr">
        <is>
          <t>SCA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37611-2021</t>
        </is>
      </c>
      <c r="B1382" s="1" t="n">
        <v>44399</v>
      </c>
      <c r="C1382" s="1" t="n">
        <v>46185</v>
      </c>
      <c r="D1382" t="inlineStr">
        <is>
          <t>VÄSTERNORRLANDS LÄN</t>
        </is>
      </c>
      <c r="E1382" t="inlineStr">
        <is>
          <t>SUNDSVALL</t>
        </is>
      </c>
      <c r="F1382" t="inlineStr">
        <is>
          <t>SCA</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21870-2022</t>
        </is>
      </c>
      <c r="B1383" s="1" t="n">
        <v>44711</v>
      </c>
      <c r="C1383" s="1" t="n">
        <v>46185</v>
      </c>
      <c r="D1383" t="inlineStr">
        <is>
          <t>VÄSTERNORRLANDS LÄN</t>
        </is>
      </c>
      <c r="E1383" t="inlineStr">
        <is>
          <t>ÖRNSKÖLDSVIK</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29727-2021</t>
        </is>
      </c>
      <c r="B1384" s="1" t="n">
        <v>44362</v>
      </c>
      <c r="C1384" s="1" t="n">
        <v>46185</v>
      </c>
      <c r="D1384" t="inlineStr">
        <is>
          <t>VÄSTERNORRLANDS LÄN</t>
        </is>
      </c>
      <c r="E1384" t="inlineStr">
        <is>
          <t>ÖRNSKÖLDSVIK</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64434-2021</t>
        </is>
      </c>
      <c r="B1385" s="1" t="n">
        <v>44511.47248842593</v>
      </c>
      <c r="C1385" s="1" t="n">
        <v>46185</v>
      </c>
      <c r="D1385" t="inlineStr">
        <is>
          <t>VÄSTERNORRLANDS LÄN</t>
        </is>
      </c>
      <c r="E1385" t="inlineStr">
        <is>
          <t>ÖRNSKÖLDSVIK</t>
        </is>
      </c>
      <c r="F1385" t="inlineStr">
        <is>
          <t>Holmen skog AB</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38818-2021</t>
        </is>
      </c>
      <c r="B1386" s="1" t="n">
        <v>44411.31755787037</v>
      </c>
      <c r="C1386" s="1" t="n">
        <v>46185</v>
      </c>
      <c r="D1386" t="inlineStr">
        <is>
          <t>VÄSTERNORRLANDS LÄN</t>
        </is>
      </c>
      <c r="E1386" t="inlineStr">
        <is>
          <t>ÖRNSKÖLDSVIK</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39594-2021</t>
        </is>
      </c>
      <c r="B1387" s="1" t="n">
        <v>44413</v>
      </c>
      <c r="C1387" s="1" t="n">
        <v>46185</v>
      </c>
      <c r="D1387" t="inlineStr">
        <is>
          <t>VÄSTERNORRLANDS LÄN</t>
        </is>
      </c>
      <c r="E1387" t="inlineStr">
        <is>
          <t>SOLLEFTEÅ</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689-2022</t>
        </is>
      </c>
      <c r="B1388" s="1" t="n">
        <v>44566</v>
      </c>
      <c r="C1388" s="1" t="n">
        <v>46185</v>
      </c>
      <c r="D1388" t="inlineStr">
        <is>
          <t>VÄSTERNORRLANDS LÄN</t>
        </is>
      </c>
      <c r="E1388" t="inlineStr">
        <is>
          <t>ÖRNSKÖLDSVIK</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11862-2022</t>
        </is>
      </c>
      <c r="B1389" s="1" t="n">
        <v>44635.34825231481</v>
      </c>
      <c r="C1389" s="1" t="n">
        <v>46185</v>
      </c>
      <c r="D1389" t="inlineStr">
        <is>
          <t>VÄSTERNORRLANDS LÄN</t>
        </is>
      </c>
      <c r="E1389" t="inlineStr">
        <is>
          <t>SUNDSVALL</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45799-2021</t>
        </is>
      </c>
      <c r="B1390" s="1" t="n">
        <v>44441.48052083333</v>
      </c>
      <c r="C1390" s="1" t="n">
        <v>46185</v>
      </c>
      <c r="D1390" t="inlineStr">
        <is>
          <t>VÄSTERNORRLANDS LÄN</t>
        </is>
      </c>
      <c r="E1390" t="inlineStr">
        <is>
          <t>ÖRNSKÖLDSVIK</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64440-2021</t>
        </is>
      </c>
      <c r="B1391" s="1" t="n">
        <v>44511</v>
      </c>
      <c r="C1391" s="1" t="n">
        <v>46185</v>
      </c>
      <c r="D1391" t="inlineStr">
        <is>
          <t>VÄSTERNORRLANDS LÄN</t>
        </is>
      </c>
      <c r="E1391" t="inlineStr">
        <is>
          <t>KRAMFORS</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58941-2021</t>
        </is>
      </c>
      <c r="B1392" s="1" t="n">
        <v>44489.92215277778</v>
      </c>
      <c r="C1392" s="1" t="n">
        <v>46185</v>
      </c>
      <c r="D1392" t="inlineStr">
        <is>
          <t>VÄSTERNORRLANDS LÄN</t>
        </is>
      </c>
      <c r="E1392" t="inlineStr">
        <is>
          <t>ÅNGE</t>
        </is>
      </c>
      <c r="G1392" t="n">
        <v>6.7</v>
      </c>
      <c r="H1392" t="n">
        <v>0</v>
      </c>
      <c r="I1392" t="n">
        <v>0</v>
      </c>
      <c r="J1392" t="n">
        <v>0</v>
      </c>
      <c r="K1392" t="n">
        <v>0</v>
      </c>
      <c r="L1392" t="n">
        <v>0</v>
      </c>
      <c r="M1392" t="n">
        <v>0</v>
      </c>
      <c r="N1392" t="n">
        <v>0</v>
      </c>
      <c r="O1392" t="n">
        <v>0</v>
      </c>
      <c r="P1392" t="n">
        <v>0</v>
      </c>
      <c r="Q1392" t="n">
        <v>0</v>
      </c>
      <c r="R1392" s="2" t="inlineStr"/>
    </row>
    <row r="1393" ht="15" customHeight="1">
      <c r="A1393" t="inlineStr">
        <is>
          <t>A 4021-2022</t>
        </is>
      </c>
      <c r="B1393" s="1" t="n">
        <v>44587</v>
      </c>
      <c r="C1393" s="1" t="n">
        <v>46185</v>
      </c>
      <c r="D1393" t="inlineStr">
        <is>
          <t>VÄSTERNORRLANDS LÄN</t>
        </is>
      </c>
      <c r="E1393" t="inlineStr">
        <is>
          <t>KRAMFORS</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64542-2021</t>
        </is>
      </c>
      <c r="B1394" s="1" t="n">
        <v>44511</v>
      </c>
      <c r="C1394" s="1" t="n">
        <v>46185</v>
      </c>
      <c r="D1394" t="inlineStr">
        <is>
          <t>VÄSTERNORRLANDS LÄN</t>
        </is>
      </c>
      <c r="E1394" t="inlineStr">
        <is>
          <t>ÖRNSKÖLDSVIK</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15598-2022</t>
        </is>
      </c>
      <c r="B1395" s="1" t="n">
        <v>44662</v>
      </c>
      <c r="C1395" s="1" t="n">
        <v>46185</v>
      </c>
      <c r="D1395" t="inlineStr">
        <is>
          <t>VÄSTERNORRLANDS LÄN</t>
        </is>
      </c>
      <c r="E1395" t="inlineStr">
        <is>
          <t>SUNDSVALL</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64947-2021</t>
        </is>
      </c>
      <c r="B1396" s="1" t="n">
        <v>44512.94497685185</v>
      </c>
      <c r="C1396" s="1" t="n">
        <v>46185</v>
      </c>
      <c r="D1396" t="inlineStr">
        <is>
          <t>VÄSTERNORRLANDS LÄN</t>
        </is>
      </c>
      <c r="E1396" t="inlineStr">
        <is>
          <t>SOLLEFTEÅ</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1094-2022</t>
        </is>
      </c>
      <c r="B1397" s="1" t="n">
        <v>44571</v>
      </c>
      <c r="C1397" s="1" t="n">
        <v>46185</v>
      </c>
      <c r="D1397" t="inlineStr">
        <is>
          <t>VÄSTERNORRLANDS LÄN</t>
        </is>
      </c>
      <c r="E1397" t="inlineStr">
        <is>
          <t>SOLLEFTEÅ</t>
        </is>
      </c>
      <c r="F1397" t="inlineStr">
        <is>
          <t>SCA</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25976-2022</t>
        </is>
      </c>
      <c r="B1398" s="1" t="n">
        <v>44734</v>
      </c>
      <c r="C1398" s="1" t="n">
        <v>46185</v>
      </c>
      <c r="D1398" t="inlineStr">
        <is>
          <t>VÄSTERNORRLANDS LÄN</t>
        </is>
      </c>
      <c r="E1398" t="inlineStr">
        <is>
          <t>ÖRNSKÖLDSVIK</t>
        </is>
      </c>
      <c r="F1398" t="inlineStr">
        <is>
          <t>Holmen skog AB</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52705-2021</t>
        </is>
      </c>
      <c r="B1399" s="1" t="n">
        <v>44466</v>
      </c>
      <c r="C1399" s="1" t="n">
        <v>46185</v>
      </c>
      <c r="D1399" t="inlineStr">
        <is>
          <t>VÄSTERNORRLANDS LÄN</t>
        </is>
      </c>
      <c r="E1399" t="inlineStr">
        <is>
          <t>ÅNGE</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52726-2021</t>
        </is>
      </c>
      <c r="B1400" s="1" t="n">
        <v>44466</v>
      </c>
      <c r="C1400" s="1" t="n">
        <v>46185</v>
      </c>
      <c r="D1400" t="inlineStr">
        <is>
          <t>VÄSTERNORRLANDS LÄN</t>
        </is>
      </c>
      <c r="E1400" t="inlineStr">
        <is>
          <t>ÅNGE</t>
        </is>
      </c>
      <c r="F1400" t="inlineStr">
        <is>
          <t>SCA</t>
        </is>
      </c>
      <c r="G1400" t="n">
        <v>9.5</v>
      </c>
      <c r="H1400" t="n">
        <v>0</v>
      </c>
      <c r="I1400" t="n">
        <v>0</v>
      </c>
      <c r="J1400" t="n">
        <v>0</v>
      </c>
      <c r="K1400" t="n">
        <v>0</v>
      </c>
      <c r="L1400" t="n">
        <v>0</v>
      </c>
      <c r="M1400" t="n">
        <v>0</v>
      </c>
      <c r="N1400" t="n">
        <v>0</v>
      </c>
      <c r="O1400" t="n">
        <v>0</v>
      </c>
      <c r="P1400" t="n">
        <v>0</v>
      </c>
      <c r="Q1400" t="n">
        <v>0</v>
      </c>
      <c r="R1400" s="2" t="inlineStr"/>
    </row>
    <row r="1401" ht="15" customHeight="1">
      <c r="A1401" t="inlineStr">
        <is>
          <t>A 33719-2022</t>
        </is>
      </c>
      <c r="B1401" s="1" t="n">
        <v>44789.92700231481</v>
      </c>
      <c r="C1401" s="1" t="n">
        <v>46185</v>
      </c>
      <c r="D1401" t="inlineStr">
        <is>
          <t>VÄSTERNORRLANDS LÄN</t>
        </is>
      </c>
      <c r="E1401" t="inlineStr">
        <is>
          <t>TIMRÅ</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48923-2022</t>
        </is>
      </c>
      <c r="B1402" s="1" t="n">
        <v>44859.95590277778</v>
      </c>
      <c r="C1402" s="1" t="n">
        <v>46185</v>
      </c>
      <c r="D1402" t="inlineStr">
        <is>
          <t>VÄSTERNORRLANDS LÄN</t>
        </is>
      </c>
      <c r="E1402" t="inlineStr">
        <is>
          <t>SOLLEFTEÅ</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62569-2021</t>
        </is>
      </c>
      <c r="B1403" s="1" t="n">
        <v>44503.64755787037</v>
      </c>
      <c r="C1403" s="1" t="n">
        <v>46185</v>
      </c>
      <c r="D1403" t="inlineStr">
        <is>
          <t>VÄSTERNORRLANDS LÄN</t>
        </is>
      </c>
      <c r="E1403" t="inlineStr">
        <is>
          <t>ÖRNSKÖLDSVIK</t>
        </is>
      </c>
      <c r="F1403" t="inlineStr">
        <is>
          <t>Holmen skog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26453-2022</t>
        </is>
      </c>
      <c r="B1404" s="1" t="n">
        <v>44739</v>
      </c>
      <c r="C1404" s="1" t="n">
        <v>46185</v>
      </c>
      <c r="D1404" t="inlineStr">
        <is>
          <t>VÄSTERNORRLANDS LÄN</t>
        </is>
      </c>
      <c r="E1404" t="inlineStr">
        <is>
          <t>SUNDSVALL</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47282-2022</t>
        </is>
      </c>
      <c r="B1405" s="1" t="n">
        <v>44852.95091435185</v>
      </c>
      <c r="C1405" s="1" t="n">
        <v>46185</v>
      </c>
      <c r="D1405" t="inlineStr">
        <is>
          <t>VÄSTERNORRLANDS LÄN</t>
        </is>
      </c>
      <c r="E1405" t="inlineStr">
        <is>
          <t>ÅNGE</t>
        </is>
      </c>
      <c r="F1405" t="inlineStr">
        <is>
          <t>SCA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7784-2022</t>
        </is>
      </c>
      <c r="B1406" s="1" t="n">
        <v>44608</v>
      </c>
      <c r="C1406" s="1" t="n">
        <v>46185</v>
      </c>
      <c r="D1406" t="inlineStr">
        <is>
          <t>VÄSTERNORRLANDS LÄN</t>
        </is>
      </c>
      <c r="E1406" t="inlineStr">
        <is>
          <t>HÄRNÖSAND</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35075-2022</t>
        </is>
      </c>
      <c r="B1407" s="1" t="n">
        <v>44797</v>
      </c>
      <c r="C1407" s="1" t="n">
        <v>46185</v>
      </c>
      <c r="D1407" t="inlineStr">
        <is>
          <t>VÄSTERNORRLANDS LÄN</t>
        </is>
      </c>
      <c r="E1407" t="inlineStr">
        <is>
          <t>ÖRNSKÖLDSVIK</t>
        </is>
      </c>
      <c r="F1407" t="inlineStr">
        <is>
          <t>Holmen skog AB</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35204-2022</t>
        </is>
      </c>
      <c r="B1408" s="1" t="n">
        <v>44797</v>
      </c>
      <c r="C1408" s="1" t="n">
        <v>46185</v>
      </c>
      <c r="D1408" t="inlineStr">
        <is>
          <t>VÄSTERNORRLANDS LÄN</t>
        </is>
      </c>
      <c r="E1408" t="inlineStr">
        <is>
          <t>ÖRNSKÖLDSVIK</t>
        </is>
      </c>
      <c r="F1408" t="inlineStr">
        <is>
          <t>Holmen skog AB</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40413-2022</t>
        </is>
      </c>
      <c r="B1409" s="1" t="n">
        <v>44823</v>
      </c>
      <c r="C1409" s="1" t="n">
        <v>46185</v>
      </c>
      <c r="D1409" t="inlineStr">
        <is>
          <t>VÄSTERNORRLANDS LÄN</t>
        </is>
      </c>
      <c r="E1409" t="inlineStr">
        <is>
          <t>ÖRNSKÖLDSVIK</t>
        </is>
      </c>
      <c r="F1409" t="inlineStr">
        <is>
          <t>Holmen skog AB</t>
        </is>
      </c>
      <c r="G1409" t="n">
        <v>23.3</v>
      </c>
      <c r="H1409" t="n">
        <v>0</v>
      </c>
      <c r="I1409" t="n">
        <v>0</v>
      </c>
      <c r="J1409" t="n">
        <v>0</v>
      </c>
      <c r="K1409" t="n">
        <v>0</v>
      </c>
      <c r="L1409" t="n">
        <v>0</v>
      </c>
      <c r="M1409" t="n">
        <v>0</v>
      </c>
      <c r="N1409" t="n">
        <v>0</v>
      </c>
      <c r="O1409" t="n">
        <v>0</v>
      </c>
      <c r="P1409" t="n">
        <v>0</v>
      </c>
      <c r="Q1409" t="n">
        <v>0</v>
      </c>
      <c r="R1409" s="2" t="inlineStr"/>
    </row>
    <row r="1410" ht="15" customHeight="1">
      <c r="A1410" t="inlineStr">
        <is>
          <t>A 47672-2021</t>
        </is>
      </c>
      <c r="B1410" s="1" t="n">
        <v>44448</v>
      </c>
      <c r="C1410" s="1" t="n">
        <v>46185</v>
      </c>
      <c r="D1410" t="inlineStr">
        <is>
          <t>VÄSTERNORRLANDS LÄN</t>
        </is>
      </c>
      <c r="E1410" t="inlineStr">
        <is>
          <t>ÖRNSKÖLDSVIK</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55345-2022</t>
        </is>
      </c>
      <c r="B1411" s="1" t="n">
        <v>44882</v>
      </c>
      <c r="C1411" s="1" t="n">
        <v>46185</v>
      </c>
      <c r="D1411" t="inlineStr">
        <is>
          <t>VÄSTERNORRLANDS LÄN</t>
        </is>
      </c>
      <c r="E1411" t="inlineStr">
        <is>
          <t>SUNDSVALL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7649-2022</t>
        </is>
      </c>
      <c r="B1412" s="1" t="n">
        <v>44607</v>
      </c>
      <c r="C1412" s="1" t="n">
        <v>46185</v>
      </c>
      <c r="D1412" t="inlineStr">
        <is>
          <t>VÄSTERNORRLANDS LÄN</t>
        </is>
      </c>
      <c r="E1412" t="inlineStr">
        <is>
          <t>ÅNGE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18196-2022</t>
        </is>
      </c>
      <c r="B1413" s="1" t="n">
        <v>44684.94048611111</v>
      </c>
      <c r="C1413" s="1" t="n">
        <v>46185</v>
      </c>
      <c r="D1413" t="inlineStr">
        <is>
          <t>VÄSTERNORRLANDS LÄN</t>
        </is>
      </c>
      <c r="E1413" t="inlineStr">
        <is>
          <t>SOLLEFTEÅ</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31490-2022</t>
        </is>
      </c>
      <c r="B1414" s="1" t="n">
        <v>44774.94451388889</v>
      </c>
      <c r="C1414" s="1" t="n">
        <v>46185</v>
      </c>
      <c r="D1414" t="inlineStr">
        <is>
          <t>VÄSTERNORRLANDS LÄN</t>
        </is>
      </c>
      <c r="E1414" t="inlineStr">
        <is>
          <t>SOLLEFTEÅ</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6677-2022</t>
        </is>
      </c>
      <c r="B1415" s="1" t="n">
        <v>44602.39258101852</v>
      </c>
      <c r="C1415" s="1" t="n">
        <v>46185</v>
      </c>
      <c r="D1415" t="inlineStr">
        <is>
          <t>VÄSTERNORRLANDS LÄN</t>
        </is>
      </c>
      <c r="E1415" t="inlineStr">
        <is>
          <t>ÅNGE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17781-2022</t>
        </is>
      </c>
      <c r="B1416" s="1" t="n">
        <v>44682</v>
      </c>
      <c r="C1416" s="1" t="n">
        <v>46185</v>
      </c>
      <c r="D1416" t="inlineStr">
        <is>
          <t>VÄSTERNORRLANDS LÄN</t>
        </is>
      </c>
      <c r="E1416" t="inlineStr">
        <is>
          <t>ÖRNSKÖLDSVIK</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50243-2022</t>
        </is>
      </c>
      <c r="B1417" s="1" t="n">
        <v>44865</v>
      </c>
      <c r="C1417" s="1" t="n">
        <v>46185</v>
      </c>
      <c r="D1417" t="inlineStr">
        <is>
          <t>VÄSTERNORRLANDS LÄN</t>
        </is>
      </c>
      <c r="E1417" t="inlineStr">
        <is>
          <t>ÖRNSKÖLDSVIK</t>
        </is>
      </c>
      <c r="F1417" t="inlineStr">
        <is>
          <t>Holmen skog AB</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68815-2021</t>
        </is>
      </c>
      <c r="B1418" s="1" t="n">
        <v>44529</v>
      </c>
      <c r="C1418" s="1" t="n">
        <v>46185</v>
      </c>
      <c r="D1418" t="inlineStr">
        <is>
          <t>VÄSTERNORRLANDS LÄN</t>
        </is>
      </c>
      <c r="E1418" t="inlineStr">
        <is>
          <t>ÖRNSKÖLDSVIK</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68843-2021</t>
        </is>
      </c>
      <c r="B1419" s="1" t="n">
        <v>44530</v>
      </c>
      <c r="C1419" s="1" t="n">
        <v>46185</v>
      </c>
      <c r="D1419" t="inlineStr">
        <is>
          <t>VÄSTERNORRLANDS LÄN</t>
        </is>
      </c>
      <c r="E1419" t="inlineStr">
        <is>
          <t>SOLLEFTEÅ</t>
        </is>
      </c>
      <c r="F1419" t="inlineStr">
        <is>
          <t>Holmen skog AB</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44603-2022</t>
        </is>
      </c>
      <c r="B1420" s="1" t="n">
        <v>44839</v>
      </c>
      <c r="C1420" s="1" t="n">
        <v>46185</v>
      </c>
      <c r="D1420" t="inlineStr">
        <is>
          <t>VÄSTERNORRLANDS LÄN</t>
        </is>
      </c>
      <c r="E1420" t="inlineStr">
        <is>
          <t>SUNDSVALL</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32802-2021</t>
        </is>
      </c>
      <c r="B1421" s="1" t="n">
        <v>44375</v>
      </c>
      <c r="C1421" s="1" t="n">
        <v>46185</v>
      </c>
      <c r="D1421" t="inlineStr">
        <is>
          <t>VÄSTERNORRLANDS LÄN</t>
        </is>
      </c>
      <c r="E1421" t="inlineStr">
        <is>
          <t>KRAMFORS</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32519-2022</t>
        </is>
      </c>
      <c r="B1422" s="1" t="n">
        <v>44782</v>
      </c>
      <c r="C1422" s="1" t="n">
        <v>46185</v>
      </c>
      <c r="D1422" t="inlineStr">
        <is>
          <t>VÄSTERNORRLANDS LÄN</t>
        </is>
      </c>
      <c r="E1422" t="inlineStr">
        <is>
          <t>TIMRÅ</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24313-2022</t>
        </is>
      </c>
      <c r="B1423" s="1" t="n">
        <v>44725.94418981481</v>
      </c>
      <c r="C1423" s="1" t="n">
        <v>46185</v>
      </c>
      <c r="D1423" t="inlineStr">
        <is>
          <t>VÄSTERNORRLANDS LÄN</t>
        </is>
      </c>
      <c r="E1423" t="inlineStr">
        <is>
          <t>SUNDSVALL</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35862-2021</t>
        </is>
      </c>
      <c r="B1424" s="1" t="n">
        <v>44386</v>
      </c>
      <c r="C1424" s="1" t="n">
        <v>46185</v>
      </c>
      <c r="D1424" t="inlineStr">
        <is>
          <t>VÄSTERNORRLANDS LÄN</t>
        </is>
      </c>
      <c r="E1424" t="inlineStr">
        <is>
          <t>SOLLEFTEÅ</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55019-2022</t>
        </is>
      </c>
      <c r="B1425" s="1" t="n">
        <v>44881</v>
      </c>
      <c r="C1425" s="1" t="n">
        <v>46185</v>
      </c>
      <c r="D1425" t="inlineStr">
        <is>
          <t>VÄSTERNORRLANDS LÄN</t>
        </is>
      </c>
      <c r="E1425" t="inlineStr">
        <is>
          <t>SUNDSVALL</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5110-2022</t>
        </is>
      </c>
      <c r="B1426" s="1" t="n">
        <v>44593.92141203704</v>
      </c>
      <c r="C1426" s="1" t="n">
        <v>46185</v>
      </c>
      <c r="D1426" t="inlineStr">
        <is>
          <t>VÄSTERNORRLANDS LÄN</t>
        </is>
      </c>
      <c r="E1426" t="inlineStr">
        <is>
          <t>SOLLEFTEÅ</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41374-2021</t>
        </is>
      </c>
      <c r="B1427" s="1" t="n">
        <v>44424</v>
      </c>
      <c r="C1427" s="1" t="n">
        <v>46185</v>
      </c>
      <c r="D1427" t="inlineStr">
        <is>
          <t>VÄSTERNORRLANDS LÄN</t>
        </is>
      </c>
      <c r="E1427" t="inlineStr">
        <is>
          <t>ÖRNSKÖLDSVIK</t>
        </is>
      </c>
      <c r="F1427" t="inlineStr">
        <is>
          <t>Holmen skog AB</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62647-2021</t>
        </is>
      </c>
      <c r="B1428" s="1" t="n">
        <v>44503</v>
      </c>
      <c r="C1428" s="1" t="n">
        <v>46185</v>
      </c>
      <c r="D1428" t="inlineStr">
        <is>
          <t>VÄSTERNORRLANDS LÄN</t>
        </is>
      </c>
      <c r="E1428" t="inlineStr">
        <is>
          <t>ÖRNSKÖLDSVIK</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70770-2021</t>
        </is>
      </c>
      <c r="B1429" s="1" t="n">
        <v>44536</v>
      </c>
      <c r="C1429" s="1" t="n">
        <v>46185</v>
      </c>
      <c r="D1429" t="inlineStr">
        <is>
          <t>VÄSTERNORRLANDS LÄN</t>
        </is>
      </c>
      <c r="E1429" t="inlineStr">
        <is>
          <t>ÖRNSKÖLDSVIK</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70809-2021</t>
        </is>
      </c>
      <c r="B1430" s="1" t="n">
        <v>44537.91950231481</v>
      </c>
      <c r="C1430" s="1" t="n">
        <v>46185</v>
      </c>
      <c r="D1430" t="inlineStr">
        <is>
          <t>VÄSTERNORRLANDS LÄN</t>
        </is>
      </c>
      <c r="E1430" t="inlineStr">
        <is>
          <t>ÅNGE</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56004-2021</t>
        </is>
      </c>
      <c r="B1431" s="1" t="n">
        <v>44477.43289351852</v>
      </c>
      <c r="C1431" s="1" t="n">
        <v>46185</v>
      </c>
      <c r="D1431" t="inlineStr">
        <is>
          <t>VÄSTERNORRLANDS LÄN</t>
        </is>
      </c>
      <c r="E1431" t="inlineStr">
        <is>
          <t>HÄRNÖSAND</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44454-2022</t>
        </is>
      </c>
      <c r="B1432" s="1" t="n">
        <v>44839.95543981482</v>
      </c>
      <c r="C1432" s="1" t="n">
        <v>46185</v>
      </c>
      <c r="D1432" t="inlineStr">
        <is>
          <t>VÄSTERNORRLANDS LÄN</t>
        </is>
      </c>
      <c r="E1432" t="inlineStr">
        <is>
          <t>SOLLEFTEÅ</t>
        </is>
      </c>
      <c r="F1432" t="inlineStr">
        <is>
          <t>SCA</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21703-2022</t>
        </is>
      </c>
      <c r="B1433" s="1" t="n">
        <v>44707</v>
      </c>
      <c r="C1433" s="1" t="n">
        <v>46185</v>
      </c>
      <c r="D1433" t="inlineStr">
        <is>
          <t>VÄSTERNORRLANDS LÄN</t>
        </is>
      </c>
      <c r="E1433" t="inlineStr">
        <is>
          <t>ÖRNSKÖLDSVIK</t>
        </is>
      </c>
      <c r="F1433" t="inlineStr">
        <is>
          <t>SCA</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21705-2022</t>
        </is>
      </c>
      <c r="B1434" s="1" t="n">
        <v>44707.93960648148</v>
      </c>
      <c r="C1434" s="1" t="n">
        <v>46185</v>
      </c>
      <c r="D1434" t="inlineStr">
        <is>
          <t>VÄSTERNORRLANDS LÄN</t>
        </is>
      </c>
      <c r="E1434" t="inlineStr">
        <is>
          <t>ÖRNSKÖLDSVIK</t>
        </is>
      </c>
      <c r="F1434" t="inlineStr">
        <is>
          <t>SCA</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27948-2022</t>
        </is>
      </c>
      <c r="B1435" s="1" t="n">
        <v>44743</v>
      </c>
      <c r="C1435" s="1" t="n">
        <v>46185</v>
      </c>
      <c r="D1435" t="inlineStr">
        <is>
          <t>VÄSTERNORRLANDS LÄN</t>
        </is>
      </c>
      <c r="E1435" t="inlineStr">
        <is>
          <t>SUNDSVALL</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65437-2021</t>
        </is>
      </c>
      <c r="B1436" s="1" t="n">
        <v>44515.93900462963</v>
      </c>
      <c r="C1436" s="1" t="n">
        <v>46185</v>
      </c>
      <c r="D1436" t="inlineStr">
        <is>
          <t>VÄSTERNORRLANDS LÄN</t>
        </is>
      </c>
      <c r="E1436" t="inlineStr">
        <is>
          <t>ÅNGE</t>
        </is>
      </c>
      <c r="F1436" t="inlineStr">
        <is>
          <t>SCA</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45894-2022</t>
        </is>
      </c>
      <c r="B1437" s="1" t="n">
        <v>44846</v>
      </c>
      <c r="C1437" s="1" t="n">
        <v>46185</v>
      </c>
      <c r="D1437" t="inlineStr">
        <is>
          <t>VÄSTERNORRLANDS LÄN</t>
        </is>
      </c>
      <c r="E1437" t="inlineStr">
        <is>
          <t>ÖRNSKÖLDSVIK</t>
        </is>
      </c>
      <c r="G1437" t="n">
        <v>8.5</v>
      </c>
      <c r="H1437" t="n">
        <v>0</v>
      </c>
      <c r="I1437" t="n">
        <v>0</v>
      </c>
      <c r="J1437" t="n">
        <v>0</v>
      </c>
      <c r="K1437" t="n">
        <v>0</v>
      </c>
      <c r="L1437" t="n">
        <v>0</v>
      </c>
      <c r="M1437" t="n">
        <v>0</v>
      </c>
      <c r="N1437" t="n">
        <v>0</v>
      </c>
      <c r="O1437" t="n">
        <v>0</v>
      </c>
      <c r="P1437" t="n">
        <v>0</v>
      </c>
      <c r="Q1437" t="n">
        <v>0</v>
      </c>
      <c r="R1437" s="2" t="inlineStr"/>
    </row>
    <row r="1438" ht="15" customHeight="1">
      <c r="A1438" t="inlineStr">
        <is>
          <t>A 46712-2022</t>
        </is>
      </c>
      <c r="B1438" s="1" t="n">
        <v>44851.39305555556</v>
      </c>
      <c r="C1438" s="1" t="n">
        <v>46185</v>
      </c>
      <c r="D1438" t="inlineStr">
        <is>
          <t>VÄSTERNORRLANDS LÄN</t>
        </is>
      </c>
      <c r="E1438" t="inlineStr">
        <is>
          <t>ÖRNSKÖLDSVIK</t>
        </is>
      </c>
      <c r="F1438" t="inlineStr">
        <is>
          <t>Holmen skog AB</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46664-2022</t>
        </is>
      </c>
      <c r="B1439" s="1" t="n">
        <v>44850.94962962963</v>
      </c>
      <c r="C1439" s="1" t="n">
        <v>46185</v>
      </c>
      <c r="D1439" t="inlineStr">
        <is>
          <t>VÄSTERNORRLANDS LÄN</t>
        </is>
      </c>
      <c r="E1439" t="inlineStr">
        <is>
          <t>SOLLEFTEÅ</t>
        </is>
      </c>
      <c r="F1439" t="inlineStr">
        <is>
          <t>SCA</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41475-2022</t>
        </is>
      </c>
      <c r="B1440" s="1" t="n">
        <v>44826</v>
      </c>
      <c r="C1440" s="1" t="n">
        <v>46185</v>
      </c>
      <c r="D1440" t="inlineStr">
        <is>
          <t>VÄSTERNORRLANDS LÄN</t>
        </is>
      </c>
      <c r="E1440" t="inlineStr">
        <is>
          <t>SOLLEFTEÅ</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23381-2022</t>
        </is>
      </c>
      <c r="B1441" s="1" t="n">
        <v>44720</v>
      </c>
      <c r="C1441" s="1" t="n">
        <v>46185</v>
      </c>
      <c r="D1441" t="inlineStr">
        <is>
          <t>VÄSTERNORRLANDS LÄN</t>
        </is>
      </c>
      <c r="E1441" t="inlineStr">
        <is>
          <t>HÄRNÖSAND</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14299-2022</t>
        </is>
      </c>
      <c r="B1442" s="1" t="n">
        <v>44651.93903935186</v>
      </c>
      <c r="C1442" s="1" t="n">
        <v>46185</v>
      </c>
      <c r="D1442" t="inlineStr">
        <is>
          <t>VÄSTERNORRLANDS LÄN</t>
        </is>
      </c>
      <c r="E1442" t="inlineStr">
        <is>
          <t>SOLLEFTEÅ</t>
        </is>
      </c>
      <c r="F1442" t="inlineStr">
        <is>
          <t>SCA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65696-2021</t>
        </is>
      </c>
      <c r="B1443" s="1" t="n">
        <v>44516</v>
      </c>
      <c r="C1443" s="1" t="n">
        <v>46185</v>
      </c>
      <c r="D1443" t="inlineStr">
        <is>
          <t>VÄSTERNORRLANDS LÄN</t>
        </is>
      </c>
      <c r="E1443" t="inlineStr">
        <is>
          <t>SUNDSVALL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29403-2021</t>
        </is>
      </c>
      <c r="B1444" s="1" t="n">
        <v>44361</v>
      </c>
      <c r="C1444" s="1" t="n">
        <v>46185</v>
      </c>
      <c r="D1444" t="inlineStr">
        <is>
          <t>VÄSTERNORRLANDS LÄN</t>
        </is>
      </c>
      <c r="E1444" t="inlineStr">
        <is>
          <t>SUNDSVALL</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31918-2022</t>
        </is>
      </c>
      <c r="B1445" s="1" t="n">
        <v>44777.59334490741</v>
      </c>
      <c r="C1445" s="1" t="n">
        <v>46185</v>
      </c>
      <c r="D1445" t="inlineStr">
        <is>
          <t>VÄSTERNORRLANDS LÄN</t>
        </is>
      </c>
      <c r="E1445" t="inlineStr">
        <is>
          <t>ÖRNSKÖLDSVIK</t>
        </is>
      </c>
      <c r="F1445" t="inlineStr">
        <is>
          <t>Holmen skog AB</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32861-2022</t>
        </is>
      </c>
      <c r="B1446" s="1" t="n">
        <v>44784.49347222222</v>
      </c>
      <c r="C1446" s="1" t="n">
        <v>46185</v>
      </c>
      <c r="D1446" t="inlineStr">
        <is>
          <t>VÄSTERNORRLANDS LÄN</t>
        </is>
      </c>
      <c r="E1446" t="inlineStr">
        <is>
          <t>ÖRNSKÖLDSVIK</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35483-2022</t>
        </is>
      </c>
      <c r="B1447" s="1" t="n">
        <v>44798.92721064815</v>
      </c>
      <c r="C1447" s="1" t="n">
        <v>46185</v>
      </c>
      <c r="D1447" t="inlineStr">
        <is>
          <t>VÄSTERNORRLANDS LÄN</t>
        </is>
      </c>
      <c r="E1447" t="inlineStr">
        <is>
          <t>SUNDSVALL</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23999-2022</t>
        </is>
      </c>
      <c r="B1448" s="1" t="n">
        <v>44722.94055555556</v>
      </c>
      <c r="C1448" s="1" t="n">
        <v>46185</v>
      </c>
      <c r="D1448" t="inlineStr">
        <is>
          <t>VÄSTERNORRLANDS LÄN</t>
        </is>
      </c>
      <c r="E1448" t="inlineStr">
        <is>
          <t>ÅNGE</t>
        </is>
      </c>
      <c r="F1448" t="inlineStr">
        <is>
          <t>SCA</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4794-2022</t>
        </is>
      </c>
      <c r="B1449" s="1" t="n">
        <v>44592</v>
      </c>
      <c r="C1449" s="1" t="n">
        <v>46185</v>
      </c>
      <c r="D1449" t="inlineStr">
        <is>
          <t>VÄSTERNORRLANDS LÄN</t>
        </is>
      </c>
      <c r="E1449" t="inlineStr">
        <is>
          <t>ÖRNSKÖLDSVIK</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4678-2022</t>
        </is>
      </c>
      <c r="B1450" s="1" t="n">
        <v>44592</v>
      </c>
      <c r="C1450" s="1" t="n">
        <v>46185</v>
      </c>
      <c r="D1450" t="inlineStr">
        <is>
          <t>VÄSTERNORRLANDS LÄN</t>
        </is>
      </c>
      <c r="E1450" t="inlineStr">
        <is>
          <t>KRAMFORS</t>
        </is>
      </c>
      <c r="G1450" t="n">
        <v>16.1</v>
      </c>
      <c r="H1450" t="n">
        <v>0</v>
      </c>
      <c r="I1450" t="n">
        <v>0</v>
      </c>
      <c r="J1450" t="n">
        <v>0</v>
      </c>
      <c r="K1450" t="n">
        <v>0</v>
      </c>
      <c r="L1450" t="n">
        <v>0</v>
      </c>
      <c r="M1450" t="n">
        <v>0</v>
      </c>
      <c r="N1450" t="n">
        <v>0</v>
      </c>
      <c r="O1450" t="n">
        <v>0</v>
      </c>
      <c r="P1450" t="n">
        <v>0</v>
      </c>
      <c r="Q1450" t="n">
        <v>0</v>
      </c>
      <c r="R1450" s="2" t="inlineStr"/>
    </row>
    <row r="1451" ht="15" customHeight="1">
      <c r="A1451" t="inlineStr">
        <is>
          <t>A 4684-2022</t>
        </is>
      </c>
      <c r="B1451" s="1" t="n">
        <v>44592.47915509259</v>
      </c>
      <c r="C1451" s="1" t="n">
        <v>46185</v>
      </c>
      <c r="D1451" t="inlineStr">
        <is>
          <t>VÄSTERNORRLANDS LÄN</t>
        </is>
      </c>
      <c r="E1451" t="inlineStr">
        <is>
          <t>KRAMFORS</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69771-2021</t>
        </is>
      </c>
      <c r="B1452" s="1" t="n">
        <v>44532</v>
      </c>
      <c r="C1452" s="1" t="n">
        <v>46185</v>
      </c>
      <c r="D1452" t="inlineStr">
        <is>
          <t>VÄSTERNORRLANDS LÄN</t>
        </is>
      </c>
      <c r="E1452" t="inlineStr">
        <is>
          <t>ÖRNSKÖLDSVIK</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18197-2022</t>
        </is>
      </c>
      <c r="B1453" s="1" t="n">
        <v>44684</v>
      </c>
      <c r="C1453" s="1" t="n">
        <v>46185</v>
      </c>
      <c r="D1453" t="inlineStr">
        <is>
          <t>VÄSTERNORRLANDS LÄN</t>
        </is>
      </c>
      <c r="E1453" t="inlineStr">
        <is>
          <t>SOLLEFTEÅ</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12562-2022</t>
        </is>
      </c>
      <c r="B1454" s="1" t="n">
        <v>44638.94247685185</v>
      </c>
      <c r="C1454" s="1" t="n">
        <v>46185</v>
      </c>
      <c r="D1454" t="inlineStr">
        <is>
          <t>VÄSTERNORRLANDS LÄN</t>
        </is>
      </c>
      <c r="E1454" t="inlineStr">
        <is>
          <t>SOLLEFTEÅ</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33723-2022</t>
        </is>
      </c>
      <c r="B1455" s="1" t="n">
        <v>44789.9271875</v>
      </c>
      <c r="C1455" s="1" t="n">
        <v>46185</v>
      </c>
      <c r="D1455" t="inlineStr">
        <is>
          <t>VÄSTERNORRLANDS LÄN</t>
        </is>
      </c>
      <c r="E1455" t="inlineStr">
        <is>
          <t>SUNDSVALL</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6431-2022</t>
        </is>
      </c>
      <c r="B1456" s="1" t="n">
        <v>44600</v>
      </c>
      <c r="C1456" s="1" t="n">
        <v>46185</v>
      </c>
      <c r="D1456" t="inlineStr">
        <is>
          <t>VÄSTERNORRLANDS LÄN</t>
        </is>
      </c>
      <c r="E1456" t="inlineStr">
        <is>
          <t>HÄRNÖSAND</t>
        </is>
      </c>
      <c r="F1456" t="inlineStr">
        <is>
          <t>SCA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39729-2021</t>
        </is>
      </c>
      <c r="B1457" s="1" t="n">
        <v>44417.48267361111</v>
      </c>
      <c r="C1457" s="1" t="n">
        <v>46185</v>
      </c>
      <c r="D1457" t="inlineStr">
        <is>
          <t>VÄSTERNORRLANDS LÄN</t>
        </is>
      </c>
      <c r="E1457" t="inlineStr">
        <is>
          <t>ÅNGE</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29760-2021</t>
        </is>
      </c>
      <c r="B1458" s="1" t="n">
        <v>44362</v>
      </c>
      <c r="C1458" s="1" t="n">
        <v>46185</v>
      </c>
      <c r="D1458" t="inlineStr">
        <is>
          <t>VÄSTERNORRLANDS LÄN</t>
        </is>
      </c>
      <c r="E1458" t="inlineStr">
        <is>
          <t>ÖRNSKÖLDSVIK</t>
        </is>
      </c>
      <c r="F1458" t="inlineStr">
        <is>
          <t>Holmen skog AB</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29904-2021</t>
        </is>
      </c>
      <c r="B1459" s="1" t="n">
        <v>44362.91961805556</v>
      </c>
      <c r="C1459" s="1" t="n">
        <v>46185</v>
      </c>
      <c r="D1459" t="inlineStr">
        <is>
          <t>VÄSTERNORRLANDS LÄN</t>
        </is>
      </c>
      <c r="E1459" t="inlineStr">
        <is>
          <t>KRAMFORS</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31649-2022</t>
        </is>
      </c>
      <c r="B1460" s="1" t="n">
        <v>44775.94340277778</v>
      </c>
      <c r="C1460" s="1" t="n">
        <v>46185</v>
      </c>
      <c r="D1460" t="inlineStr">
        <is>
          <t>VÄSTERNORRLANDS LÄN</t>
        </is>
      </c>
      <c r="E1460" t="inlineStr">
        <is>
          <t>ÅNGE</t>
        </is>
      </c>
      <c r="F1460" t="inlineStr">
        <is>
          <t>SCA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32197-2021</t>
        </is>
      </c>
      <c r="B1461" s="1" t="n">
        <v>44371</v>
      </c>
      <c r="C1461" s="1" t="n">
        <v>46185</v>
      </c>
      <c r="D1461" t="inlineStr">
        <is>
          <t>VÄSTERNORRLANDS LÄN</t>
        </is>
      </c>
      <c r="E1461" t="inlineStr">
        <is>
          <t>ÖRNSKÖLDSVIK</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6808-2022</t>
        </is>
      </c>
      <c r="B1462" s="1" t="n">
        <v>44602</v>
      </c>
      <c r="C1462" s="1" t="n">
        <v>46185</v>
      </c>
      <c r="D1462" t="inlineStr">
        <is>
          <t>VÄSTERNORRLANDS LÄN</t>
        </is>
      </c>
      <c r="E1462" t="inlineStr">
        <is>
          <t>SUNDSVALL</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32172-2021</t>
        </is>
      </c>
      <c r="B1463" s="1" t="n">
        <v>44371</v>
      </c>
      <c r="C1463" s="1" t="n">
        <v>46185</v>
      </c>
      <c r="D1463" t="inlineStr">
        <is>
          <t>VÄSTERNORRLANDS LÄN</t>
        </is>
      </c>
      <c r="E1463" t="inlineStr">
        <is>
          <t>SUNDSVALL</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16974-2022</t>
        </is>
      </c>
      <c r="B1464" s="1" t="n">
        <v>44676</v>
      </c>
      <c r="C1464" s="1" t="n">
        <v>46185</v>
      </c>
      <c r="D1464" t="inlineStr">
        <is>
          <t>VÄSTERNORRLANDS LÄN</t>
        </is>
      </c>
      <c r="E1464" t="inlineStr">
        <is>
          <t>HÄRNÖSAND</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49857-2022</t>
        </is>
      </c>
      <c r="B1465" s="1" t="n">
        <v>44862</v>
      </c>
      <c r="C1465" s="1" t="n">
        <v>46185</v>
      </c>
      <c r="D1465" t="inlineStr">
        <is>
          <t>VÄSTERNORRLANDS LÄN</t>
        </is>
      </c>
      <c r="E1465" t="inlineStr">
        <is>
          <t>SUNDSVALL</t>
        </is>
      </c>
      <c r="F1465" t="inlineStr">
        <is>
          <t>SCA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41000-2022</t>
        </is>
      </c>
      <c r="B1466" s="1" t="n">
        <v>44824</v>
      </c>
      <c r="C1466" s="1" t="n">
        <v>46185</v>
      </c>
      <c r="D1466" t="inlineStr">
        <is>
          <t>VÄSTERNORRLANDS LÄN</t>
        </is>
      </c>
      <c r="E1466" t="inlineStr">
        <is>
          <t>HÄRNÖSAND</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55209-2022</t>
        </is>
      </c>
      <c r="B1467" s="1" t="n">
        <v>44886.96086805555</v>
      </c>
      <c r="C1467" s="1" t="n">
        <v>46185</v>
      </c>
      <c r="D1467" t="inlineStr">
        <is>
          <t>VÄSTERNORRLANDS LÄN</t>
        </is>
      </c>
      <c r="E1467" t="inlineStr">
        <is>
          <t>SOLLEFTEÅ</t>
        </is>
      </c>
      <c r="F1467" t="inlineStr">
        <is>
          <t>SCA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55217-2022</t>
        </is>
      </c>
      <c r="B1468" s="1" t="n">
        <v>44886.96212962963</v>
      </c>
      <c r="C1468" s="1" t="n">
        <v>46185</v>
      </c>
      <c r="D1468" t="inlineStr">
        <is>
          <t>VÄSTERNORRLANDS LÄN</t>
        </is>
      </c>
      <c r="E1468" t="inlineStr">
        <is>
          <t>SUNDSVALL</t>
        </is>
      </c>
      <c r="F1468" t="inlineStr">
        <is>
          <t>SCA</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48121-2022</t>
        </is>
      </c>
      <c r="B1469" s="1" t="n">
        <v>44857.71650462963</v>
      </c>
      <c r="C1469" s="1" t="n">
        <v>46185</v>
      </c>
      <c r="D1469" t="inlineStr">
        <is>
          <t>VÄSTERNORRLANDS LÄN</t>
        </is>
      </c>
      <c r="E1469" t="inlineStr">
        <is>
          <t>ÖRNSKÖLDSVIK</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23972-2022</t>
        </is>
      </c>
      <c r="B1470" s="1" t="n">
        <v>44722</v>
      </c>
      <c r="C1470" s="1" t="n">
        <v>46185</v>
      </c>
      <c r="D1470" t="inlineStr">
        <is>
          <t>VÄSTERNORRLANDS LÄN</t>
        </is>
      </c>
      <c r="E1470" t="inlineStr">
        <is>
          <t>KRAMFORS</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48360-2022</t>
        </is>
      </c>
      <c r="B1471" s="1" t="n">
        <v>44854</v>
      </c>
      <c r="C1471" s="1" t="n">
        <v>46185</v>
      </c>
      <c r="D1471" t="inlineStr">
        <is>
          <t>VÄSTERNORRLANDS LÄN</t>
        </is>
      </c>
      <c r="E1471" t="inlineStr">
        <is>
          <t>KRAMFORS</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20994-2022</t>
        </is>
      </c>
      <c r="B1472" s="1" t="n">
        <v>44703</v>
      </c>
      <c r="C1472" s="1" t="n">
        <v>46185</v>
      </c>
      <c r="D1472" t="inlineStr">
        <is>
          <t>VÄSTERNORRLANDS LÄN</t>
        </is>
      </c>
      <c r="E1472" t="inlineStr">
        <is>
          <t>SOLLEFTEÅ</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20996-2022</t>
        </is>
      </c>
      <c r="B1473" s="1" t="n">
        <v>44703</v>
      </c>
      <c r="C1473" s="1" t="n">
        <v>46185</v>
      </c>
      <c r="D1473" t="inlineStr">
        <is>
          <t>VÄSTERNORRLANDS LÄN</t>
        </is>
      </c>
      <c r="E1473" t="inlineStr">
        <is>
          <t>SOLLEFTEÅ</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26635-2022</t>
        </is>
      </c>
      <c r="B1474" s="1" t="n">
        <v>44739</v>
      </c>
      <c r="C1474" s="1" t="n">
        <v>46185</v>
      </c>
      <c r="D1474" t="inlineStr">
        <is>
          <t>VÄSTERNORRLANDS LÄN</t>
        </is>
      </c>
      <c r="E1474" t="inlineStr">
        <is>
          <t>ÖRNSKÖLDSVIK</t>
        </is>
      </c>
      <c r="F1474" t="inlineStr">
        <is>
          <t>Holmen skog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49694-2022</t>
        </is>
      </c>
      <c r="B1475" s="1" t="n">
        <v>44859</v>
      </c>
      <c r="C1475" s="1" t="n">
        <v>46185</v>
      </c>
      <c r="D1475" t="inlineStr">
        <is>
          <t>VÄSTERNORRLANDS LÄN</t>
        </is>
      </c>
      <c r="E1475" t="inlineStr">
        <is>
          <t>SOLLEFTEÅ</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44039-2021</t>
        </is>
      </c>
      <c r="B1476" s="1" t="n">
        <v>44434</v>
      </c>
      <c r="C1476" s="1" t="n">
        <v>46185</v>
      </c>
      <c r="D1476" t="inlineStr">
        <is>
          <t>VÄSTERNORRLANDS LÄN</t>
        </is>
      </c>
      <c r="E1476" t="inlineStr">
        <is>
          <t>SUNDSVALL</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50567-2021</t>
        </is>
      </c>
      <c r="B1477" s="1" t="n">
        <v>44459</v>
      </c>
      <c r="C1477" s="1" t="n">
        <v>46185</v>
      </c>
      <c r="D1477" t="inlineStr">
        <is>
          <t>VÄSTERNORRLANDS LÄN</t>
        </is>
      </c>
      <c r="E1477" t="inlineStr">
        <is>
          <t>KRAMFORS</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70873-2021</t>
        </is>
      </c>
      <c r="B1478" s="1" t="n">
        <v>44538</v>
      </c>
      <c r="C1478" s="1" t="n">
        <v>46185</v>
      </c>
      <c r="D1478" t="inlineStr">
        <is>
          <t>VÄSTERNORRLANDS LÄN</t>
        </is>
      </c>
      <c r="E1478" t="inlineStr">
        <is>
          <t>SUNDSVALL</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33555-2022</t>
        </is>
      </c>
      <c r="B1479" s="1" t="n">
        <v>44789</v>
      </c>
      <c r="C1479" s="1" t="n">
        <v>46185</v>
      </c>
      <c r="D1479" t="inlineStr">
        <is>
          <t>VÄSTERNORRLANDS LÄN</t>
        </is>
      </c>
      <c r="E1479" t="inlineStr">
        <is>
          <t>ÖRNSKÖLDSVIK</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58149-2021</t>
        </is>
      </c>
      <c r="B1480" s="1" t="n">
        <v>44487</v>
      </c>
      <c r="C1480" s="1" t="n">
        <v>46185</v>
      </c>
      <c r="D1480" t="inlineStr">
        <is>
          <t>VÄSTERNORRLANDS LÄN</t>
        </is>
      </c>
      <c r="E1480" t="inlineStr">
        <is>
          <t>HÄRNÖSAND</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26844-2022</t>
        </is>
      </c>
      <c r="B1481" s="1" t="n">
        <v>44740</v>
      </c>
      <c r="C1481" s="1" t="n">
        <v>46185</v>
      </c>
      <c r="D1481" t="inlineStr">
        <is>
          <t>VÄSTERNORRLANDS LÄN</t>
        </is>
      </c>
      <c r="E1481" t="inlineStr">
        <is>
          <t>ÖRNSKÖLDSVIK</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26847-2022</t>
        </is>
      </c>
      <c r="B1482" s="1" t="n">
        <v>44740.49112268518</v>
      </c>
      <c r="C1482" s="1" t="n">
        <v>46185</v>
      </c>
      <c r="D1482" t="inlineStr">
        <is>
          <t>VÄSTERNORRLANDS LÄN</t>
        </is>
      </c>
      <c r="E1482" t="inlineStr">
        <is>
          <t>ÖRNSKÖLDSVIK</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53215-2021</t>
        </is>
      </c>
      <c r="B1483" s="1" t="n">
        <v>44468</v>
      </c>
      <c r="C1483" s="1" t="n">
        <v>46185</v>
      </c>
      <c r="D1483" t="inlineStr">
        <is>
          <t>VÄSTERNORRLANDS LÄN</t>
        </is>
      </c>
      <c r="E1483" t="inlineStr">
        <is>
          <t>ÖRNSKÖLDSVIK</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51427-2021</t>
        </is>
      </c>
      <c r="B1484" s="1" t="n">
        <v>44461</v>
      </c>
      <c r="C1484" s="1" t="n">
        <v>46185</v>
      </c>
      <c r="D1484" t="inlineStr">
        <is>
          <t>VÄSTERNORRLANDS LÄN</t>
        </is>
      </c>
      <c r="E1484" t="inlineStr">
        <is>
          <t>ÅNGE</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44437-2021</t>
        </is>
      </c>
      <c r="B1485" s="1" t="n">
        <v>44435</v>
      </c>
      <c r="C1485" s="1" t="n">
        <v>46185</v>
      </c>
      <c r="D1485" t="inlineStr">
        <is>
          <t>VÄSTERNORRLANDS LÄN</t>
        </is>
      </c>
      <c r="E1485" t="inlineStr">
        <is>
          <t>ÖRNSKÖLDSVIK</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9998-2022</t>
        </is>
      </c>
      <c r="B1486" s="1" t="n">
        <v>44621.46462962963</v>
      </c>
      <c r="C1486" s="1" t="n">
        <v>46185</v>
      </c>
      <c r="D1486" t="inlineStr">
        <is>
          <t>VÄSTERNORRLANDS LÄN</t>
        </is>
      </c>
      <c r="E1486" t="inlineStr">
        <is>
          <t>ÅNGE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35004-2022</t>
        </is>
      </c>
      <c r="B1487" s="1" t="n">
        <v>44796</v>
      </c>
      <c r="C1487" s="1" t="n">
        <v>46185</v>
      </c>
      <c r="D1487" t="inlineStr">
        <is>
          <t>VÄSTERNORRLANDS LÄN</t>
        </is>
      </c>
      <c r="E1487" t="inlineStr">
        <is>
          <t>SUNDSVALL</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26072-2022</t>
        </is>
      </c>
      <c r="B1488" s="1" t="n">
        <v>44734</v>
      </c>
      <c r="C1488" s="1" t="n">
        <v>46185</v>
      </c>
      <c r="D1488" t="inlineStr">
        <is>
          <t>VÄSTERNORRLANDS LÄN</t>
        </is>
      </c>
      <c r="E1488" t="inlineStr">
        <is>
          <t>HÄRNÖSAND</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18764-2022</t>
        </is>
      </c>
      <c r="B1489" s="1" t="n">
        <v>44688</v>
      </c>
      <c r="C1489" s="1" t="n">
        <v>46185</v>
      </c>
      <c r="D1489" t="inlineStr">
        <is>
          <t>VÄSTERNORRLANDS LÄN</t>
        </is>
      </c>
      <c r="E1489" t="inlineStr">
        <is>
          <t>KRAMFORS</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29959-2021</t>
        </is>
      </c>
      <c r="B1490" s="1" t="n">
        <v>44362</v>
      </c>
      <c r="C1490" s="1" t="n">
        <v>46185</v>
      </c>
      <c r="D1490" t="inlineStr">
        <is>
          <t>VÄSTERNORRLANDS LÄN</t>
        </is>
      </c>
      <c r="E1490" t="inlineStr">
        <is>
          <t>ÖRNSKÖLDSVIK</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70899-2021</t>
        </is>
      </c>
      <c r="B1491" s="1" t="n">
        <v>44537</v>
      </c>
      <c r="C1491" s="1" t="n">
        <v>46185</v>
      </c>
      <c r="D1491" t="inlineStr">
        <is>
          <t>VÄSTERNORRLANDS LÄN</t>
        </is>
      </c>
      <c r="E1491" t="inlineStr">
        <is>
          <t>ÅNGE</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47654-2022</t>
        </is>
      </c>
      <c r="B1492" s="1" t="n">
        <v>44854.45208333333</v>
      </c>
      <c r="C1492" s="1" t="n">
        <v>46185</v>
      </c>
      <c r="D1492" t="inlineStr">
        <is>
          <t>VÄSTERNORRLANDS LÄN</t>
        </is>
      </c>
      <c r="E1492" t="inlineStr">
        <is>
          <t>ÅNGE</t>
        </is>
      </c>
      <c r="F1492" t="inlineStr">
        <is>
          <t>Holmen skog AB</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4428-2022</t>
        </is>
      </c>
      <c r="B1493" s="1" t="n">
        <v>44589</v>
      </c>
      <c r="C1493" s="1" t="n">
        <v>46185</v>
      </c>
      <c r="D1493" t="inlineStr">
        <is>
          <t>VÄSTERNORRLANDS LÄN</t>
        </is>
      </c>
      <c r="E1493" t="inlineStr">
        <is>
          <t>ÖRNSKÖLDSVIK</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74148-2021</t>
        </is>
      </c>
      <c r="B1494" s="1" t="n">
        <v>44557</v>
      </c>
      <c r="C1494" s="1" t="n">
        <v>46185</v>
      </c>
      <c r="D1494" t="inlineStr">
        <is>
          <t>VÄSTERNORRLANDS LÄN</t>
        </is>
      </c>
      <c r="E1494" t="inlineStr">
        <is>
          <t>TIMRÅ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65577-2021</t>
        </is>
      </c>
      <c r="B1495" s="1" t="n">
        <v>44516</v>
      </c>
      <c r="C1495" s="1" t="n">
        <v>46185</v>
      </c>
      <c r="D1495" t="inlineStr">
        <is>
          <t>VÄSTERNORRLANDS LÄN</t>
        </is>
      </c>
      <c r="E1495" t="inlineStr">
        <is>
          <t>ÖRNSKÖLDSVIK</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67673-2021</t>
        </is>
      </c>
      <c r="B1496" s="1" t="n">
        <v>44524</v>
      </c>
      <c r="C1496" s="1" t="n">
        <v>46185</v>
      </c>
      <c r="D1496" t="inlineStr">
        <is>
          <t>VÄSTERNORRLANDS LÄN</t>
        </is>
      </c>
      <c r="E1496" t="inlineStr">
        <is>
          <t>TIMRÅ</t>
        </is>
      </c>
      <c r="G1496" t="n">
        <v>6.8</v>
      </c>
      <c r="H1496" t="n">
        <v>0</v>
      </c>
      <c r="I1496" t="n">
        <v>0</v>
      </c>
      <c r="J1496" t="n">
        <v>0</v>
      </c>
      <c r="K1496" t="n">
        <v>0</v>
      </c>
      <c r="L1496" t="n">
        <v>0</v>
      </c>
      <c r="M1496" t="n">
        <v>0</v>
      </c>
      <c r="N1496" t="n">
        <v>0</v>
      </c>
      <c r="O1496" t="n">
        <v>0</v>
      </c>
      <c r="P1496" t="n">
        <v>0</v>
      </c>
      <c r="Q1496" t="n">
        <v>0</v>
      </c>
      <c r="R1496" s="2" t="inlineStr"/>
    </row>
    <row r="1497" ht="15" customHeight="1">
      <c r="A1497" t="inlineStr">
        <is>
          <t>A 45506-2021</t>
        </is>
      </c>
      <c r="B1497" s="1" t="n">
        <v>44440</v>
      </c>
      <c r="C1497" s="1" t="n">
        <v>46185</v>
      </c>
      <c r="D1497" t="inlineStr">
        <is>
          <t>VÄSTERNORRLANDS LÄN</t>
        </is>
      </c>
      <c r="E1497" t="inlineStr">
        <is>
          <t>SUNDSVALL</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67562-2021</t>
        </is>
      </c>
      <c r="B1498" s="1" t="n">
        <v>44524</v>
      </c>
      <c r="C1498" s="1" t="n">
        <v>46185</v>
      </c>
      <c r="D1498" t="inlineStr">
        <is>
          <t>VÄSTERNORRLANDS LÄN</t>
        </is>
      </c>
      <c r="E1498" t="inlineStr">
        <is>
          <t>SUNDSVALL</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30032-2022</t>
        </is>
      </c>
      <c r="B1499" s="1" t="n">
        <v>44756</v>
      </c>
      <c r="C1499" s="1" t="n">
        <v>46185</v>
      </c>
      <c r="D1499" t="inlineStr">
        <is>
          <t>VÄSTERNORRLANDS LÄN</t>
        </is>
      </c>
      <c r="E1499" t="inlineStr">
        <is>
          <t>SOLLEFTEÅ</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19035-2022</t>
        </is>
      </c>
      <c r="B1500" s="1" t="n">
        <v>44691</v>
      </c>
      <c r="C1500" s="1" t="n">
        <v>46185</v>
      </c>
      <c r="D1500" t="inlineStr">
        <is>
          <t>VÄSTERNORRLANDS LÄN</t>
        </is>
      </c>
      <c r="E1500" t="inlineStr">
        <is>
          <t>ÅNGE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41392-2021</t>
        </is>
      </c>
      <c r="B1501" s="1" t="n">
        <v>44424</v>
      </c>
      <c r="C1501" s="1" t="n">
        <v>46185</v>
      </c>
      <c r="D1501" t="inlineStr">
        <is>
          <t>VÄSTERNORRLANDS LÄN</t>
        </is>
      </c>
      <c r="E1501" t="inlineStr">
        <is>
          <t>ÖRNSKÖLDSVIK</t>
        </is>
      </c>
      <c r="G1501" t="n">
        <v>0.1</v>
      </c>
      <c r="H1501" t="n">
        <v>0</v>
      </c>
      <c r="I1501" t="n">
        <v>0</v>
      </c>
      <c r="J1501" t="n">
        <v>0</v>
      </c>
      <c r="K1501" t="n">
        <v>0</v>
      </c>
      <c r="L1501" t="n">
        <v>0</v>
      </c>
      <c r="M1501" t="n">
        <v>0</v>
      </c>
      <c r="N1501" t="n">
        <v>0</v>
      </c>
      <c r="O1501" t="n">
        <v>0</v>
      </c>
      <c r="P1501" t="n">
        <v>0</v>
      </c>
      <c r="Q1501" t="n">
        <v>0</v>
      </c>
      <c r="R1501" s="2" t="inlineStr"/>
    </row>
    <row r="1502" ht="15" customHeight="1">
      <c r="A1502" t="inlineStr">
        <is>
          <t>A 64113-2021</t>
        </is>
      </c>
      <c r="B1502" s="1" t="n">
        <v>44509</v>
      </c>
      <c r="C1502" s="1" t="n">
        <v>46185</v>
      </c>
      <c r="D1502" t="inlineStr">
        <is>
          <t>VÄSTERNORRLANDS LÄN</t>
        </is>
      </c>
      <c r="E1502" t="inlineStr">
        <is>
          <t>ÖRNSKÖLDSVIK</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35497-2022</t>
        </is>
      </c>
      <c r="B1503" s="1" t="n">
        <v>44798</v>
      </c>
      <c r="C1503" s="1" t="n">
        <v>46185</v>
      </c>
      <c r="D1503" t="inlineStr">
        <is>
          <t>VÄSTERNORRLANDS LÄN</t>
        </is>
      </c>
      <c r="E1503" t="inlineStr">
        <is>
          <t>ÅNGE</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15726-2022</t>
        </is>
      </c>
      <c r="B1504" s="1" t="n">
        <v>44663.49225694445</v>
      </c>
      <c r="C1504" s="1" t="n">
        <v>46185</v>
      </c>
      <c r="D1504" t="inlineStr">
        <is>
          <t>VÄSTERNORRLANDS LÄN</t>
        </is>
      </c>
      <c r="E1504" t="inlineStr">
        <is>
          <t>SUNDSVALL</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7670-2022</t>
        </is>
      </c>
      <c r="B1505" s="1" t="n">
        <v>44607</v>
      </c>
      <c r="C1505" s="1" t="n">
        <v>46185</v>
      </c>
      <c r="D1505" t="inlineStr">
        <is>
          <t>VÄSTERNORRLANDS LÄN</t>
        </is>
      </c>
      <c r="E1505" t="inlineStr">
        <is>
          <t>TIMRÅ</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63508-2021</t>
        </is>
      </c>
      <c r="B1506" s="1" t="n">
        <v>44508.63643518519</v>
      </c>
      <c r="C1506" s="1" t="n">
        <v>46185</v>
      </c>
      <c r="D1506" t="inlineStr">
        <is>
          <t>VÄSTERNORRLANDS LÄN</t>
        </is>
      </c>
      <c r="E1506" t="inlineStr">
        <is>
          <t>ÖRNSKÖLDSVIK</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64933-2021</t>
        </is>
      </c>
      <c r="B1507" s="1" t="n">
        <v>44512</v>
      </c>
      <c r="C1507" s="1" t="n">
        <v>46185</v>
      </c>
      <c r="D1507" t="inlineStr">
        <is>
          <t>VÄSTERNORRLANDS LÄN</t>
        </is>
      </c>
      <c r="E1507" t="inlineStr">
        <is>
          <t>HÄRNÖSAND</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73989-2021</t>
        </is>
      </c>
      <c r="B1508" s="1" t="n">
        <v>44556</v>
      </c>
      <c r="C1508" s="1" t="n">
        <v>46185</v>
      </c>
      <c r="D1508" t="inlineStr">
        <is>
          <t>VÄSTERNORRLANDS LÄN</t>
        </is>
      </c>
      <c r="E1508" t="inlineStr">
        <is>
          <t>KRAMFORS</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72769-2021</t>
        </is>
      </c>
      <c r="B1509" s="1" t="n">
        <v>44546.944375</v>
      </c>
      <c r="C1509" s="1" t="n">
        <v>46185</v>
      </c>
      <c r="D1509" t="inlineStr">
        <is>
          <t>VÄSTERNORRLANDS LÄN</t>
        </is>
      </c>
      <c r="E1509" t="inlineStr">
        <is>
          <t>SUNDSVALL</t>
        </is>
      </c>
      <c r="F1509" t="inlineStr">
        <is>
          <t>SCA</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45513-2022</t>
        </is>
      </c>
      <c r="B1510" s="1" t="n">
        <v>44845.44377314814</v>
      </c>
      <c r="C1510" s="1" t="n">
        <v>46185</v>
      </c>
      <c r="D1510" t="inlineStr">
        <is>
          <t>VÄSTERNORRLANDS LÄN</t>
        </is>
      </c>
      <c r="E1510" t="inlineStr">
        <is>
          <t>ÖRNSKÖLDSVIK</t>
        </is>
      </c>
      <c r="F1510" t="inlineStr">
        <is>
          <t>Holmen skog AB</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27524-2022</t>
        </is>
      </c>
      <c r="B1511" s="1" t="n">
        <v>44742</v>
      </c>
      <c r="C1511" s="1" t="n">
        <v>46185</v>
      </c>
      <c r="D1511" t="inlineStr">
        <is>
          <t>VÄSTERNORRLANDS LÄN</t>
        </is>
      </c>
      <c r="E1511" t="inlineStr">
        <is>
          <t>ÖRNSKÖLDSVIK</t>
        </is>
      </c>
      <c r="F1511" t="inlineStr">
        <is>
          <t>Holmen skog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38830-2022</t>
        </is>
      </c>
      <c r="B1512" s="1" t="n">
        <v>44816</v>
      </c>
      <c r="C1512" s="1" t="n">
        <v>46185</v>
      </c>
      <c r="D1512" t="inlineStr">
        <is>
          <t>VÄSTERNORRLANDS LÄN</t>
        </is>
      </c>
      <c r="E1512" t="inlineStr">
        <is>
          <t>HÄRNÖSAND</t>
        </is>
      </c>
      <c r="G1512" t="n">
        <v>10.8</v>
      </c>
      <c r="H1512" t="n">
        <v>0</v>
      </c>
      <c r="I1512" t="n">
        <v>0</v>
      </c>
      <c r="J1512" t="n">
        <v>0</v>
      </c>
      <c r="K1512" t="n">
        <v>0</v>
      </c>
      <c r="L1512" t="n">
        <v>0</v>
      </c>
      <c r="M1512" t="n">
        <v>0</v>
      </c>
      <c r="N1512" t="n">
        <v>0</v>
      </c>
      <c r="O1512" t="n">
        <v>0</v>
      </c>
      <c r="P1512" t="n">
        <v>0</v>
      </c>
      <c r="Q1512" t="n">
        <v>0</v>
      </c>
      <c r="R1512" s="2" t="inlineStr"/>
    </row>
    <row r="1513" ht="15" customHeight="1">
      <c r="A1513" t="inlineStr">
        <is>
          <t>A 21240-2022</t>
        </is>
      </c>
      <c r="B1513" s="1" t="n">
        <v>44705.3641087963</v>
      </c>
      <c r="C1513" s="1" t="n">
        <v>46185</v>
      </c>
      <c r="D1513" t="inlineStr">
        <is>
          <t>VÄSTERNORRLANDS LÄN</t>
        </is>
      </c>
      <c r="E1513" t="inlineStr">
        <is>
          <t>ÖRNSKÖLDSVIK</t>
        </is>
      </c>
      <c r="F1513" t="inlineStr">
        <is>
          <t>Holmen skog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19061-2022</t>
        </is>
      </c>
      <c r="B1514" s="1" t="n">
        <v>44697</v>
      </c>
      <c r="C1514" s="1" t="n">
        <v>46185</v>
      </c>
      <c r="D1514" t="inlineStr">
        <is>
          <t>VÄSTERNORRLANDS LÄN</t>
        </is>
      </c>
      <c r="E1514" t="inlineStr">
        <is>
          <t>ÖRNSKÖLDSVIK</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19468-2022</t>
        </is>
      </c>
      <c r="B1515" s="1" t="n">
        <v>44693</v>
      </c>
      <c r="C1515" s="1" t="n">
        <v>46185</v>
      </c>
      <c r="D1515" t="inlineStr">
        <is>
          <t>VÄSTERNORRLANDS LÄN</t>
        </is>
      </c>
      <c r="E1515" t="inlineStr">
        <is>
          <t>SUNDSVALL</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42730-2022</t>
        </is>
      </c>
      <c r="B1516" s="1" t="n">
        <v>44832</v>
      </c>
      <c r="C1516" s="1" t="n">
        <v>46185</v>
      </c>
      <c r="D1516" t="inlineStr">
        <is>
          <t>VÄSTERNORRLANDS LÄN</t>
        </is>
      </c>
      <c r="E1516" t="inlineStr">
        <is>
          <t>ÖRNSKÖLDSVIK</t>
        </is>
      </c>
      <c r="F1516" t="inlineStr">
        <is>
          <t>Holmen skog AB</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47171-2022</t>
        </is>
      </c>
      <c r="B1517" s="1" t="n">
        <v>44852</v>
      </c>
      <c r="C1517" s="1" t="n">
        <v>46185</v>
      </c>
      <c r="D1517" t="inlineStr">
        <is>
          <t>VÄSTERNORRLANDS LÄN</t>
        </is>
      </c>
      <c r="E1517" t="inlineStr">
        <is>
          <t>KRAMFORS</t>
        </is>
      </c>
      <c r="G1517" t="n">
        <v>7.9</v>
      </c>
      <c r="H1517" t="n">
        <v>0</v>
      </c>
      <c r="I1517" t="n">
        <v>0</v>
      </c>
      <c r="J1517" t="n">
        <v>0</v>
      </c>
      <c r="K1517" t="n">
        <v>0</v>
      </c>
      <c r="L1517" t="n">
        <v>0</v>
      </c>
      <c r="M1517" t="n">
        <v>0</v>
      </c>
      <c r="N1517" t="n">
        <v>0</v>
      </c>
      <c r="O1517" t="n">
        <v>0</v>
      </c>
      <c r="P1517" t="n">
        <v>0</v>
      </c>
      <c r="Q1517" t="n">
        <v>0</v>
      </c>
      <c r="R1517" s="2" t="inlineStr"/>
    </row>
    <row r="1518" ht="15" customHeight="1">
      <c r="A1518" t="inlineStr">
        <is>
          <t>A 16249-2022</t>
        </is>
      </c>
      <c r="B1518" s="1" t="n">
        <v>44670</v>
      </c>
      <c r="C1518" s="1" t="n">
        <v>46185</v>
      </c>
      <c r="D1518" t="inlineStr">
        <is>
          <t>VÄSTERNORRLANDS LÄN</t>
        </is>
      </c>
      <c r="E1518" t="inlineStr">
        <is>
          <t>ÖRNSKÖLDSVIK</t>
        </is>
      </c>
      <c r="F1518" t="inlineStr">
        <is>
          <t>Holmen skog AB</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46324-2022</t>
        </is>
      </c>
      <c r="B1519" s="1" t="n">
        <v>44847</v>
      </c>
      <c r="C1519" s="1" t="n">
        <v>46185</v>
      </c>
      <c r="D1519" t="inlineStr">
        <is>
          <t>VÄSTERNORRLANDS LÄN</t>
        </is>
      </c>
      <c r="E1519" t="inlineStr">
        <is>
          <t>SOLLEFTEÅ</t>
        </is>
      </c>
      <c r="F1519" t="inlineStr">
        <is>
          <t>SCA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46224-2022</t>
        </is>
      </c>
      <c r="B1520" s="1" t="n">
        <v>44847.59831018518</v>
      </c>
      <c r="C1520" s="1" t="n">
        <v>46185</v>
      </c>
      <c r="D1520" t="inlineStr">
        <is>
          <t>VÄSTERNORRLANDS LÄN</t>
        </is>
      </c>
      <c r="E1520" t="inlineStr">
        <is>
          <t>ÖRNSKÖLDSVIK</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32631-2022</t>
        </is>
      </c>
      <c r="B1521" s="1" t="n">
        <v>44783</v>
      </c>
      <c r="C1521" s="1" t="n">
        <v>46185</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12007-2022</t>
        </is>
      </c>
      <c r="B1522" s="1" t="n">
        <v>44635.925</v>
      </c>
      <c r="C1522" s="1" t="n">
        <v>46185</v>
      </c>
      <c r="D1522" t="inlineStr">
        <is>
          <t>VÄSTERNORRLANDS LÄN</t>
        </is>
      </c>
      <c r="E1522" t="inlineStr">
        <is>
          <t>SOLLEFTEÅ</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44322-2022</t>
        </is>
      </c>
      <c r="B1523" s="1" t="n">
        <v>44839.64940972222</v>
      </c>
      <c r="C1523" s="1" t="n">
        <v>46185</v>
      </c>
      <c r="D1523" t="inlineStr">
        <is>
          <t>VÄSTERNORRLANDS LÄN</t>
        </is>
      </c>
      <c r="E1523" t="inlineStr">
        <is>
          <t>ÖRNSKÖLDSVIK</t>
        </is>
      </c>
      <c r="F1523" t="inlineStr">
        <is>
          <t>Holmen skog AB</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47249-2022</t>
        </is>
      </c>
      <c r="B1524" s="1" t="n">
        <v>44852</v>
      </c>
      <c r="C1524" s="1" t="n">
        <v>46185</v>
      </c>
      <c r="D1524" t="inlineStr">
        <is>
          <t>VÄSTERNORRLANDS LÄN</t>
        </is>
      </c>
      <c r="E1524" t="inlineStr">
        <is>
          <t>SUNDSVALL</t>
        </is>
      </c>
      <c r="F1524" t="inlineStr">
        <is>
          <t>SCA</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63434-2021</t>
        </is>
      </c>
      <c r="B1525" s="1" t="n">
        <v>44508</v>
      </c>
      <c r="C1525" s="1" t="n">
        <v>46185</v>
      </c>
      <c r="D1525" t="inlineStr">
        <is>
          <t>VÄSTERNORRLANDS LÄN</t>
        </is>
      </c>
      <c r="E1525" t="inlineStr">
        <is>
          <t>KRAMFORS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63443-2021</t>
        </is>
      </c>
      <c r="B1526" s="1" t="n">
        <v>44508.58262731481</v>
      </c>
      <c r="C1526" s="1" t="n">
        <v>46185</v>
      </c>
      <c r="D1526" t="inlineStr">
        <is>
          <t>VÄSTERNORRLANDS LÄN</t>
        </is>
      </c>
      <c r="E1526" t="inlineStr">
        <is>
          <t>ÖRNSKÖLDSVIK</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63464-2021</t>
        </is>
      </c>
      <c r="B1527" s="1" t="n">
        <v>44504</v>
      </c>
      <c r="C1527" s="1" t="n">
        <v>46185</v>
      </c>
      <c r="D1527" t="inlineStr">
        <is>
          <t>VÄSTERNORRLANDS LÄN</t>
        </is>
      </c>
      <c r="E1527" t="inlineStr">
        <is>
          <t>SUNDSVALL</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47197-2022</t>
        </is>
      </c>
      <c r="B1528" s="1" t="n">
        <v>44851</v>
      </c>
      <c r="C1528" s="1" t="n">
        <v>46185</v>
      </c>
      <c r="D1528" t="inlineStr">
        <is>
          <t>VÄSTERNORRLANDS LÄN</t>
        </is>
      </c>
      <c r="E1528" t="inlineStr">
        <is>
          <t>SUNDSVALL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32536-2022</t>
        </is>
      </c>
      <c r="B1529" s="1" t="n">
        <v>44783.30246527777</v>
      </c>
      <c r="C1529" s="1" t="n">
        <v>46185</v>
      </c>
      <c r="D1529" t="inlineStr">
        <is>
          <t>VÄSTERNORRLANDS LÄN</t>
        </is>
      </c>
      <c r="E1529" t="inlineStr">
        <is>
          <t>ÅNGE</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68378-2021</t>
        </is>
      </c>
      <c r="B1530" s="1" t="n">
        <v>44529</v>
      </c>
      <c r="C1530" s="1" t="n">
        <v>46185</v>
      </c>
      <c r="D1530" t="inlineStr">
        <is>
          <t>VÄSTERNORRLANDS LÄN</t>
        </is>
      </c>
      <c r="E1530" t="inlineStr">
        <is>
          <t>ÖRNSKÖLDSVIK</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44610-2022</t>
        </is>
      </c>
      <c r="B1531" s="1" t="n">
        <v>44839</v>
      </c>
      <c r="C1531" s="1" t="n">
        <v>46185</v>
      </c>
      <c r="D1531" t="inlineStr">
        <is>
          <t>VÄSTERNORRLANDS LÄN</t>
        </is>
      </c>
      <c r="E1531" t="inlineStr">
        <is>
          <t>SUNDSVALL</t>
        </is>
      </c>
      <c r="G1531" t="n">
        <v>15.2</v>
      </c>
      <c r="H1531" t="n">
        <v>0</v>
      </c>
      <c r="I1531" t="n">
        <v>0</v>
      </c>
      <c r="J1531" t="n">
        <v>0</v>
      </c>
      <c r="K1531" t="n">
        <v>0</v>
      </c>
      <c r="L1531" t="n">
        <v>0</v>
      </c>
      <c r="M1531" t="n">
        <v>0</v>
      </c>
      <c r="N1531" t="n">
        <v>0</v>
      </c>
      <c r="O1531" t="n">
        <v>0</v>
      </c>
      <c r="P1531" t="n">
        <v>0</v>
      </c>
      <c r="Q1531" t="n">
        <v>0</v>
      </c>
      <c r="R1531" s="2" t="inlineStr"/>
    </row>
    <row r="1532" ht="15" customHeight="1">
      <c r="A1532" t="inlineStr">
        <is>
          <t>A 69000-2021</t>
        </is>
      </c>
      <c r="B1532" s="1" t="n">
        <v>44530</v>
      </c>
      <c r="C1532" s="1" t="n">
        <v>46185</v>
      </c>
      <c r="D1532" t="inlineStr">
        <is>
          <t>VÄSTERNORRLANDS LÄN</t>
        </is>
      </c>
      <c r="E1532" t="inlineStr">
        <is>
          <t>ÖRNSKÖLDSVIK</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43770-2022</t>
        </is>
      </c>
      <c r="B1533" s="1" t="n">
        <v>44837</v>
      </c>
      <c r="C1533" s="1" t="n">
        <v>46185</v>
      </c>
      <c r="D1533" t="inlineStr">
        <is>
          <t>VÄSTERNORRLANDS LÄN</t>
        </is>
      </c>
      <c r="E1533" t="inlineStr">
        <is>
          <t>SUNDSVALL</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39470-2022</t>
        </is>
      </c>
      <c r="B1534" s="1" t="n">
        <v>44818.40696759259</v>
      </c>
      <c r="C1534" s="1" t="n">
        <v>46185</v>
      </c>
      <c r="D1534" t="inlineStr">
        <is>
          <t>VÄSTERNORRLANDS LÄN</t>
        </is>
      </c>
      <c r="E1534" t="inlineStr">
        <is>
          <t>ÖRNSKÖLDSVIK</t>
        </is>
      </c>
      <c r="F1534" t="inlineStr">
        <is>
          <t>Holmen skog AB</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69786-2021</t>
        </is>
      </c>
      <c r="B1535" s="1" t="n">
        <v>44532</v>
      </c>
      <c r="C1535" s="1" t="n">
        <v>46185</v>
      </c>
      <c r="D1535" t="inlineStr">
        <is>
          <t>VÄSTERNORRLANDS LÄN</t>
        </is>
      </c>
      <c r="E1535" t="inlineStr">
        <is>
          <t>ÖRNSKÖLDSVIK</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39365-2022</t>
        </is>
      </c>
      <c r="B1536" s="1" t="n">
        <v>44817</v>
      </c>
      <c r="C1536" s="1" t="n">
        <v>46185</v>
      </c>
      <c r="D1536" t="inlineStr">
        <is>
          <t>VÄSTERNORRLANDS LÄN</t>
        </is>
      </c>
      <c r="E1536" t="inlineStr">
        <is>
          <t>KRAMFORS</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39366-2022</t>
        </is>
      </c>
      <c r="B1537" s="1" t="n">
        <v>44817.92686342593</v>
      </c>
      <c r="C1537" s="1" t="n">
        <v>46185</v>
      </c>
      <c r="D1537" t="inlineStr">
        <is>
          <t>VÄSTERNORRLANDS LÄN</t>
        </is>
      </c>
      <c r="E1537" t="inlineStr">
        <is>
          <t>KRAMFORS</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30495-2022</t>
        </is>
      </c>
      <c r="B1538" s="1" t="n">
        <v>44761.9424074074</v>
      </c>
      <c r="C1538" s="1" t="n">
        <v>46185</v>
      </c>
      <c r="D1538" t="inlineStr">
        <is>
          <t>VÄSTERNORRLANDS LÄN</t>
        </is>
      </c>
      <c r="E1538" t="inlineStr">
        <is>
          <t>ÅNGE</t>
        </is>
      </c>
      <c r="F1538" t="inlineStr">
        <is>
          <t>SCA</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30519-2022</t>
        </is>
      </c>
      <c r="B1539" s="1" t="n">
        <v>44762</v>
      </c>
      <c r="C1539" s="1" t="n">
        <v>46185</v>
      </c>
      <c r="D1539" t="inlineStr">
        <is>
          <t>VÄSTERNORRLANDS LÄN</t>
        </is>
      </c>
      <c r="E1539" t="inlineStr">
        <is>
          <t>KRAMFORS</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66159-2021</t>
        </is>
      </c>
      <c r="B1540" s="1" t="n">
        <v>44517</v>
      </c>
      <c r="C1540" s="1" t="n">
        <v>46185</v>
      </c>
      <c r="D1540" t="inlineStr">
        <is>
          <t>VÄSTERNORRLANDS LÄN</t>
        </is>
      </c>
      <c r="E1540" t="inlineStr">
        <is>
          <t>HÄRNÖSAND</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63701-2021</t>
        </is>
      </c>
      <c r="B1541" s="1" t="n">
        <v>44509.4091087963</v>
      </c>
      <c r="C1541" s="1" t="n">
        <v>46185</v>
      </c>
      <c r="D1541" t="inlineStr">
        <is>
          <t>VÄSTERNORRLANDS LÄN</t>
        </is>
      </c>
      <c r="E1541" t="inlineStr">
        <is>
          <t>KRAMFORS</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67474-2021</t>
        </is>
      </c>
      <c r="B1542" s="1" t="n">
        <v>44524</v>
      </c>
      <c r="C1542" s="1" t="n">
        <v>46185</v>
      </c>
      <c r="D1542" t="inlineStr">
        <is>
          <t>VÄSTERNORRLANDS LÄN</t>
        </is>
      </c>
      <c r="E1542" t="inlineStr">
        <is>
          <t>SUNDSVALL</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49438-2022</t>
        </is>
      </c>
      <c r="B1543" s="1" t="n">
        <v>44859</v>
      </c>
      <c r="C1543" s="1" t="n">
        <v>46185</v>
      </c>
      <c r="D1543" t="inlineStr">
        <is>
          <t>VÄSTERNORRLANDS LÄN</t>
        </is>
      </c>
      <c r="E1543" t="inlineStr">
        <is>
          <t>KRAMFORS</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47443-2022</t>
        </is>
      </c>
      <c r="B1544" s="1" t="n">
        <v>44853.59686342593</v>
      </c>
      <c r="C1544" s="1" t="n">
        <v>46185</v>
      </c>
      <c r="D1544" t="inlineStr">
        <is>
          <t>VÄSTERNORRLANDS LÄN</t>
        </is>
      </c>
      <c r="E1544" t="inlineStr">
        <is>
          <t>ÅNGE</t>
        </is>
      </c>
      <c r="F1544" t="inlineStr">
        <is>
          <t>Sveaskog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43124-2022</t>
        </is>
      </c>
      <c r="B1545" s="1" t="n">
        <v>44833.92898148148</v>
      </c>
      <c r="C1545" s="1" t="n">
        <v>46185</v>
      </c>
      <c r="D1545" t="inlineStr">
        <is>
          <t>VÄSTERNORRLANDS LÄN</t>
        </is>
      </c>
      <c r="E1545" t="inlineStr">
        <is>
          <t>SOLLEFTEÅ</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135-2022</t>
        </is>
      </c>
      <c r="B1546" s="1" t="n">
        <v>44564.57266203704</v>
      </c>
      <c r="C1546" s="1" t="n">
        <v>46185</v>
      </c>
      <c r="D1546" t="inlineStr">
        <is>
          <t>VÄSTERNORRLANDS LÄN</t>
        </is>
      </c>
      <c r="E1546" t="inlineStr">
        <is>
          <t>ÖRNSKÖLDSVIK</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33849-2021</t>
        </is>
      </c>
      <c r="B1547" s="1" t="n">
        <v>44378.60858796296</v>
      </c>
      <c r="C1547" s="1" t="n">
        <v>46185</v>
      </c>
      <c r="D1547" t="inlineStr">
        <is>
          <t>VÄSTERNORRLANDS LÄN</t>
        </is>
      </c>
      <c r="E1547" t="inlineStr">
        <is>
          <t>HÄRNÖSAND</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29829-2021</t>
        </is>
      </c>
      <c r="B1548" s="1" t="n">
        <v>44362</v>
      </c>
      <c r="C1548" s="1" t="n">
        <v>46185</v>
      </c>
      <c r="D1548" t="inlineStr">
        <is>
          <t>VÄSTERNORRLANDS LÄN</t>
        </is>
      </c>
      <c r="E1548" t="inlineStr">
        <is>
          <t>SOLLEFTEÅ</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31510-2021</t>
        </is>
      </c>
      <c r="B1549" s="1" t="n">
        <v>44369.45827546297</v>
      </c>
      <c r="C1549" s="1" t="n">
        <v>46185</v>
      </c>
      <c r="D1549" t="inlineStr">
        <is>
          <t>VÄSTERNORRLANDS LÄN</t>
        </is>
      </c>
      <c r="E1549" t="inlineStr">
        <is>
          <t>SUNDSVALL</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42881-2021</t>
        </is>
      </c>
      <c r="B1550" s="1" t="n">
        <v>44431.31181712963</v>
      </c>
      <c r="C1550" s="1" t="n">
        <v>46185</v>
      </c>
      <c r="D1550" t="inlineStr">
        <is>
          <t>VÄSTERNORRLANDS LÄN</t>
        </is>
      </c>
      <c r="E1550" t="inlineStr">
        <is>
          <t>ÅNGE</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25033-2022</t>
        </is>
      </c>
      <c r="B1551" s="1" t="n">
        <v>44728.94432870371</v>
      </c>
      <c r="C1551" s="1" t="n">
        <v>46185</v>
      </c>
      <c r="D1551" t="inlineStr">
        <is>
          <t>VÄSTERNORRLANDS LÄN</t>
        </is>
      </c>
      <c r="E1551" t="inlineStr">
        <is>
          <t>HÄRNÖSAND</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55273-2022</t>
        </is>
      </c>
      <c r="B1552" s="1" t="n">
        <v>44882</v>
      </c>
      <c r="C1552" s="1" t="n">
        <v>46185</v>
      </c>
      <c r="D1552" t="inlineStr">
        <is>
          <t>VÄSTERNORRLANDS LÄN</t>
        </is>
      </c>
      <c r="E1552" t="inlineStr">
        <is>
          <t>ÖRNSKÖLDSVIK</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30064-2021</t>
        </is>
      </c>
      <c r="B1553" s="1" t="n">
        <v>44363.48902777778</v>
      </c>
      <c r="C1553" s="1" t="n">
        <v>46185</v>
      </c>
      <c r="D1553" t="inlineStr">
        <is>
          <t>VÄSTERNORRLANDS LÄN</t>
        </is>
      </c>
      <c r="E1553" t="inlineStr">
        <is>
          <t>ÖRNSKÖLDSVIK</t>
        </is>
      </c>
      <c r="F1553" t="inlineStr">
        <is>
          <t>Holmen skog AB</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53807-2021</t>
        </is>
      </c>
      <c r="B1554" s="1" t="n">
        <v>44469</v>
      </c>
      <c r="C1554" s="1" t="n">
        <v>46185</v>
      </c>
      <c r="D1554" t="inlineStr">
        <is>
          <t>VÄSTERNORRLANDS LÄN</t>
        </is>
      </c>
      <c r="E1554" t="inlineStr">
        <is>
          <t>ÖRNSKÖLDSVIK</t>
        </is>
      </c>
      <c r="F1554" t="inlineStr">
        <is>
          <t>Holmen skog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59570-2021</t>
        </is>
      </c>
      <c r="B1555" s="1" t="n">
        <v>44491</v>
      </c>
      <c r="C1555" s="1" t="n">
        <v>46185</v>
      </c>
      <c r="D1555" t="inlineStr">
        <is>
          <t>VÄSTERNORRLANDS LÄN</t>
        </is>
      </c>
      <c r="E1555" t="inlineStr">
        <is>
          <t>TIMRÅ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54424-2021</t>
        </is>
      </c>
      <c r="B1556" s="1" t="n">
        <v>44473.43869212963</v>
      </c>
      <c r="C1556" s="1" t="n">
        <v>46185</v>
      </c>
      <c r="D1556" t="inlineStr">
        <is>
          <t>VÄSTERNORRLANDS LÄN</t>
        </is>
      </c>
      <c r="E1556" t="inlineStr">
        <is>
          <t>ÖRNSKÖLDSVIK</t>
        </is>
      </c>
      <c r="F1556" t="inlineStr">
        <is>
          <t>Holmen skog AB</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66872-2021</t>
        </is>
      </c>
      <c r="B1557" s="1" t="n">
        <v>44522</v>
      </c>
      <c r="C1557" s="1" t="n">
        <v>46185</v>
      </c>
      <c r="D1557" t="inlineStr">
        <is>
          <t>VÄSTERNORRLANDS LÄN</t>
        </is>
      </c>
      <c r="E1557" t="inlineStr">
        <is>
          <t>SUNDSVALL</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67065-2021</t>
        </is>
      </c>
      <c r="B1558" s="1" t="n">
        <v>44522.92057870371</v>
      </c>
      <c r="C1558" s="1" t="n">
        <v>46185</v>
      </c>
      <c r="D1558" t="inlineStr">
        <is>
          <t>VÄSTERNORRLANDS LÄN</t>
        </is>
      </c>
      <c r="E1558" t="inlineStr">
        <is>
          <t>TIMRÅ</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57533-2021</t>
        </is>
      </c>
      <c r="B1559" s="1" t="n">
        <v>44483.92024305555</v>
      </c>
      <c r="C1559" s="1" t="n">
        <v>46185</v>
      </c>
      <c r="D1559" t="inlineStr">
        <is>
          <t>VÄSTERNORRLANDS LÄN</t>
        </is>
      </c>
      <c r="E1559" t="inlineStr">
        <is>
          <t>SUNDSVALL</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29904-2022</t>
        </is>
      </c>
      <c r="B1560" s="1" t="n">
        <v>44756.50890046296</v>
      </c>
      <c r="C1560" s="1" t="n">
        <v>46185</v>
      </c>
      <c r="D1560" t="inlineStr">
        <is>
          <t>VÄSTERNORRLANDS LÄN</t>
        </is>
      </c>
      <c r="E1560" t="inlineStr">
        <is>
          <t>ÖRNSKÖLDSVIK</t>
        </is>
      </c>
      <c r="F1560" t="inlineStr">
        <is>
          <t>Holmen skog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51442-2021</t>
        </is>
      </c>
      <c r="B1561" s="1" t="n">
        <v>44461.94450231481</v>
      </c>
      <c r="C1561" s="1" t="n">
        <v>46185</v>
      </c>
      <c r="D1561" t="inlineStr">
        <is>
          <t>VÄSTERNORRLANDS LÄN</t>
        </is>
      </c>
      <c r="E1561" t="inlineStr">
        <is>
          <t>SOLLEFTEÅ</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51443-2021</t>
        </is>
      </c>
      <c r="B1562" s="1" t="n">
        <v>44461</v>
      </c>
      <c r="C1562" s="1" t="n">
        <v>46185</v>
      </c>
      <c r="D1562" t="inlineStr">
        <is>
          <t>VÄSTERNORRLANDS LÄN</t>
        </is>
      </c>
      <c r="E1562" t="inlineStr">
        <is>
          <t>SOLLEFTEÅ</t>
        </is>
      </c>
      <c r="F1562" t="inlineStr">
        <is>
          <t>SCA</t>
        </is>
      </c>
      <c r="G1562" t="n">
        <v>6.7</v>
      </c>
      <c r="H1562" t="n">
        <v>0</v>
      </c>
      <c r="I1562" t="n">
        <v>0</v>
      </c>
      <c r="J1562" t="n">
        <v>0</v>
      </c>
      <c r="K1562" t="n">
        <v>0</v>
      </c>
      <c r="L1562" t="n">
        <v>0</v>
      </c>
      <c r="M1562" t="n">
        <v>0</v>
      </c>
      <c r="N1562" t="n">
        <v>0</v>
      </c>
      <c r="O1562" t="n">
        <v>0</v>
      </c>
      <c r="P1562" t="n">
        <v>0</v>
      </c>
      <c r="Q1562" t="n">
        <v>0</v>
      </c>
      <c r="R1562" s="2" t="inlineStr"/>
    </row>
    <row r="1563" ht="15" customHeight="1">
      <c r="A1563" t="inlineStr">
        <is>
          <t>A 71074-2021</t>
        </is>
      </c>
      <c r="B1563" s="1" t="n">
        <v>44538.94474537037</v>
      </c>
      <c r="C1563" s="1" t="n">
        <v>46185</v>
      </c>
      <c r="D1563" t="inlineStr">
        <is>
          <t>VÄSTERNORRLANDS LÄN</t>
        </is>
      </c>
      <c r="E1563" t="inlineStr">
        <is>
          <t>ÖRNSKÖLDSVIK</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51952-2021</t>
        </is>
      </c>
      <c r="B1564" s="1" t="n">
        <v>44462.95631944444</v>
      </c>
      <c r="C1564" s="1" t="n">
        <v>46185</v>
      </c>
      <c r="D1564" t="inlineStr">
        <is>
          <t>VÄSTERNORRLANDS LÄN</t>
        </is>
      </c>
      <c r="E1564" t="inlineStr">
        <is>
          <t>SOLLEFTEÅ</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18013-2022</t>
        </is>
      </c>
      <c r="B1565" s="1" t="n">
        <v>44683.94355324074</v>
      </c>
      <c r="C1565" s="1" t="n">
        <v>46185</v>
      </c>
      <c r="D1565" t="inlineStr">
        <is>
          <t>VÄSTERNORRLANDS LÄN</t>
        </is>
      </c>
      <c r="E1565" t="inlineStr">
        <is>
          <t>SOLLEFTEÅ</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21404-2022</t>
        </is>
      </c>
      <c r="B1566" s="1" t="n">
        <v>44705.94037037037</v>
      </c>
      <c r="C1566" s="1" t="n">
        <v>46185</v>
      </c>
      <c r="D1566" t="inlineStr">
        <is>
          <t>VÄSTERNORRLANDS LÄN</t>
        </is>
      </c>
      <c r="E1566" t="inlineStr">
        <is>
          <t>SOLLEFTEÅ</t>
        </is>
      </c>
      <c r="F1566" t="inlineStr">
        <is>
          <t>SCA</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52250-2021</t>
        </is>
      </c>
      <c r="B1567" s="1" t="n">
        <v>44463.61827546296</v>
      </c>
      <c r="C1567" s="1" t="n">
        <v>46185</v>
      </c>
      <c r="D1567" t="inlineStr">
        <is>
          <t>VÄSTERNORRLANDS LÄN</t>
        </is>
      </c>
      <c r="E1567" t="inlineStr">
        <is>
          <t>ÖRNSKÖLDSVIK</t>
        </is>
      </c>
      <c r="F1567" t="inlineStr">
        <is>
          <t>Holmen skog AB</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57856-2021</t>
        </is>
      </c>
      <c r="B1568" s="1" t="n">
        <v>44484.98627314815</v>
      </c>
      <c r="C1568" s="1" t="n">
        <v>46185</v>
      </c>
      <c r="D1568" t="inlineStr">
        <is>
          <t>VÄSTERNORRLANDS LÄN</t>
        </is>
      </c>
      <c r="E1568" t="inlineStr">
        <is>
          <t>SOLLEFTEÅ</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39723-2021</t>
        </is>
      </c>
      <c r="B1569" s="1" t="n">
        <v>44417.47886574074</v>
      </c>
      <c r="C1569" s="1" t="n">
        <v>46185</v>
      </c>
      <c r="D1569" t="inlineStr">
        <is>
          <t>VÄSTERNORRLANDS LÄN</t>
        </is>
      </c>
      <c r="E1569" t="inlineStr">
        <is>
          <t>ÅNGE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48705-2021</t>
        </is>
      </c>
      <c r="B1570" s="1" t="n">
        <v>44452</v>
      </c>
      <c r="C1570" s="1" t="n">
        <v>46185</v>
      </c>
      <c r="D1570" t="inlineStr">
        <is>
          <t>VÄSTERNORRLANDS LÄN</t>
        </is>
      </c>
      <c r="E1570" t="inlineStr">
        <is>
          <t>SUNDSVALL</t>
        </is>
      </c>
      <c r="G1570" t="n">
        <v>0.1</v>
      </c>
      <c r="H1570" t="n">
        <v>0</v>
      </c>
      <c r="I1570" t="n">
        <v>0</v>
      </c>
      <c r="J1570" t="n">
        <v>0</v>
      </c>
      <c r="K1570" t="n">
        <v>0</v>
      </c>
      <c r="L1570" t="n">
        <v>0</v>
      </c>
      <c r="M1570" t="n">
        <v>0</v>
      </c>
      <c r="N1570" t="n">
        <v>0</v>
      </c>
      <c r="O1570" t="n">
        <v>0</v>
      </c>
      <c r="P1570" t="n">
        <v>0</v>
      </c>
      <c r="Q1570" t="n">
        <v>0</v>
      </c>
      <c r="R1570" s="2" t="inlineStr"/>
    </row>
    <row r="1571" ht="15" customHeight="1">
      <c r="A1571" t="inlineStr">
        <is>
          <t>A 48897-2021</t>
        </is>
      </c>
      <c r="B1571" s="1" t="n">
        <v>44452</v>
      </c>
      <c r="C1571" s="1" t="n">
        <v>46185</v>
      </c>
      <c r="D1571" t="inlineStr">
        <is>
          <t>VÄSTERNORRLANDS LÄN</t>
        </is>
      </c>
      <c r="E1571" t="inlineStr">
        <is>
          <t>KRAMFORS</t>
        </is>
      </c>
      <c r="G1571" t="n">
        <v>18.3</v>
      </c>
      <c r="H1571" t="n">
        <v>0</v>
      </c>
      <c r="I1571" t="n">
        <v>0</v>
      </c>
      <c r="J1571" t="n">
        <v>0</v>
      </c>
      <c r="K1571" t="n">
        <v>0</v>
      </c>
      <c r="L1571" t="n">
        <v>0</v>
      </c>
      <c r="M1571" t="n">
        <v>0</v>
      </c>
      <c r="N1571" t="n">
        <v>0</v>
      </c>
      <c r="O1571" t="n">
        <v>0</v>
      </c>
      <c r="P1571" t="n">
        <v>0</v>
      </c>
      <c r="Q1571" t="n">
        <v>0</v>
      </c>
      <c r="R1571" s="2" t="inlineStr"/>
    </row>
    <row r="1572" ht="15" customHeight="1">
      <c r="A1572" t="inlineStr">
        <is>
          <t>A 30501-2021</t>
        </is>
      </c>
      <c r="B1572" s="1" t="n">
        <v>44364.63420138889</v>
      </c>
      <c r="C1572" s="1" t="n">
        <v>46185</v>
      </c>
      <c r="D1572" t="inlineStr">
        <is>
          <t>VÄSTERNORRLANDS LÄN</t>
        </is>
      </c>
      <c r="E1572" t="inlineStr">
        <is>
          <t>ÖRNSKÖLDSVIK</t>
        </is>
      </c>
      <c r="F1572" t="inlineStr">
        <is>
          <t>Holmen skog AB</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64939-2021</t>
        </is>
      </c>
      <c r="B1573" s="1" t="n">
        <v>44512</v>
      </c>
      <c r="C1573" s="1" t="n">
        <v>46185</v>
      </c>
      <c r="D1573" t="inlineStr">
        <is>
          <t>VÄSTERNORRLANDS LÄN</t>
        </is>
      </c>
      <c r="E1573" t="inlineStr">
        <is>
          <t>SOLLEFTEÅ</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41192-2022</t>
        </is>
      </c>
      <c r="B1574" s="1" t="n">
        <v>44825.94971064815</v>
      </c>
      <c r="C1574" s="1" t="n">
        <v>46185</v>
      </c>
      <c r="D1574" t="inlineStr">
        <is>
          <t>VÄSTERNORRLANDS LÄN</t>
        </is>
      </c>
      <c r="E1574" t="inlineStr">
        <is>
          <t>SOLLEFTEÅ</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41195-2022</t>
        </is>
      </c>
      <c r="B1575" s="1" t="n">
        <v>44825.94988425926</v>
      </c>
      <c r="C1575" s="1" t="n">
        <v>46185</v>
      </c>
      <c r="D1575" t="inlineStr">
        <is>
          <t>VÄSTERNORRLANDS LÄN</t>
        </is>
      </c>
      <c r="E1575" t="inlineStr">
        <is>
          <t>SOLLEFTEÅ</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56008-2021</t>
        </is>
      </c>
      <c r="B1576" s="1" t="n">
        <v>44477.43844907408</v>
      </c>
      <c r="C1576" s="1" t="n">
        <v>46185</v>
      </c>
      <c r="D1576" t="inlineStr">
        <is>
          <t>VÄSTERNORRLANDS LÄN</t>
        </is>
      </c>
      <c r="E1576" t="inlineStr">
        <is>
          <t>HÄRNÖSAND</t>
        </is>
      </c>
      <c r="G1576" t="n">
        <v>10.7</v>
      </c>
      <c r="H1576" t="n">
        <v>0</v>
      </c>
      <c r="I1576" t="n">
        <v>0</v>
      </c>
      <c r="J1576" t="n">
        <v>0</v>
      </c>
      <c r="K1576" t="n">
        <v>0</v>
      </c>
      <c r="L1576" t="n">
        <v>0</v>
      </c>
      <c r="M1576" t="n">
        <v>0</v>
      </c>
      <c r="N1576" t="n">
        <v>0</v>
      </c>
      <c r="O1576" t="n">
        <v>0</v>
      </c>
      <c r="P1576" t="n">
        <v>0</v>
      </c>
      <c r="Q1576" t="n">
        <v>0</v>
      </c>
      <c r="R1576" s="2" t="inlineStr"/>
    </row>
    <row r="1577" ht="15" customHeight="1">
      <c r="A1577" t="inlineStr">
        <is>
          <t>A 45320-2022</t>
        </is>
      </c>
      <c r="B1577" s="1" t="n">
        <v>44844.58571759259</v>
      </c>
      <c r="C1577" s="1" t="n">
        <v>46185</v>
      </c>
      <c r="D1577" t="inlineStr">
        <is>
          <t>VÄSTERNORRLANDS LÄN</t>
        </is>
      </c>
      <c r="E1577" t="inlineStr">
        <is>
          <t>ÖRNSKÖLDSVIK</t>
        </is>
      </c>
      <c r="F1577" t="inlineStr">
        <is>
          <t>Holmen skog AB</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36694-2022</t>
        </is>
      </c>
      <c r="B1578" s="1" t="n">
        <v>44804.94784722223</v>
      </c>
      <c r="C1578" s="1" t="n">
        <v>46185</v>
      </c>
      <c r="D1578" t="inlineStr">
        <is>
          <t>VÄSTERNORRLANDS LÄN</t>
        </is>
      </c>
      <c r="E1578" t="inlineStr">
        <is>
          <t>SUNDSVALL</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29844-2021</t>
        </is>
      </c>
      <c r="B1579" s="1" t="n">
        <v>44362</v>
      </c>
      <c r="C1579" s="1" t="n">
        <v>46185</v>
      </c>
      <c r="D1579" t="inlineStr">
        <is>
          <t>VÄSTERNORRLANDS LÄN</t>
        </is>
      </c>
      <c r="E1579" t="inlineStr">
        <is>
          <t>ÖRNSKÖLDSVIK</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25339-2022</t>
        </is>
      </c>
      <c r="B1580" s="1" t="n">
        <v>44731.9378125</v>
      </c>
      <c r="C1580" s="1" t="n">
        <v>46185</v>
      </c>
      <c r="D1580" t="inlineStr">
        <is>
          <t>VÄSTERNORRLANDS LÄN</t>
        </is>
      </c>
      <c r="E1580" t="inlineStr">
        <is>
          <t>SOLLEFTEÅ</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34267-2022</t>
        </is>
      </c>
      <c r="B1581" s="1" t="n">
        <v>44791.9455787037</v>
      </c>
      <c r="C1581" s="1" t="n">
        <v>46185</v>
      </c>
      <c r="D1581" t="inlineStr">
        <is>
          <t>VÄSTERNORRLANDS LÄN</t>
        </is>
      </c>
      <c r="E1581" t="inlineStr">
        <is>
          <t>SOLLEFTEÅ</t>
        </is>
      </c>
      <c r="F1581" t="inlineStr">
        <is>
          <t>SCA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58442-2021</t>
        </is>
      </c>
      <c r="B1582" s="1" t="n">
        <v>44488</v>
      </c>
      <c r="C1582" s="1" t="n">
        <v>46185</v>
      </c>
      <c r="D1582" t="inlineStr">
        <is>
          <t>VÄSTERNORRLANDS LÄN</t>
        </is>
      </c>
      <c r="E1582" t="inlineStr">
        <is>
          <t>ÖRNSKÖLDSVIK</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58942-2021</t>
        </is>
      </c>
      <c r="B1583" s="1" t="n">
        <v>44489.9221875</v>
      </c>
      <c r="C1583" s="1" t="n">
        <v>46185</v>
      </c>
      <c r="D1583" t="inlineStr">
        <is>
          <t>VÄSTERNORRLANDS LÄN</t>
        </is>
      </c>
      <c r="E1583" t="inlineStr">
        <is>
          <t>ÅNGE</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44799-2022</t>
        </is>
      </c>
      <c r="B1584" s="1" t="n">
        <v>44841.37050925926</v>
      </c>
      <c r="C1584" s="1" t="n">
        <v>46185</v>
      </c>
      <c r="D1584" t="inlineStr">
        <is>
          <t>VÄSTERNORRLANDS LÄN</t>
        </is>
      </c>
      <c r="E1584" t="inlineStr">
        <is>
          <t>ÖRNSKÖLDSVIK</t>
        </is>
      </c>
      <c r="F1584" t="inlineStr">
        <is>
          <t>Holmen skog AB</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45248-2022</t>
        </is>
      </c>
      <c r="B1585" s="1" t="n">
        <v>44844</v>
      </c>
      <c r="C1585" s="1" t="n">
        <v>46185</v>
      </c>
      <c r="D1585" t="inlineStr">
        <is>
          <t>VÄSTERNORRLANDS LÄN</t>
        </is>
      </c>
      <c r="E1585" t="inlineStr">
        <is>
          <t>ÖRNSKÖLDSVIK</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45254-2022</t>
        </is>
      </c>
      <c r="B1586" s="1" t="n">
        <v>44844</v>
      </c>
      <c r="C1586" s="1" t="n">
        <v>46185</v>
      </c>
      <c r="D1586" t="inlineStr">
        <is>
          <t>VÄSTERNORRLANDS LÄN</t>
        </is>
      </c>
      <c r="E1586" t="inlineStr">
        <is>
          <t>ÖRNSKÖLDSVIK</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71651-2021</t>
        </is>
      </c>
      <c r="B1587" s="1" t="n">
        <v>44538</v>
      </c>
      <c r="C1587" s="1" t="n">
        <v>46185</v>
      </c>
      <c r="D1587" t="inlineStr">
        <is>
          <t>VÄSTERNORRLANDS LÄN</t>
        </is>
      </c>
      <c r="E1587" t="inlineStr">
        <is>
          <t>ÅNGE</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29468-2021</t>
        </is>
      </c>
      <c r="B1588" s="1" t="n">
        <v>44361</v>
      </c>
      <c r="C1588" s="1" t="n">
        <v>46185</v>
      </c>
      <c r="D1588" t="inlineStr">
        <is>
          <t>VÄSTERNORRLANDS LÄN</t>
        </is>
      </c>
      <c r="E1588" t="inlineStr">
        <is>
          <t>SUNDSVALL</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29576-2021</t>
        </is>
      </c>
      <c r="B1589" s="1" t="n">
        <v>44361</v>
      </c>
      <c r="C1589" s="1" t="n">
        <v>46185</v>
      </c>
      <c r="D1589" t="inlineStr">
        <is>
          <t>VÄSTERNORRLANDS LÄN</t>
        </is>
      </c>
      <c r="E1589" t="inlineStr">
        <is>
          <t>SUNDSVALL</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32183-2021</t>
        </is>
      </c>
      <c r="B1590" s="1" t="n">
        <v>44371</v>
      </c>
      <c r="C1590" s="1" t="n">
        <v>46185</v>
      </c>
      <c r="D1590" t="inlineStr">
        <is>
          <t>VÄSTERNORRLANDS LÄN</t>
        </is>
      </c>
      <c r="E1590" t="inlineStr">
        <is>
          <t>SUNDSVALL</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32210-2021</t>
        </is>
      </c>
      <c r="B1591" s="1" t="n">
        <v>44371</v>
      </c>
      <c r="C1591" s="1" t="n">
        <v>46185</v>
      </c>
      <c r="D1591" t="inlineStr">
        <is>
          <t>VÄSTERNORRLANDS LÄN</t>
        </is>
      </c>
      <c r="E1591" t="inlineStr">
        <is>
          <t>TIMRÅ</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39500-2022</t>
        </is>
      </c>
      <c r="B1592" s="1" t="n">
        <v>44818</v>
      </c>
      <c r="C1592" s="1" t="n">
        <v>46185</v>
      </c>
      <c r="D1592" t="inlineStr">
        <is>
          <t>VÄSTERNORRLANDS LÄN</t>
        </is>
      </c>
      <c r="E1592" t="inlineStr">
        <is>
          <t>ÖRNSKÖLDSVIK</t>
        </is>
      </c>
      <c r="F1592" t="inlineStr">
        <is>
          <t>Holmen skog AB</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62080-2021</t>
        </is>
      </c>
      <c r="B1593" s="1" t="n">
        <v>44502</v>
      </c>
      <c r="C1593" s="1" t="n">
        <v>46185</v>
      </c>
      <c r="D1593" t="inlineStr">
        <is>
          <t>VÄSTERNORRLANDS LÄN</t>
        </is>
      </c>
      <c r="E1593" t="inlineStr">
        <is>
          <t>SUNDSVALL</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32285-2021</t>
        </is>
      </c>
      <c r="B1594" s="1" t="n">
        <v>44371</v>
      </c>
      <c r="C1594" s="1" t="n">
        <v>46185</v>
      </c>
      <c r="D1594" t="inlineStr">
        <is>
          <t>VÄSTERNORRLANDS LÄN</t>
        </is>
      </c>
      <c r="E1594" t="inlineStr">
        <is>
          <t>SUNDSVALL</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41847-2022</t>
        </is>
      </c>
      <c r="B1595" s="1" t="n">
        <v>44828</v>
      </c>
      <c r="C1595" s="1" t="n">
        <v>46185</v>
      </c>
      <c r="D1595" t="inlineStr">
        <is>
          <t>VÄSTERNORRLANDS LÄN</t>
        </is>
      </c>
      <c r="E1595" t="inlineStr">
        <is>
          <t>ÖRNSKÖLDSVIK</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41800-2022</t>
        </is>
      </c>
      <c r="B1596" s="1" t="n">
        <v>44827.9250462963</v>
      </c>
      <c r="C1596" s="1" t="n">
        <v>46185</v>
      </c>
      <c r="D1596" t="inlineStr">
        <is>
          <t>VÄSTERNORRLANDS LÄN</t>
        </is>
      </c>
      <c r="E1596" t="inlineStr">
        <is>
          <t>SUNDSVALL</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41469-2021</t>
        </is>
      </c>
      <c r="B1597" s="1" t="n">
        <v>44424</v>
      </c>
      <c r="C1597" s="1" t="n">
        <v>46185</v>
      </c>
      <c r="D1597" t="inlineStr">
        <is>
          <t>VÄSTERNORRLANDS LÄN</t>
        </is>
      </c>
      <c r="E1597" t="inlineStr">
        <is>
          <t>SUNDSVALL</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32287-2021</t>
        </is>
      </c>
      <c r="B1598" s="1" t="n">
        <v>44371</v>
      </c>
      <c r="C1598" s="1" t="n">
        <v>46185</v>
      </c>
      <c r="D1598" t="inlineStr">
        <is>
          <t>VÄSTERNORRLANDS LÄN</t>
        </is>
      </c>
      <c r="E1598" t="inlineStr">
        <is>
          <t>TIMRÅ</t>
        </is>
      </c>
      <c r="F1598" t="inlineStr">
        <is>
          <t>Kyrkan</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39821-2021</t>
        </is>
      </c>
      <c r="B1599" s="1" t="n">
        <v>44417</v>
      </c>
      <c r="C1599" s="1" t="n">
        <v>46185</v>
      </c>
      <c r="D1599" t="inlineStr">
        <is>
          <t>VÄSTERNORRLANDS LÄN</t>
        </is>
      </c>
      <c r="E1599" t="inlineStr">
        <is>
          <t>TIMRÅ</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30345-2021</t>
        </is>
      </c>
      <c r="B1600" s="1" t="n">
        <v>44364</v>
      </c>
      <c r="C1600" s="1" t="n">
        <v>46185</v>
      </c>
      <c r="D1600" t="inlineStr">
        <is>
          <t>VÄSTERNORRLANDS LÄN</t>
        </is>
      </c>
      <c r="E1600" t="inlineStr">
        <is>
          <t>ÅNGE</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72519-2021</t>
        </is>
      </c>
      <c r="B1601" s="1" t="n">
        <v>44546.34795138889</v>
      </c>
      <c r="C1601" s="1" t="n">
        <v>46185</v>
      </c>
      <c r="D1601" t="inlineStr">
        <is>
          <t>VÄSTERNORRLANDS LÄN</t>
        </is>
      </c>
      <c r="E1601" t="inlineStr">
        <is>
          <t>ÖRNSKÖLDSVIK</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36136-2021</t>
        </is>
      </c>
      <c r="B1602" s="1" t="n">
        <v>44386</v>
      </c>
      <c r="C1602" s="1" t="n">
        <v>46185</v>
      </c>
      <c r="D1602" t="inlineStr">
        <is>
          <t>VÄSTERNORRLANDS LÄN</t>
        </is>
      </c>
      <c r="E1602" t="inlineStr">
        <is>
          <t>HÄRNÖSAND</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42363-2022</t>
        </is>
      </c>
      <c r="B1603" s="1" t="n">
        <v>44831</v>
      </c>
      <c r="C1603" s="1" t="n">
        <v>46185</v>
      </c>
      <c r="D1603" t="inlineStr">
        <is>
          <t>VÄSTERNORRLANDS LÄN</t>
        </is>
      </c>
      <c r="E1603" t="inlineStr">
        <is>
          <t>ÖRNSKÖLDSVIK</t>
        </is>
      </c>
      <c r="F1603" t="inlineStr">
        <is>
          <t>Holmen skog AB</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46865-2021</t>
        </is>
      </c>
      <c r="B1604" s="1" t="n">
        <v>44446.39883101852</v>
      </c>
      <c r="C1604" s="1" t="n">
        <v>46185</v>
      </c>
      <c r="D1604" t="inlineStr">
        <is>
          <t>VÄSTERNORRLANDS LÄN</t>
        </is>
      </c>
      <c r="E1604" t="inlineStr">
        <is>
          <t>ÅNGE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2852-2022</t>
        </is>
      </c>
      <c r="B1605" s="1" t="n">
        <v>44581</v>
      </c>
      <c r="C1605" s="1" t="n">
        <v>46185</v>
      </c>
      <c r="D1605" t="inlineStr">
        <is>
          <t>VÄSTERNORRLANDS LÄN</t>
        </is>
      </c>
      <c r="E1605" t="inlineStr">
        <is>
          <t>KRAMFORS</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44771-2021</t>
        </is>
      </c>
      <c r="B1606" s="1" t="n">
        <v>44438</v>
      </c>
      <c r="C1606" s="1" t="n">
        <v>46185</v>
      </c>
      <c r="D1606" t="inlineStr">
        <is>
          <t>VÄSTERNORRLANDS LÄN</t>
        </is>
      </c>
      <c r="E1606" t="inlineStr">
        <is>
          <t>HÄRNÖSAND</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43293-2021</t>
        </is>
      </c>
      <c r="B1607" s="1" t="n">
        <v>44432</v>
      </c>
      <c r="C1607" s="1" t="n">
        <v>46185</v>
      </c>
      <c r="D1607" t="inlineStr">
        <is>
          <t>VÄSTERNORRLANDS LÄN</t>
        </is>
      </c>
      <c r="E1607" t="inlineStr">
        <is>
          <t>KRAMFORS</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71357-2021</t>
        </is>
      </c>
      <c r="B1608" s="1" t="n">
        <v>44539.92232638889</v>
      </c>
      <c r="C1608" s="1" t="n">
        <v>46185</v>
      </c>
      <c r="D1608" t="inlineStr">
        <is>
          <t>VÄSTERNORRLANDS LÄN</t>
        </is>
      </c>
      <c r="E1608" t="inlineStr">
        <is>
          <t>ÅNGE</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56334-2021</t>
        </is>
      </c>
      <c r="B1609" s="1" t="n">
        <v>44480</v>
      </c>
      <c r="C1609" s="1" t="n">
        <v>46185</v>
      </c>
      <c r="D1609" t="inlineStr">
        <is>
          <t>VÄSTERNORRLANDS LÄN</t>
        </is>
      </c>
      <c r="E1609" t="inlineStr">
        <is>
          <t>ÖRNSKÖLDSVIK</t>
        </is>
      </c>
      <c r="F1609" t="inlineStr">
        <is>
          <t>Holmen skog AB</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37010-2021</t>
        </is>
      </c>
      <c r="B1610" s="1" t="n">
        <v>44393</v>
      </c>
      <c r="C1610" s="1" t="n">
        <v>46185</v>
      </c>
      <c r="D1610" t="inlineStr">
        <is>
          <t>VÄSTERNORRLANDS LÄN</t>
        </is>
      </c>
      <c r="E1610" t="inlineStr">
        <is>
          <t>ÅNGE</t>
        </is>
      </c>
      <c r="F1610" t="inlineStr">
        <is>
          <t>Kyrkan</t>
        </is>
      </c>
      <c r="G1610" t="n">
        <v>16.8</v>
      </c>
      <c r="H1610" t="n">
        <v>0</v>
      </c>
      <c r="I1610" t="n">
        <v>0</v>
      </c>
      <c r="J1610" t="n">
        <v>0</v>
      </c>
      <c r="K1610" t="n">
        <v>0</v>
      </c>
      <c r="L1610" t="n">
        <v>0</v>
      </c>
      <c r="M1610" t="n">
        <v>0</v>
      </c>
      <c r="N1610" t="n">
        <v>0</v>
      </c>
      <c r="O1610" t="n">
        <v>0</v>
      </c>
      <c r="P1610" t="n">
        <v>0</v>
      </c>
      <c r="Q1610" t="n">
        <v>0</v>
      </c>
      <c r="R1610" s="2" t="inlineStr"/>
    </row>
    <row r="1611" ht="15" customHeight="1">
      <c r="A1611" t="inlineStr">
        <is>
          <t>A 72977-2021</t>
        </is>
      </c>
      <c r="B1611" s="1" t="n">
        <v>44548</v>
      </c>
      <c r="C1611" s="1" t="n">
        <v>46185</v>
      </c>
      <c r="D1611" t="inlineStr">
        <is>
          <t>VÄSTERNORRLANDS LÄN</t>
        </is>
      </c>
      <c r="E1611" t="inlineStr">
        <is>
          <t>SOLLEFTEÅ</t>
        </is>
      </c>
      <c r="F1611" t="inlineStr">
        <is>
          <t>SCA</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43199-2021</t>
        </is>
      </c>
      <c r="B1612" s="1" t="n">
        <v>44431.91931712963</v>
      </c>
      <c r="C1612" s="1" t="n">
        <v>46185</v>
      </c>
      <c r="D1612" t="inlineStr">
        <is>
          <t>VÄSTERNORRLANDS LÄN</t>
        </is>
      </c>
      <c r="E1612" t="inlineStr">
        <is>
          <t>SUNDSVALL</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65829-2021</t>
        </is>
      </c>
      <c r="B1613" s="1" t="n">
        <v>44516</v>
      </c>
      <c r="C1613" s="1" t="n">
        <v>46185</v>
      </c>
      <c r="D1613" t="inlineStr">
        <is>
          <t>VÄSTERNORRLANDS LÄN</t>
        </is>
      </c>
      <c r="E1613" t="inlineStr">
        <is>
          <t>KRAMFORS</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62288-2021</t>
        </is>
      </c>
      <c r="B1614" s="1" t="n">
        <v>44503</v>
      </c>
      <c r="C1614" s="1" t="n">
        <v>46185</v>
      </c>
      <c r="D1614" t="inlineStr">
        <is>
          <t>VÄSTERNORRLANDS LÄN</t>
        </is>
      </c>
      <c r="E1614" t="inlineStr">
        <is>
          <t>ÖRNSKÖLDSVIK</t>
        </is>
      </c>
      <c r="F1614" t="inlineStr">
        <is>
          <t>Holmen skog AB</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6115-2022</t>
        </is>
      </c>
      <c r="B1615" s="1" t="n">
        <v>44599</v>
      </c>
      <c r="C1615" s="1" t="n">
        <v>46185</v>
      </c>
      <c r="D1615" t="inlineStr">
        <is>
          <t>VÄSTERNORRLANDS LÄN</t>
        </is>
      </c>
      <c r="E1615" t="inlineStr">
        <is>
          <t>ÅNGE</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6121-2022</t>
        </is>
      </c>
      <c r="B1616" s="1" t="n">
        <v>44599</v>
      </c>
      <c r="C1616" s="1" t="n">
        <v>46185</v>
      </c>
      <c r="D1616" t="inlineStr">
        <is>
          <t>VÄSTERNORRLANDS LÄN</t>
        </is>
      </c>
      <c r="E1616" t="inlineStr">
        <is>
          <t>SOLLEFTEÅ</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49137-2021</t>
        </is>
      </c>
      <c r="B1617" s="1" t="n">
        <v>44453</v>
      </c>
      <c r="C1617" s="1" t="n">
        <v>46185</v>
      </c>
      <c r="D1617" t="inlineStr">
        <is>
          <t>VÄSTERNORRLANDS LÄN</t>
        </is>
      </c>
      <c r="E1617" t="inlineStr">
        <is>
          <t>ÅNGE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37805-2021</t>
        </is>
      </c>
      <c r="B1618" s="1" t="n">
        <v>44402.41153935185</v>
      </c>
      <c r="C1618" s="1" t="n">
        <v>46185</v>
      </c>
      <c r="D1618" t="inlineStr">
        <is>
          <t>VÄSTERNORRLANDS LÄN</t>
        </is>
      </c>
      <c r="E1618" t="inlineStr">
        <is>
          <t>HÄRNÖSAND</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55584-2021</t>
        </is>
      </c>
      <c r="B1619" s="1" t="n">
        <v>44475.87886574074</v>
      </c>
      <c r="C1619" s="1" t="n">
        <v>46185</v>
      </c>
      <c r="D1619" t="inlineStr">
        <is>
          <t>VÄSTERNORRLANDS LÄN</t>
        </is>
      </c>
      <c r="E1619" t="inlineStr">
        <is>
          <t>HÄRNÖSAND</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55594-2021</t>
        </is>
      </c>
      <c r="B1620" s="1" t="n">
        <v>44475</v>
      </c>
      <c r="C1620" s="1" t="n">
        <v>46185</v>
      </c>
      <c r="D1620" t="inlineStr">
        <is>
          <t>VÄSTERNORRLANDS LÄN</t>
        </is>
      </c>
      <c r="E1620" t="inlineStr">
        <is>
          <t>SUNDSVALL</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32753-2022</t>
        </is>
      </c>
      <c r="B1621" s="1" t="n">
        <v>44783</v>
      </c>
      <c r="C1621" s="1" t="n">
        <v>46185</v>
      </c>
      <c r="D1621" t="inlineStr">
        <is>
          <t>VÄSTERNORRLANDS LÄN</t>
        </is>
      </c>
      <c r="E1621" t="inlineStr">
        <is>
          <t>ÖRNSKÖLDSVIK</t>
        </is>
      </c>
      <c r="G1621" t="n">
        <v>14.2</v>
      </c>
      <c r="H1621" t="n">
        <v>0</v>
      </c>
      <c r="I1621" t="n">
        <v>0</v>
      </c>
      <c r="J1621" t="n">
        <v>0</v>
      </c>
      <c r="K1621" t="n">
        <v>0</v>
      </c>
      <c r="L1621" t="n">
        <v>0</v>
      </c>
      <c r="M1621" t="n">
        <v>0</v>
      </c>
      <c r="N1621" t="n">
        <v>0</v>
      </c>
      <c r="O1621" t="n">
        <v>0</v>
      </c>
      <c r="P1621" t="n">
        <v>0</v>
      </c>
      <c r="Q1621" t="n">
        <v>0</v>
      </c>
      <c r="R1621" s="2" t="inlineStr"/>
    </row>
    <row r="1622" ht="15" customHeight="1">
      <c r="A1622" t="inlineStr">
        <is>
          <t>A 48511-2022</t>
        </is>
      </c>
      <c r="B1622" s="1" t="n">
        <v>44858.94972222222</v>
      </c>
      <c r="C1622" s="1" t="n">
        <v>46185</v>
      </c>
      <c r="D1622" t="inlineStr">
        <is>
          <t>VÄSTERNORRLANDS LÄN</t>
        </is>
      </c>
      <c r="E1622" t="inlineStr">
        <is>
          <t>SOLLEFTEÅ</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45105-2021</t>
        </is>
      </c>
      <c r="B1623" s="1" t="n">
        <v>44439</v>
      </c>
      <c r="C1623" s="1" t="n">
        <v>46185</v>
      </c>
      <c r="D1623" t="inlineStr">
        <is>
          <t>VÄSTERNORRLANDS LÄN</t>
        </is>
      </c>
      <c r="E1623" t="inlineStr">
        <is>
          <t>SOLLEFTEÅ</t>
        </is>
      </c>
      <c r="F1623" t="inlineStr">
        <is>
          <t>Kommuner</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48705-2021</t>
        </is>
      </c>
      <c r="B1624" s="1" t="n">
        <v>44452</v>
      </c>
      <c r="C1624" s="1" t="n">
        <v>46185</v>
      </c>
      <c r="D1624" t="inlineStr">
        <is>
          <t>VÄSTERNORRLANDS LÄN</t>
        </is>
      </c>
      <c r="E1624" t="inlineStr">
        <is>
          <t>SUNDSVALL</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15090-2022</t>
        </is>
      </c>
      <c r="B1625" s="1" t="n">
        <v>44657.95271990741</v>
      </c>
      <c r="C1625" s="1" t="n">
        <v>46185</v>
      </c>
      <c r="D1625" t="inlineStr">
        <is>
          <t>VÄSTERNORRLANDS LÄN</t>
        </is>
      </c>
      <c r="E1625" t="inlineStr">
        <is>
          <t>SOLLEFTEÅ</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59533-2021</t>
        </is>
      </c>
      <c r="B1626" s="1" t="n">
        <v>44491</v>
      </c>
      <c r="C1626" s="1" t="n">
        <v>46185</v>
      </c>
      <c r="D1626" t="inlineStr">
        <is>
          <t>VÄSTERNORRLANDS LÄN</t>
        </is>
      </c>
      <c r="E1626" t="inlineStr">
        <is>
          <t>ÖRNSKÖLDSVIK</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47143-2021</t>
        </is>
      </c>
      <c r="B1627" s="1" t="n">
        <v>44446</v>
      </c>
      <c r="C1627" s="1" t="n">
        <v>46185</v>
      </c>
      <c r="D1627" t="inlineStr">
        <is>
          <t>VÄSTERNORRLANDS LÄN</t>
        </is>
      </c>
      <c r="E1627" t="inlineStr">
        <is>
          <t>ÖRNSKÖLDSVIK</t>
        </is>
      </c>
      <c r="G1627" t="n">
        <v>32.5</v>
      </c>
      <c r="H1627" t="n">
        <v>0</v>
      </c>
      <c r="I1627" t="n">
        <v>0</v>
      </c>
      <c r="J1627" t="n">
        <v>0</v>
      </c>
      <c r="K1627" t="n">
        <v>0</v>
      </c>
      <c r="L1627" t="n">
        <v>0</v>
      </c>
      <c r="M1627" t="n">
        <v>0</v>
      </c>
      <c r="N1627" t="n">
        <v>0</v>
      </c>
      <c r="O1627" t="n">
        <v>0</v>
      </c>
      <c r="P1627" t="n">
        <v>0</v>
      </c>
      <c r="Q1627" t="n">
        <v>0</v>
      </c>
      <c r="R1627" s="2" t="inlineStr"/>
    </row>
    <row r="1628" ht="15" customHeight="1">
      <c r="A1628" t="inlineStr">
        <is>
          <t>A 53289-2022</t>
        </is>
      </c>
      <c r="B1628" s="1" t="n">
        <v>44876.95109953704</v>
      </c>
      <c r="C1628" s="1" t="n">
        <v>46185</v>
      </c>
      <c r="D1628" t="inlineStr">
        <is>
          <t>VÄSTERNORRLANDS LÄN</t>
        </is>
      </c>
      <c r="E1628" t="inlineStr">
        <is>
          <t>SUNDSVALL</t>
        </is>
      </c>
      <c r="F1628" t="inlineStr">
        <is>
          <t>SCA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50333-2021</t>
        </is>
      </c>
      <c r="B1629" s="1" t="n">
        <v>44454</v>
      </c>
      <c r="C1629" s="1" t="n">
        <v>46185</v>
      </c>
      <c r="D1629" t="inlineStr">
        <is>
          <t>VÄSTERNORRLANDS LÄN</t>
        </is>
      </c>
      <c r="E1629" t="inlineStr">
        <is>
          <t>ÅNGE</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58268-2021</t>
        </is>
      </c>
      <c r="B1630" s="1" t="n">
        <v>44487</v>
      </c>
      <c r="C1630" s="1" t="n">
        <v>46185</v>
      </c>
      <c r="D1630" t="inlineStr">
        <is>
          <t>VÄSTERNORRLANDS LÄN</t>
        </is>
      </c>
      <c r="E1630" t="inlineStr">
        <is>
          <t>SOLLEFTEÅ</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66753-2021</t>
        </is>
      </c>
      <c r="B1631" s="1" t="n">
        <v>44521</v>
      </c>
      <c r="C1631" s="1" t="n">
        <v>46185</v>
      </c>
      <c r="D1631" t="inlineStr">
        <is>
          <t>VÄSTERNORRLANDS LÄN</t>
        </is>
      </c>
      <c r="E1631" t="inlineStr">
        <is>
          <t>ÖRNSKÖLDSVIK</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48633-2022</t>
        </is>
      </c>
      <c r="B1632" s="1" t="n">
        <v>44859.41239583334</v>
      </c>
      <c r="C1632" s="1" t="n">
        <v>46185</v>
      </c>
      <c r="D1632" t="inlineStr">
        <is>
          <t>VÄSTERNORRLANDS LÄN</t>
        </is>
      </c>
      <c r="E1632" t="inlineStr">
        <is>
          <t>ÖRNSKÖLDSVIK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54993-2022</t>
        </is>
      </c>
      <c r="B1633" s="1" t="n">
        <v>44881</v>
      </c>
      <c r="C1633" s="1" t="n">
        <v>46185</v>
      </c>
      <c r="D1633" t="inlineStr">
        <is>
          <t>VÄSTERNORRLANDS LÄN</t>
        </is>
      </c>
      <c r="E1633" t="inlineStr">
        <is>
          <t>SUNDSVALL</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65790-2021</t>
        </is>
      </c>
      <c r="B1634" s="1" t="n">
        <v>44516.94785879629</v>
      </c>
      <c r="C1634" s="1" t="n">
        <v>46185</v>
      </c>
      <c r="D1634" t="inlineStr">
        <is>
          <t>VÄSTERNORRLANDS LÄN</t>
        </is>
      </c>
      <c r="E1634" t="inlineStr">
        <is>
          <t>ÅNGE</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60469-2021</t>
        </is>
      </c>
      <c r="B1635" s="1" t="n">
        <v>44496</v>
      </c>
      <c r="C1635" s="1" t="n">
        <v>46185</v>
      </c>
      <c r="D1635" t="inlineStr">
        <is>
          <t>VÄSTERNORRLANDS LÄN</t>
        </is>
      </c>
      <c r="E1635" t="inlineStr">
        <is>
          <t>ÖRNSKÖLDSVIK</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16336-2022</t>
        </is>
      </c>
      <c r="B1636" s="1" t="n">
        <v>44670</v>
      </c>
      <c r="C1636" s="1" t="n">
        <v>46185</v>
      </c>
      <c r="D1636" t="inlineStr">
        <is>
          <t>VÄSTERNORRLANDS LÄN</t>
        </is>
      </c>
      <c r="E1636" t="inlineStr">
        <is>
          <t>ÖRNSKÖLDSVIK</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57911-2021</t>
        </is>
      </c>
      <c r="B1637" s="1" t="n">
        <v>44486.90736111111</v>
      </c>
      <c r="C1637" s="1" t="n">
        <v>46185</v>
      </c>
      <c r="D1637" t="inlineStr">
        <is>
          <t>VÄSTERNORRLANDS LÄN</t>
        </is>
      </c>
      <c r="E1637" t="inlineStr">
        <is>
          <t>SOLLEFTEÅ</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55915-2022</t>
        </is>
      </c>
      <c r="B1638" s="1" t="n">
        <v>44889.32309027778</v>
      </c>
      <c r="C1638" s="1" t="n">
        <v>46185</v>
      </c>
      <c r="D1638" t="inlineStr">
        <is>
          <t>VÄSTERNORRLANDS LÄN</t>
        </is>
      </c>
      <c r="E1638" t="inlineStr">
        <is>
          <t>ÖRNSKÖLDSVIK</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63971-2021</t>
        </is>
      </c>
      <c r="B1639" s="1" t="n">
        <v>44509.88978009259</v>
      </c>
      <c r="C1639" s="1" t="n">
        <v>46185</v>
      </c>
      <c r="D1639" t="inlineStr">
        <is>
          <t>VÄSTERNORRLANDS LÄN</t>
        </is>
      </c>
      <c r="E1639" t="inlineStr">
        <is>
          <t>KRAMFORS</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47293-2022</t>
        </is>
      </c>
      <c r="B1640" s="1" t="n">
        <v>44852.95229166667</v>
      </c>
      <c r="C1640" s="1" t="n">
        <v>46185</v>
      </c>
      <c r="D1640" t="inlineStr">
        <is>
          <t>VÄSTERNORRLANDS LÄN</t>
        </is>
      </c>
      <c r="E1640" t="inlineStr">
        <is>
          <t>TIMRÅ</t>
        </is>
      </c>
      <c r="F1640" t="inlineStr">
        <is>
          <t>SCA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49056-2021</t>
        </is>
      </c>
      <c r="B1641" s="1" t="n">
        <v>44453</v>
      </c>
      <c r="C1641" s="1" t="n">
        <v>46185</v>
      </c>
      <c r="D1641" t="inlineStr">
        <is>
          <t>VÄSTERNORRLANDS LÄN</t>
        </is>
      </c>
      <c r="E1641" t="inlineStr">
        <is>
          <t>TIMRÅ</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52652-2021</t>
        </is>
      </c>
      <c r="B1642" s="1" t="n">
        <v>44466</v>
      </c>
      <c r="C1642" s="1" t="n">
        <v>46185</v>
      </c>
      <c r="D1642" t="inlineStr">
        <is>
          <t>VÄSTERNORRLANDS LÄN</t>
        </is>
      </c>
      <c r="E1642" t="inlineStr">
        <is>
          <t>ÖRNSKÖLDSVIK</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61355-2021</t>
        </is>
      </c>
      <c r="B1643" s="1" t="n">
        <v>44498.91465277778</v>
      </c>
      <c r="C1643" s="1" t="n">
        <v>46185</v>
      </c>
      <c r="D1643" t="inlineStr">
        <is>
          <t>VÄSTERNORRLANDS LÄN</t>
        </is>
      </c>
      <c r="E1643" t="inlineStr">
        <is>
          <t>ÖRNSKÖLDSVIK</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71722-2021</t>
        </is>
      </c>
      <c r="B1644" s="1" t="n">
        <v>44539</v>
      </c>
      <c r="C1644" s="1" t="n">
        <v>46185</v>
      </c>
      <c r="D1644" t="inlineStr">
        <is>
          <t>VÄSTERNORRLANDS LÄN</t>
        </is>
      </c>
      <c r="E1644" t="inlineStr">
        <is>
          <t>KRAMFORS</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55790-2021</t>
        </is>
      </c>
      <c r="B1645" s="1" t="n">
        <v>44476</v>
      </c>
      <c r="C1645" s="1" t="n">
        <v>46185</v>
      </c>
      <c r="D1645" t="inlineStr">
        <is>
          <t>VÄSTERNORRLANDS LÄN</t>
        </is>
      </c>
      <c r="E1645" t="inlineStr">
        <is>
          <t>HÄRNÖSAND</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71348-2021</t>
        </is>
      </c>
      <c r="B1646" s="1" t="n">
        <v>44539</v>
      </c>
      <c r="C1646" s="1" t="n">
        <v>46185</v>
      </c>
      <c r="D1646" t="inlineStr">
        <is>
          <t>VÄSTERNORRLANDS LÄN</t>
        </is>
      </c>
      <c r="E1646" t="inlineStr">
        <is>
          <t>SOLLEFTEÅ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71351-2021</t>
        </is>
      </c>
      <c r="B1647" s="1" t="n">
        <v>44539</v>
      </c>
      <c r="C1647" s="1" t="n">
        <v>46185</v>
      </c>
      <c r="D1647" t="inlineStr">
        <is>
          <t>VÄSTERNORRLANDS LÄN</t>
        </is>
      </c>
      <c r="E1647" t="inlineStr">
        <is>
          <t>SOLLEFTEÅ</t>
        </is>
      </c>
      <c r="G1647" t="n">
        <v>0.1</v>
      </c>
      <c r="H1647" t="n">
        <v>0</v>
      </c>
      <c r="I1647" t="n">
        <v>0</v>
      </c>
      <c r="J1647" t="n">
        <v>0</v>
      </c>
      <c r="K1647" t="n">
        <v>0</v>
      </c>
      <c r="L1647" t="n">
        <v>0</v>
      </c>
      <c r="M1647" t="n">
        <v>0</v>
      </c>
      <c r="N1647" t="n">
        <v>0</v>
      </c>
      <c r="O1647" t="n">
        <v>0</v>
      </c>
      <c r="P1647" t="n">
        <v>0</v>
      </c>
      <c r="Q1647" t="n">
        <v>0</v>
      </c>
      <c r="R1647" s="2" t="inlineStr"/>
    </row>
    <row r="1648" ht="15" customHeight="1">
      <c r="A1648" t="inlineStr">
        <is>
          <t>A 61426-2021</t>
        </is>
      </c>
      <c r="B1648" s="1" t="n">
        <v>44500</v>
      </c>
      <c r="C1648" s="1" t="n">
        <v>46185</v>
      </c>
      <c r="D1648" t="inlineStr">
        <is>
          <t>VÄSTERNORRLANDS LÄN</t>
        </is>
      </c>
      <c r="E1648" t="inlineStr">
        <is>
          <t>SOLLEFTEÅ</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51163-2021</t>
        </is>
      </c>
      <c r="B1649" s="1" t="n">
        <v>44461.4665625</v>
      </c>
      <c r="C1649" s="1" t="n">
        <v>46185</v>
      </c>
      <c r="D1649" t="inlineStr">
        <is>
          <t>VÄSTERNORRLANDS LÄN</t>
        </is>
      </c>
      <c r="E1649" t="inlineStr">
        <is>
          <t>ÅNGE</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55912-2021</t>
        </is>
      </c>
      <c r="B1650" s="1" t="n">
        <v>44476.91979166667</v>
      </c>
      <c r="C1650" s="1" t="n">
        <v>46185</v>
      </c>
      <c r="D1650" t="inlineStr">
        <is>
          <t>VÄSTERNORRLANDS LÄN</t>
        </is>
      </c>
      <c r="E1650" t="inlineStr">
        <is>
          <t>ÅNGE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34126-2021</t>
        </is>
      </c>
      <c r="B1651" s="1" t="n">
        <v>44379.46511574074</v>
      </c>
      <c r="C1651" s="1" t="n">
        <v>46185</v>
      </c>
      <c r="D1651" t="inlineStr">
        <is>
          <t>VÄSTERNORRLANDS LÄN</t>
        </is>
      </c>
      <c r="E1651" t="inlineStr">
        <is>
          <t>ÖRNSKÖLDSVIK</t>
        </is>
      </c>
      <c r="F1651" t="inlineStr">
        <is>
          <t>Holmen skog AB</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30152-2021</t>
        </is>
      </c>
      <c r="B1652" s="1" t="n">
        <v>44363</v>
      </c>
      <c r="C1652" s="1" t="n">
        <v>46185</v>
      </c>
      <c r="D1652" t="inlineStr">
        <is>
          <t>VÄSTERNORRLANDS LÄN</t>
        </is>
      </c>
      <c r="E1652" t="inlineStr">
        <is>
          <t>ÖRNSKÖLDSVIK</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5565-2022</t>
        </is>
      </c>
      <c r="B1653" s="1" t="n">
        <v>44595</v>
      </c>
      <c r="C1653" s="1" t="n">
        <v>46185</v>
      </c>
      <c r="D1653" t="inlineStr">
        <is>
          <t>VÄSTERNORRLANDS LÄN</t>
        </is>
      </c>
      <c r="E1653" t="inlineStr">
        <is>
          <t>ÅNGE</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34181-2021</t>
        </is>
      </c>
      <c r="B1654" s="1" t="n">
        <v>44379</v>
      </c>
      <c r="C1654" s="1" t="n">
        <v>46185</v>
      </c>
      <c r="D1654" t="inlineStr">
        <is>
          <t>VÄSTERNORRLANDS LÄN</t>
        </is>
      </c>
      <c r="E1654" t="inlineStr">
        <is>
          <t>KRAMFORS</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30606-2021</t>
        </is>
      </c>
      <c r="B1655" s="1" t="n">
        <v>44364</v>
      </c>
      <c r="C1655" s="1" t="n">
        <v>46185</v>
      </c>
      <c r="D1655" t="inlineStr">
        <is>
          <t>VÄSTERNORRLANDS LÄN</t>
        </is>
      </c>
      <c r="E1655" t="inlineStr">
        <is>
          <t>ÖRNSKÖLDSVIK</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68792-2021</t>
        </is>
      </c>
      <c r="B1656" s="1" t="n">
        <v>44529.94640046296</v>
      </c>
      <c r="C1656" s="1" t="n">
        <v>46185</v>
      </c>
      <c r="D1656" t="inlineStr">
        <is>
          <t>VÄSTERNORRLANDS LÄN</t>
        </is>
      </c>
      <c r="E1656" t="inlineStr">
        <is>
          <t>SOLLEFTEÅ</t>
        </is>
      </c>
      <c r="F1656" t="inlineStr">
        <is>
          <t>SCA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68829-2021</t>
        </is>
      </c>
      <c r="B1657" s="1" t="n">
        <v>44529</v>
      </c>
      <c r="C1657" s="1" t="n">
        <v>46185</v>
      </c>
      <c r="D1657" t="inlineStr">
        <is>
          <t>VÄSTERNORRLANDS LÄN</t>
        </is>
      </c>
      <c r="E1657" t="inlineStr">
        <is>
          <t>ÖRNSKÖLDSVIK</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3531-2022</t>
        </is>
      </c>
      <c r="B1658" s="1" t="n">
        <v>44585</v>
      </c>
      <c r="C1658" s="1" t="n">
        <v>46185</v>
      </c>
      <c r="D1658" t="inlineStr">
        <is>
          <t>VÄSTERNORRLANDS LÄN</t>
        </is>
      </c>
      <c r="E1658" t="inlineStr">
        <is>
          <t>HÄRNÖSAND</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60620-2021</t>
        </is>
      </c>
      <c r="B1659" s="1" t="n">
        <v>44496</v>
      </c>
      <c r="C1659" s="1" t="n">
        <v>46185</v>
      </c>
      <c r="D1659" t="inlineStr">
        <is>
          <t>VÄSTERNORRLANDS LÄN</t>
        </is>
      </c>
      <c r="E1659" t="inlineStr">
        <is>
          <t>ÖRNSKÖLDSVIK</t>
        </is>
      </c>
      <c r="F1659" t="inlineStr">
        <is>
          <t>Holmen skog AB</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22101-2022</t>
        </is>
      </c>
      <c r="B1660" s="1" t="n">
        <v>44711.94153935185</v>
      </c>
      <c r="C1660" s="1" t="n">
        <v>46185</v>
      </c>
      <c r="D1660" t="inlineStr">
        <is>
          <t>VÄSTERNORRLANDS LÄN</t>
        </is>
      </c>
      <c r="E1660" t="inlineStr">
        <is>
          <t>SOLLEFTEÅ</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35151-2021</t>
        </is>
      </c>
      <c r="B1661" s="1" t="n">
        <v>44384</v>
      </c>
      <c r="C1661" s="1" t="n">
        <v>46185</v>
      </c>
      <c r="D1661" t="inlineStr">
        <is>
          <t>VÄSTERNORRLANDS LÄN</t>
        </is>
      </c>
      <c r="E1661" t="inlineStr">
        <is>
          <t>ÖRNSKÖLDSVIK</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26416-2022</t>
        </is>
      </c>
      <c r="B1662" s="1" t="n">
        <v>44735.94130787037</v>
      </c>
      <c r="C1662" s="1" t="n">
        <v>46185</v>
      </c>
      <c r="D1662" t="inlineStr">
        <is>
          <t>VÄSTERNORRLANDS LÄN</t>
        </is>
      </c>
      <c r="E1662" t="inlineStr">
        <is>
          <t>SOLLEFTEÅ</t>
        </is>
      </c>
      <c r="F1662" t="inlineStr">
        <is>
          <t>SCA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66191-2021</t>
        </is>
      </c>
      <c r="B1663" s="1" t="n">
        <v>44517</v>
      </c>
      <c r="C1663" s="1" t="n">
        <v>46185</v>
      </c>
      <c r="D1663" t="inlineStr">
        <is>
          <t>VÄSTERNORRLANDS LÄN</t>
        </is>
      </c>
      <c r="E1663" t="inlineStr">
        <is>
          <t>SUNDSVALL</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30039-2022</t>
        </is>
      </c>
      <c r="B1664" s="1" t="n">
        <v>44756.94572916667</v>
      </c>
      <c r="C1664" s="1" t="n">
        <v>46185</v>
      </c>
      <c r="D1664" t="inlineStr">
        <is>
          <t>VÄSTERNORRLANDS LÄN</t>
        </is>
      </c>
      <c r="E1664" t="inlineStr">
        <is>
          <t>SOLLEFTEÅ</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65597-2021</t>
        </is>
      </c>
      <c r="B1665" s="1" t="n">
        <v>44516</v>
      </c>
      <c r="C1665" s="1" t="n">
        <v>46185</v>
      </c>
      <c r="D1665" t="inlineStr">
        <is>
          <t>VÄSTERNORRLANDS LÄN</t>
        </is>
      </c>
      <c r="E1665" t="inlineStr">
        <is>
          <t>SUNDSVALL</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47547-2021</t>
        </is>
      </c>
      <c r="B1666" s="1" t="n">
        <v>44447</v>
      </c>
      <c r="C1666" s="1" t="n">
        <v>46185</v>
      </c>
      <c r="D1666" t="inlineStr">
        <is>
          <t>VÄSTERNORRLANDS LÄN</t>
        </is>
      </c>
      <c r="E1666" t="inlineStr">
        <is>
          <t>HÄRNÖSAND</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40483-2022</t>
        </is>
      </c>
      <c r="B1667" s="1" t="n">
        <v>44823.56631944444</v>
      </c>
      <c r="C1667" s="1" t="n">
        <v>46185</v>
      </c>
      <c r="D1667" t="inlineStr">
        <is>
          <t>VÄSTERNORRLANDS LÄN</t>
        </is>
      </c>
      <c r="E1667" t="inlineStr">
        <is>
          <t>ÖRNSKÖLDSVIK</t>
        </is>
      </c>
      <c r="F1667" t="inlineStr">
        <is>
          <t>Holmen skog AB</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58755-2021</t>
        </is>
      </c>
      <c r="B1668" s="1" t="n">
        <v>44489</v>
      </c>
      <c r="C1668" s="1" t="n">
        <v>46185</v>
      </c>
      <c r="D1668" t="inlineStr">
        <is>
          <t>VÄSTERNORRLANDS LÄN</t>
        </is>
      </c>
      <c r="E1668" t="inlineStr">
        <is>
          <t>SOLLEFTEÅ</t>
        </is>
      </c>
      <c r="G1668" t="n">
        <v>12.2</v>
      </c>
      <c r="H1668" t="n">
        <v>0</v>
      </c>
      <c r="I1668" t="n">
        <v>0</v>
      </c>
      <c r="J1668" t="n">
        <v>0</v>
      </c>
      <c r="K1668" t="n">
        <v>0</v>
      </c>
      <c r="L1668" t="n">
        <v>0</v>
      </c>
      <c r="M1668" t="n">
        <v>0</v>
      </c>
      <c r="N1668" t="n">
        <v>0</v>
      </c>
      <c r="O1668" t="n">
        <v>0</v>
      </c>
      <c r="P1668" t="n">
        <v>0</v>
      </c>
      <c r="Q1668" t="n">
        <v>0</v>
      </c>
      <c r="R1668" s="2" t="inlineStr"/>
    </row>
    <row r="1669" ht="15" customHeight="1">
      <c r="A1669" t="inlineStr">
        <is>
          <t>A 61424-2021</t>
        </is>
      </c>
      <c r="B1669" s="1" t="n">
        <v>44500.93637731481</v>
      </c>
      <c r="C1669" s="1" t="n">
        <v>46185</v>
      </c>
      <c r="D1669" t="inlineStr">
        <is>
          <t>VÄSTERNORRLANDS LÄN</t>
        </is>
      </c>
      <c r="E1669" t="inlineStr">
        <is>
          <t>SOLLEFTEÅ</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32091-2021</t>
        </is>
      </c>
      <c r="B1670" s="1" t="n">
        <v>44370</v>
      </c>
      <c r="C1670" s="1" t="n">
        <v>46185</v>
      </c>
      <c r="D1670" t="inlineStr">
        <is>
          <t>VÄSTERNORRLANDS LÄN</t>
        </is>
      </c>
      <c r="E1670" t="inlineStr">
        <is>
          <t>SOLLEFTEÅ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51599-2021</t>
        </is>
      </c>
      <c r="B1671" s="1" t="n">
        <v>44461</v>
      </c>
      <c r="C1671" s="1" t="n">
        <v>46185</v>
      </c>
      <c r="D1671" t="inlineStr">
        <is>
          <t>VÄSTERNORRLANDS LÄN</t>
        </is>
      </c>
      <c r="E1671" t="inlineStr">
        <is>
          <t>SUNDSVALL</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51601-2021</t>
        </is>
      </c>
      <c r="B1672" s="1" t="n">
        <v>44461</v>
      </c>
      <c r="C1672" s="1" t="n">
        <v>46185</v>
      </c>
      <c r="D1672" t="inlineStr">
        <is>
          <t>VÄSTERNORRLANDS LÄN</t>
        </is>
      </c>
      <c r="E1672" t="inlineStr">
        <is>
          <t>ÖRNSKÖLDSVIK</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692-2022</t>
        </is>
      </c>
      <c r="B1673" s="1" t="n">
        <v>44566</v>
      </c>
      <c r="C1673" s="1" t="n">
        <v>46185</v>
      </c>
      <c r="D1673" t="inlineStr">
        <is>
          <t>VÄSTERNORRLANDS LÄN</t>
        </is>
      </c>
      <c r="E1673" t="inlineStr">
        <is>
          <t>KRAMFORS</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699-2022</t>
        </is>
      </c>
      <c r="B1674" s="1" t="n">
        <v>44568</v>
      </c>
      <c r="C1674" s="1" t="n">
        <v>46185</v>
      </c>
      <c r="D1674" t="inlineStr">
        <is>
          <t>VÄSTERNORRLANDS LÄN</t>
        </is>
      </c>
      <c r="E1674" t="inlineStr">
        <is>
          <t>ÖRNSKÖLDSVIK</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33911-2022</t>
        </is>
      </c>
      <c r="B1675" s="1" t="n">
        <v>44790.63175925926</v>
      </c>
      <c r="C1675" s="1" t="n">
        <v>46185</v>
      </c>
      <c r="D1675" t="inlineStr">
        <is>
          <t>VÄSTERNORRLANDS LÄN</t>
        </is>
      </c>
      <c r="E1675" t="inlineStr">
        <is>
          <t>ÖRNSKÖLDSVIK</t>
        </is>
      </c>
      <c r="F1675" t="inlineStr">
        <is>
          <t>Holmen skog AB</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33722-2021</t>
        </is>
      </c>
      <c r="B1676" s="1" t="n">
        <v>44378</v>
      </c>
      <c r="C1676" s="1" t="n">
        <v>46185</v>
      </c>
      <c r="D1676" t="inlineStr">
        <is>
          <t>VÄSTERNORRLANDS LÄN</t>
        </is>
      </c>
      <c r="E1676" t="inlineStr">
        <is>
          <t>ÖRNSKÖLDSVIK</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72008-2021</t>
        </is>
      </c>
      <c r="B1677" s="1" t="n">
        <v>44540</v>
      </c>
      <c r="C1677" s="1" t="n">
        <v>46185</v>
      </c>
      <c r="D1677" t="inlineStr">
        <is>
          <t>VÄSTERNORRLANDS LÄN</t>
        </is>
      </c>
      <c r="E1677" t="inlineStr">
        <is>
          <t>KRAMFORS</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63163-2021</t>
        </is>
      </c>
      <c r="B1678" s="1" t="n">
        <v>44505</v>
      </c>
      <c r="C1678" s="1" t="n">
        <v>46185</v>
      </c>
      <c r="D1678" t="inlineStr">
        <is>
          <t>VÄSTERNORRLANDS LÄN</t>
        </is>
      </c>
      <c r="E1678" t="inlineStr">
        <is>
          <t>SUNDSVALL</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19178-2022</t>
        </is>
      </c>
      <c r="B1679" s="1" t="n">
        <v>44691</v>
      </c>
      <c r="C1679" s="1" t="n">
        <v>46185</v>
      </c>
      <c r="D1679" t="inlineStr">
        <is>
          <t>VÄSTERNORRLANDS LÄN</t>
        </is>
      </c>
      <c r="E1679" t="inlineStr">
        <is>
          <t>SUNDSVALL</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35058-2021</t>
        </is>
      </c>
      <c r="B1680" s="1" t="n">
        <v>44383</v>
      </c>
      <c r="C1680" s="1" t="n">
        <v>46185</v>
      </c>
      <c r="D1680" t="inlineStr">
        <is>
          <t>VÄSTERNORRLANDS LÄN</t>
        </is>
      </c>
      <c r="E1680" t="inlineStr">
        <is>
          <t>ÅNGE</t>
        </is>
      </c>
      <c r="F1680" t="inlineStr">
        <is>
          <t>SCA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35079-2021</t>
        </is>
      </c>
      <c r="B1681" s="1" t="n">
        <v>44383</v>
      </c>
      <c r="C1681" s="1" t="n">
        <v>46185</v>
      </c>
      <c r="D1681" t="inlineStr">
        <is>
          <t>VÄSTERNORRLANDS LÄN</t>
        </is>
      </c>
      <c r="E1681" t="inlineStr">
        <is>
          <t>ÅNGE</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40539-2021</t>
        </is>
      </c>
      <c r="B1682" s="1" t="n">
        <v>44420</v>
      </c>
      <c r="C1682" s="1" t="n">
        <v>46185</v>
      </c>
      <c r="D1682" t="inlineStr">
        <is>
          <t>VÄSTERNORRLANDS LÄN</t>
        </is>
      </c>
      <c r="E1682" t="inlineStr">
        <is>
          <t>SOLLEFTEÅ</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4939-2022</t>
        </is>
      </c>
      <c r="B1683" s="1" t="n">
        <v>44593.50019675926</v>
      </c>
      <c r="C1683" s="1" t="n">
        <v>46185</v>
      </c>
      <c r="D1683" t="inlineStr">
        <is>
          <t>VÄSTERNORRLANDS LÄN</t>
        </is>
      </c>
      <c r="E1683" t="inlineStr">
        <is>
          <t>ÅNGE</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32483-2021</t>
        </is>
      </c>
      <c r="B1684" s="1" t="n">
        <v>44371</v>
      </c>
      <c r="C1684" s="1" t="n">
        <v>46185</v>
      </c>
      <c r="D1684" t="inlineStr">
        <is>
          <t>VÄSTERNORRLANDS LÄN</t>
        </is>
      </c>
      <c r="E1684" t="inlineStr">
        <is>
          <t>TIMRÅ</t>
        </is>
      </c>
      <c r="F1684" t="inlineStr">
        <is>
          <t>Kyrkan</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66229-2021</t>
        </is>
      </c>
      <c r="B1685" s="1" t="n">
        <v>44518.3875</v>
      </c>
      <c r="C1685" s="1" t="n">
        <v>46185</v>
      </c>
      <c r="D1685" t="inlineStr">
        <is>
          <t>VÄSTERNORRLANDS LÄN</t>
        </is>
      </c>
      <c r="E1685" t="inlineStr">
        <is>
          <t>ÅNGE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33201-2022</t>
        </is>
      </c>
      <c r="B1686" s="1" t="n">
        <v>44785</v>
      </c>
      <c r="C1686" s="1" t="n">
        <v>46185</v>
      </c>
      <c r="D1686" t="inlineStr">
        <is>
          <t>VÄSTERNORRLANDS LÄN</t>
        </is>
      </c>
      <c r="E1686" t="inlineStr">
        <is>
          <t>ÖRNSKÖLDSVIK</t>
        </is>
      </c>
      <c r="F1686" t="inlineStr">
        <is>
          <t>Kyrkan</t>
        </is>
      </c>
      <c r="G1686" t="n">
        <v>10</v>
      </c>
      <c r="H1686" t="n">
        <v>0</v>
      </c>
      <c r="I1686" t="n">
        <v>0</v>
      </c>
      <c r="J1686" t="n">
        <v>0</v>
      </c>
      <c r="K1686" t="n">
        <v>0</v>
      </c>
      <c r="L1686" t="n">
        <v>0</v>
      </c>
      <c r="M1686" t="n">
        <v>0</v>
      </c>
      <c r="N1686" t="n">
        <v>0</v>
      </c>
      <c r="O1686" t="n">
        <v>0</v>
      </c>
      <c r="P1686" t="n">
        <v>0</v>
      </c>
      <c r="Q1686" t="n">
        <v>0</v>
      </c>
      <c r="R1686" s="2" t="inlineStr"/>
    </row>
    <row r="1687" ht="15" customHeight="1">
      <c r="A1687" t="inlineStr">
        <is>
          <t>A 42344-2021</t>
        </is>
      </c>
      <c r="B1687" s="1" t="n">
        <v>44427</v>
      </c>
      <c r="C1687" s="1" t="n">
        <v>46185</v>
      </c>
      <c r="D1687" t="inlineStr">
        <is>
          <t>VÄSTERNORRLANDS LÄN</t>
        </is>
      </c>
      <c r="E1687" t="inlineStr">
        <is>
          <t>ÖRNSKÖLDSVIK</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1335-2022</t>
        </is>
      </c>
      <c r="B1688" s="1" t="n">
        <v>44572.92060185185</v>
      </c>
      <c r="C1688" s="1" t="n">
        <v>46185</v>
      </c>
      <c r="D1688" t="inlineStr">
        <is>
          <t>VÄSTERNORRLANDS LÄN</t>
        </is>
      </c>
      <c r="E1688" t="inlineStr">
        <is>
          <t>SUNDSVALL</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40160-2021</t>
        </is>
      </c>
      <c r="B1689" s="1" t="n">
        <v>44418.6568287037</v>
      </c>
      <c r="C1689" s="1" t="n">
        <v>46185</v>
      </c>
      <c r="D1689" t="inlineStr">
        <is>
          <t>VÄSTERNORRLANDS LÄN</t>
        </is>
      </c>
      <c r="E1689" t="inlineStr">
        <is>
          <t>SUNDSVALL</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50411-2021</t>
        </is>
      </c>
      <c r="B1690" s="1" t="n">
        <v>44459</v>
      </c>
      <c r="C1690" s="1" t="n">
        <v>46185</v>
      </c>
      <c r="D1690" t="inlineStr">
        <is>
          <t>VÄSTERNORRLANDS LÄN</t>
        </is>
      </c>
      <c r="E1690" t="inlineStr">
        <is>
          <t>ÖRNSKÖLDSVIK</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12758-2022</t>
        </is>
      </c>
      <c r="B1691" s="1" t="n">
        <v>44641</v>
      </c>
      <c r="C1691" s="1" t="n">
        <v>46185</v>
      </c>
      <c r="D1691" t="inlineStr">
        <is>
          <t>VÄSTERNORRLANDS LÄN</t>
        </is>
      </c>
      <c r="E1691" t="inlineStr">
        <is>
          <t>SOLLEFTEÅ</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35109-2022</t>
        </is>
      </c>
      <c r="B1692" s="1" t="n">
        <v>44797.44364583334</v>
      </c>
      <c r="C1692" s="1" t="n">
        <v>46185</v>
      </c>
      <c r="D1692" t="inlineStr">
        <is>
          <t>VÄSTERNORRLANDS LÄN</t>
        </is>
      </c>
      <c r="E1692" t="inlineStr">
        <is>
          <t>ÖRNSKÖLDSVIK</t>
        </is>
      </c>
      <c r="F1692" t="inlineStr">
        <is>
          <t>Holmen skog AB</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39503-2021</t>
        </is>
      </c>
      <c r="B1693" s="1" t="n">
        <v>44414</v>
      </c>
      <c r="C1693" s="1" t="n">
        <v>46185</v>
      </c>
      <c r="D1693" t="inlineStr">
        <is>
          <t>VÄSTERNORRLANDS LÄN</t>
        </is>
      </c>
      <c r="E1693" t="inlineStr">
        <is>
          <t>SUNDSVALL</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47914-2021</t>
        </is>
      </c>
      <c r="B1694" s="1" t="n">
        <v>44448.92056712963</v>
      </c>
      <c r="C1694" s="1" t="n">
        <v>46185</v>
      </c>
      <c r="D1694" t="inlineStr">
        <is>
          <t>VÄSTERNORRLANDS LÄN</t>
        </is>
      </c>
      <c r="E1694" t="inlineStr">
        <is>
          <t>SUNDSVALL</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18612-2022</t>
        </is>
      </c>
      <c r="B1695" s="1" t="n">
        <v>44687</v>
      </c>
      <c r="C1695" s="1" t="n">
        <v>46185</v>
      </c>
      <c r="D1695" t="inlineStr">
        <is>
          <t>VÄSTERNORRLANDS LÄN</t>
        </is>
      </c>
      <c r="E1695" t="inlineStr">
        <is>
          <t>KRAMFORS</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25295-2022</t>
        </is>
      </c>
      <c r="B1696" s="1" t="n">
        <v>44730.94094907407</v>
      </c>
      <c r="C1696" s="1" t="n">
        <v>46185</v>
      </c>
      <c r="D1696" t="inlineStr">
        <is>
          <t>VÄSTERNORRLANDS LÄN</t>
        </is>
      </c>
      <c r="E1696" t="inlineStr">
        <is>
          <t>SOLLEFTEÅ</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832-2022</t>
        </is>
      </c>
      <c r="B1697" s="1" t="n">
        <v>44568</v>
      </c>
      <c r="C1697" s="1" t="n">
        <v>46185</v>
      </c>
      <c r="D1697" t="inlineStr">
        <is>
          <t>VÄSTERNORRLANDS LÄN</t>
        </is>
      </c>
      <c r="E1697" t="inlineStr">
        <is>
          <t>ÖRNSKÖLDSVIK</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50125-2021</t>
        </is>
      </c>
      <c r="B1698" s="1" t="n">
        <v>44456</v>
      </c>
      <c r="C1698" s="1" t="n">
        <v>46185</v>
      </c>
      <c r="D1698" t="inlineStr">
        <is>
          <t>VÄSTERNORRLANDS LÄN</t>
        </is>
      </c>
      <c r="E1698" t="inlineStr">
        <is>
          <t>ÅNGE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11133-2022</t>
        </is>
      </c>
      <c r="B1699" s="1" t="n">
        <v>44628</v>
      </c>
      <c r="C1699" s="1" t="n">
        <v>46185</v>
      </c>
      <c r="D1699" t="inlineStr">
        <is>
          <t>VÄSTERNORRLANDS LÄN</t>
        </is>
      </c>
      <c r="E1699" t="inlineStr">
        <is>
          <t>SOLLEFTEÅ</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20947-2022</t>
        </is>
      </c>
      <c r="B1700" s="1" t="n">
        <v>44701.93956018519</v>
      </c>
      <c r="C1700" s="1" t="n">
        <v>46185</v>
      </c>
      <c r="D1700" t="inlineStr">
        <is>
          <t>VÄSTERNORRLANDS LÄN</t>
        </is>
      </c>
      <c r="E1700" t="inlineStr">
        <is>
          <t>SUNDSVALL</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23200-2022</t>
        </is>
      </c>
      <c r="B1701" s="1" t="n">
        <v>44719.92601851852</v>
      </c>
      <c r="C1701" s="1" t="n">
        <v>46185</v>
      </c>
      <c r="D1701" t="inlineStr">
        <is>
          <t>VÄSTERNORRLANDS LÄN</t>
        </is>
      </c>
      <c r="E1701" t="inlineStr">
        <is>
          <t>KRAMFORS</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33121-2021</t>
        </is>
      </c>
      <c r="B1702" s="1" t="n">
        <v>44376.64336805556</v>
      </c>
      <c r="C1702" s="1" t="n">
        <v>46185</v>
      </c>
      <c r="D1702" t="inlineStr">
        <is>
          <t>VÄSTERNORRLANDS LÄN</t>
        </is>
      </c>
      <c r="E1702" t="inlineStr">
        <is>
          <t>ÖRNSKÖLDSVIK</t>
        </is>
      </c>
      <c r="G1702" t="n">
        <v>16.6</v>
      </c>
      <c r="H1702" t="n">
        <v>0</v>
      </c>
      <c r="I1702" t="n">
        <v>0</v>
      </c>
      <c r="J1702" t="n">
        <v>0</v>
      </c>
      <c r="K1702" t="n">
        <v>0</v>
      </c>
      <c r="L1702" t="n">
        <v>0</v>
      </c>
      <c r="M1702" t="n">
        <v>0</v>
      </c>
      <c r="N1702" t="n">
        <v>0</v>
      </c>
      <c r="O1702" t="n">
        <v>0</v>
      </c>
      <c r="P1702" t="n">
        <v>0</v>
      </c>
      <c r="Q1702" t="n">
        <v>0</v>
      </c>
      <c r="R1702" s="2" t="inlineStr"/>
    </row>
    <row r="1703" ht="15" customHeight="1">
      <c r="A1703" t="inlineStr">
        <is>
          <t>A 46948-2021</t>
        </is>
      </c>
      <c r="B1703" s="1" t="n">
        <v>44446</v>
      </c>
      <c r="C1703" s="1" t="n">
        <v>46185</v>
      </c>
      <c r="D1703" t="inlineStr">
        <is>
          <t>VÄSTERNORRLANDS LÄN</t>
        </is>
      </c>
      <c r="E1703" t="inlineStr">
        <is>
          <t>ÖRNSKÖLDSVIK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6898-2022</t>
        </is>
      </c>
      <c r="B1704" s="1" t="n">
        <v>44602.92141203704</v>
      </c>
      <c r="C1704" s="1" t="n">
        <v>46185</v>
      </c>
      <c r="D1704" t="inlineStr">
        <is>
          <t>VÄSTERNORRLANDS LÄN</t>
        </is>
      </c>
      <c r="E1704" t="inlineStr">
        <is>
          <t>ÅNGE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683-2022</t>
        </is>
      </c>
      <c r="B1705" s="1" t="n">
        <v>44566</v>
      </c>
      <c r="C1705" s="1" t="n">
        <v>46185</v>
      </c>
      <c r="D1705" t="inlineStr">
        <is>
          <t>VÄSTERNORRLANDS LÄN</t>
        </is>
      </c>
      <c r="E1705" t="inlineStr">
        <is>
          <t>ÖRNSKÖLDSVIK</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5303-2022</t>
        </is>
      </c>
      <c r="B1706" s="1" t="n">
        <v>44594</v>
      </c>
      <c r="C1706" s="1" t="n">
        <v>46185</v>
      </c>
      <c r="D1706" t="inlineStr">
        <is>
          <t>VÄSTERNORRLANDS LÄN</t>
        </is>
      </c>
      <c r="E1706" t="inlineStr">
        <is>
          <t>KRAMFORS</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21569-2022</t>
        </is>
      </c>
      <c r="B1707" s="1" t="n">
        <v>44706.59162037037</v>
      </c>
      <c r="C1707" s="1" t="n">
        <v>46185</v>
      </c>
      <c r="D1707" t="inlineStr">
        <is>
          <t>VÄSTERNORRLANDS LÄN</t>
        </is>
      </c>
      <c r="E1707" t="inlineStr">
        <is>
          <t>ÖRNSKÖLDSVIK</t>
        </is>
      </c>
      <c r="F1707" t="inlineStr">
        <is>
          <t>Holmen skog AB</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69736-2021</t>
        </is>
      </c>
      <c r="B1708" s="1" t="n">
        <v>44532</v>
      </c>
      <c r="C1708" s="1" t="n">
        <v>46185</v>
      </c>
      <c r="D1708" t="inlineStr">
        <is>
          <t>VÄSTERNORRLANDS LÄN</t>
        </is>
      </c>
      <c r="E1708" t="inlineStr">
        <is>
          <t>ÅNGE</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56892-2021</t>
        </is>
      </c>
      <c r="B1709" s="1" t="n">
        <v>44481</v>
      </c>
      <c r="C1709" s="1" t="n">
        <v>46185</v>
      </c>
      <c r="D1709" t="inlineStr">
        <is>
          <t>VÄSTERNORRLANDS LÄN</t>
        </is>
      </c>
      <c r="E1709" t="inlineStr">
        <is>
          <t>SUNDSVALL</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69916-2021</t>
        </is>
      </c>
      <c r="B1710" s="1" t="n">
        <v>44532</v>
      </c>
      <c r="C1710" s="1" t="n">
        <v>46185</v>
      </c>
      <c r="D1710" t="inlineStr">
        <is>
          <t>VÄSTERNORRLANDS LÄN</t>
        </is>
      </c>
      <c r="E1710" t="inlineStr">
        <is>
          <t>SOLLEFTEÅ</t>
        </is>
      </c>
      <c r="F1710" t="inlineStr">
        <is>
          <t>SCA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69919-2021</t>
        </is>
      </c>
      <c r="B1711" s="1" t="n">
        <v>44532.94325231481</v>
      </c>
      <c r="C1711" s="1" t="n">
        <v>46185</v>
      </c>
      <c r="D1711" t="inlineStr">
        <is>
          <t>VÄSTERNORRLANDS LÄN</t>
        </is>
      </c>
      <c r="E1711" t="inlineStr">
        <is>
          <t>SOLLEFTEÅ</t>
        </is>
      </c>
      <c r="F1711" t="inlineStr">
        <is>
          <t>SCA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37891-2022</t>
        </is>
      </c>
      <c r="B1712" s="1" t="n">
        <v>44811</v>
      </c>
      <c r="C1712" s="1" t="n">
        <v>46185</v>
      </c>
      <c r="D1712" t="inlineStr">
        <is>
          <t>VÄSTERNORRLANDS LÄN</t>
        </is>
      </c>
      <c r="E1712" t="inlineStr">
        <is>
          <t>ÖRNSKÖLDSVIK</t>
        </is>
      </c>
      <c r="F1712" t="inlineStr">
        <is>
          <t>Holmen skog AB</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54146-2021</t>
        </is>
      </c>
      <c r="B1713" s="1" t="n">
        <v>44469</v>
      </c>
      <c r="C1713" s="1" t="n">
        <v>46185</v>
      </c>
      <c r="D1713" t="inlineStr">
        <is>
          <t>VÄSTERNORRLANDS LÄN</t>
        </is>
      </c>
      <c r="E1713" t="inlineStr">
        <is>
          <t>SOLLEFTEÅ</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22949-2022</t>
        </is>
      </c>
      <c r="B1714" s="1" t="n">
        <v>44715</v>
      </c>
      <c r="C1714" s="1" t="n">
        <v>46185</v>
      </c>
      <c r="D1714" t="inlineStr">
        <is>
          <t>VÄSTERNORRLANDS LÄN</t>
        </is>
      </c>
      <c r="E1714" t="inlineStr">
        <is>
          <t>KRAMFORS</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61562-2021</t>
        </is>
      </c>
      <c r="B1715" s="1" t="n">
        <v>44501</v>
      </c>
      <c r="C1715" s="1" t="n">
        <v>46185</v>
      </c>
      <c r="D1715" t="inlineStr">
        <is>
          <t>VÄSTERNORRLANDS LÄN</t>
        </is>
      </c>
      <c r="E1715" t="inlineStr">
        <is>
          <t>SUNDSVALL</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37238-2022</t>
        </is>
      </c>
      <c r="B1716" s="1" t="n">
        <v>44806</v>
      </c>
      <c r="C1716" s="1" t="n">
        <v>46185</v>
      </c>
      <c r="D1716" t="inlineStr">
        <is>
          <t>VÄSTERNORRLANDS LÄN</t>
        </is>
      </c>
      <c r="E1716" t="inlineStr">
        <is>
          <t>SUNDSVALL</t>
        </is>
      </c>
      <c r="F1716" t="inlineStr">
        <is>
          <t>SCA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37247-2022</t>
        </is>
      </c>
      <c r="B1717" s="1" t="n">
        <v>44806.94701388889</v>
      </c>
      <c r="C1717" s="1" t="n">
        <v>46185</v>
      </c>
      <c r="D1717" t="inlineStr">
        <is>
          <t>VÄSTERNORRLANDS LÄN</t>
        </is>
      </c>
      <c r="E1717" t="inlineStr">
        <is>
          <t>ÖRNSKÖLDSVIK</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5279-2022</t>
        </is>
      </c>
      <c r="B1718" s="1" t="n">
        <v>44594</v>
      </c>
      <c r="C1718" s="1" t="n">
        <v>46185</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27634-2022</t>
        </is>
      </c>
      <c r="B1719" s="1" t="n">
        <v>44742</v>
      </c>
      <c r="C1719" s="1" t="n">
        <v>46185</v>
      </c>
      <c r="D1719" t="inlineStr">
        <is>
          <t>VÄSTERNORRLANDS LÄN</t>
        </is>
      </c>
      <c r="E1719" t="inlineStr">
        <is>
          <t>ÖRNSKÖLDSVIK</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59227-2021</t>
        </is>
      </c>
      <c r="B1720" s="1" t="n">
        <v>44490</v>
      </c>
      <c r="C1720" s="1" t="n">
        <v>46185</v>
      </c>
      <c r="D1720" t="inlineStr">
        <is>
          <t>VÄSTERNORRLANDS LÄN</t>
        </is>
      </c>
      <c r="E1720" t="inlineStr">
        <is>
          <t>ÖRNSKÖLDSVIK</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31439-2022</t>
        </is>
      </c>
      <c r="B1721" s="1" t="n">
        <v>44774</v>
      </c>
      <c r="C1721" s="1" t="n">
        <v>46185</v>
      </c>
      <c r="D1721" t="inlineStr">
        <is>
          <t>VÄSTERNORRLANDS LÄN</t>
        </is>
      </c>
      <c r="E1721" t="inlineStr">
        <is>
          <t>SUNDSVALL</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31452-2022</t>
        </is>
      </c>
      <c r="B1722" s="1" t="n">
        <v>44774.9415162037</v>
      </c>
      <c r="C1722" s="1" t="n">
        <v>46185</v>
      </c>
      <c r="D1722" t="inlineStr">
        <is>
          <t>VÄSTERNORRLANDS LÄN</t>
        </is>
      </c>
      <c r="E1722" t="inlineStr">
        <is>
          <t>SOLLEFTEÅ</t>
        </is>
      </c>
      <c r="F1722" t="inlineStr">
        <is>
          <t>SCA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57212-2021</t>
        </is>
      </c>
      <c r="B1723" s="1" t="n">
        <v>44482.9406712963</v>
      </c>
      <c r="C1723" s="1" t="n">
        <v>46185</v>
      </c>
      <c r="D1723" t="inlineStr">
        <is>
          <t>VÄSTERNORRLANDS LÄN</t>
        </is>
      </c>
      <c r="E1723" t="inlineStr">
        <is>
          <t>SUNDSVALL</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57234-2021</t>
        </is>
      </c>
      <c r="B1724" s="1" t="n">
        <v>44482</v>
      </c>
      <c r="C1724" s="1" t="n">
        <v>46185</v>
      </c>
      <c r="D1724" t="inlineStr">
        <is>
          <t>VÄSTERNORRLANDS LÄN</t>
        </is>
      </c>
      <c r="E1724" t="inlineStr">
        <is>
          <t>SUNDSVALL</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55873-2022</t>
        </is>
      </c>
      <c r="B1725" s="1" t="n">
        <v>44888.92850694444</v>
      </c>
      <c r="C1725" s="1" t="n">
        <v>46185</v>
      </c>
      <c r="D1725" t="inlineStr">
        <is>
          <t>VÄSTERNORRLANDS LÄN</t>
        </is>
      </c>
      <c r="E1725" t="inlineStr">
        <is>
          <t>SUNDSVALL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55897-2022</t>
        </is>
      </c>
      <c r="B1726" s="1" t="n">
        <v>44888.95325231482</v>
      </c>
      <c r="C1726" s="1" t="n">
        <v>46185</v>
      </c>
      <c r="D1726" t="inlineStr">
        <is>
          <t>VÄSTERNORRLANDS LÄN</t>
        </is>
      </c>
      <c r="E1726" t="inlineStr">
        <is>
          <t>SUNDSVALL</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61356-2021</t>
        </is>
      </c>
      <c r="B1727" s="1" t="n">
        <v>44498.91827546297</v>
      </c>
      <c r="C1727" s="1" t="n">
        <v>46185</v>
      </c>
      <c r="D1727" t="inlineStr">
        <is>
          <t>VÄSTERNORRLANDS LÄN</t>
        </is>
      </c>
      <c r="E1727" t="inlineStr">
        <is>
          <t>ÖRNSKÖLDSVIK</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51020-2021</t>
        </is>
      </c>
      <c r="B1728" s="1" t="n">
        <v>44460</v>
      </c>
      <c r="C1728" s="1" t="n">
        <v>46185</v>
      </c>
      <c r="D1728" t="inlineStr">
        <is>
          <t>VÄSTERNORRLANDS LÄN</t>
        </is>
      </c>
      <c r="E1728" t="inlineStr">
        <is>
          <t>SOLLEFTEÅ</t>
        </is>
      </c>
      <c r="F1728" t="inlineStr">
        <is>
          <t>SCA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47410-2021</t>
        </is>
      </c>
      <c r="B1729" s="1" t="n">
        <v>44447.593125</v>
      </c>
      <c r="C1729" s="1" t="n">
        <v>46185</v>
      </c>
      <c r="D1729" t="inlineStr">
        <is>
          <t>VÄSTERNORRLANDS LÄN</t>
        </is>
      </c>
      <c r="E1729" t="inlineStr">
        <is>
          <t>ÖRNSKÖLDSVIK</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25964-2022</t>
        </is>
      </c>
      <c r="B1730" s="1" t="n">
        <v>44734</v>
      </c>
      <c r="C1730" s="1" t="n">
        <v>46185</v>
      </c>
      <c r="D1730" t="inlineStr">
        <is>
          <t>VÄSTERNORRLANDS LÄN</t>
        </is>
      </c>
      <c r="E1730" t="inlineStr">
        <is>
          <t>SUNDSVALL</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32713-2022</t>
        </is>
      </c>
      <c r="B1731" s="1" t="n">
        <v>44783.64645833334</v>
      </c>
      <c r="C1731" s="1" t="n">
        <v>46185</v>
      </c>
      <c r="D1731" t="inlineStr">
        <is>
          <t>VÄSTERNORRLANDS LÄN</t>
        </is>
      </c>
      <c r="E1731" t="inlineStr">
        <is>
          <t>ÖRNSKÖLDSVIK</t>
        </is>
      </c>
      <c r="F1731" t="inlineStr">
        <is>
          <t>Holmen skog AB</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53659-2022</t>
        </is>
      </c>
      <c r="B1732" s="1" t="n">
        <v>44879.9560300926</v>
      </c>
      <c r="C1732" s="1" t="n">
        <v>46185</v>
      </c>
      <c r="D1732" t="inlineStr">
        <is>
          <t>VÄSTERNORRLANDS LÄN</t>
        </is>
      </c>
      <c r="E1732" t="inlineStr">
        <is>
          <t>TIMRÅ</t>
        </is>
      </c>
      <c r="F1732" t="inlineStr">
        <is>
          <t>SCA</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15849-2022</t>
        </is>
      </c>
      <c r="B1733" s="1" t="n">
        <v>44664</v>
      </c>
      <c r="C1733" s="1" t="n">
        <v>46185</v>
      </c>
      <c r="D1733" t="inlineStr">
        <is>
          <t>VÄSTERNORRLANDS LÄN</t>
        </is>
      </c>
      <c r="E1733" t="inlineStr">
        <is>
          <t>HÄRNÖSAND</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60891-2021</t>
        </is>
      </c>
      <c r="B1734" s="1" t="n">
        <v>44497</v>
      </c>
      <c r="C1734" s="1" t="n">
        <v>46185</v>
      </c>
      <c r="D1734" t="inlineStr">
        <is>
          <t>VÄSTERNORRLANDS LÄN</t>
        </is>
      </c>
      <c r="E1734" t="inlineStr">
        <is>
          <t>SUNDSVALL</t>
        </is>
      </c>
      <c r="F1734" t="inlineStr">
        <is>
          <t>Kommuner</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57737-2021</t>
        </is>
      </c>
      <c r="B1735" s="1" t="n">
        <v>44484</v>
      </c>
      <c r="C1735" s="1" t="n">
        <v>46185</v>
      </c>
      <c r="D1735" t="inlineStr">
        <is>
          <t>VÄSTERNORRLANDS LÄN</t>
        </is>
      </c>
      <c r="E1735" t="inlineStr">
        <is>
          <t>KRAMFORS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31647-2022</t>
        </is>
      </c>
      <c r="B1736" s="1" t="n">
        <v>44775.94328703704</v>
      </c>
      <c r="C1736" s="1" t="n">
        <v>46185</v>
      </c>
      <c r="D1736" t="inlineStr">
        <is>
          <t>VÄSTERNORRLANDS LÄN</t>
        </is>
      </c>
      <c r="E1736" t="inlineStr">
        <is>
          <t>ÅNGE</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66560-2021</t>
        </is>
      </c>
      <c r="B1737" s="1" t="n">
        <v>44519</v>
      </c>
      <c r="C1737" s="1" t="n">
        <v>46185</v>
      </c>
      <c r="D1737" t="inlineStr">
        <is>
          <t>VÄSTERNORRLANDS LÄN</t>
        </is>
      </c>
      <c r="E1737" t="inlineStr">
        <is>
          <t>ÅNGE</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51506-2022</t>
        </is>
      </c>
      <c r="B1738" s="1" t="n">
        <v>44869</v>
      </c>
      <c r="C1738" s="1" t="n">
        <v>46185</v>
      </c>
      <c r="D1738" t="inlineStr">
        <is>
          <t>VÄSTERNORRLANDS LÄN</t>
        </is>
      </c>
      <c r="E1738" t="inlineStr">
        <is>
          <t>ÖRNSKÖLDSVIK</t>
        </is>
      </c>
      <c r="F1738" t="inlineStr">
        <is>
          <t>Holmen skog AB</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36212-2022</t>
        </is>
      </c>
      <c r="B1739" s="1" t="n">
        <v>44803</v>
      </c>
      <c r="C1739" s="1" t="n">
        <v>46185</v>
      </c>
      <c r="D1739" t="inlineStr">
        <is>
          <t>VÄSTERNORRLANDS LÄN</t>
        </is>
      </c>
      <c r="E1739" t="inlineStr">
        <is>
          <t>KRAMFORS</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55283-2022</t>
        </is>
      </c>
      <c r="B1740" s="1" t="n">
        <v>44882</v>
      </c>
      <c r="C1740" s="1" t="n">
        <v>46185</v>
      </c>
      <c r="D1740" t="inlineStr">
        <is>
          <t>VÄSTERNORRLANDS LÄN</t>
        </is>
      </c>
      <c r="E1740" t="inlineStr">
        <is>
          <t>ÖRNSKÖLDSVIK</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51317-2022</t>
        </is>
      </c>
      <c r="B1741" s="1" t="n">
        <v>44868</v>
      </c>
      <c r="C1741" s="1" t="n">
        <v>46185</v>
      </c>
      <c r="D1741" t="inlineStr">
        <is>
          <t>VÄSTERNORRLANDS LÄN</t>
        </is>
      </c>
      <c r="E1741" t="inlineStr">
        <is>
          <t>SOLLEFTEÅ</t>
        </is>
      </c>
      <c r="F1741" t="inlineStr">
        <is>
          <t>SCA</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30247-2022</t>
        </is>
      </c>
      <c r="B1742" s="1" t="n">
        <v>44758</v>
      </c>
      <c r="C1742" s="1" t="n">
        <v>46185</v>
      </c>
      <c r="D1742" t="inlineStr">
        <is>
          <t>VÄSTERNORRLANDS LÄN</t>
        </is>
      </c>
      <c r="E1742" t="inlineStr">
        <is>
          <t>ÖRNSKÖLDSVIK</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24355-2022</t>
        </is>
      </c>
      <c r="B1743" s="1" t="n">
        <v>44726.3816087963</v>
      </c>
      <c r="C1743" s="1" t="n">
        <v>46185</v>
      </c>
      <c r="D1743" t="inlineStr">
        <is>
          <t>VÄSTERNORRLANDS LÄN</t>
        </is>
      </c>
      <c r="E1743" t="inlineStr">
        <is>
          <t>ÅNGE</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30237-2022</t>
        </is>
      </c>
      <c r="B1744" s="1" t="n">
        <v>44757.94412037037</v>
      </c>
      <c r="C1744" s="1" t="n">
        <v>46185</v>
      </c>
      <c r="D1744" t="inlineStr">
        <is>
          <t>VÄSTERNORRLANDS LÄN</t>
        </is>
      </c>
      <c r="E1744" t="inlineStr">
        <is>
          <t>SOLLEFTEÅ</t>
        </is>
      </c>
      <c r="F1744" t="inlineStr">
        <is>
          <t>SCA</t>
        </is>
      </c>
      <c r="G1744" t="n">
        <v>8.1</v>
      </c>
      <c r="H1744" t="n">
        <v>0</v>
      </c>
      <c r="I1744" t="n">
        <v>0</v>
      </c>
      <c r="J1744" t="n">
        <v>0</v>
      </c>
      <c r="K1744" t="n">
        <v>0</v>
      </c>
      <c r="L1744" t="n">
        <v>0</v>
      </c>
      <c r="M1744" t="n">
        <v>0</v>
      </c>
      <c r="N1744" t="n">
        <v>0</v>
      </c>
      <c r="O1744" t="n">
        <v>0</v>
      </c>
      <c r="P1744" t="n">
        <v>0</v>
      </c>
      <c r="Q1744" t="n">
        <v>0</v>
      </c>
      <c r="R1744" s="2" t="inlineStr"/>
    </row>
    <row r="1745" ht="15" customHeight="1">
      <c r="A1745" t="inlineStr">
        <is>
          <t>A 64433-2021</t>
        </is>
      </c>
      <c r="B1745" s="1" t="n">
        <v>44511</v>
      </c>
      <c r="C1745" s="1" t="n">
        <v>46185</v>
      </c>
      <c r="D1745" t="inlineStr">
        <is>
          <t>VÄSTERNORRLANDS LÄN</t>
        </is>
      </c>
      <c r="E1745" t="inlineStr">
        <is>
          <t>TIMRÅ</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26023-2022</t>
        </is>
      </c>
      <c r="B1746" s="1" t="n">
        <v>44734</v>
      </c>
      <c r="C1746" s="1" t="n">
        <v>46185</v>
      </c>
      <c r="D1746" t="inlineStr">
        <is>
          <t>VÄSTERNORRLANDS LÄN</t>
        </is>
      </c>
      <c r="E1746" t="inlineStr">
        <is>
          <t>ÖRNSKÖLDSVIK</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35507-2022</t>
        </is>
      </c>
      <c r="B1747" s="1" t="n">
        <v>44798</v>
      </c>
      <c r="C1747" s="1" t="n">
        <v>46185</v>
      </c>
      <c r="D1747" t="inlineStr">
        <is>
          <t>VÄSTERNORRLANDS LÄN</t>
        </is>
      </c>
      <c r="E1747" t="inlineStr">
        <is>
          <t>ÅNGE</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24008-2022</t>
        </is>
      </c>
      <c r="B1748" s="1" t="n">
        <v>44722.94112268519</v>
      </c>
      <c r="C1748" s="1" t="n">
        <v>46185</v>
      </c>
      <c r="D1748" t="inlineStr">
        <is>
          <t>VÄSTERNORRLANDS LÄN</t>
        </is>
      </c>
      <c r="E1748" t="inlineStr">
        <is>
          <t>SOLLEFTEÅ</t>
        </is>
      </c>
      <c r="F1748" t="inlineStr">
        <is>
          <t>SCA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59545-2021</t>
        </is>
      </c>
      <c r="B1749" s="1" t="n">
        <v>44491</v>
      </c>
      <c r="C1749" s="1" t="n">
        <v>46185</v>
      </c>
      <c r="D1749" t="inlineStr">
        <is>
          <t>VÄSTERNORRLANDS LÄN</t>
        </is>
      </c>
      <c r="E1749" t="inlineStr">
        <is>
          <t>ÖRNSKÖLDSVIK</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10680-2022</t>
        </is>
      </c>
      <c r="B1750" s="1" t="n">
        <v>44624</v>
      </c>
      <c r="C1750" s="1" t="n">
        <v>46185</v>
      </c>
      <c r="D1750" t="inlineStr">
        <is>
          <t>VÄSTERNORRLANDS LÄN</t>
        </is>
      </c>
      <c r="E1750" t="inlineStr">
        <is>
          <t>ÅNGE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62870-2021</t>
        </is>
      </c>
      <c r="B1751" s="1" t="n">
        <v>44503</v>
      </c>
      <c r="C1751" s="1" t="n">
        <v>46185</v>
      </c>
      <c r="D1751" t="inlineStr">
        <is>
          <t>VÄSTERNORRLANDS LÄN</t>
        </is>
      </c>
      <c r="E1751" t="inlineStr">
        <is>
          <t>ÅNGE</t>
        </is>
      </c>
      <c r="F1751" t="inlineStr">
        <is>
          <t>Övriga statliga verk och myndigheter</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30408-2022</t>
        </is>
      </c>
      <c r="B1752" s="1" t="n">
        <v>44761.37563657408</v>
      </c>
      <c r="C1752" s="1" t="n">
        <v>46185</v>
      </c>
      <c r="D1752" t="inlineStr">
        <is>
          <t>VÄSTERNORRLANDS LÄN</t>
        </is>
      </c>
      <c r="E1752" t="inlineStr">
        <is>
          <t>ÖRNSKÖLDSVIK</t>
        </is>
      </c>
      <c r="F1752" t="inlineStr">
        <is>
          <t>Holmen skog AB</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10686-2022</t>
        </is>
      </c>
      <c r="B1753" s="1" t="n">
        <v>44624.92680555556</v>
      </c>
      <c r="C1753" s="1" t="n">
        <v>46185</v>
      </c>
      <c r="D1753" t="inlineStr">
        <is>
          <t>VÄSTERNORRLANDS LÄN</t>
        </is>
      </c>
      <c r="E1753" t="inlineStr">
        <is>
          <t>ÅNGE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39943-2022</t>
        </is>
      </c>
      <c r="B1754" s="1" t="n">
        <v>44819.94916666667</v>
      </c>
      <c r="C1754" s="1" t="n">
        <v>46185</v>
      </c>
      <c r="D1754" t="inlineStr">
        <is>
          <t>VÄSTERNORRLANDS LÄN</t>
        </is>
      </c>
      <c r="E1754" t="inlineStr">
        <is>
          <t>SOLLEFTEÅ</t>
        </is>
      </c>
      <c r="F1754" t="inlineStr">
        <is>
          <t>SCA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28700-2022</t>
        </is>
      </c>
      <c r="B1755" s="1" t="n">
        <v>44748</v>
      </c>
      <c r="C1755" s="1" t="n">
        <v>46185</v>
      </c>
      <c r="D1755" t="inlineStr">
        <is>
          <t>VÄSTERNORRLANDS LÄN</t>
        </is>
      </c>
      <c r="E1755" t="inlineStr">
        <is>
          <t>SOLLEFTEÅ</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28708-2022</t>
        </is>
      </c>
      <c r="B1756" s="1" t="n">
        <v>44748</v>
      </c>
      <c r="C1756" s="1" t="n">
        <v>46185</v>
      </c>
      <c r="D1756" t="inlineStr">
        <is>
          <t>VÄSTERNORRLANDS LÄN</t>
        </is>
      </c>
      <c r="E1756" t="inlineStr">
        <is>
          <t>SUNDSVALL</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30013-2022</t>
        </is>
      </c>
      <c r="B1757" s="1" t="n">
        <v>44756</v>
      </c>
      <c r="C1757" s="1" t="n">
        <v>46185</v>
      </c>
      <c r="D1757" t="inlineStr">
        <is>
          <t>VÄSTERNORRLANDS LÄN</t>
        </is>
      </c>
      <c r="E1757" t="inlineStr">
        <is>
          <t>SOLLEFTEÅ</t>
        </is>
      </c>
      <c r="F1757" t="inlineStr">
        <is>
          <t>SCA</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30041-2022</t>
        </is>
      </c>
      <c r="B1758" s="1" t="n">
        <v>44756</v>
      </c>
      <c r="C1758" s="1" t="n">
        <v>46185</v>
      </c>
      <c r="D1758" t="inlineStr">
        <is>
          <t>VÄSTERNORRLANDS LÄN</t>
        </is>
      </c>
      <c r="E1758" t="inlineStr">
        <is>
          <t>SOLLEFTEÅ</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36554-2022</t>
        </is>
      </c>
      <c r="B1759" s="1" t="n">
        <v>44804</v>
      </c>
      <c r="C1759" s="1" t="n">
        <v>46185</v>
      </c>
      <c r="D1759" t="inlineStr">
        <is>
          <t>VÄSTERNORRLANDS LÄN</t>
        </is>
      </c>
      <c r="E1759" t="inlineStr">
        <is>
          <t>ÖRNSKÖLDSVIK</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36649-2022</t>
        </is>
      </c>
      <c r="B1760" s="1" t="n">
        <v>44804</v>
      </c>
      <c r="C1760" s="1" t="n">
        <v>46185</v>
      </c>
      <c r="D1760" t="inlineStr">
        <is>
          <t>VÄSTERNORRLANDS LÄN</t>
        </is>
      </c>
      <c r="E1760" t="inlineStr">
        <is>
          <t>HÄRNÖSAND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14084-2022</t>
        </is>
      </c>
      <c r="B1761" s="1" t="n">
        <v>44651</v>
      </c>
      <c r="C1761" s="1" t="n">
        <v>46185</v>
      </c>
      <c r="D1761" t="inlineStr">
        <is>
          <t>VÄSTERNORRLANDS LÄN</t>
        </is>
      </c>
      <c r="E1761" t="inlineStr">
        <is>
          <t>ÅNGE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14091-2022</t>
        </is>
      </c>
      <c r="B1762" s="1" t="n">
        <v>44651</v>
      </c>
      <c r="C1762" s="1" t="n">
        <v>46185</v>
      </c>
      <c r="D1762" t="inlineStr">
        <is>
          <t>VÄSTERNORRLANDS LÄN</t>
        </is>
      </c>
      <c r="E1762" t="inlineStr">
        <is>
          <t>ÅNGE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23556-2022</t>
        </is>
      </c>
      <c r="B1763" s="1" t="n">
        <v>44721</v>
      </c>
      <c r="C1763" s="1" t="n">
        <v>46185</v>
      </c>
      <c r="D1763" t="inlineStr">
        <is>
          <t>VÄSTERNORRLANDS LÄN</t>
        </is>
      </c>
      <c r="E1763" t="inlineStr">
        <is>
          <t>SUNDSVALL</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38430-2022</t>
        </is>
      </c>
      <c r="B1764" s="1" t="n">
        <v>44812</v>
      </c>
      <c r="C1764" s="1" t="n">
        <v>46185</v>
      </c>
      <c r="D1764" t="inlineStr">
        <is>
          <t>VÄSTERNORRLANDS LÄN</t>
        </is>
      </c>
      <c r="E1764" t="inlineStr">
        <is>
          <t>SOLLEFTEÅ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42281-2022</t>
        </is>
      </c>
      <c r="B1765" s="1" t="n">
        <v>44830</v>
      </c>
      <c r="C1765" s="1" t="n">
        <v>46185</v>
      </c>
      <c r="D1765" t="inlineStr">
        <is>
          <t>VÄSTERNORRLANDS LÄN</t>
        </is>
      </c>
      <c r="E1765" t="inlineStr">
        <is>
          <t>TIMRÅ</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45829-2022</t>
        </is>
      </c>
      <c r="B1766" s="1" t="n">
        <v>44846.48697916666</v>
      </c>
      <c r="C1766" s="1" t="n">
        <v>46185</v>
      </c>
      <c r="D1766" t="inlineStr">
        <is>
          <t>VÄSTERNORRLANDS LÄN</t>
        </is>
      </c>
      <c r="E1766" t="inlineStr">
        <is>
          <t>ÖRNSKÖLDSVIK</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11294-2022</t>
        </is>
      </c>
      <c r="B1767" s="1" t="n">
        <v>44629</v>
      </c>
      <c r="C1767" s="1" t="n">
        <v>46185</v>
      </c>
      <c r="D1767" t="inlineStr">
        <is>
          <t>VÄSTERNORRLANDS LÄN</t>
        </is>
      </c>
      <c r="E1767" t="inlineStr">
        <is>
          <t>KRAMFORS</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42320-2022</t>
        </is>
      </c>
      <c r="B1768" s="1" t="n">
        <v>44831</v>
      </c>
      <c r="C1768" s="1" t="n">
        <v>46185</v>
      </c>
      <c r="D1768" t="inlineStr">
        <is>
          <t>VÄSTERNORRLANDS LÄN</t>
        </is>
      </c>
      <c r="E1768" t="inlineStr">
        <is>
          <t>ÖRNSKÖLDSVIK</t>
        </is>
      </c>
      <c r="G1768" t="n">
        <v>0.1</v>
      </c>
      <c r="H1768" t="n">
        <v>0</v>
      </c>
      <c r="I1768" t="n">
        <v>0</v>
      </c>
      <c r="J1768" t="n">
        <v>0</v>
      </c>
      <c r="K1768" t="n">
        <v>0</v>
      </c>
      <c r="L1768" t="n">
        <v>0</v>
      </c>
      <c r="M1768" t="n">
        <v>0</v>
      </c>
      <c r="N1768" t="n">
        <v>0</v>
      </c>
      <c r="O1768" t="n">
        <v>0</v>
      </c>
      <c r="P1768" t="n">
        <v>0</v>
      </c>
      <c r="Q1768" t="n">
        <v>0</v>
      </c>
      <c r="R1768" s="2" t="inlineStr"/>
    </row>
    <row r="1769" ht="15" customHeight="1">
      <c r="A1769" t="inlineStr">
        <is>
          <t>A 41248-2022</t>
        </is>
      </c>
      <c r="B1769" s="1" t="n">
        <v>44826.36435185185</v>
      </c>
      <c r="C1769" s="1" t="n">
        <v>46185</v>
      </c>
      <c r="D1769" t="inlineStr">
        <is>
          <t>VÄSTERNORRLANDS LÄN</t>
        </is>
      </c>
      <c r="E1769" t="inlineStr">
        <is>
          <t>ÖRNSKÖLDSVIK</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26415-2022</t>
        </is>
      </c>
      <c r="B1770" s="1" t="n">
        <v>44735</v>
      </c>
      <c r="C1770" s="1" t="n">
        <v>46185</v>
      </c>
      <c r="D1770" t="inlineStr">
        <is>
          <t>VÄSTERNORRLANDS LÄN</t>
        </is>
      </c>
      <c r="E1770" t="inlineStr">
        <is>
          <t>SOLLEFTEÅ</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28848-2022</t>
        </is>
      </c>
      <c r="B1771" s="1" t="n">
        <v>44749.47483796296</v>
      </c>
      <c r="C1771" s="1" t="n">
        <v>46185</v>
      </c>
      <c r="D1771" t="inlineStr">
        <is>
          <t>VÄSTERNORRLANDS LÄN</t>
        </is>
      </c>
      <c r="E1771" t="inlineStr">
        <is>
          <t>ÖRNSKÖLDSVIK</t>
        </is>
      </c>
      <c r="F1771" t="inlineStr">
        <is>
          <t>Holmen skog AB</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42319-2021</t>
        </is>
      </c>
      <c r="B1772" s="1" t="n">
        <v>44427</v>
      </c>
      <c r="C1772" s="1" t="n">
        <v>46185</v>
      </c>
      <c r="D1772" t="inlineStr">
        <is>
          <t>VÄSTERNORRLANDS LÄN</t>
        </is>
      </c>
      <c r="E1772" t="inlineStr">
        <is>
          <t>ÖRNSKÖLDSVIK</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5297-2022</t>
        </is>
      </c>
      <c r="B1773" s="1" t="n">
        <v>44594</v>
      </c>
      <c r="C1773" s="1" t="n">
        <v>46185</v>
      </c>
      <c r="D1773" t="inlineStr">
        <is>
          <t>VÄSTERNORRLANDS LÄN</t>
        </is>
      </c>
      <c r="E1773" t="inlineStr">
        <is>
          <t>KRAMFORS</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42339-2021</t>
        </is>
      </c>
      <c r="B1774" s="1" t="n">
        <v>44427</v>
      </c>
      <c r="C1774" s="1" t="n">
        <v>46185</v>
      </c>
      <c r="D1774" t="inlineStr">
        <is>
          <t>VÄSTERNORRLANDS LÄN</t>
        </is>
      </c>
      <c r="E1774" t="inlineStr">
        <is>
          <t>ÖRNSKÖLDSVIK</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5366-2022</t>
        </is>
      </c>
      <c r="B1775" s="1" t="n">
        <v>44594.92107638889</v>
      </c>
      <c r="C1775" s="1" t="n">
        <v>46185</v>
      </c>
      <c r="D1775" t="inlineStr">
        <is>
          <t>VÄSTERNORRLANDS LÄN</t>
        </is>
      </c>
      <c r="E1775" t="inlineStr">
        <is>
          <t>ÅNGE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41196-2022</t>
        </is>
      </c>
      <c r="B1776" s="1" t="n">
        <v>44825.94994212963</v>
      </c>
      <c r="C1776" s="1" t="n">
        <v>46185</v>
      </c>
      <c r="D1776" t="inlineStr">
        <is>
          <t>VÄSTERNORRLANDS LÄN</t>
        </is>
      </c>
      <c r="E1776" t="inlineStr">
        <is>
          <t>SOLLEFTEÅ</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3549-2022</t>
        </is>
      </c>
      <c r="B1777" s="1" t="n">
        <v>44585</v>
      </c>
      <c r="C1777" s="1" t="n">
        <v>46185</v>
      </c>
      <c r="D1777" t="inlineStr">
        <is>
          <t>VÄSTERNORRLANDS LÄN</t>
        </is>
      </c>
      <c r="E1777" t="inlineStr">
        <is>
          <t>SOLLEFTEÅ</t>
        </is>
      </c>
      <c r="F1777" t="inlineStr">
        <is>
          <t>SCA</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68876-2021</t>
        </is>
      </c>
      <c r="B1778" s="1" t="n">
        <v>44530</v>
      </c>
      <c r="C1778" s="1" t="n">
        <v>46185</v>
      </c>
      <c r="D1778" t="inlineStr">
        <is>
          <t>VÄSTERNORRLANDS LÄN</t>
        </is>
      </c>
      <c r="E1778" t="inlineStr">
        <is>
          <t>ÖRNSKÖLDSVIK</t>
        </is>
      </c>
      <c r="G1778" t="n">
        <v>7.3</v>
      </c>
      <c r="H1778" t="n">
        <v>0</v>
      </c>
      <c r="I1778" t="n">
        <v>0</v>
      </c>
      <c r="J1778" t="n">
        <v>0</v>
      </c>
      <c r="K1778" t="n">
        <v>0</v>
      </c>
      <c r="L1778" t="n">
        <v>0</v>
      </c>
      <c r="M1778" t="n">
        <v>0</v>
      </c>
      <c r="N1778" t="n">
        <v>0</v>
      </c>
      <c r="O1778" t="n">
        <v>0</v>
      </c>
      <c r="P1778" t="n">
        <v>0</v>
      </c>
      <c r="Q1778" t="n">
        <v>0</v>
      </c>
      <c r="R1778" s="2" t="inlineStr"/>
    </row>
    <row r="1779" ht="15" customHeight="1">
      <c r="A1779" t="inlineStr">
        <is>
          <t>A 3551-2022</t>
        </is>
      </c>
      <c r="B1779" s="1" t="n">
        <v>44585.93800925926</v>
      </c>
      <c r="C1779" s="1" t="n">
        <v>46185</v>
      </c>
      <c r="D1779" t="inlineStr">
        <is>
          <t>VÄSTERNORRLANDS LÄN</t>
        </is>
      </c>
      <c r="E1779" t="inlineStr">
        <is>
          <t>SOLLEFTEÅ</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44843-2022</t>
        </is>
      </c>
      <c r="B1780" s="1" t="n">
        <v>44839</v>
      </c>
      <c r="C1780" s="1" t="n">
        <v>46185</v>
      </c>
      <c r="D1780" t="inlineStr">
        <is>
          <t>VÄSTERNORRLANDS LÄN</t>
        </is>
      </c>
      <c r="E1780" t="inlineStr">
        <is>
          <t>ÖRNSKÖLDSVIK</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73886-2021</t>
        </is>
      </c>
      <c r="B1781" s="1" t="n">
        <v>44553</v>
      </c>
      <c r="C1781" s="1" t="n">
        <v>46185</v>
      </c>
      <c r="D1781" t="inlineStr">
        <is>
          <t>VÄSTERNORRLANDS LÄN</t>
        </is>
      </c>
      <c r="E1781" t="inlineStr">
        <is>
          <t>SOLLEFTEÅ</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8581-2022</t>
        </is>
      </c>
      <c r="B1782" s="1" t="n">
        <v>44613</v>
      </c>
      <c r="C1782" s="1" t="n">
        <v>46185</v>
      </c>
      <c r="D1782" t="inlineStr">
        <is>
          <t>VÄSTERNORRLANDS LÄN</t>
        </is>
      </c>
      <c r="E1782" t="inlineStr">
        <is>
          <t>ÖRNSKÖLDSVIK</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36034-2021</t>
        </is>
      </c>
      <c r="B1783" s="1" t="n">
        <v>44385</v>
      </c>
      <c r="C1783" s="1" t="n">
        <v>46185</v>
      </c>
      <c r="D1783" t="inlineStr">
        <is>
          <t>VÄSTERNORRLANDS LÄN</t>
        </is>
      </c>
      <c r="E1783" t="inlineStr">
        <is>
          <t>ÖRNSKÖLDSVIK</t>
        </is>
      </c>
      <c r="G1783" t="n">
        <v>15.6</v>
      </c>
      <c r="H1783" t="n">
        <v>0</v>
      </c>
      <c r="I1783" t="n">
        <v>0</v>
      </c>
      <c r="J1783" t="n">
        <v>0</v>
      </c>
      <c r="K1783" t="n">
        <v>0</v>
      </c>
      <c r="L1783" t="n">
        <v>0</v>
      </c>
      <c r="M1783" t="n">
        <v>0</v>
      </c>
      <c r="N1783" t="n">
        <v>0</v>
      </c>
      <c r="O1783" t="n">
        <v>0</v>
      </c>
      <c r="P1783" t="n">
        <v>0</v>
      </c>
      <c r="Q1783" t="n">
        <v>0</v>
      </c>
      <c r="R1783" s="2" t="inlineStr"/>
    </row>
    <row r="1784" ht="15" customHeight="1">
      <c r="A1784" t="inlineStr">
        <is>
          <t>A 5654-2022</t>
        </is>
      </c>
      <c r="B1784" s="1" t="n">
        <v>44595</v>
      </c>
      <c r="C1784" s="1" t="n">
        <v>46185</v>
      </c>
      <c r="D1784" t="inlineStr">
        <is>
          <t>VÄSTERNORRLANDS LÄN</t>
        </is>
      </c>
      <c r="E1784" t="inlineStr">
        <is>
          <t>SUNDSVALL</t>
        </is>
      </c>
      <c r="F1784" t="inlineStr">
        <is>
          <t>SCA</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35574-2021</t>
        </is>
      </c>
      <c r="B1785" s="1" t="n">
        <v>44385.93663194445</v>
      </c>
      <c r="C1785" s="1" t="n">
        <v>46185</v>
      </c>
      <c r="D1785" t="inlineStr">
        <is>
          <t>VÄSTERNORRLANDS LÄN</t>
        </is>
      </c>
      <c r="E1785" t="inlineStr">
        <is>
          <t>SOLLEFTEÅ</t>
        </is>
      </c>
      <c r="F1785" t="inlineStr">
        <is>
          <t>SCA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35867-2022</t>
        </is>
      </c>
      <c r="B1786" s="1" t="n">
        <v>44802</v>
      </c>
      <c r="C1786" s="1" t="n">
        <v>46185</v>
      </c>
      <c r="D1786" t="inlineStr">
        <is>
          <t>VÄSTERNORRLANDS LÄN</t>
        </is>
      </c>
      <c r="E1786" t="inlineStr">
        <is>
          <t>KRAMFORS</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35181-2021</t>
        </is>
      </c>
      <c r="B1787" s="1" t="n">
        <v>44384</v>
      </c>
      <c r="C1787" s="1" t="n">
        <v>46185</v>
      </c>
      <c r="D1787" t="inlineStr">
        <is>
          <t>VÄSTERNORRLANDS LÄN</t>
        </is>
      </c>
      <c r="E1787" t="inlineStr">
        <is>
          <t>HÄRNÖSAND</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46351-2022</t>
        </is>
      </c>
      <c r="B1788" s="1" t="n">
        <v>44847</v>
      </c>
      <c r="C1788" s="1" t="n">
        <v>46185</v>
      </c>
      <c r="D1788" t="inlineStr">
        <is>
          <t>VÄSTERNORRLANDS LÄN</t>
        </is>
      </c>
      <c r="E1788" t="inlineStr">
        <is>
          <t>ÅNGE</t>
        </is>
      </c>
      <c r="F1788" t="inlineStr">
        <is>
          <t>SCA</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38095-2022</t>
        </is>
      </c>
      <c r="B1789" s="1" t="n">
        <v>44811</v>
      </c>
      <c r="C1789" s="1" t="n">
        <v>46185</v>
      </c>
      <c r="D1789" t="inlineStr">
        <is>
          <t>VÄSTERNORRLANDS LÄN</t>
        </is>
      </c>
      <c r="E1789" t="inlineStr">
        <is>
          <t>SOLLEFTEÅ</t>
        </is>
      </c>
      <c r="F1789" t="inlineStr">
        <is>
          <t>SCA</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44406-2022</t>
        </is>
      </c>
      <c r="B1790" s="1" t="n">
        <v>44838</v>
      </c>
      <c r="C1790" s="1" t="n">
        <v>46185</v>
      </c>
      <c r="D1790" t="inlineStr">
        <is>
          <t>VÄSTERNORRLANDS LÄN</t>
        </is>
      </c>
      <c r="E1790" t="inlineStr">
        <is>
          <t>SUNDSVALL</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44413-2022</t>
        </is>
      </c>
      <c r="B1791" s="1" t="n">
        <v>44839.92630787037</v>
      </c>
      <c r="C1791" s="1" t="n">
        <v>46185</v>
      </c>
      <c r="D1791" t="inlineStr">
        <is>
          <t>VÄSTERNORRLANDS LÄN</t>
        </is>
      </c>
      <c r="E1791" t="inlineStr">
        <is>
          <t>ÅNGE</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44415-2022</t>
        </is>
      </c>
      <c r="B1792" s="1" t="n">
        <v>44839</v>
      </c>
      <c r="C1792" s="1" t="n">
        <v>46185</v>
      </c>
      <c r="D1792" t="inlineStr">
        <is>
          <t>VÄSTERNORRLANDS LÄN</t>
        </is>
      </c>
      <c r="E1792" t="inlineStr">
        <is>
          <t>SUNDSVALL</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44416-2022</t>
        </is>
      </c>
      <c r="B1793" s="1" t="n">
        <v>44839</v>
      </c>
      <c r="C1793" s="1" t="n">
        <v>46185</v>
      </c>
      <c r="D1793" t="inlineStr">
        <is>
          <t>VÄSTERNORRLANDS LÄN</t>
        </is>
      </c>
      <c r="E1793" t="inlineStr">
        <is>
          <t>SUNDSVALL</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53012-2022</t>
        </is>
      </c>
      <c r="B1794" s="1" t="n">
        <v>44875.95450231482</v>
      </c>
      <c r="C1794" s="1" t="n">
        <v>46185</v>
      </c>
      <c r="D1794" t="inlineStr">
        <is>
          <t>VÄSTERNORRLANDS LÄN</t>
        </is>
      </c>
      <c r="E1794" t="inlineStr">
        <is>
          <t>SOLLEFTEÅ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10308-2022</t>
        </is>
      </c>
      <c r="B1795" s="1" t="n">
        <v>44622</v>
      </c>
      <c r="C1795" s="1" t="n">
        <v>46185</v>
      </c>
      <c r="D1795" t="inlineStr">
        <is>
          <t>VÄSTERNORRLANDS LÄN</t>
        </is>
      </c>
      <c r="E1795" t="inlineStr">
        <is>
          <t>SOLLEFTEÅ</t>
        </is>
      </c>
      <c r="F1795" t="inlineStr">
        <is>
          <t>SCA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10141-2022</t>
        </is>
      </c>
      <c r="B1796" s="1" t="n">
        <v>44621</v>
      </c>
      <c r="C1796" s="1" t="n">
        <v>46185</v>
      </c>
      <c r="D1796" t="inlineStr">
        <is>
          <t>VÄSTERNORRLANDS LÄN</t>
        </is>
      </c>
      <c r="E1796" t="inlineStr">
        <is>
          <t>SOLLEFTEÅ</t>
        </is>
      </c>
      <c r="F1796" t="inlineStr">
        <is>
          <t>SCA</t>
        </is>
      </c>
      <c r="G1796" t="n">
        <v>15.5</v>
      </c>
      <c r="H1796" t="n">
        <v>0</v>
      </c>
      <c r="I1796" t="n">
        <v>0</v>
      </c>
      <c r="J1796" t="n">
        <v>0</v>
      </c>
      <c r="K1796" t="n">
        <v>0</v>
      </c>
      <c r="L1796" t="n">
        <v>0</v>
      </c>
      <c r="M1796" t="n">
        <v>0</v>
      </c>
      <c r="N1796" t="n">
        <v>0</v>
      </c>
      <c r="O1796" t="n">
        <v>0</v>
      </c>
      <c r="P1796" t="n">
        <v>0</v>
      </c>
      <c r="Q1796" t="n">
        <v>0</v>
      </c>
      <c r="R1796" s="2" t="inlineStr"/>
    </row>
    <row r="1797" ht="15" customHeight="1">
      <c r="A1797" t="inlineStr">
        <is>
          <t>A 10198-2022</t>
        </is>
      </c>
      <c r="B1797" s="1" t="n">
        <v>44622.44116898148</v>
      </c>
      <c r="C1797" s="1" t="n">
        <v>46185</v>
      </c>
      <c r="D1797" t="inlineStr">
        <is>
          <t>VÄSTERNORRLANDS LÄN</t>
        </is>
      </c>
      <c r="E1797" t="inlineStr">
        <is>
          <t>SOLLEFTEÅ</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10311-2022</t>
        </is>
      </c>
      <c r="B1798" s="1" t="n">
        <v>44622.94049768519</v>
      </c>
      <c r="C1798" s="1" t="n">
        <v>46185</v>
      </c>
      <c r="D1798" t="inlineStr">
        <is>
          <t>VÄSTERNORRLANDS LÄN</t>
        </is>
      </c>
      <c r="E1798" t="inlineStr">
        <is>
          <t>SOLLEFTEÅ</t>
        </is>
      </c>
      <c r="F1798" t="inlineStr">
        <is>
          <t>SCA</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43848-2021</t>
        </is>
      </c>
      <c r="B1799" s="1" t="n">
        <v>44433.94230324074</v>
      </c>
      <c r="C1799" s="1" t="n">
        <v>46185</v>
      </c>
      <c r="D1799" t="inlineStr">
        <is>
          <t>VÄSTERNORRLANDS LÄN</t>
        </is>
      </c>
      <c r="E1799" t="inlineStr">
        <is>
          <t>TIMRÅ</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10309-2022</t>
        </is>
      </c>
      <c r="B1800" s="1" t="n">
        <v>44622</v>
      </c>
      <c r="C1800" s="1" t="n">
        <v>46185</v>
      </c>
      <c r="D1800" t="inlineStr">
        <is>
          <t>VÄSTERNORRLANDS LÄN</t>
        </is>
      </c>
      <c r="E1800" t="inlineStr">
        <is>
          <t>SOLLEFTEÅ</t>
        </is>
      </c>
      <c r="F1800" t="inlineStr">
        <is>
          <t>SCA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10310-2022</t>
        </is>
      </c>
      <c r="B1801" s="1" t="n">
        <v>44622.94043981482</v>
      </c>
      <c r="C1801" s="1" t="n">
        <v>46185</v>
      </c>
      <c r="D1801" t="inlineStr">
        <is>
          <t>VÄSTERNORRLANDS LÄN</t>
        </is>
      </c>
      <c r="E1801" t="inlineStr">
        <is>
          <t>SOLLEFTEÅ</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45441-2021</t>
        </is>
      </c>
      <c r="B1802" s="1" t="n">
        <v>44440</v>
      </c>
      <c r="C1802" s="1" t="n">
        <v>46185</v>
      </c>
      <c r="D1802" t="inlineStr">
        <is>
          <t>VÄSTERNORRLANDS LÄN</t>
        </is>
      </c>
      <c r="E1802" t="inlineStr">
        <is>
          <t>TIMRÅ</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22194-2022</t>
        </is>
      </c>
      <c r="B1803" s="1" t="n">
        <v>44712</v>
      </c>
      <c r="C1803" s="1" t="n">
        <v>46185</v>
      </c>
      <c r="D1803" t="inlineStr">
        <is>
          <t>VÄSTERNORRLANDS LÄN</t>
        </is>
      </c>
      <c r="E1803" t="inlineStr">
        <is>
          <t>TIMRÅ</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63699-2021</t>
        </is>
      </c>
      <c r="B1804" s="1" t="n">
        <v>44509.40767361111</v>
      </c>
      <c r="C1804" s="1" t="n">
        <v>46185</v>
      </c>
      <c r="D1804" t="inlineStr">
        <is>
          <t>VÄSTERNORRLANDS LÄN</t>
        </is>
      </c>
      <c r="E1804" t="inlineStr">
        <is>
          <t>KRAMFORS</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55896-2022</t>
        </is>
      </c>
      <c r="B1805" s="1" t="n">
        <v>44888.95318287037</v>
      </c>
      <c r="C1805" s="1" t="n">
        <v>46185</v>
      </c>
      <c r="D1805" t="inlineStr">
        <is>
          <t>VÄSTERNORRLANDS LÄN</t>
        </is>
      </c>
      <c r="E1805" t="inlineStr">
        <is>
          <t>SUNDSVALL</t>
        </is>
      </c>
      <c r="F1805" t="inlineStr">
        <is>
          <t>SCA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14477-2022</t>
        </is>
      </c>
      <c r="B1806" s="1" t="n">
        <v>44654.93954861111</v>
      </c>
      <c r="C1806" s="1" t="n">
        <v>46185</v>
      </c>
      <c r="D1806" t="inlineStr">
        <is>
          <t>VÄSTERNORRLANDS LÄN</t>
        </is>
      </c>
      <c r="E1806" t="inlineStr">
        <is>
          <t>SOLLEFTEÅ</t>
        </is>
      </c>
      <c r="F1806" t="inlineStr">
        <is>
          <t>SCA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42195-2021</t>
        </is>
      </c>
      <c r="B1807" s="1" t="n">
        <v>44426.69466435185</v>
      </c>
      <c r="C1807" s="1" t="n">
        <v>46185</v>
      </c>
      <c r="D1807" t="inlineStr">
        <is>
          <t>VÄSTERNORRLANDS LÄN</t>
        </is>
      </c>
      <c r="E1807" t="inlineStr">
        <is>
          <t>SUNDSVALL</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24735-2022</t>
        </is>
      </c>
      <c r="B1808" s="1" t="n">
        <v>44727.94346064814</v>
      </c>
      <c r="C1808" s="1" t="n">
        <v>46185</v>
      </c>
      <c r="D1808" t="inlineStr">
        <is>
          <t>VÄSTERNORRLANDS LÄN</t>
        </is>
      </c>
      <c r="E1808" t="inlineStr">
        <is>
          <t>SOLLEFTEÅ</t>
        </is>
      </c>
      <c r="F1808" t="inlineStr">
        <is>
          <t>SCA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59326-2021</t>
        </is>
      </c>
      <c r="B1809" s="1" t="n">
        <v>44490.94144675926</v>
      </c>
      <c r="C1809" s="1" t="n">
        <v>46185</v>
      </c>
      <c r="D1809" t="inlineStr">
        <is>
          <t>VÄSTERNORRLANDS LÄN</t>
        </is>
      </c>
      <c r="E1809" t="inlineStr">
        <is>
          <t>SUNDSVALL</t>
        </is>
      </c>
      <c r="F1809" t="inlineStr">
        <is>
          <t>SCA</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59343-2021</t>
        </is>
      </c>
      <c r="B1810" s="1" t="n">
        <v>44490</v>
      </c>
      <c r="C1810" s="1" t="n">
        <v>46185</v>
      </c>
      <c r="D1810" t="inlineStr">
        <is>
          <t>VÄSTERNORRLANDS LÄN</t>
        </is>
      </c>
      <c r="E1810" t="inlineStr">
        <is>
          <t>SOLLEFTEÅ</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53010-2022</t>
        </is>
      </c>
      <c r="B1811" s="1" t="n">
        <v>44875</v>
      </c>
      <c r="C1811" s="1" t="n">
        <v>46185</v>
      </c>
      <c r="D1811" t="inlineStr">
        <is>
          <t>VÄSTERNORRLANDS LÄN</t>
        </is>
      </c>
      <c r="E1811" t="inlineStr">
        <is>
          <t>ÅNGE</t>
        </is>
      </c>
      <c r="F1811" t="inlineStr">
        <is>
          <t>SCA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50867-2022</t>
        </is>
      </c>
      <c r="B1812" s="1" t="n">
        <v>44867</v>
      </c>
      <c r="C1812" s="1" t="n">
        <v>46185</v>
      </c>
      <c r="D1812" t="inlineStr">
        <is>
          <t>VÄSTERNORRLANDS LÄN</t>
        </is>
      </c>
      <c r="E1812" t="inlineStr">
        <is>
          <t>ÖRNSKÖLDSVIK</t>
        </is>
      </c>
      <c r="F1812" t="inlineStr">
        <is>
          <t>Holmen skog AB</t>
        </is>
      </c>
      <c r="G1812" t="n">
        <v>14.5</v>
      </c>
      <c r="H1812" t="n">
        <v>0</v>
      </c>
      <c r="I1812" t="n">
        <v>0</v>
      </c>
      <c r="J1812" t="n">
        <v>0</v>
      </c>
      <c r="K1812" t="n">
        <v>0</v>
      </c>
      <c r="L1812" t="n">
        <v>0</v>
      </c>
      <c r="M1812" t="n">
        <v>0</v>
      </c>
      <c r="N1812" t="n">
        <v>0</v>
      </c>
      <c r="O1812" t="n">
        <v>0</v>
      </c>
      <c r="P1812" t="n">
        <v>0</v>
      </c>
      <c r="Q1812" t="n">
        <v>0</v>
      </c>
      <c r="R1812" s="2" t="inlineStr"/>
    </row>
    <row r="1813" ht="15" customHeight="1">
      <c r="A1813" t="inlineStr">
        <is>
          <t>A 14447-2022</t>
        </is>
      </c>
      <c r="B1813" s="1" t="n">
        <v>44652.94510416667</v>
      </c>
      <c r="C1813" s="1" t="n">
        <v>46185</v>
      </c>
      <c r="D1813" t="inlineStr">
        <is>
          <t>VÄSTERNORRLANDS LÄN</t>
        </is>
      </c>
      <c r="E1813" t="inlineStr">
        <is>
          <t>SOLLEFTEÅ</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21595-2022</t>
        </is>
      </c>
      <c r="B1814" s="1" t="n">
        <v>44706</v>
      </c>
      <c r="C1814" s="1" t="n">
        <v>46185</v>
      </c>
      <c r="D1814" t="inlineStr">
        <is>
          <t>VÄSTERNORRLANDS LÄN</t>
        </is>
      </c>
      <c r="E1814" t="inlineStr">
        <is>
          <t>ÖRNSKÖLDSVIK</t>
        </is>
      </c>
      <c r="F1814" t="inlineStr">
        <is>
          <t>Holmen skog AB</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21635-2022</t>
        </is>
      </c>
      <c r="B1815" s="1" t="n">
        <v>44706.92628472222</v>
      </c>
      <c r="C1815" s="1" t="n">
        <v>46185</v>
      </c>
      <c r="D1815" t="inlineStr">
        <is>
          <t>VÄSTERNORRLANDS LÄN</t>
        </is>
      </c>
      <c r="E1815" t="inlineStr">
        <is>
          <t>SOLLEFTEÅ</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33030-2021</t>
        </is>
      </c>
      <c r="B1816" s="1" t="n">
        <v>44376.49277777778</v>
      </c>
      <c r="C1816" s="1" t="n">
        <v>46185</v>
      </c>
      <c r="D1816" t="inlineStr">
        <is>
          <t>VÄSTERNORRLANDS LÄN</t>
        </is>
      </c>
      <c r="E1816" t="inlineStr">
        <is>
          <t>ÖRNSKÖLDSVIK</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71559-2021</t>
        </is>
      </c>
      <c r="B1817" s="1" t="n">
        <v>44540.71927083333</v>
      </c>
      <c r="C1817" s="1" t="n">
        <v>46185</v>
      </c>
      <c r="D1817" t="inlineStr">
        <is>
          <t>VÄSTERNORRLANDS LÄN</t>
        </is>
      </c>
      <c r="E1817" t="inlineStr">
        <is>
          <t>KRAMFORS</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53934-2022</t>
        </is>
      </c>
      <c r="B1818" s="1" t="n">
        <v>44880.95587962963</v>
      </c>
      <c r="C1818" s="1" t="n">
        <v>46185</v>
      </c>
      <c r="D1818" t="inlineStr">
        <is>
          <t>VÄSTERNORRLANDS LÄN</t>
        </is>
      </c>
      <c r="E1818" t="inlineStr">
        <is>
          <t>SUNDSVALL</t>
        </is>
      </c>
      <c r="F1818" t="inlineStr">
        <is>
          <t>SCA</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27283-2022</t>
        </is>
      </c>
      <c r="B1819" s="1" t="n">
        <v>44741.94023148148</v>
      </c>
      <c r="C1819" s="1" t="n">
        <v>46185</v>
      </c>
      <c r="D1819" t="inlineStr">
        <is>
          <t>VÄSTERNORRLANDS LÄN</t>
        </is>
      </c>
      <c r="E1819" t="inlineStr">
        <is>
          <t>SOLLEFTEÅ</t>
        </is>
      </c>
      <c r="F1819" t="inlineStr">
        <is>
          <t>SCA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52364-2021</t>
        </is>
      </c>
      <c r="B1820" s="1" t="n">
        <v>44465.42189814815</v>
      </c>
      <c r="C1820" s="1" t="n">
        <v>46185</v>
      </c>
      <c r="D1820" t="inlineStr">
        <is>
          <t>VÄSTERNORRLANDS LÄN</t>
        </is>
      </c>
      <c r="E1820" t="inlineStr">
        <is>
          <t>KRAMFORS</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52258-2021</t>
        </is>
      </c>
      <c r="B1821" s="1" t="n">
        <v>44463</v>
      </c>
      <c r="C1821" s="1" t="n">
        <v>46185</v>
      </c>
      <c r="D1821" t="inlineStr">
        <is>
          <t>VÄSTERNORRLANDS LÄN</t>
        </is>
      </c>
      <c r="E1821" t="inlineStr">
        <is>
          <t>ÖRNSKÖLDSVIK</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57213-2021</t>
        </is>
      </c>
      <c r="B1822" s="1" t="n">
        <v>44482</v>
      </c>
      <c r="C1822" s="1" t="n">
        <v>46185</v>
      </c>
      <c r="D1822" t="inlineStr">
        <is>
          <t>VÄSTERNORRLANDS LÄN</t>
        </is>
      </c>
      <c r="E1822" t="inlineStr">
        <is>
          <t>KRAMFORS</t>
        </is>
      </c>
      <c r="F1822" t="inlineStr">
        <is>
          <t>SCA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32078-2022</t>
        </is>
      </c>
      <c r="B1823" s="1" t="n">
        <v>44778</v>
      </c>
      <c r="C1823" s="1" t="n">
        <v>46185</v>
      </c>
      <c r="D1823" t="inlineStr">
        <is>
          <t>VÄSTERNORRLANDS LÄN</t>
        </is>
      </c>
      <c r="E1823" t="inlineStr">
        <is>
          <t>ÖRNSKÖLDSVIK</t>
        </is>
      </c>
      <c r="F1823" t="inlineStr">
        <is>
          <t>Holmen skog AB</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32079-2022</t>
        </is>
      </c>
      <c r="B1824" s="1" t="n">
        <v>44778</v>
      </c>
      <c r="C1824" s="1" t="n">
        <v>46185</v>
      </c>
      <c r="D1824" t="inlineStr">
        <is>
          <t>VÄSTERNORRLANDS LÄN</t>
        </is>
      </c>
      <c r="E1824" t="inlineStr">
        <is>
          <t>ÖRNSKÖLDSVIK</t>
        </is>
      </c>
      <c r="F1824" t="inlineStr">
        <is>
          <t>Holmen skog AB</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23081-2022</t>
        </is>
      </c>
      <c r="B1825" s="1" t="n">
        <v>44719.46951388889</v>
      </c>
      <c r="C1825" s="1" t="n">
        <v>46185</v>
      </c>
      <c r="D1825" t="inlineStr">
        <is>
          <t>VÄSTERNORRLANDS LÄN</t>
        </is>
      </c>
      <c r="E1825" t="inlineStr">
        <is>
          <t>SUNDSVALL</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29301-2021</t>
        </is>
      </c>
      <c r="B1826" s="1" t="n">
        <v>44361.40407407407</v>
      </c>
      <c r="C1826" s="1" t="n">
        <v>46185</v>
      </c>
      <c r="D1826" t="inlineStr">
        <is>
          <t>VÄSTERNORRLANDS LÄN</t>
        </is>
      </c>
      <c r="E1826" t="inlineStr">
        <is>
          <t>SUNDSVALL</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57082-2021</t>
        </is>
      </c>
      <c r="B1827" s="1" t="n">
        <v>44482</v>
      </c>
      <c r="C1827" s="1" t="n">
        <v>46185</v>
      </c>
      <c r="D1827" t="inlineStr">
        <is>
          <t>VÄSTERNORRLANDS LÄN</t>
        </is>
      </c>
      <c r="E1827" t="inlineStr">
        <is>
          <t>SUNDSVALL</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20510-2022</t>
        </is>
      </c>
      <c r="B1828" s="1" t="n">
        <v>44699.92501157407</v>
      </c>
      <c r="C1828" s="1" t="n">
        <v>46185</v>
      </c>
      <c r="D1828" t="inlineStr">
        <is>
          <t>VÄSTERNORRLANDS LÄN</t>
        </is>
      </c>
      <c r="E1828" t="inlineStr">
        <is>
          <t>SUNDSVALL</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20516-2022</t>
        </is>
      </c>
      <c r="B1829" s="1" t="n">
        <v>44699.92626157407</v>
      </c>
      <c r="C1829" s="1" t="n">
        <v>46185</v>
      </c>
      <c r="D1829" t="inlineStr">
        <is>
          <t>VÄSTERNORRLANDS LÄN</t>
        </is>
      </c>
      <c r="E1829" t="inlineStr">
        <is>
          <t>SUNDSVALL</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20532-2022</t>
        </is>
      </c>
      <c r="B1830" s="1" t="n">
        <v>44699.94347222222</v>
      </c>
      <c r="C1830" s="1" t="n">
        <v>46185</v>
      </c>
      <c r="D1830" t="inlineStr">
        <is>
          <t>VÄSTERNORRLANDS LÄN</t>
        </is>
      </c>
      <c r="E1830" t="inlineStr">
        <is>
          <t>ÖRNSKÖLDSVIK</t>
        </is>
      </c>
      <c r="F1830" t="inlineStr">
        <is>
          <t>SCA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65034-2021</t>
        </is>
      </c>
      <c r="B1831" s="1" t="n">
        <v>44512</v>
      </c>
      <c r="C1831" s="1" t="n">
        <v>46185</v>
      </c>
      <c r="D1831" t="inlineStr">
        <is>
          <t>VÄSTERNORRLANDS LÄN</t>
        </is>
      </c>
      <c r="E1831" t="inlineStr">
        <is>
          <t>HÄRNÖSAND</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61496-2021</t>
        </is>
      </c>
      <c r="B1832" s="1" t="n">
        <v>44501</v>
      </c>
      <c r="C1832" s="1" t="n">
        <v>46185</v>
      </c>
      <c r="D1832" t="inlineStr">
        <is>
          <t>VÄSTERNORRLANDS LÄN</t>
        </is>
      </c>
      <c r="E1832" t="inlineStr">
        <is>
          <t>SOLLEFTEÅ</t>
        </is>
      </c>
      <c r="F1832" t="inlineStr">
        <is>
          <t>Holmen skog AB</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73285-2021</t>
        </is>
      </c>
      <c r="B1833" s="1" t="n">
        <v>44550.94386574074</v>
      </c>
      <c r="C1833" s="1" t="n">
        <v>46185</v>
      </c>
      <c r="D1833" t="inlineStr">
        <is>
          <t>VÄSTERNORRLANDS LÄN</t>
        </is>
      </c>
      <c r="E1833" t="inlineStr">
        <is>
          <t>SOLLEFTEÅ</t>
        </is>
      </c>
      <c r="F1833" t="inlineStr">
        <is>
          <t>SCA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73277-2021</t>
        </is>
      </c>
      <c r="B1834" s="1" t="n">
        <v>44550</v>
      </c>
      <c r="C1834" s="1" t="n">
        <v>46185</v>
      </c>
      <c r="D1834" t="inlineStr">
        <is>
          <t>VÄSTERNORRLANDS LÄN</t>
        </is>
      </c>
      <c r="E1834" t="inlineStr">
        <is>
          <t>KRAMFORS</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63230-2021</t>
        </is>
      </c>
      <c r="B1835" s="1" t="n">
        <v>44505</v>
      </c>
      <c r="C1835" s="1" t="n">
        <v>46185</v>
      </c>
      <c r="D1835" t="inlineStr">
        <is>
          <t>VÄSTERNORRLANDS LÄN</t>
        </is>
      </c>
      <c r="E1835" t="inlineStr">
        <is>
          <t>ÖRNSKÖLDSVIK</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55905-2021</t>
        </is>
      </c>
      <c r="B1836" s="1" t="n">
        <v>44476.91895833334</v>
      </c>
      <c r="C1836" s="1" t="n">
        <v>46185</v>
      </c>
      <c r="D1836" t="inlineStr">
        <is>
          <t>VÄSTERNORRLANDS LÄN</t>
        </is>
      </c>
      <c r="E1836" t="inlineStr">
        <is>
          <t>ÅNGE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17580-2022</t>
        </is>
      </c>
      <c r="B1837" s="1" t="n">
        <v>44679</v>
      </c>
      <c r="C1837" s="1" t="n">
        <v>46185</v>
      </c>
      <c r="D1837" t="inlineStr">
        <is>
          <t>VÄSTERNORRLANDS LÄN</t>
        </is>
      </c>
      <c r="E1837" t="inlineStr">
        <is>
          <t>ÅNGE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62300-2021</t>
        </is>
      </c>
      <c r="B1838" s="1" t="n">
        <v>44503.38335648148</v>
      </c>
      <c r="C1838" s="1" t="n">
        <v>46185</v>
      </c>
      <c r="D1838" t="inlineStr">
        <is>
          <t>VÄSTERNORRLANDS LÄN</t>
        </is>
      </c>
      <c r="E1838" t="inlineStr">
        <is>
          <t>HÄRNÖSAND</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27869-2022</t>
        </is>
      </c>
      <c r="B1839" s="1" t="n">
        <v>44743</v>
      </c>
      <c r="C1839" s="1" t="n">
        <v>46185</v>
      </c>
      <c r="D1839" t="inlineStr">
        <is>
          <t>VÄSTERNORRLANDS LÄN</t>
        </is>
      </c>
      <c r="E1839" t="inlineStr">
        <is>
          <t>ÖRNSKÖLDSVIK</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31008-2022</t>
        </is>
      </c>
      <c r="B1840" s="1" t="n">
        <v>44768</v>
      </c>
      <c r="C1840" s="1" t="n">
        <v>46185</v>
      </c>
      <c r="D1840" t="inlineStr">
        <is>
          <t>VÄSTERNORRLANDS LÄN</t>
        </is>
      </c>
      <c r="E1840" t="inlineStr">
        <is>
          <t>ÖRNSKÖLDSVIK</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39169-2021</t>
        </is>
      </c>
      <c r="B1841" s="1" t="n">
        <v>44412</v>
      </c>
      <c r="C1841" s="1" t="n">
        <v>46185</v>
      </c>
      <c r="D1841" t="inlineStr">
        <is>
          <t>VÄSTERNORRLANDS LÄN</t>
        </is>
      </c>
      <c r="E1841" t="inlineStr">
        <is>
          <t>SUNDSVALL</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6170-2022</t>
        </is>
      </c>
      <c r="B1842" s="1" t="n">
        <v>44599</v>
      </c>
      <c r="C1842" s="1" t="n">
        <v>46185</v>
      </c>
      <c r="D1842" t="inlineStr">
        <is>
          <t>VÄSTERNORRLANDS LÄN</t>
        </is>
      </c>
      <c r="E1842" t="inlineStr">
        <is>
          <t>SOLLEFTEÅ</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27018-2022</t>
        </is>
      </c>
      <c r="B1843" s="1" t="n">
        <v>44740</v>
      </c>
      <c r="C1843" s="1" t="n">
        <v>46185</v>
      </c>
      <c r="D1843" t="inlineStr">
        <is>
          <t>VÄSTERNORRLANDS LÄN</t>
        </is>
      </c>
      <c r="E1843" t="inlineStr">
        <is>
          <t>SOLLEFTEÅ</t>
        </is>
      </c>
      <c r="F1843" t="inlineStr">
        <is>
          <t>SCA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37190-2022</t>
        </is>
      </c>
      <c r="B1844" s="1" t="n">
        <v>44806</v>
      </c>
      <c r="C1844" s="1" t="n">
        <v>46185</v>
      </c>
      <c r="D1844" t="inlineStr">
        <is>
          <t>VÄSTERNORRLANDS LÄN</t>
        </is>
      </c>
      <c r="E1844" t="inlineStr">
        <is>
          <t>HÄRNÖSAND</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32031-2022</t>
        </is>
      </c>
      <c r="B1845" s="1" t="n">
        <v>44778.45743055556</v>
      </c>
      <c r="C1845" s="1" t="n">
        <v>46185</v>
      </c>
      <c r="D1845" t="inlineStr">
        <is>
          <t>VÄSTERNORRLANDS LÄN</t>
        </is>
      </c>
      <c r="E1845" t="inlineStr">
        <is>
          <t>ÖRNSKÖLDSVIK</t>
        </is>
      </c>
      <c r="F1845" t="inlineStr">
        <is>
          <t>Holmen skog AB</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40046-2022</t>
        </is>
      </c>
      <c r="B1846" s="1" t="n">
        <v>44820</v>
      </c>
      <c r="C1846" s="1" t="n">
        <v>46185</v>
      </c>
      <c r="D1846" t="inlineStr">
        <is>
          <t>VÄSTERNORRLANDS LÄN</t>
        </is>
      </c>
      <c r="E1846" t="inlineStr">
        <is>
          <t>ÖRNSKÖLDSVIK</t>
        </is>
      </c>
      <c r="F1846" t="inlineStr">
        <is>
          <t>Holmen skog AB</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35408-2022</t>
        </is>
      </c>
      <c r="B1847" s="1" t="n">
        <v>44798</v>
      </c>
      <c r="C1847" s="1" t="n">
        <v>46185</v>
      </c>
      <c r="D1847" t="inlineStr">
        <is>
          <t>VÄSTERNORRLANDS LÄN</t>
        </is>
      </c>
      <c r="E1847" t="inlineStr">
        <is>
          <t>ÖRNSKÖLDSVIK</t>
        </is>
      </c>
      <c r="F1847" t="inlineStr">
        <is>
          <t>Holmen skog AB</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35415-2022</t>
        </is>
      </c>
      <c r="B1848" s="1" t="n">
        <v>44798</v>
      </c>
      <c r="C1848" s="1" t="n">
        <v>46185</v>
      </c>
      <c r="D1848" t="inlineStr">
        <is>
          <t>VÄSTERNORRLANDS LÄN</t>
        </is>
      </c>
      <c r="E1848" t="inlineStr">
        <is>
          <t>ÖRNSKÖLDSVIK</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14065-2022</t>
        </is>
      </c>
      <c r="B1849" s="1" t="n">
        <v>44650</v>
      </c>
      <c r="C1849" s="1" t="n">
        <v>46185</v>
      </c>
      <c r="D1849" t="inlineStr">
        <is>
          <t>VÄSTERNORRLANDS LÄN</t>
        </is>
      </c>
      <c r="E1849" t="inlineStr">
        <is>
          <t>SOLLEFTEÅ</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39873-2021</t>
        </is>
      </c>
      <c r="B1850" s="1" t="n">
        <v>44417.67548611111</v>
      </c>
      <c r="C1850" s="1" t="n">
        <v>46185</v>
      </c>
      <c r="D1850" t="inlineStr">
        <is>
          <t>VÄSTERNORRLANDS LÄN</t>
        </is>
      </c>
      <c r="E1850" t="inlineStr">
        <is>
          <t>ÖRNSKÖLDSVIK</t>
        </is>
      </c>
      <c r="F1850" t="inlineStr">
        <is>
          <t>Holmen skog AB</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39931-2022</t>
        </is>
      </c>
      <c r="B1851" s="1" t="n">
        <v>44819.94847222222</v>
      </c>
      <c r="C1851" s="1" t="n">
        <v>46185</v>
      </c>
      <c r="D1851" t="inlineStr">
        <is>
          <t>VÄSTERNORRLANDS LÄN</t>
        </is>
      </c>
      <c r="E1851" t="inlineStr">
        <is>
          <t>ÖRNSKÖLDSVIK</t>
        </is>
      </c>
      <c r="F1851" t="inlineStr">
        <is>
          <t>SCA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45704-2022</t>
        </is>
      </c>
      <c r="B1852" s="1" t="n">
        <v>44845.95418981482</v>
      </c>
      <c r="C1852" s="1" t="n">
        <v>46185</v>
      </c>
      <c r="D1852" t="inlineStr">
        <is>
          <t>VÄSTERNORRLANDS LÄN</t>
        </is>
      </c>
      <c r="E1852" t="inlineStr">
        <is>
          <t>SUNDSVALL</t>
        </is>
      </c>
      <c r="F1852" t="inlineStr">
        <is>
          <t>SCA</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7716-2022</t>
        </is>
      </c>
      <c r="B1853" s="1" t="n">
        <v>44607</v>
      </c>
      <c r="C1853" s="1" t="n">
        <v>46185</v>
      </c>
      <c r="D1853" t="inlineStr">
        <is>
          <t>VÄSTERNORRLANDS LÄN</t>
        </is>
      </c>
      <c r="E1853" t="inlineStr">
        <is>
          <t>KRAMFORS</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37605-2021</t>
        </is>
      </c>
      <c r="B1854" s="1" t="n">
        <v>44399</v>
      </c>
      <c r="C1854" s="1" t="n">
        <v>46185</v>
      </c>
      <c r="D1854" t="inlineStr">
        <is>
          <t>VÄSTERNORRLANDS LÄN</t>
        </is>
      </c>
      <c r="E1854" t="inlineStr">
        <is>
          <t>ÅNGE</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37620-2021</t>
        </is>
      </c>
      <c r="B1855" s="1" t="n">
        <v>44399</v>
      </c>
      <c r="C1855" s="1" t="n">
        <v>46185</v>
      </c>
      <c r="D1855" t="inlineStr">
        <is>
          <t>VÄSTERNORRLANDS LÄN</t>
        </is>
      </c>
      <c r="E1855" t="inlineStr">
        <is>
          <t>ÅNGE</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46650-2022</t>
        </is>
      </c>
      <c r="B1856" s="1" t="n">
        <v>44849</v>
      </c>
      <c r="C1856" s="1" t="n">
        <v>46185</v>
      </c>
      <c r="D1856" t="inlineStr">
        <is>
          <t>VÄSTERNORRLANDS LÄN</t>
        </is>
      </c>
      <c r="E1856" t="inlineStr">
        <is>
          <t>TIMRÅ</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42628-2021</t>
        </is>
      </c>
      <c r="B1857" s="1" t="n">
        <v>44428</v>
      </c>
      <c r="C1857" s="1" t="n">
        <v>46185</v>
      </c>
      <c r="D1857" t="inlineStr">
        <is>
          <t>VÄSTERNORRLANDS LÄN</t>
        </is>
      </c>
      <c r="E1857" t="inlineStr">
        <is>
          <t>ÖRNSKÖLDSVIK</t>
        </is>
      </c>
      <c r="F1857" t="inlineStr">
        <is>
          <t>Holmen skog AB</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42632-2021</t>
        </is>
      </c>
      <c r="B1858" s="1" t="n">
        <v>44428</v>
      </c>
      <c r="C1858" s="1" t="n">
        <v>46185</v>
      </c>
      <c r="D1858" t="inlineStr">
        <is>
          <t>VÄSTERNORRLANDS LÄN</t>
        </is>
      </c>
      <c r="E1858" t="inlineStr">
        <is>
          <t>ÖRNSKÖLDSVIK</t>
        </is>
      </c>
      <c r="F1858" t="inlineStr">
        <is>
          <t>Holmen skog AB</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34612-2021</t>
        </is>
      </c>
      <c r="B1859" s="1" t="n">
        <v>44379</v>
      </c>
      <c r="C1859" s="1" t="n">
        <v>46185</v>
      </c>
      <c r="D1859" t="inlineStr">
        <is>
          <t>VÄSTERNORRLANDS LÄN</t>
        </is>
      </c>
      <c r="E1859" t="inlineStr">
        <is>
          <t>SUNDSVALL</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34643-2021</t>
        </is>
      </c>
      <c r="B1860" s="1" t="n">
        <v>44379</v>
      </c>
      <c r="C1860" s="1" t="n">
        <v>46185</v>
      </c>
      <c r="D1860" t="inlineStr">
        <is>
          <t>VÄSTERNORRLANDS LÄN</t>
        </is>
      </c>
      <c r="E1860" t="inlineStr">
        <is>
          <t>SUNDSVALL</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42368-2021</t>
        </is>
      </c>
      <c r="B1861" s="1" t="n">
        <v>44427.46450231481</v>
      </c>
      <c r="C1861" s="1" t="n">
        <v>46185</v>
      </c>
      <c r="D1861" t="inlineStr">
        <is>
          <t>VÄSTERNORRLANDS LÄN</t>
        </is>
      </c>
      <c r="E1861" t="inlineStr">
        <is>
          <t>ÖRNSKÖLDSVIK</t>
        </is>
      </c>
      <c r="F1861" t="inlineStr">
        <is>
          <t>Holmen skog AB</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42739-2021</t>
        </is>
      </c>
      <c r="B1862" s="1" t="n">
        <v>44428</v>
      </c>
      <c r="C1862" s="1" t="n">
        <v>46185</v>
      </c>
      <c r="D1862" t="inlineStr">
        <is>
          <t>VÄSTERNORRLANDS LÄN</t>
        </is>
      </c>
      <c r="E1862" t="inlineStr">
        <is>
          <t>ÖRNSKÖLDSVIK</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46702-2022</t>
        </is>
      </c>
      <c r="B1863" s="1" t="n">
        <v>44851.38083333334</v>
      </c>
      <c r="C1863" s="1" t="n">
        <v>46185</v>
      </c>
      <c r="D1863" t="inlineStr">
        <is>
          <t>VÄSTERNORRLANDS LÄN</t>
        </is>
      </c>
      <c r="E1863" t="inlineStr">
        <is>
          <t>ÖRNSKÖLDSVIK</t>
        </is>
      </c>
      <c r="F1863" t="inlineStr">
        <is>
          <t>Holmen skog AB</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36579-2021</t>
        </is>
      </c>
      <c r="B1864" s="1" t="n">
        <v>44391.59509259259</v>
      </c>
      <c r="C1864" s="1" t="n">
        <v>46185</v>
      </c>
      <c r="D1864" t="inlineStr">
        <is>
          <t>VÄSTERNORRLANDS LÄN</t>
        </is>
      </c>
      <c r="E1864" t="inlineStr">
        <is>
          <t>SOLLEFTEÅ</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70893-2021</t>
        </is>
      </c>
      <c r="B1865" s="1" t="n">
        <v>44538</v>
      </c>
      <c r="C1865" s="1" t="n">
        <v>46185</v>
      </c>
      <c r="D1865" t="inlineStr">
        <is>
          <t>VÄSTERNORRLANDS LÄN</t>
        </is>
      </c>
      <c r="E1865" t="inlineStr">
        <is>
          <t>ÅNGE</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46028-2022</t>
        </is>
      </c>
      <c r="B1866" s="1" t="n">
        <v>44846</v>
      </c>
      <c r="C1866" s="1" t="n">
        <v>46185</v>
      </c>
      <c r="D1866" t="inlineStr">
        <is>
          <t>VÄSTERNORRLANDS LÄN</t>
        </is>
      </c>
      <c r="E1866" t="inlineStr">
        <is>
          <t>TIMRÅ</t>
        </is>
      </c>
      <c r="F1866" t="inlineStr">
        <is>
          <t>Kyrkan</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55874-2022</t>
        </is>
      </c>
      <c r="B1867" s="1" t="n">
        <v>44888.92855324074</v>
      </c>
      <c r="C1867" s="1" t="n">
        <v>46185</v>
      </c>
      <c r="D1867" t="inlineStr">
        <is>
          <t>VÄSTERNORRLANDS LÄN</t>
        </is>
      </c>
      <c r="E1867" t="inlineStr">
        <is>
          <t>SUNDSVALL</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47512-2022</t>
        </is>
      </c>
      <c r="B1868" s="1" t="n">
        <v>44852</v>
      </c>
      <c r="C1868" s="1" t="n">
        <v>46185</v>
      </c>
      <c r="D1868" t="inlineStr">
        <is>
          <t>VÄSTERNORRLANDS LÄN</t>
        </is>
      </c>
      <c r="E1868" t="inlineStr">
        <is>
          <t>SUNDSVALL</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72397-2021</t>
        </is>
      </c>
      <c r="B1869" s="1" t="n">
        <v>44545</v>
      </c>
      <c r="C1869" s="1" t="n">
        <v>46185</v>
      </c>
      <c r="D1869" t="inlineStr">
        <is>
          <t>VÄSTERNORRLANDS LÄN</t>
        </is>
      </c>
      <c r="E1869" t="inlineStr">
        <is>
          <t>ÖRNSKÖLDSVIK</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20369-2022</t>
        </is>
      </c>
      <c r="B1870" s="1" t="n">
        <v>44699.41140046297</v>
      </c>
      <c r="C1870" s="1" t="n">
        <v>46185</v>
      </c>
      <c r="D1870" t="inlineStr">
        <is>
          <t>VÄSTERNORRLANDS LÄN</t>
        </is>
      </c>
      <c r="E1870" t="inlineStr">
        <is>
          <t>ÅNGE</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19414-2022</t>
        </is>
      </c>
      <c r="B1871" s="1" t="n">
        <v>44693</v>
      </c>
      <c r="C1871" s="1" t="n">
        <v>46185</v>
      </c>
      <c r="D1871" t="inlineStr">
        <is>
          <t>VÄSTERNORRLANDS LÄN</t>
        </is>
      </c>
      <c r="E1871" t="inlineStr">
        <is>
          <t>SOLLEFTEÅ</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58573-2021</t>
        </is>
      </c>
      <c r="B1872" s="1" t="n">
        <v>44488</v>
      </c>
      <c r="C1872" s="1" t="n">
        <v>46185</v>
      </c>
      <c r="D1872" t="inlineStr">
        <is>
          <t>VÄSTERNORRLANDS LÄN</t>
        </is>
      </c>
      <c r="E1872" t="inlineStr">
        <is>
          <t>SOLLEFTEÅ</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11142-2022</t>
        </is>
      </c>
      <c r="B1873" s="1" t="n">
        <v>44629.33833333333</v>
      </c>
      <c r="C1873" s="1" t="n">
        <v>46185</v>
      </c>
      <c r="D1873" t="inlineStr">
        <is>
          <t>VÄSTERNORRLANDS LÄN</t>
        </is>
      </c>
      <c r="E1873" t="inlineStr">
        <is>
          <t>ÖRNSKÖLDSVIK</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32328-2021</t>
        </is>
      </c>
      <c r="B1874" s="1" t="n">
        <v>44371.55924768518</v>
      </c>
      <c r="C1874" s="1" t="n">
        <v>46185</v>
      </c>
      <c r="D1874" t="inlineStr">
        <is>
          <t>VÄSTERNORRLANDS LÄN</t>
        </is>
      </c>
      <c r="E1874" t="inlineStr">
        <is>
          <t>ÅNGE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32335-2021</t>
        </is>
      </c>
      <c r="B1875" s="1" t="n">
        <v>44371</v>
      </c>
      <c r="C1875" s="1" t="n">
        <v>46185</v>
      </c>
      <c r="D1875" t="inlineStr">
        <is>
          <t>VÄSTERNORRLANDS LÄN</t>
        </is>
      </c>
      <c r="E1875" t="inlineStr">
        <is>
          <t>SUNDSVALL</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43766-2022</t>
        </is>
      </c>
      <c r="B1876" s="1" t="n">
        <v>44837.92642361111</v>
      </c>
      <c r="C1876" s="1" t="n">
        <v>46185</v>
      </c>
      <c r="D1876" t="inlineStr">
        <is>
          <t>VÄSTERNORRLANDS LÄN</t>
        </is>
      </c>
      <c r="E1876" t="inlineStr">
        <is>
          <t>SOLLEFTEÅ</t>
        </is>
      </c>
      <c r="F1876" t="inlineStr">
        <is>
          <t>Kyrkan</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5113-2022</t>
        </is>
      </c>
      <c r="B1877" s="1" t="n">
        <v>44593.93362268519</v>
      </c>
      <c r="C1877" s="1" t="n">
        <v>46185</v>
      </c>
      <c r="D1877" t="inlineStr">
        <is>
          <t>VÄSTERNORRLANDS LÄN</t>
        </is>
      </c>
      <c r="E1877" t="inlineStr">
        <is>
          <t>ÅNGE</t>
        </is>
      </c>
      <c r="F1877" t="inlineStr">
        <is>
          <t>SCA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31668-2021</t>
        </is>
      </c>
      <c r="B1878" s="1" t="n">
        <v>44369</v>
      </c>
      <c r="C1878" s="1" t="n">
        <v>46185</v>
      </c>
      <c r="D1878" t="inlineStr">
        <is>
          <t>VÄSTERNORRLANDS LÄN</t>
        </is>
      </c>
      <c r="E1878" t="inlineStr">
        <is>
          <t>ÅNGE</t>
        </is>
      </c>
      <c r="F1878" t="inlineStr">
        <is>
          <t>Kyrkan</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32203-2021</t>
        </is>
      </c>
      <c r="B1879" s="1" t="n">
        <v>44371</v>
      </c>
      <c r="C1879" s="1" t="n">
        <v>46185</v>
      </c>
      <c r="D1879" t="inlineStr">
        <is>
          <t>VÄSTERNORRLANDS LÄN</t>
        </is>
      </c>
      <c r="E1879" t="inlineStr">
        <is>
          <t>SUNDSVALL</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11038-2022</t>
        </is>
      </c>
      <c r="B1880" s="1" t="n">
        <v>44628</v>
      </c>
      <c r="C1880" s="1" t="n">
        <v>46185</v>
      </c>
      <c r="D1880" t="inlineStr">
        <is>
          <t>VÄSTERNORRLANDS LÄN</t>
        </is>
      </c>
      <c r="E1880" t="inlineStr">
        <is>
          <t>KRAMFORS</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21715-2022</t>
        </is>
      </c>
      <c r="B1881" s="1" t="n">
        <v>44707.94020833333</v>
      </c>
      <c r="C1881" s="1" t="n">
        <v>46185</v>
      </c>
      <c r="D1881" t="inlineStr">
        <is>
          <t>VÄSTERNORRLANDS LÄN</t>
        </is>
      </c>
      <c r="E1881" t="inlineStr">
        <is>
          <t>SOLLEFTEÅ</t>
        </is>
      </c>
      <c r="F1881" t="inlineStr">
        <is>
          <t>SCA</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61761-2021</t>
        </is>
      </c>
      <c r="B1882" s="1" t="n">
        <v>44501</v>
      </c>
      <c r="C1882" s="1" t="n">
        <v>46185</v>
      </c>
      <c r="D1882" t="inlineStr">
        <is>
          <t>VÄSTERNORRLANDS LÄN</t>
        </is>
      </c>
      <c r="E1882" t="inlineStr">
        <is>
          <t>ÅNGE</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15687-2022</t>
        </is>
      </c>
      <c r="B1883" s="1" t="n">
        <v>44663.37660879629</v>
      </c>
      <c r="C1883" s="1" t="n">
        <v>46185</v>
      </c>
      <c r="D1883" t="inlineStr">
        <is>
          <t>VÄSTERNORRLANDS LÄN</t>
        </is>
      </c>
      <c r="E1883" t="inlineStr">
        <is>
          <t>SUNDSVALL</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53270-2022</t>
        </is>
      </c>
      <c r="B1884" s="1" t="n">
        <v>44876.92712962963</v>
      </c>
      <c r="C1884" s="1" t="n">
        <v>46185</v>
      </c>
      <c r="D1884" t="inlineStr">
        <is>
          <t>VÄSTERNORRLANDS LÄN</t>
        </is>
      </c>
      <c r="E1884" t="inlineStr">
        <is>
          <t>KRAMFORS</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55570-2021</t>
        </is>
      </c>
      <c r="B1885" s="1" t="n">
        <v>44475</v>
      </c>
      <c r="C1885" s="1" t="n">
        <v>46185</v>
      </c>
      <c r="D1885" t="inlineStr">
        <is>
          <t>VÄSTERNORRLANDS LÄN</t>
        </is>
      </c>
      <c r="E1885" t="inlineStr">
        <is>
          <t>ÖRNSKÖLDSVIK</t>
        </is>
      </c>
      <c r="F1885" t="inlineStr">
        <is>
          <t>Holmen skog AB</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44852-2022</t>
        </is>
      </c>
      <c r="B1886" s="1" t="n">
        <v>44841.45820601852</v>
      </c>
      <c r="C1886" s="1" t="n">
        <v>46185</v>
      </c>
      <c r="D1886" t="inlineStr">
        <is>
          <t>VÄSTERNORRLANDS LÄN</t>
        </is>
      </c>
      <c r="E1886" t="inlineStr">
        <is>
          <t>ÖRNSKÖLDSVIK</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51454-2022</t>
        </is>
      </c>
      <c r="B1887" s="1" t="n">
        <v>44869</v>
      </c>
      <c r="C1887" s="1" t="n">
        <v>46185</v>
      </c>
      <c r="D1887" t="inlineStr">
        <is>
          <t>VÄSTERNORRLANDS LÄN</t>
        </is>
      </c>
      <c r="E1887" t="inlineStr">
        <is>
          <t>ÖRNSKÖLDSVIK</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41324-2021</t>
        </is>
      </c>
      <c r="B1888" s="1" t="n">
        <v>44424</v>
      </c>
      <c r="C1888" s="1" t="n">
        <v>46185</v>
      </c>
      <c r="D1888" t="inlineStr">
        <is>
          <t>VÄSTERNORRLANDS LÄN</t>
        </is>
      </c>
      <c r="E1888" t="inlineStr">
        <is>
          <t>KRAMFORS</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44596-2022</t>
        </is>
      </c>
      <c r="B1889" s="1" t="n">
        <v>44839</v>
      </c>
      <c r="C1889" s="1" t="n">
        <v>46185</v>
      </c>
      <c r="D1889" t="inlineStr">
        <is>
          <t>VÄSTERNORRLANDS LÄN</t>
        </is>
      </c>
      <c r="E1889" t="inlineStr">
        <is>
          <t>SUNDSVALL</t>
        </is>
      </c>
      <c r="G1889" t="n">
        <v>6.9</v>
      </c>
      <c r="H1889" t="n">
        <v>0</v>
      </c>
      <c r="I1889" t="n">
        <v>0</v>
      </c>
      <c r="J1889" t="n">
        <v>0</v>
      </c>
      <c r="K1889" t="n">
        <v>0</v>
      </c>
      <c r="L1889" t="n">
        <v>0</v>
      </c>
      <c r="M1889" t="n">
        <v>0</v>
      </c>
      <c r="N1889" t="n">
        <v>0</v>
      </c>
      <c r="O1889" t="n">
        <v>0</v>
      </c>
      <c r="P1889" t="n">
        <v>0</v>
      </c>
      <c r="Q1889" t="n">
        <v>0</v>
      </c>
      <c r="R1889" s="2" t="inlineStr"/>
    </row>
    <row r="1890" ht="15" customHeight="1">
      <c r="A1890" t="inlineStr">
        <is>
          <t>A 44605-2022</t>
        </is>
      </c>
      <c r="B1890" s="1" t="n">
        <v>44839</v>
      </c>
      <c r="C1890" s="1" t="n">
        <v>46185</v>
      </c>
      <c r="D1890" t="inlineStr">
        <is>
          <t>VÄSTERNORRLANDS LÄN</t>
        </is>
      </c>
      <c r="E1890" t="inlineStr">
        <is>
          <t>SUNDSVALL</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9256-2022</t>
        </is>
      </c>
      <c r="B1891" s="1" t="n">
        <v>44616</v>
      </c>
      <c r="C1891" s="1" t="n">
        <v>46185</v>
      </c>
      <c r="D1891" t="inlineStr">
        <is>
          <t>VÄSTERNORRLANDS LÄN</t>
        </is>
      </c>
      <c r="E1891" t="inlineStr">
        <is>
          <t>TIMRÅ</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9257-2022</t>
        </is>
      </c>
      <c r="B1892" s="1" t="n">
        <v>44616</v>
      </c>
      <c r="C1892" s="1" t="n">
        <v>46185</v>
      </c>
      <c r="D1892" t="inlineStr">
        <is>
          <t>VÄSTERNORRLANDS LÄN</t>
        </is>
      </c>
      <c r="E1892" t="inlineStr">
        <is>
          <t>KRAMFORS</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14061-2022</t>
        </is>
      </c>
      <c r="B1893" s="1" t="n">
        <v>44650.94005787037</v>
      </c>
      <c r="C1893" s="1" t="n">
        <v>46185</v>
      </c>
      <c r="D1893" t="inlineStr">
        <is>
          <t>VÄSTERNORRLANDS LÄN</t>
        </is>
      </c>
      <c r="E1893" t="inlineStr">
        <is>
          <t>SOLLEFTEÅ</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37621-2021</t>
        </is>
      </c>
      <c r="B1894" s="1" t="n">
        <v>44399</v>
      </c>
      <c r="C1894" s="1" t="n">
        <v>46185</v>
      </c>
      <c r="D1894" t="inlineStr">
        <is>
          <t>VÄSTERNORRLANDS LÄN</t>
        </is>
      </c>
      <c r="E1894" t="inlineStr">
        <is>
          <t>ÅNGE</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30768-2022</t>
        </is>
      </c>
      <c r="B1895" s="1" t="n">
        <v>44764.53608796297</v>
      </c>
      <c r="C1895" s="1" t="n">
        <v>46185</v>
      </c>
      <c r="D1895" t="inlineStr">
        <is>
          <t>VÄSTERNORRLANDS LÄN</t>
        </is>
      </c>
      <c r="E1895" t="inlineStr">
        <is>
          <t>ÅNGE</t>
        </is>
      </c>
      <c r="F1895" t="inlineStr">
        <is>
          <t>Sveaskog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63458-2021</t>
        </is>
      </c>
      <c r="B1896" s="1" t="n">
        <v>44508</v>
      </c>
      <c r="C1896" s="1" t="n">
        <v>46185</v>
      </c>
      <c r="D1896" t="inlineStr">
        <is>
          <t>VÄSTERNORRLANDS LÄN</t>
        </is>
      </c>
      <c r="E1896" t="inlineStr">
        <is>
          <t>ÖRNSKÖLDSVIK</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66233-2021</t>
        </is>
      </c>
      <c r="B1897" s="1" t="n">
        <v>44518.39234953704</v>
      </c>
      <c r="C1897" s="1" t="n">
        <v>46185</v>
      </c>
      <c r="D1897" t="inlineStr">
        <is>
          <t>VÄSTERNORRLANDS LÄN</t>
        </is>
      </c>
      <c r="E1897" t="inlineStr">
        <is>
          <t>ÅNGE</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27082-2022</t>
        </is>
      </c>
      <c r="B1898" s="1" t="n">
        <v>44741</v>
      </c>
      <c r="C1898" s="1" t="n">
        <v>46185</v>
      </c>
      <c r="D1898" t="inlineStr">
        <is>
          <t>VÄSTERNORRLANDS LÄN</t>
        </is>
      </c>
      <c r="E1898" t="inlineStr">
        <is>
          <t>SOLLEFTEÅ</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13293-2022</t>
        </is>
      </c>
      <c r="B1899" s="1" t="n">
        <v>44644</v>
      </c>
      <c r="C1899" s="1" t="n">
        <v>46185</v>
      </c>
      <c r="D1899" t="inlineStr">
        <is>
          <t>VÄSTERNORRLANDS LÄN</t>
        </is>
      </c>
      <c r="E1899" t="inlineStr">
        <is>
          <t>SUNDSVALL</t>
        </is>
      </c>
      <c r="G1899" t="n">
        <v>18.5</v>
      </c>
      <c r="H1899" t="n">
        <v>0</v>
      </c>
      <c r="I1899" t="n">
        <v>0</v>
      </c>
      <c r="J1899" t="n">
        <v>0</v>
      </c>
      <c r="K1899" t="n">
        <v>0</v>
      </c>
      <c r="L1899" t="n">
        <v>0</v>
      </c>
      <c r="M1899" t="n">
        <v>0</v>
      </c>
      <c r="N1899" t="n">
        <v>0</v>
      </c>
      <c r="O1899" t="n">
        <v>0</v>
      </c>
      <c r="P1899" t="n">
        <v>0</v>
      </c>
      <c r="Q1899" t="n">
        <v>0</v>
      </c>
      <c r="R1899" s="2" t="inlineStr"/>
    </row>
    <row r="1900" ht="15" customHeight="1">
      <c r="A1900" t="inlineStr">
        <is>
          <t>A 14302-2022</t>
        </is>
      </c>
      <c r="B1900" s="1" t="n">
        <v>44651</v>
      </c>
      <c r="C1900" s="1" t="n">
        <v>46185</v>
      </c>
      <c r="D1900" t="inlineStr">
        <is>
          <t>VÄSTERNORRLANDS LÄN</t>
        </is>
      </c>
      <c r="E1900" t="inlineStr">
        <is>
          <t>SOLLEFTEÅ</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61407-2021</t>
        </is>
      </c>
      <c r="B1901" s="1" t="n">
        <v>44500</v>
      </c>
      <c r="C1901" s="1" t="n">
        <v>46185</v>
      </c>
      <c r="D1901" t="inlineStr">
        <is>
          <t>VÄSTERNORRLANDS LÄN</t>
        </is>
      </c>
      <c r="E1901" t="inlineStr">
        <is>
          <t>SUNDSVALL</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48240-2022</t>
        </is>
      </c>
      <c r="B1902" s="1" t="n">
        <v>44858</v>
      </c>
      <c r="C1902" s="1" t="n">
        <v>46185</v>
      </c>
      <c r="D1902" t="inlineStr">
        <is>
          <t>VÄSTERNORRLANDS LÄN</t>
        </is>
      </c>
      <c r="E1902" t="inlineStr">
        <is>
          <t>SOLLEFTEÅ</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31824-2021</t>
        </is>
      </c>
      <c r="B1903" s="1" t="n">
        <v>44370.39030092592</v>
      </c>
      <c r="C1903" s="1" t="n">
        <v>46185</v>
      </c>
      <c r="D1903" t="inlineStr">
        <is>
          <t>VÄSTERNORRLANDS LÄN</t>
        </is>
      </c>
      <c r="E1903" t="inlineStr">
        <is>
          <t>ÖRNSKÖLDSVIK</t>
        </is>
      </c>
      <c r="F1903" t="inlineStr">
        <is>
          <t>Holmen skog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51494-2022</t>
        </is>
      </c>
      <c r="B1904" s="1" t="n">
        <v>44869</v>
      </c>
      <c r="C1904" s="1" t="n">
        <v>46185</v>
      </c>
      <c r="D1904" t="inlineStr">
        <is>
          <t>VÄSTERNORRLANDS LÄN</t>
        </is>
      </c>
      <c r="E1904" t="inlineStr">
        <is>
          <t>ÅNGE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63449-2021</t>
        </is>
      </c>
      <c r="B1905" s="1" t="n">
        <v>44508</v>
      </c>
      <c r="C1905" s="1" t="n">
        <v>46185</v>
      </c>
      <c r="D1905" t="inlineStr">
        <is>
          <t>VÄSTERNORRLANDS LÄN</t>
        </is>
      </c>
      <c r="E1905" t="inlineStr">
        <is>
          <t>ÖRNSKÖLDSVIK</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32275-2021</t>
        </is>
      </c>
      <c r="B1906" s="1" t="n">
        <v>44371</v>
      </c>
      <c r="C1906" s="1" t="n">
        <v>46185</v>
      </c>
      <c r="D1906" t="inlineStr">
        <is>
          <t>VÄSTERNORRLANDS LÄN</t>
        </is>
      </c>
      <c r="E1906" t="inlineStr">
        <is>
          <t>SUNDSVALL</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30236-2022</t>
        </is>
      </c>
      <c r="B1907" s="1" t="n">
        <v>44757</v>
      </c>
      <c r="C1907" s="1" t="n">
        <v>46185</v>
      </c>
      <c r="D1907" t="inlineStr">
        <is>
          <t>VÄSTERNORRLANDS LÄN</t>
        </is>
      </c>
      <c r="E1907" t="inlineStr">
        <is>
          <t>SOLLEFTEÅ</t>
        </is>
      </c>
      <c r="F1907" t="inlineStr">
        <is>
          <t>SCA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42351-2021</t>
        </is>
      </c>
      <c r="B1908" s="1" t="n">
        <v>44427</v>
      </c>
      <c r="C1908" s="1" t="n">
        <v>46185</v>
      </c>
      <c r="D1908" t="inlineStr">
        <is>
          <t>VÄSTERNORRLANDS LÄN</t>
        </is>
      </c>
      <c r="E1908" t="inlineStr">
        <is>
          <t>ÖRNSKÖLDSVIK</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28943-2022</t>
        </is>
      </c>
      <c r="B1909" s="1" t="n">
        <v>44749</v>
      </c>
      <c r="C1909" s="1" t="n">
        <v>46185</v>
      </c>
      <c r="D1909" t="inlineStr">
        <is>
          <t>VÄSTERNORRLANDS LÄN</t>
        </is>
      </c>
      <c r="E1909" t="inlineStr">
        <is>
          <t>KRAMFORS</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69971-2021</t>
        </is>
      </c>
      <c r="B1910" s="1" t="n">
        <v>44533</v>
      </c>
      <c r="C1910" s="1" t="n">
        <v>46185</v>
      </c>
      <c r="D1910" t="inlineStr">
        <is>
          <t>VÄSTERNORRLANDS LÄN</t>
        </is>
      </c>
      <c r="E1910" t="inlineStr">
        <is>
          <t>ÖRNSKÖLDSVIK</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59146-2021</t>
        </is>
      </c>
      <c r="B1911" s="1" t="n">
        <v>44490</v>
      </c>
      <c r="C1911" s="1" t="n">
        <v>46185</v>
      </c>
      <c r="D1911" t="inlineStr">
        <is>
          <t>VÄSTERNORRLANDS LÄN</t>
        </is>
      </c>
      <c r="E1911" t="inlineStr">
        <is>
          <t>SUNDSVALL</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26398-2022</t>
        </is>
      </c>
      <c r="B1912" s="1" t="n">
        <v>44735</v>
      </c>
      <c r="C1912" s="1" t="n">
        <v>46185</v>
      </c>
      <c r="D1912" t="inlineStr">
        <is>
          <t>VÄSTERNORRLANDS LÄN</t>
        </is>
      </c>
      <c r="E1912" t="inlineStr">
        <is>
          <t>HÄRNÖSAND</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29294-2022</t>
        </is>
      </c>
      <c r="B1913" s="1" t="n">
        <v>44750.9431712963</v>
      </c>
      <c r="C1913" s="1" t="n">
        <v>46185</v>
      </c>
      <c r="D1913" t="inlineStr">
        <is>
          <t>VÄSTERNORRLANDS LÄN</t>
        </is>
      </c>
      <c r="E1913" t="inlineStr">
        <is>
          <t>SOLLEFTEÅ</t>
        </is>
      </c>
      <c r="F1913" t="inlineStr">
        <is>
          <t>SCA</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30286-2021</t>
        </is>
      </c>
      <c r="B1914" s="1" t="n">
        <v>44363</v>
      </c>
      <c r="C1914" s="1" t="n">
        <v>46185</v>
      </c>
      <c r="D1914" t="inlineStr">
        <is>
          <t>VÄSTERNORRLANDS LÄN</t>
        </is>
      </c>
      <c r="E1914" t="inlineStr">
        <is>
          <t>ÅNGE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29298-2022</t>
        </is>
      </c>
      <c r="B1915" s="1" t="n">
        <v>44750.94349537037</v>
      </c>
      <c r="C1915" s="1" t="n">
        <v>46185</v>
      </c>
      <c r="D1915" t="inlineStr">
        <is>
          <t>VÄSTERNORRLANDS LÄN</t>
        </is>
      </c>
      <c r="E1915" t="inlineStr">
        <is>
          <t>SUNDSVALL</t>
        </is>
      </c>
      <c r="F1915" t="inlineStr">
        <is>
          <t>Naturvårdsverket</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20056-2022</t>
        </is>
      </c>
      <c r="B1916" s="1" t="n">
        <v>44697.92469907407</v>
      </c>
      <c r="C1916" s="1" t="n">
        <v>46185</v>
      </c>
      <c r="D1916" t="inlineStr">
        <is>
          <t>VÄSTERNORRLANDS LÄN</t>
        </is>
      </c>
      <c r="E1916" t="inlineStr">
        <is>
          <t>KRAMFORS</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24734-2022</t>
        </is>
      </c>
      <c r="B1917" s="1" t="n">
        <v>44727.94329861111</v>
      </c>
      <c r="C1917" s="1" t="n">
        <v>46185</v>
      </c>
      <c r="D1917" t="inlineStr">
        <is>
          <t>VÄSTERNORRLANDS LÄN</t>
        </is>
      </c>
      <c r="E1917" t="inlineStr">
        <is>
          <t>SOLLEFTEÅ</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48004-2022</t>
        </is>
      </c>
      <c r="B1918" s="1" t="n">
        <v>44855</v>
      </c>
      <c r="C1918" s="1" t="n">
        <v>46185</v>
      </c>
      <c r="D1918" t="inlineStr">
        <is>
          <t>VÄSTERNORRLANDS LÄN</t>
        </is>
      </c>
      <c r="E1918" t="inlineStr">
        <is>
          <t>ÖRNSKÖLDSVIK</t>
        </is>
      </c>
      <c r="F1918" t="inlineStr">
        <is>
          <t>Holmen skog AB</t>
        </is>
      </c>
      <c r="G1918" t="n">
        <v>6.6</v>
      </c>
      <c r="H1918" t="n">
        <v>0</v>
      </c>
      <c r="I1918" t="n">
        <v>0</v>
      </c>
      <c r="J1918" t="n">
        <v>0</v>
      </c>
      <c r="K1918" t="n">
        <v>0</v>
      </c>
      <c r="L1918" t="n">
        <v>0</v>
      </c>
      <c r="M1918" t="n">
        <v>0</v>
      </c>
      <c r="N1918" t="n">
        <v>0</v>
      </c>
      <c r="O1918" t="n">
        <v>0</v>
      </c>
      <c r="P1918" t="n">
        <v>0</v>
      </c>
      <c r="Q1918" t="n">
        <v>0</v>
      </c>
      <c r="R1918" s="2" t="inlineStr"/>
    </row>
    <row r="1919" ht="15" customHeight="1">
      <c r="A1919" t="inlineStr">
        <is>
          <t>A 73637-2021</t>
        </is>
      </c>
      <c r="B1919" s="1" t="n">
        <v>44552.4337962963</v>
      </c>
      <c r="C1919" s="1" t="n">
        <v>46185</v>
      </c>
      <c r="D1919" t="inlineStr">
        <is>
          <t>VÄSTERNORRLANDS LÄN</t>
        </is>
      </c>
      <c r="E1919" t="inlineStr">
        <is>
          <t>ÖRNSKÖLDSVIK</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73566-2021</t>
        </is>
      </c>
      <c r="B1920" s="1" t="n">
        <v>44551.94106481481</v>
      </c>
      <c r="C1920" s="1" t="n">
        <v>46185</v>
      </c>
      <c r="D1920" t="inlineStr">
        <is>
          <t>VÄSTERNORRLANDS LÄN</t>
        </is>
      </c>
      <c r="E1920" t="inlineStr">
        <is>
          <t>SOLLEFTEÅ</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36564-2022</t>
        </is>
      </c>
      <c r="B1921" s="1" t="n">
        <v>44804</v>
      </c>
      <c r="C1921" s="1" t="n">
        <v>46185</v>
      </c>
      <c r="D1921" t="inlineStr">
        <is>
          <t>VÄSTERNORRLANDS LÄN</t>
        </is>
      </c>
      <c r="E1921" t="inlineStr">
        <is>
          <t>TIMRÅ</t>
        </is>
      </c>
      <c r="G1921" t="n">
        <v>16.6</v>
      </c>
      <c r="H1921" t="n">
        <v>0</v>
      </c>
      <c r="I1921" t="n">
        <v>0</v>
      </c>
      <c r="J1921" t="n">
        <v>0</v>
      </c>
      <c r="K1921" t="n">
        <v>0</v>
      </c>
      <c r="L1921" t="n">
        <v>0</v>
      </c>
      <c r="M1921" t="n">
        <v>0</v>
      </c>
      <c r="N1921" t="n">
        <v>0</v>
      </c>
      <c r="O1921" t="n">
        <v>0</v>
      </c>
      <c r="P1921" t="n">
        <v>0</v>
      </c>
      <c r="Q1921" t="n">
        <v>0</v>
      </c>
      <c r="R1921" s="2" t="inlineStr"/>
    </row>
    <row r="1922" ht="15" customHeight="1">
      <c r="A1922" t="inlineStr">
        <is>
          <t>A 39944-2022</t>
        </is>
      </c>
      <c r="B1922" s="1" t="n">
        <v>44819</v>
      </c>
      <c r="C1922" s="1" t="n">
        <v>46185</v>
      </c>
      <c r="D1922" t="inlineStr">
        <is>
          <t>VÄSTERNORRLANDS LÄN</t>
        </is>
      </c>
      <c r="E1922" t="inlineStr">
        <is>
          <t>SOLLEFTEÅ</t>
        </is>
      </c>
      <c r="F1922" t="inlineStr">
        <is>
          <t>SCA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33684-2022</t>
        </is>
      </c>
      <c r="B1923" s="1" t="n">
        <v>44789</v>
      </c>
      <c r="C1923" s="1" t="n">
        <v>46185</v>
      </c>
      <c r="D1923" t="inlineStr">
        <is>
          <t>VÄSTERNORRLANDS LÄN</t>
        </is>
      </c>
      <c r="E1923" t="inlineStr">
        <is>
          <t>ÖRNSKÖLDSVIK</t>
        </is>
      </c>
      <c r="F1923" t="inlineStr">
        <is>
          <t>Holmen skog AB</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2775-2022</t>
        </is>
      </c>
      <c r="B1924" s="1" t="n">
        <v>44581</v>
      </c>
      <c r="C1924" s="1" t="n">
        <v>46185</v>
      </c>
      <c r="D1924" t="inlineStr">
        <is>
          <t>VÄSTERNORRLANDS LÄN</t>
        </is>
      </c>
      <c r="E1924" t="inlineStr">
        <is>
          <t>KRAMFORS</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2786-2022</t>
        </is>
      </c>
      <c r="B1925" s="1" t="n">
        <v>44581</v>
      </c>
      <c r="C1925" s="1" t="n">
        <v>46185</v>
      </c>
      <c r="D1925" t="inlineStr">
        <is>
          <t>VÄSTERNORRLANDS LÄN</t>
        </is>
      </c>
      <c r="E1925" t="inlineStr">
        <is>
          <t>HÄRNÖSAND</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62073-2021</t>
        </is>
      </c>
      <c r="B1926" s="1" t="n">
        <v>44502.59737268519</v>
      </c>
      <c r="C1926" s="1" t="n">
        <v>46185</v>
      </c>
      <c r="D1926" t="inlineStr">
        <is>
          <t>VÄSTERNORRLANDS LÄN</t>
        </is>
      </c>
      <c r="E1926" t="inlineStr">
        <is>
          <t>SUNDSVALL</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30936-2022</t>
        </is>
      </c>
      <c r="B1927" s="1" t="n">
        <v>44767.94028935185</v>
      </c>
      <c r="C1927" s="1" t="n">
        <v>46185</v>
      </c>
      <c r="D1927" t="inlineStr">
        <is>
          <t>VÄSTERNORRLANDS LÄN</t>
        </is>
      </c>
      <c r="E1927" t="inlineStr">
        <is>
          <t>SOLLEFTEÅ</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46837-2022</t>
        </is>
      </c>
      <c r="B1928" s="1" t="n">
        <v>44848</v>
      </c>
      <c r="C1928" s="1" t="n">
        <v>46185</v>
      </c>
      <c r="D1928" t="inlineStr">
        <is>
          <t>VÄSTERNORRLANDS LÄN</t>
        </is>
      </c>
      <c r="E1928" t="inlineStr">
        <is>
          <t>HÄRNÖSAND</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18422-2022</t>
        </is>
      </c>
      <c r="B1929" s="1" t="n">
        <v>44687</v>
      </c>
      <c r="C1929" s="1" t="n">
        <v>46185</v>
      </c>
      <c r="D1929" t="inlineStr">
        <is>
          <t>VÄSTERNORRLANDS LÄN</t>
        </is>
      </c>
      <c r="E1929" t="inlineStr">
        <is>
          <t>ÖRNSKÖLDSVIK</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29509-2021</t>
        </is>
      </c>
      <c r="B1930" s="1" t="n">
        <v>44361</v>
      </c>
      <c r="C1930" s="1" t="n">
        <v>46185</v>
      </c>
      <c r="D1930" t="inlineStr">
        <is>
          <t>VÄSTERNORRLANDS LÄN</t>
        </is>
      </c>
      <c r="E1930" t="inlineStr">
        <is>
          <t>ÅNGE</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35283-2022</t>
        </is>
      </c>
      <c r="B1931" s="1" t="n">
        <v>44798.39916666667</v>
      </c>
      <c r="C1931" s="1" t="n">
        <v>46185</v>
      </c>
      <c r="D1931" t="inlineStr">
        <is>
          <t>VÄSTERNORRLANDS LÄN</t>
        </is>
      </c>
      <c r="E1931" t="inlineStr">
        <is>
          <t>ÅNGE</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53568-2021</t>
        </is>
      </c>
      <c r="B1932" s="1" t="n">
        <v>44469</v>
      </c>
      <c r="C1932" s="1" t="n">
        <v>46185</v>
      </c>
      <c r="D1932" t="inlineStr">
        <is>
          <t>VÄSTERNORRLANDS LÄN</t>
        </is>
      </c>
      <c r="E1932" t="inlineStr">
        <is>
          <t>HÄRNÖSAND</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33274-2022</t>
        </is>
      </c>
      <c r="B1933" s="1" t="n">
        <v>44788</v>
      </c>
      <c r="C1933" s="1" t="n">
        <v>46185</v>
      </c>
      <c r="D1933" t="inlineStr">
        <is>
          <t>VÄSTERNORRLANDS LÄN</t>
        </is>
      </c>
      <c r="E1933" t="inlineStr">
        <is>
          <t>ÅNGE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31957-2022</t>
        </is>
      </c>
      <c r="B1934" s="1" t="n">
        <v>44777</v>
      </c>
      <c r="C1934" s="1" t="n">
        <v>46185</v>
      </c>
      <c r="D1934" t="inlineStr">
        <is>
          <t>VÄSTERNORRLANDS LÄN</t>
        </is>
      </c>
      <c r="E1934" t="inlineStr">
        <is>
          <t>SUNDSVALL</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66752-2021</t>
        </is>
      </c>
      <c r="B1935" s="1" t="n">
        <v>44521</v>
      </c>
      <c r="C1935" s="1" t="n">
        <v>46185</v>
      </c>
      <c r="D1935" t="inlineStr">
        <is>
          <t>VÄSTERNORRLANDS LÄN</t>
        </is>
      </c>
      <c r="E1935" t="inlineStr">
        <is>
          <t>ÖRNSKÖLDSVIK</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576-2022</t>
        </is>
      </c>
      <c r="B1936" s="1" t="n">
        <v>44566.92086805555</v>
      </c>
      <c r="C1936" s="1" t="n">
        <v>46185</v>
      </c>
      <c r="D1936" t="inlineStr">
        <is>
          <t>VÄSTERNORRLANDS LÄN</t>
        </is>
      </c>
      <c r="E1936" t="inlineStr">
        <is>
          <t>SOLLEFTEÅ</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64714-2021</t>
        </is>
      </c>
      <c r="B1937" s="1" t="n">
        <v>44512</v>
      </c>
      <c r="C1937" s="1" t="n">
        <v>46185</v>
      </c>
      <c r="D1937" t="inlineStr">
        <is>
          <t>VÄSTERNORRLANDS LÄN</t>
        </is>
      </c>
      <c r="E1937" t="inlineStr">
        <is>
          <t>ÖRNSKÖLDSVIK</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16209-2022</t>
        </is>
      </c>
      <c r="B1938" s="1" t="n">
        <v>44670</v>
      </c>
      <c r="C1938" s="1" t="n">
        <v>46185</v>
      </c>
      <c r="D1938" t="inlineStr">
        <is>
          <t>VÄSTERNORRLANDS LÄN</t>
        </is>
      </c>
      <c r="E1938" t="inlineStr">
        <is>
          <t>ÖRNSKÖLDSVIK</t>
        </is>
      </c>
      <c r="F1938" t="inlineStr">
        <is>
          <t>Holmen skog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16211-2022</t>
        </is>
      </c>
      <c r="B1939" s="1" t="n">
        <v>44670</v>
      </c>
      <c r="C1939" s="1" t="n">
        <v>46185</v>
      </c>
      <c r="D1939" t="inlineStr">
        <is>
          <t>VÄSTERNORRLANDS LÄN</t>
        </is>
      </c>
      <c r="E1939" t="inlineStr">
        <is>
          <t>ÖRNSKÖLDSVIK</t>
        </is>
      </c>
      <c r="F1939" t="inlineStr">
        <is>
          <t>Holmen skog AB</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57438-2021</t>
        </is>
      </c>
      <c r="B1940" s="1" t="n">
        <v>44483</v>
      </c>
      <c r="C1940" s="1" t="n">
        <v>46185</v>
      </c>
      <c r="D1940" t="inlineStr">
        <is>
          <t>VÄSTERNORRLANDS LÄN</t>
        </is>
      </c>
      <c r="E1940" t="inlineStr">
        <is>
          <t>ÖRNSKÖLDSVIK</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45050-2021</t>
        </is>
      </c>
      <c r="B1941" s="1" t="n">
        <v>44439</v>
      </c>
      <c r="C1941" s="1" t="n">
        <v>46185</v>
      </c>
      <c r="D1941" t="inlineStr">
        <is>
          <t>VÄSTERNORRLANDS LÄN</t>
        </is>
      </c>
      <c r="E1941" t="inlineStr">
        <is>
          <t>ÖRNSKÖLDSVIK</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47660-2022</t>
        </is>
      </c>
      <c r="B1942" s="1" t="n">
        <v>44854.45766203704</v>
      </c>
      <c r="C1942" s="1" t="n">
        <v>46185</v>
      </c>
      <c r="D1942" t="inlineStr">
        <is>
          <t>VÄSTERNORRLANDS LÄN</t>
        </is>
      </c>
      <c r="E1942" t="inlineStr">
        <is>
          <t>ÅNGE</t>
        </is>
      </c>
      <c r="F1942" t="inlineStr">
        <is>
          <t>Holmen skog AB</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50710-2021</t>
        </is>
      </c>
      <c r="B1943" s="1" t="n">
        <v>44460.366875</v>
      </c>
      <c r="C1943" s="1" t="n">
        <v>46185</v>
      </c>
      <c r="D1943" t="inlineStr">
        <is>
          <t>VÄSTERNORRLANDS LÄN</t>
        </is>
      </c>
      <c r="E1943" t="inlineStr">
        <is>
          <t>ÅNGE</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40476-2022</t>
        </is>
      </c>
      <c r="B1944" s="1" t="n">
        <v>44823.54685185185</v>
      </c>
      <c r="C1944" s="1" t="n">
        <v>46185</v>
      </c>
      <c r="D1944" t="inlineStr">
        <is>
          <t>VÄSTERNORRLANDS LÄN</t>
        </is>
      </c>
      <c r="E1944" t="inlineStr">
        <is>
          <t>ÅNGE</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7633-2022</t>
        </is>
      </c>
      <c r="B1945" s="1" t="n">
        <v>44607.71378472223</v>
      </c>
      <c r="C1945" s="1" t="n">
        <v>46185</v>
      </c>
      <c r="D1945" t="inlineStr">
        <is>
          <t>VÄSTERNORRLANDS LÄN</t>
        </is>
      </c>
      <c r="E1945" t="inlineStr">
        <is>
          <t>ÅNGE</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6644-2022</t>
        </is>
      </c>
      <c r="B1946" s="1" t="n">
        <v>44601.93631944444</v>
      </c>
      <c r="C1946" s="1" t="n">
        <v>46185</v>
      </c>
      <c r="D1946" t="inlineStr">
        <is>
          <t>VÄSTERNORRLANDS LÄN</t>
        </is>
      </c>
      <c r="E1946" t="inlineStr">
        <is>
          <t>SUNDSVALL</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51832-2022</t>
        </is>
      </c>
      <c r="B1947" s="1" t="n">
        <v>44872</v>
      </c>
      <c r="C1947" s="1" t="n">
        <v>46185</v>
      </c>
      <c r="D1947" t="inlineStr">
        <is>
          <t>VÄSTERNORRLANDS LÄN</t>
        </is>
      </c>
      <c r="E1947" t="inlineStr">
        <is>
          <t>ÖRNSKÖLDSVIK</t>
        </is>
      </c>
      <c r="F1947" t="inlineStr">
        <is>
          <t>Holmen skog AB</t>
        </is>
      </c>
      <c r="G1947" t="n">
        <v>13.8</v>
      </c>
      <c r="H1947" t="n">
        <v>0</v>
      </c>
      <c r="I1947" t="n">
        <v>0</v>
      </c>
      <c r="J1947" t="n">
        <v>0</v>
      </c>
      <c r="K1947" t="n">
        <v>0</v>
      </c>
      <c r="L1947" t="n">
        <v>0</v>
      </c>
      <c r="M1947" t="n">
        <v>0</v>
      </c>
      <c r="N1947" t="n">
        <v>0</v>
      </c>
      <c r="O1947" t="n">
        <v>0</v>
      </c>
      <c r="P1947" t="n">
        <v>0</v>
      </c>
      <c r="Q1947" t="n">
        <v>0</v>
      </c>
      <c r="R1947" s="2" t="inlineStr"/>
    </row>
    <row r="1948" ht="15" customHeight="1">
      <c r="A1948" t="inlineStr">
        <is>
          <t>A 16616-2022</t>
        </is>
      </c>
      <c r="B1948" s="1" t="n">
        <v>44672</v>
      </c>
      <c r="C1948" s="1" t="n">
        <v>46185</v>
      </c>
      <c r="D1948" t="inlineStr">
        <is>
          <t>VÄSTERNORRLANDS LÄN</t>
        </is>
      </c>
      <c r="E1948" t="inlineStr">
        <is>
          <t>HÄRNÖSAND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14372-2022</t>
        </is>
      </c>
      <c r="B1949" s="1" t="n">
        <v>44652</v>
      </c>
      <c r="C1949" s="1" t="n">
        <v>46185</v>
      </c>
      <c r="D1949" t="inlineStr">
        <is>
          <t>VÄSTERNORRLANDS LÄN</t>
        </is>
      </c>
      <c r="E1949" t="inlineStr">
        <is>
          <t>HÄRNÖSAND</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14813-2022</t>
        </is>
      </c>
      <c r="B1950" s="1" t="n">
        <v>44656</v>
      </c>
      <c r="C1950" s="1" t="n">
        <v>46185</v>
      </c>
      <c r="D1950" t="inlineStr">
        <is>
          <t>VÄSTERNORRLANDS LÄN</t>
        </is>
      </c>
      <c r="E1950" t="inlineStr">
        <is>
          <t>ÅNGE</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42878-2022</t>
        </is>
      </c>
      <c r="B1951" s="1" t="n">
        <v>44832.92944444445</v>
      </c>
      <c r="C1951" s="1" t="n">
        <v>46185</v>
      </c>
      <c r="D1951" t="inlineStr">
        <is>
          <t>VÄSTERNORRLANDS LÄN</t>
        </is>
      </c>
      <c r="E1951" t="inlineStr">
        <is>
          <t>SUNDSVALL</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20600-2022</t>
        </is>
      </c>
      <c r="B1952" s="1" t="n">
        <v>44700</v>
      </c>
      <c r="C1952" s="1" t="n">
        <v>46185</v>
      </c>
      <c r="D1952" t="inlineStr">
        <is>
          <t>VÄSTERNORRLANDS LÄN</t>
        </is>
      </c>
      <c r="E1952" t="inlineStr">
        <is>
          <t>ÖRNSKÖLDSVIK</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16419-2022</t>
        </is>
      </c>
      <c r="B1953" s="1" t="n">
        <v>44671</v>
      </c>
      <c r="C1953" s="1" t="n">
        <v>46185</v>
      </c>
      <c r="D1953" t="inlineStr">
        <is>
          <t>VÄSTERNORRLANDS LÄN</t>
        </is>
      </c>
      <c r="E1953" t="inlineStr">
        <is>
          <t>SOLLEFTEÅ</t>
        </is>
      </c>
      <c r="F1953" t="inlineStr">
        <is>
          <t>Kommuner</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20127-2022</t>
        </is>
      </c>
      <c r="B1954" s="1" t="n">
        <v>44698</v>
      </c>
      <c r="C1954" s="1" t="n">
        <v>46185</v>
      </c>
      <c r="D1954" t="inlineStr">
        <is>
          <t>VÄSTERNORRLANDS LÄN</t>
        </is>
      </c>
      <c r="E1954" t="inlineStr">
        <is>
          <t>ÖRNSKÖLDSVIK</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33990-2022</t>
        </is>
      </c>
      <c r="B1955" s="1" t="n">
        <v>44790</v>
      </c>
      <c r="C1955" s="1" t="n">
        <v>46185</v>
      </c>
      <c r="D1955" t="inlineStr">
        <is>
          <t>VÄSTERNORRLANDS LÄN</t>
        </is>
      </c>
      <c r="E1955" t="inlineStr">
        <is>
          <t>SOLLEFTEÅ</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35758-2022</t>
        </is>
      </c>
      <c r="B1956" s="1" t="n">
        <v>44799</v>
      </c>
      <c r="C1956" s="1" t="n">
        <v>46185</v>
      </c>
      <c r="D1956" t="inlineStr">
        <is>
          <t>VÄSTERNORRLANDS LÄN</t>
        </is>
      </c>
      <c r="E1956" t="inlineStr">
        <is>
          <t>TIMRÅ</t>
        </is>
      </c>
      <c r="F1956" t="inlineStr">
        <is>
          <t>SCA</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65024-2021</t>
        </is>
      </c>
      <c r="B1957" s="1" t="n">
        <v>44515.31559027778</v>
      </c>
      <c r="C1957" s="1" t="n">
        <v>46185</v>
      </c>
      <c r="D1957" t="inlineStr">
        <is>
          <t>VÄSTERNORRLANDS LÄN</t>
        </is>
      </c>
      <c r="E1957" t="inlineStr">
        <is>
          <t>HÄRNÖSAND</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39947-2022</t>
        </is>
      </c>
      <c r="B1958" s="1" t="n">
        <v>44819</v>
      </c>
      <c r="C1958" s="1" t="n">
        <v>46185</v>
      </c>
      <c r="D1958" t="inlineStr">
        <is>
          <t>VÄSTERNORRLANDS LÄN</t>
        </is>
      </c>
      <c r="E1958" t="inlineStr">
        <is>
          <t>SOLLEFTEÅ</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57418-2021</t>
        </is>
      </c>
      <c r="B1959" s="1" t="n">
        <v>44483</v>
      </c>
      <c r="C1959" s="1" t="n">
        <v>46185</v>
      </c>
      <c r="D1959" t="inlineStr">
        <is>
          <t>VÄSTERNORRLANDS LÄN</t>
        </is>
      </c>
      <c r="E1959" t="inlineStr">
        <is>
          <t>ÅNGE</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62317-2021</t>
        </is>
      </c>
      <c r="B1960" s="1" t="n">
        <v>44503</v>
      </c>
      <c r="C1960" s="1" t="n">
        <v>46185</v>
      </c>
      <c r="D1960" t="inlineStr">
        <is>
          <t>VÄSTERNORRLANDS LÄN</t>
        </is>
      </c>
      <c r="E1960" t="inlineStr">
        <is>
          <t>KRAMFORS</t>
        </is>
      </c>
      <c r="G1960" t="n">
        <v>8.9</v>
      </c>
      <c r="H1960" t="n">
        <v>0</v>
      </c>
      <c r="I1960" t="n">
        <v>0</v>
      </c>
      <c r="J1960" t="n">
        <v>0</v>
      </c>
      <c r="K1960" t="n">
        <v>0</v>
      </c>
      <c r="L1960" t="n">
        <v>0</v>
      </c>
      <c r="M1960" t="n">
        <v>0</v>
      </c>
      <c r="N1960" t="n">
        <v>0</v>
      </c>
      <c r="O1960" t="n">
        <v>0</v>
      </c>
      <c r="P1960" t="n">
        <v>0</v>
      </c>
      <c r="Q1960" t="n">
        <v>0</v>
      </c>
      <c r="R1960" s="2" t="inlineStr"/>
    </row>
    <row r="1961" ht="15" customHeight="1">
      <c r="A1961" t="inlineStr">
        <is>
          <t>A 40827-2022</t>
        </is>
      </c>
      <c r="B1961" s="1" t="n">
        <v>44824</v>
      </c>
      <c r="C1961" s="1" t="n">
        <v>46185</v>
      </c>
      <c r="D1961" t="inlineStr">
        <is>
          <t>VÄSTERNORRLANDS LÄN</t>
        </is>
      </c>
      <c r="E1961" t="inlineStr">
        <is>
          <t>SUNDSVALL</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40610-2022</t>
        </is>
      </c>
      <c r="B1962" s="1" t="n">
        <v>44823.94981481481</v>
      </c>
      <c r="C1962" s="1" t="n">
        <v>46185</v>
      </c>
      <c r="D1962" t="inlineStr">
        <is>
          <t>VÄSTERNORRLANDS LÄN</t>
        </is>
      </c>
      <c r="E1962" t="inlineStr">
        <is>
          <t>SOLLEFTEÅ</t>
        </is>
      </c>
      <c r="F1962" t="inlineStr">
        <is>
          <t>SCA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53664-2022</t>
        </is>
      </c>
      <c r="B1963" s="1" t="n">
        <v>44879.95643518519</v>
      </c>
      <c r="C1963" s="1" t="n">
        <v>46185</v>
      </c>
      <c r="D1963" t="inlineStr">
        <is>
          <t>VÄSTERNORRLANDS LÄN</t>
        </is>
      </c>
      <c r="E1963" t="inlineStr">
        <is>
          <t>ÅNGE</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11677-2022</t>
        </is>
      </c>
      <c r="B1964" s="1" t="n">
        <v>44633</v>
      </c>
      <c r="C1964" s="1" t="n">
        <v>46185</v>
      </c>
      <c r="D1964" t="inlineStr">
        <is>
          <t>VÄSTERNORRLANDS LÄN</t>
        </is>
      </c>
      <c r="E1964" t="inlineStr">
        <is>
          <t>SOLLEFTEÅ</t>
        </is>
      </c>
      <c r="F1964" t="inlineStr">
        <is>
          <t>SCA</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40950-2022</t>
        </is>
      </c>
      <c r="B1965" s="1" t="n">
        <v>44823</v>
      </c>
      <c r="C1965" s="1" t="n">
        <v>46185</v>
      </c>
      <c r="D1965" t="inlineStr">
        <is>
          <t>VÄSTERNORRLANDS LÄN</t>
        </is>
      </c>
      <c r="E1965" t="inlineStr">
        <is>
          <t>SUNDSVALL</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64018-2021</t>
        </is>
      </c>
      <c r="B1966" s="1" t="n">
        <v>44510</v>
      </c>
      <c r="C1966" s="1" t="n">
        <v>46185</v>
      </c>
      <c r="D1966" t="inlineStr">
        <is>
          <t>VÄSTERNORRLANDS LÄN</t>
        </is>
      </c>
      <c r="E1966" t="inlineStr">
        <is>
          <t>ÖRNSKÖLDSVIK</t>
        </is>
      </c>
      <c r="F1966" t="inlineStr">
        <is>
          <t>Holmen skog AB</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1297-2022</t>
        </is>
      </c>
      <c r="B1967" s="1" t="n">
        <v>44572.69135416667</v>
      </c>
      <c r="C1967" s="1" t="n">
        <v>46185</v>
      </c>
      <c r="D1967" t="inlineStr">
        <is>
          <t>VÄSTERNORRLANDS LÄN</t>
        </is>
      </c>
      <c r="E1967" t="inlineStr">
        <is>
          <t>ÅNGE</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15844-2022</t>
        </is>
      </c>
      <c r="B1968" s="1" t="n">
        <v>44664</v>
      </c>
      <c r="C1968" s="1" t="n">
        <v>46185</v>
      </c>
      <c r="D1968" t="inlineStr">
        <is>
          <t>VÄSTERNORRLANDS LÄN</t>
        </is>
      </c>
      <c r="E1968" t="inlineStr">
        <is>
          <t>HÄRNÖSAND</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32119-2022</t>
        </is>
      </c>
      <c r="B1969" s="1" t="n">
        <v>44778.94293981481</v>
      </c>
      <c r="C1969" s="1" t="n">
        <v>46185</v>
      </c>
      <c r="D1969" t="inlineStr">
        <is>
          <t>VÄSTERNORRLANDS LÄN</t>
        </is>
      </c>
      <c r="E1969" t="inlineStr">
        <is>
          <t>SUNDSVALL</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70885-2021</t>
        </is>
      </c>
      <c r="B1970" s="1" t="n">
        <v>44537</v>
      </c>
      <c r="C1970" s="1" t="n">
        <v>46185</v>
      </c>
      <c r="D1970" t="inlineStr">
        <is>
          <t>VÄSTERNORRLANDS LÄN</t>
        </is>
      </c>
      <c r="E1970" t="inlineStr">
        <is>
          <t>ÖRNSKÖLDSVIK</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42634-2022</t>
        </is>
      </c>
      <c r="B1971" s="1" t="n">
        <v>44831.94565972222</v>
      </c>
      <c r="C1971" s="1" t="n">
        <v>46185</v>
      </c>
      <c r="D1971" t="inlineStr">
        <is>
          <t>VÄSTERNORRLANDS LÄN</t>
        </is>
      </c>
      <c r="E1971" t="inlineStr">
        <is>
          <t>SOLLEFTEÅ</t>
        </is>
      </c>
      <c r="F1971" t="inlineStr">
        <is>
          <t>SCA</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9452-2022</t>
        </is>
      </c>
      <c r="B1972" s="1" t="n">
        <v>44616.70839120371</v>
      </c>
      <c r="C1972" s="1" t="n">
        <v>46185</v>
      </c>
      <c r="D1972" t="inlineStr">
        <is>
          <t>VÄSTERNORRLANDS LÄN</t>
        </is>
      </c>
      <c r="E1972" t="inlineStr">
        <is>
          <t>HÄRNÖSAND</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9586-2022</t>
        </is>
      </c>
      <c r="B1973" s="1" t="n">
        <v>44617</v>
      </c>
      <c r="C1973" s="1" t="n">
        <v>46185</v>
      </c>
      <c r="D1973" t="inlineStr">
        <is>
          <t>VÄSTERNORRLANDS LÄN</t>
        </is>
      </c>
      <c r="E1973" t="inlineStr">
        <is>
          <t>SOLLEFTEÅ</t>
        </is>
      </c>
      <c r="F1973" t="inlineStr">
        <is>
          <t>Övriga Aktiebolag</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44961-2022</t>
        </is>
      </c>
      <c r="B1974" s="1" t="n">
        <v>44841.58369212963</v>
      </c>
      <c r="C1974" s="1" t="n">
        <v>46185</v>
      </c>
      <c r="D1974" t="inlineStr">
        <is>
          <t>VÄSTERNORRLANDS LÄN</t>
        </is>
      </c>
      <c r="E1974" t="inlineStr">
        <is>
          <t>ÖRNSKÖLDSVIK</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47815-2022</t>
        </is>
      </c>
      <c r="B1975" s="1" t="n">
        <v>44854</v>
      </c>
      <c r="C1975" s="1" t="n">
        <v>46185</v>
      </c>
      <c r="D1975" t="inlineStr">
        <is>
          <t>VÄSTERNORRLANDS LÄN</t>
        </is>
      </c>
      <c r="E1975" t="inlineStr">
        <is>
          <t>TIMRÅ</t>
        </is>
      </c>
      <c r="F1975" t="inlineStr">
        <is>
          <t>SCA</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45695-2022</t>
        </is>
      </c>
      <c r="B1976" s="1" t="n">
        <v>44845.95347222222</v>
      </c>
      <c r="C1976" s="1" t="n">
        <v>46185</v>
      </c>
      <c r="D1976" t="inlineStr">
        <is>
          <t>VÄSTERNORRLANDS LÄN</t>
        </is>
      </c>
      <c r="E1976" t="inlineStr">
        <is>
          <t>TIMRÅ</t>
        </is>
      </c>
      <c r="F1976" t="inlineStr">
        <is>
          <t>SCA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45700-2022</t>
        </is>
      </c>
      <c r="B1977" s="1" t="n">
        <v>44845</v>
      </c>
      <c r="C1977" s="1" t="n">
        <v>46185</v>
      </c>
      <c r="D1977" t="inlineStr">
        <is>
          <t>VÄSTERNORRLANDS LÄN</t>
        </is>
      </c>
      <c r="E1977" t="inlineStr">
        <is>
          <t>SUNDSVALL</t>
        </is>
      </c>
      <c r="F1977" t="inlineStr">
        <is>
          <t>SCA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45716-2022</t>
        </is>
      </c>
      <c r="B1978" s="1" t="n">
        <v>44845</v>
      </c>
      <c r="C1978" s="1" t="n">
        <v>46185</v>
      </c>
      <c r="D1978" t="inlineStr">
        <is>
          <t>VÄSTERNORRLANDS LÄN</t>
        </is>
      </c>
      <c r="E1978" t="inlineStr">
        <is>
          <t>SUNDSVALL</t>
        </is>
      </c>
      <c r="F1978" t="inlineStr">
        <is>
          <t>Naturvårdsverket</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55511-2022</t>
        </is>
      </c>
      <c r="B1979" s="1" t="n">
        <v>44887.9284375</v>
      </c>
      <c r="C1979" s="1" t="n">
        <v>46185</v>
      </c>
      <c r="D1979" t="inlineStr">
        <is>
          <t>VÄSTERNORRLANDS LÄN</t>
        </is>
      </c>
      <c r="E1979" t="inlineStr">
        <is>
          <t>TIMRÅ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15698-2022</t>
        </is>
      </c>
      <c r="B1980" s="1" t="n">
        <v>44663</v>
      </c>
      <c r="C1980" s="1" t="n">
        <v>46185</v>
      </c>
      <c r="D1980" t="inlineStr">
        <is>
          <t>VÄSTERNORRLANDS LÄN</t>
        </is>
      </c>
      <c r="E1980" t="inlineStr">
        <is>
          <t>SUNDSVALL</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15733-2022</t>
        </is>
      </c>
      <c r="B1981" s="1" t="n">
        <v>44663.5059837963</v>
      </c>
      <c r="C1981" s="1" t="n">
        <v>46185</v>
      </c>
      <c r="D1981" t="inlineStr">
        <is>
          <t>VÄSTERNORRLANDS LÄN</t>
        </is>
      </c>
      <c r="E1981" t="inlineStr">
        <is>
          <t>SUNDSVALL</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12568-2022</t>
        </is>
      </c>
      <c r="B1982" s="1" t="n">
        <v>44638.94277777777</v>
      </c>
      <c r="C1982" s="1" t="n">
        <v>46185</v>
      </c>
      <c r="D1982" t="inlineStr">
        <is>
          <t>VÄSTERNORRLANDS LÄN</t>
        </is>
      </c>
      <c r="E1982" t="inlineStr">
        <is>
          <t>SOLLEFTEÅ</t>
        </is>
      </c>
      <c r="F1982" t="inlineStr">
        <is>
          <t>SCA</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46512-2022</t>
        </is>
      </c>
      <c r="B1983" s="1" t="n">
        <v>44847</v>
      </c>
      <c r="C1983" s="1" t="n">
        <v>46185</v>
      </c>
      <c r="D1983" t="inlineStr">
        <is>
          <t>VÄSTERNORRLANDS LÄN</t>
        </is>
      </c>
      <c r="E1983" t="inlineStr">
        <is>
          <t>KRAMFORS</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38366-2022</t>
        </is>
      </c>
      <c r="B1984" s="1" t="n">
        <v>44812.66975694444</v>
      </c>
      <c r="C1984" s="1" t="n">
        <v>46185</v>
      </c>
      <c r="D1984" t="inlineStr">
        <is>
          <t>VÄSTERNORRLANDS LÄN</t>
        </is>
      </c>
      <c r="E1984" t="inlineStr">
        <is>
          <t>ÖRNSKÖLDSVIK</t>
        </is>
      </c>
      <c r="F1984" t="inlineStr">
        <is>
          <t>Holmen skog AB</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24202-2022</t>
        </is>
      </c>
      <c r="B1985" s="1" t="n">
        <v>44725.58482638889</v>
      </c>
      <c r="C1985" s="1" t="n">
        <v>46185</v>
      </c>
      <c r="D1985" t="inlineStr">
        <is>
          <t>VÄSTERNORRLANDS LÄN</t>
        </is>
      </c>
      <c r="E1985" t="inlineStr">
        <is>
          <t>ÖRNSKÖLDSVIK</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50654-2022</t>
        </is>
      </c>
      <c r="B1986" s="1" t="n">
        <v>44866</v>
      </c>
      <c r="C1986" s="1" t="n">
        <v>46185</v>
      </c>
      <c r="D1986" t="inlineStr">
        <is>
          <t>VÄSTERNORRLANDS LÄN</t>
        </is>
      </c>
      <c r="E1986" t="inlineStr">
        <is>
          <t>SUNDSVALL</t>
        </is>
      </c>
      <c r="F1986" t="inlineStr">
        <is>
          <t>SCA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54573-2022</t>
        </is>
      </c>
      <c r="B1987" s="1" t="n">
        <v>44882.95532407407</v>
      </c>
      <c r="C1987" s="1" t="n">
        <v>46185</v>
      </c>
      <c r="D1987" t="inlineStr">
        <is>
          <t>VÄSTERNORRLANDS LÄN</t>
        </is>
      </c>
      <c r="E1987" t="inlineStr">
        <is>
          <t>SOLLEFTEÅ</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49598-2022</t>
        </is>
      </c>
      <c r="B1988" s="1" t="n">
        <v>44862</v>
      </c>
      <c r="C1988" s="1" t="n">
        <v>46185</v>
      </c>
      <c r="D1988" t="inlineStr">
        <is>
          <t>VÄSTERNORRLANDS LÄN</t>
        </is>
      </c>
      <c r="E1988" t="inlineStr">
        <is>
          <t>ÖRNSKÖLDSVIK</t>
        </is>
      </c>
      <c r="F1988" t="inlineStr">
        <is>
          <t>Holmen skog AB</t>
        </is>
      </c>
      <c r="G1988" t="n">
        <v>16.6</v>
      </c>
      <c r="H1988" t="n">
        <v>0</v>
      </c>
      <c r="I1988" t="n">
        <v>0</v>
      </c>
      <c r="J1988" t="n">
        <v>0</v>
      </c>
      <c r="K1988" t="n">
        <v>0</v>
      </c>
      <c r="L1988" t="n">
        <v>0</v>
      </c>
      <c r="M1988" t="n">
        <v>0</v>
      </c>
      <c r="N1988" t="n">
        <v>0</v>
      </c>
      <c r="O1988" t="n">
        <v>0</v>
      </c>
      <c r="P1988" t="n">
        <v>0</v>
      </c>
      <c r="Q1988" t="n">
        <v>0</v>
      </c>
      <c r="R1988" s="2" t="inlineStr"/>
    </row>
    <row r="1989" ht="15" customHeight="1">
      <c r="A1989" t="inlineStr">
        <is>
          <t>A 30418-2021</t>
        </is>
      </c>
      <c r="B1989" s="1" t="n">
        <v>44364</v>
      </c>
      <c r="C1989" s="1" t="n">
        <v>46185</v>
      </c>
      <c r="D1989" t="inlineStr">
        <is>
          <t>VÄSTERNORRLANDS LÄN</t>
        </is>
      </c>
      <c r="E1989" t="inlineStr">
        <is>
          <t>KRAMFORS</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30450-2021</t>
        </is>
      </c>
      <c r="B1990" s="1" t="n">
        <v>44364</v>
      </c>
      <c r="C1990" s="1" t="n">
        <v>46185</v>
      </c>
      <c r="D1990" t="inlineStr">
        <is>
          <t>VÄSTERNORRLANDS LÄN</t>
        </is>
      </c>
      <c r="E1990" t="inlineStr">
        <is>
          <t>SUNDSVALL</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33408-2021</t>
        </is>
      </c>
      <c r="B1991" s="1" t="n">
        <v>44377</v>
      </c>
      <c r="C1991" s="1" t="n">
        <v>46185</v>
      </c>
      <c r="D1991" t="inlineStr">
        <is>
          <t>VÄSTERNORRLANDS LÄN</t>
        </is>
      </c>
      <c r="E1991" t="inlineStr">
        <is>
          <t>ÅNGE</t>
        </is>
      </c>
      <c r="G1991" t="n">
        <v>8.199999999999999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70690-2021</t>
        </is>
      </c>
      <c r="B1992" s="1" t="n">
        <v>44537</v>
      </c>
      <c r="C1992" s="1" t="n">
        <v>46185</v>
      </c>
      <c r="D1992" t="inlineStr">
        <is>
          <t>VÄSTERNORRLANDS LÄN</t>
        </is>
      </c>
      <c r="E1992" t="inlineStr">
        <is>
          <t>SUNDSVALL</t>
        </is>
      </c>
      <c r="G1992" t="n">
        <v>8.1</v>
      </c>
      <c r="H1992" t="n">
        <v>0</v>
      </c>
      <c r="I1992" t="n">
        <v>0</v>
      </c>
      <c r="J1992" t="n">
        <v>0</v>
      </c>
      <c r="K1992" t="n">
        <v>0</v>
      </c>
      <c r="L1992" t="n">
        <v>0</v>
      </c>
      <c r="M1992" t="n">
        <v>0</v>
      </c>
      <c r="N1992" t="n">
        <v>0</v>
      </c>
      <c r="O1992" t="n">
        <v>0</v>
      </c>
      <c r="P1992" t="n">
        <v>0</v>
      </c>
      <c r="Q1992" t="n">
        <v>0</v>
      </c>
      <c r="R1992" s="2" t="inlineStr"/>
    </row>
    <row r="1993" ht="15" customHeight="1">
      <c r="A1993" t="inlineStr">
        <is>
          <t>A 16088-2022</t>
        </is>
      </c>
      <c r="B1993" s="1" t="n">
        <v>44665</v>
      </c>
      <c r="C1993" s="1" t="n">
        <v>46185</v>
      </c>
      <c r="D1993" t="inlineStr">
        <is>
          <t>VÄSTERNORRLANDS LÄN</t>
        </is>
      </c>
      <c r="E1993" t="inlineStr">
        <is>
          <t>SOLLEFTEÅ</t>
        </is>
      </c>
      <c r="F1993" t="inlineStr">
        <is>
          <t>Holmen skog AB</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60935-2021</t>
        </is>
      </c>
      <c r="B1994" s="1" t="n">
        <v>44496</v>
      </c>
      <c r="C1994" s="1" t="n">
        <v>46185</v>
      </c>
      <c r="D1994" t="inlineStr">
        <is>
          <t>VÄSTERNORRLANDS LÄN</t>
        </is>
      </c>
      <c r="E1994" t="inlineStr">
        <is>
          <t>HÄRNÖSAND</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58475-2021</t>
        </is>
      </c>
      <c r="B1995" s="1" t="n">
        <v>44488</v>
      </c>
      <c r="C1995" s="1" t="n">
        <v>46185</v>
      </c>
      <c r="D1995" t="inlineStr">
        <is>
          <t>VÄSTERNORRLANDS LÄN</t>
        </is>
      </c>
      <c r="E1995" t="inlineStr">
        <is>
          <t>ÖRNSKÖLDSVIK</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70899-2021</t>
        </is>
      </c>
      <c r="B1996" s="1" t="n">
        <v>44537</v>
      </c>
      <c r="C1996" s="1" t="n">
        <v>46185</v>
      </c>
      <c r="D1996" t="inlineStr">
        <is>
          <t>VÄSTERNORRLANDS LÄN</t>
        </is>
      </c>
      <c r="E1996" t="inlineStr">
        <is>
          <t>ÅNGE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74194-2021</t>
        </is>
      </c>
      <c r="B1997" s="1" t="n">
        <v>44558.47333333334</v>
      </c>
      <c r="C1997" s="1" t="n">
        <v>46185</v>
      </c>
      <c r="D1997" t="inlineStr">
        <is>
          <t>VÄSTERNORRLANDS LÄN</t>
        </is>
      </c>
      <c r="E1997" t="inlineStr">
        <is>
          <t>ÅNGE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70563-2021</t>
        </is>
      </c>
      <c r="B1998" s="1" t="n">
        <v>44532</v>
      </c>
      <c r="C1998" s="1" t="n">
        <v>46185</v>
      </c>
      <c r="D1998" t="inlineStr">
        <is>
          <t>VÄSTERNORRLANDS LÄN</t>
        </is>
      </c>
      <c r="E1998" t="inlineStr">
        <is>
          <t>HÄRNÖSAND</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11653-2022</t>
        </is>
      </c>
      <c r="B1999" s="1" t="n">
        <v>44631</v>
      </c>
      <c r="C1999" s="1" t="n">
        <v>46185</v>
      </c>
      <c r="D1999" t="inlineStr">
        <is>
          <t>VÄSTERNORRLANDS LÄN</t>
        </is>
      </c>
      <c r="E1999" t="inlineStr">
        <is>
          <t>SOLLEFTEÅ</t>
        </is>
      </c>
      <c r="F1999" t="inlineStr">
        <is>
          <t>SCA</t>
        </is>
      </c>
      <c r="G1999" t="n">
        <v>6.4</v>
      </c>
      <c r="H1999" t="n">
        <v>0</v>
      </c>
      <c r="I1999" t="n">
        <v>0</v>
      </c>
      <c r="J1999" t="n">
        <v>0</v>
      </c>
      <c r="K1999" t="n">
        <v>0</v>
      </c>
      <c r="L1999" t="n">
        <v>0</v>
      </c>
      <c r="M1999" t="n">
        <v>0</v>
      </c>
      <c r="N1999" t="n">
        <v>0</v>
      </c>
      <c r="O1999" t="n">
        <v>0</v>
      </c>
      <c r="P1999" t="n">
        <v>0</v>
      </c>
      <c r="Q1999" t="n">
        <v>0</v>
      </c>
      <c r="R1999" s="2" t="inlineStr"/>
    </row>
    <row r="2000" ht="15" customHeight="1">
      <c r="A2000" t="inlineStr">
        <is>
          <t>A 13641-2022</t>
        </is>
      </c>
      <c r="B2000" s="1" t="n">
        <v>44648</v>
      </c>
      <c r="C2000" s="1" t="n">
        <v>46185</v>
      </c>
      <c r="D2000" t="inlineStr">
        <is>
          <t>VÄSTERNORRLANDS LÄN</t>
        </is>
      </c>
      <c r="E2000" t="inlineStr">
        <is>
          <t>ÅNGE</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22749-2022</t>
        </is>
      </c>
      <c r="B2001" s="1" t="n">
        <v>44714</v>
      </c>
      <c r="C2001" s="1" t="n">
        <v>46185</v>
      </c>
      <c r="D2001" t="inlineStr">
        <is>
          <t>VÄSTERNORRLANDS LÄN</t>
        </is>
      </c>
      <c r="E2001" t="inlineStr">
        <is>
          <t>ÖRNSKÖLDSVIK</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39933-2021</t>
        </is>
      </c>
      <c r="B2002" s="1" t="n">
        <v>44417</v>
      </c>
      <c r="C2002" s="1" t="n">
        <v>46185</v>
      </c>
      <c r="D2002" t="inlineStr">
        <is>
          <t>VÄSTERNORRLANDS LÄN</t>
        </is>
      </c>
      <c r="E2002" t="inlineStr">
        <is>
          <t>SUNDSVALL</t>
        </is>
      </c>
      <c r="F2002" t="inlineStr">
        <is>
          <t>SCA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52029-2022</t>
        </is>
      </c>
      <c r="B2003" s="1" t="n">
        <v>44872.95721064815</v>
      </c>
      <c r="C2003" s="1" t="n">
        <v>46185</v>
      </c>
      <c r="D2003" t="inlineStr">
        <is>
          <t>VÄSTERNORRLANDS LÄN</t>
        </is>
      </c>
      <c r="E2003" t="inlineStr">
        <is>
          <t>SUNDSVALL</t>
        </is>
      </c>
      <c r="F2003" t="inlineStr">
        <is>
          <t>SCA</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49203-2022</t>
        </is>
      </c>
      <c r="B2004" s="1" t="n">
        <v>44860</v>
      </c>
      <c r="C2004" s="1" t="n">
        <v>46185</v>
      </c>
      <c r="D2004" t="inlineStr">
        <is>
          <t>VÄSTERNORRLANDS LÄN</t>
        </is>
      </c>
      <c r="E2004" t="inlineStr">
        <is>
          <t>TIMRÅ</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40141-2021</t>
        </is>
      </c>
      <c r="B2005" s="1" t="n">
        <v>44418.63759259259</v>
      </c>
      <c r="C2005" s="1" t="n">
        <v>46185</v>
      </c>
      <c r="D2005" t="inlineStr">
        <is>
          <t>VÄSTERNORRLANDS LÄN</t>
        </is>
      </c>
      <c r="E2005" t="inlineStr">
        <is>
          <t>SUNDSVALL</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29297-2022</t>
        </is>
      </c>
      <c r="B2006" s="1" t="n">
        <v>44750.94342592593</v>
      </c>
      <c r="C2006" s="1" t="n">
        <v>46185</v>
      </c>
      <c r="D2006" t="inlineStr">
        <is>
          <t>VÄSTERNORRLANDS LÄN</t>
        </is>
      </c>
      <c r="E2006" t="inlineStr">
        <is>
          <t>SUNDSVALL</t>
        </is>
      </c>
      <c r="F2006" t="inlineStr">
        <is>
          <t>Naturvårdsverket</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6594-2022</t>
        </is>
      </c>
      <c r="B2007" s="1" t="n">
        <v>44601</v>
      </c>
      <c r="C2007" s="1" t="n">
        <v>46185</v>
      </c>
      <c r="D2007" t="inlineStr">
        <is>
          <t>VÄSTERNORRLANDS LÄN</t>
        </is>
      </c>
      <c r="E2007" t="inlineStr">
        <is>
          <t>ÖRNSKÖLDSVIK</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44042-2022</t>
        </is>
      </c>
      <c r="B2008" s="1" t="n">
        <v>44838.94877314815</v>
      </c>
      <c r="C2008" s="1" t="n">
        <v>46185</v>
      </c>
      <c r="D2008" t="inlineStr">
        <is>
          <t>VÄSTERNORRLANDS LÄN</t>
        </is>
      </c>
      <c r="E2008" t="inlineStr">
        <is>
          <t>SOLLEFTEÅ</t>
        </is>
      </c>
      <c r="F2008" t="inlineStr">
        <is>
          <t>SCA</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20474-2022</t>
        </is>
      </c>
      <c r="B2009" s="1" t="n">
        <v>44699</v>
      </c>
      <c r="C2009" s="1" t="n">
        <v>46185</v>
      </c>
      <c r="D2009" t="inlineStr">
        <is>
          <t>VÄSTERNORRLANDS LÄN</t>
        </is>
      </c>
      <c r="E2009" t="inlineStr">
        <is>
          <t>ÖRNSKÖLDSVIK</t>
        </is>
      </c>
      <c r="F2009" t="inlineStr">
        <is>
          <t>Holmen skog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36796-2022</t>
        </is>
      </c>
      <c r="B2010" s="1" t="n">
        <v>44805</v>
      </c>
      <c r="C2010" s="1" t="n">
        <v>46185</v>
      </c>
      <c r="D2010" t="inlineStr">
        <is>
          <t>VÄSTERNORRLANDS LÄN</t>
        </is>
      </c>
      <c r="E2010" t="inlineStr">
        <is>
          <t>ÖRNSKÖLDSVIK</t>
        </is>
      </c>
      <c r="F2010" t="inlineStr">
        <is>
          <t>Holmen skog AB</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36151-2022</t>
        </is>
      </c>
      <c r="B2011" s="1" t="n">
        <v>44803.37024305556</v>
      </c>
      <c r="C2011" s="1" t="n">
        <v>46185</v>
      </c>
      <c r="D2011" t="inlineStr">
        <is>
          <t>VÄSTERNORRLANDS LÄN</t>
        </is>
      </c>
      <c r="E2011" t="inlineStr">
        <is>
          <t>ÖRNSKÖLDSVIK</t>
        </is>
      </c>
      <c r="F2011" t="inlineStr">
        <is>
          <t>Holmen skog AB</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54249-2022</t>
        </is>
      </c>
      <c r="B2012" s="1" t="n">
        <v>44881.95111111111</v>
      </c>
      <c r="C2012" s="1" t="n">
        <v>46185</v>
      </c>
      <c r="D2012" t="inlineStr">
        <is>
          <t>VÄSTERNORRLANDS LÄN</t>
        </is>
      </c>
      <c r="E2012" t="inlineStr">
        <is>
          <t>SOLLEFTEÅ</t>
        </is>
      </c>
      <c r="F2012" t="inlineStr">
        <is>
          <t>SCA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46047-2021</t>
        </is>
      </c>
      <c r="B2013" s="1" t="n">
        <v>44441.9424537037</v>
      </c>
      <c r="C2013" s="1" t="n">
        <v>46185</v>
      </c>
      <c r="D2013" t="inlineStr">
        <is>
          <t>VÄSTERNORRLANDS LÄN</t>
        </is>
      </c>
      <c r="E2013" t="inlineStr">
        <is>
          <t>ÖRNSKÖLDSVIK</t>
        </is>
      </c>
      <c r="F2013" t="inlineStr">
        <is>
          <t>SCA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43135-2022</t>
        </is>
      </c>
      <c r="B2014" s="1" t="n">
        <v>44833</v>
      </c>
      <c r="C2014" s="1" t="n">
        <v>46185</v>
      </c>
      <c r="D2014" t="inlineStr">
        <is>
          <t>VÄSTERNORRLANDS LÄN</t>
        </is>
      </c>
      <c r="E2014" t="inlineStr">
        <is>
          <t>TIMRÅ</t>
        </is>
      </c>
      <c r="F2014" t="inlineStr">
        <is>
          <t>SCA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49583-2022</t>
        </is>
      </c>
      <c r="B2015" s="1" t="n">
        <v>44859</v>
      </c>
      <c r="C2015" s="1" t="n">
        <v>46185</v>
      </c>
      <c r="D2015" t="inlineStr">
        <is>
          <t>VÄSTERNORRLANDS LÄN</t>
        </is>
      </c>
      <c r="E2015" t="inlineStr">
        <is>
          <t>KRAMFORS</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48554-2021</t>
        </is>
      </c>
      <c r="B2016" s="1" t="n">
        <v>44452</v>
      </c>
      <c r="C2016" s="1" t="n">
        <v>46185</v>
      </c>
      <c r="D2016" t="inlineStr">
        <is>
          <t>VÄSTERNORRLANDS LÄN</t>
        </is>
      </c>
      <c r="E2016" t="inlineStr">
        <is>
          <t>ÖRNSKÖLDSVIK</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59309-2021</t>
        </is>
      </c>
      <c r="B2017" s="1" t="n">
        <v>44490.93883101852</v>
      </c>
      <c r="C2017" s="1" t="n">
        <v>46185</v>
      </c>
      <c r="D2017" t="inlineStr">
        <is>
          <t>VÄSTERNORRLANDS LÄN</t>
        </is>
      </c>
      <c r="E2017" t="inlineStr">
        <is>
          <t>SOLLEFTEÅ</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61909-2021</t>
        </is>
      </c>
      <c r="B2018" s="1" t="n">
        <v>44502.35310185186</v>
      </c>
      <c r="C2018" s="1" t="n">
        <v>46185</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59978-2021</t>
        </is>
      </c>
      <c r="B2019" s="1" t="n">
        <v>44494.93712962963</v>
      </c>
      <c r="C2019" s="1" t="n">
        <v>46185</v>
      </c>
      <c r="D2019" t="inlineStr">
        <is>
          <t>VÄSTERNORRLANDS LÄN</t>
        </is>
      </c>
      <c r="E2019" t="inlineStr">
        <is>
          <t>SUNDSVALL</t>
        </is>
      </c>
      <c r="F2019" t="inlineStr">
        <is>
          <t>SCA</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55638-2021</t>
        </is>
      </c>
      <c r="B2020" s="1" t="n">
        <v>44476.34944444444</v>
      </c>
      <c r="C2020" s="1" t="n">
        <v>46185</v>
      </c>
      <c r="D2020" t="inlineStr">
        <is>
          <t>VÄSTERNORRLANDS LÄN</t>
        </is>
      </c>
      <c r="E2020" t="inlineStr">
        <is>
          <t>ÖRNSKÖLDSVIK</t>
        </is>
      </c>
      <c r="F2020" t="inlineStr">
        <is>
          <t>Holmen skog AB</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944-2022</t>
        </is>
      </c>
      <c r="B2021" s="1" t="n">
        <v>44568</v>
      </c>
      <c r="C2021" s="1" t="n">
        <v>46185</v>
      </c>
      <c r="D2021" t="inlineStr">
        <is>
          <t>VÄSTERNORRLANDS LÄN</t>
        </is>
      </c>
      <c r="E2021" t="inlineStr">
        <is>
          <t>ÖRNSKÖLDSVIK</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992-2022</t>
        </is>
      </c>
      <c r="B2022" s="1" t="n">
        <v>44571</v>
      </c>
      <c r="C2022" s="1" t="n">
        <v>46185</v>
      </c>
      <c r="D2022" t="inlineStr">
        <is>
          <t>VÄSTERNORRLANDS LÄN</t>
        </is>
      </c>
      <c r="E2022" t="inlineStr">
        <is>
          <t>HÄRNÖSAND</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62077-2021</t>
        </is>
      </c>
      <c r="B2023" s="1" t="n">
        <v>44502</v>
      </c>
      <c r="C2023" s="1" t="n">
        <v>46185</v>
      </c>
      <c r="D2023" t="inlineStr">
        <is>
          <t>VÄSTERNORRLANDS LÄN</t>
        </is>
      </c>
      <c r="E2023" t="inlineStr">
        <is>
          <t>SUNDSVALL</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57310-2021</t>
        </is>
      </c>
      <c r="B2024" s="1" t="n">
        <v>44483.43247685185</v>
      </c>
      <c r="C2024" s="1" t="n">
        <v>46185</v>
      </c>
      <c r="D2024" t="inlineStr">
        <is>
          <t>VÄSTERNORRLANDS LÄN</t>
        </is>
      </c>
      <c r="E2024" t="inlineStr">
        <is>
          <t>ÖRNSKÖLDSVIK</t>
        </is>
      </c>
      <c r="F2024" t="inlineStr">
        <is>
          <t>Holmen skog AB</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64682-2021</t>
        </is>
      </c>
      <c r="B2025" s="1" t="n">
        <v>44512</v>
      </c>
      <c r="C2025" s="1" t="n">
        <v>46185</v>
      </c>
      <c r="D2025" t="inlineStr">
        <is>
          <t>VÄSTERNORRLANDS LÄN</t>
        </is>
      </c>
      <c r="E2025" t="inlineStr">
        <is>
          <t>HÄRNÖSAND</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64707-2021</t>
        </is>
      </c>
      <c r="B2026" s="1" t="n">
        <v>44512.35954861111</v>
      </c>
      <c r="C2026" s="1" t="n">
        <v>46185</v>
      </c>
      <c r="D2026" t="inlineStr">
        <is>
          <t>VÄSTERNORRLANDS LÄN</t>
        </is>
      </c>
      <c r="E2026" t="inlineStr">
        <is>
          <t>ÖRNSKÖLDSVIK</t>
        </is>
      </c>
      <c r="F2026" t="inlineStr">
        <is>
          <t>Holmen skog AB</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67865-2021</t>
        </is>
      </c>
      <c r="B2027" s="1" t="n">
        <v>44525</v>
      </c>
      <c r="C2027" s="1" t="n">
        <v>46185</v>
      </c>
      <c r="D2027" t="inlineStr">
        <is>
          <t>VÄSTERNORRLANDS LÄN</t>
        </is>
      </c>
      <c r="E2027" t="inlineStr">
        <is>
          <t>ÖRNSKÖLDSVIK</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45000-2021</t>
        </is>
      </c>
      <c r="B2028" s="1" t="n">
        <v>44438.91943287037</v>
      </c>
      <c r="C2028" s="1" t="n">
        <v>46185</v>
      </c>
      <c r="D2028" t="inlineStr">
        <is>
          <t>VÄSTERNORRLANDS LÄN</t>
        </is>
      </c>
      <c r="E2028" t="inlineStr">
        <is>
          <t>SUNDSVALL</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55161-2021</t>
        </is>
      </c>
      <c r="B2029" s="1" t="n">
        <v>44474.92077546296</v>
      </c>
      <c r="C2029" s="1" t="n">
        <v>46185</v>
      </c>
      <c r="D2029" t="inlineStr">
        <is>
          <t>VÄSTERNORRLANDS LÄN</t>
        </is>
      </c>
      <c r="E2029" t="inlineStr">
        <is>
          <t>SUNDSVALL</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64116-2021</t>
        </is>
      </c>
      <c r="B2030" s="1" t="n">
        <v>44509</v>
      </c>
      <c r="C2030" s="1" t="n">
        <v>46185</v>
      </c>
      <c r="D2030" t="inlineStr">
        <is>
          <t>VÄSTERNORRLANDS LÄN</t>
        </is>
      </c>
      <c r="E2030" t="inlineStr">
        <is>
          <t>ÖRNSKÖLDSVIK</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43104-2021</t>
        </is>
      </c>
      <c r="B2031" s="1" t="n">
        <v>44431.60885416667</v>
      </c>
      <c r="C2031" s="1" t="n">
        <v>46185</v>
      </c>
      <c r="D2031" t="inlineStr">
        <is>
          <t>VÄSTERNORRLANDS LÄN</t>
        </is>
      </c>
      <c r="E2031" t="inlineStr">
        <is>
          <t>ÖRNSKÖLDSVIK</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45145-2021</t>
        </is>
      </c>
      <c r="B2032" s="1" t="n">
        <v>44439</v>
      </c>
      <c r="C2032" s="1" t="n">
        <v>46185</v>
      </c>
      <c r="D2032" t="inlineStr">
        <is>
          <t>VÄSTERNORRLANDS LÄN</t>
        </is>
      </c>
      <c r="E2032" t="inlineStr">
        <is>
          <t>ÅNGE</t>
        </is>
      </c>
      <c r="F2032" t="inlineStr">
        <is>
          <t>Holmen skog AB</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42678-2021</t>
        </is>
      </c>
      <c r="B2033" s="1" t="n">
        <v>44428</v>
      </c>
      <c r="C2033" s="1" t="n">
        <v>46185</v>
      </c>
      <c r="D2033" t="inlineStr">
        <is>
          <t>VÄSTERNORRLANDS LÄN</t>
        </is>
      </c>
      <c r="E2033" t="inlineStr">
        <is>
          <t>KRAMFORS</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46053-2021</t>
        </is>
      </c>
      <c r="B2034" s="1" t="n">
        <v>44441</v>
      </c>
      <c r="C2034" s="1" t="n">
        <v>46185</v>
      </c>
      <c r="D2034" t="inlineStr">
        <is>
          <t>VÄSTERNORRLANDS LÄN</t>
        </is>
      </c>
      <c r="E2034" t="inlineStr">
        <is>
          <t>ÅNGE</t>
        </is>
      </c>
      <c r="F2034" t="inlineStr">
        <is>
          <t>SCA</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58726-2021</t>
        </is>
      </c>
      <c r="B2035" s="1" t="n">
        <v>44489</v>
      </c>
      <c r="C2035" s="1" t="n">
        <v>46185</v>
      </c>
      <c r="D2035" t="inlineStr">
        <is>
          <t>VÄSTERNORRLANDS LÄN</t>
        </is>
      </c>
      <c r="E2035" t="inlineStr">
        <is>
          <t>SOLLEFTEÅ</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71302-2021</t>
        </is>
      </c>
      <c r="B2036" s="1" t="n">
        <v>44539.63871527778</v>
      </c>
      <c r="C2036" s="1" t="n">
        <v>46185</v>
      </c>
      <c r="D2036" t="inlineStr">
        <is>
          <t>VÄSTERNORRLANDS LÄN</t>
        </is>
      </c>
      <c r="E2036" t="inlineStr">
        <is>
          <t>ÅNGE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20062-2022</t>
        </is>
      </c>
      <c r="B2037" s="1" t="n">
        <v>44697</v>
      </c>
      <c r="C2037" s="1" t="n">
        <v>46185</v>
      </c>
      <c r="D2037" t="inlineStr">
        <is>
          <t>VÄSTERNORRLANDS LÄN</t>
        </is>
      </c>
      <c r="E2037" t="inlineStr">
        <is>
          <t>SOLLEFTEÅ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6732-2022</t>
        </is>
      </c>
      <c r="B2038" s="1" t="n">
        <v>44602.46072916667</v>
      </c>
      <c r="C2038" s="1" t="n">
        <v>46185</v>
      </c>
      <c r="D2038" t="inlineStr">
        <is>
          <t>VÄSTERNORRLANDS LÄN</t>
        </is>
      </c>
      <c r="E2038" t="inlineStr">
        <is>
          <t>ÅNGE</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52554-2021</t>
        </is>
      </c>
      <c r="B2039" s="1" t="n">
        <v>44466</v>
      </c>
      <c r="C2039" s="1" t="n">
        <v>46185</v>
      </c>
      <c r="D2039" t="inlineStr">
        <is>
          <t>VÄSTERNORRLANDS LÄN</t>
        </is>
      </c>
      <c r="E2039" t="inlineStr">
        <is>
          <t>SUNDSVALL</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41157-2021</t>
        </is>
      </c>
      <c r="B2040" s="1" t="n">
        <v>44424.29855324074</v>
      </c>
      <c r="C2040" s="1" t="n">
        <v>46185</v>
      </c>
      <c r="D2040" t="inlineStr">
        <is>
          <t>VÄSTERNORRLANDS LÄN</t>
        </is>
      </c>
      <c r="E2040" t="inlineStr">
        <is>
          <t>ÖRNSKÖLDSVIK</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59975-2021</t>
        </is>
      </c>
      <c r="B2041" s="1" t="n">
        <v>44494.93675925926</v>
      </c>
      <c r="C2041" s="1" t="n">
        <v>46185</v>
      </c>
      <c r="D2041" t="inlineStr">
        <is>
          <t>VÄSTERNORRLANDS LÄN</t>
        </is>
      </c>
      <c r="E2041" t="inlineStr">
        <is>
          <t>SUNDSVALL</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223-2022</t>
        </is>
      </c>
      <c r="B2042" s="1" t="n">
        <v>44564.9027662037</v>
      </c>
      <c r="C2042" s="1" t="n">
        <v>46185</v>
      </c>
      <c r="D2042" t="inlineStr">
        <is>
          <t>VÄSTERNORRLANDS LÄN</t>
        </is>
      </c>
      <c r="E2042" t="inlineStr">
        <is>
          <t>SUNDSVALL</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60324-2021</t>
        </is>
      </c>
      <c r="B2043" s="1" t="n">
        <v>44495.94048611111</v>
      </c>
      <c r="C2043" s="1" t="n">
        <v>46185</v>
      </c>
      <c r="D2043" t="inlineStr">
        <is>
          <t>VÄSTERNORRLANDS LÄN</t>
        </is>
      </c>
      <c r="E2043" t="inlineStr">
        <is>
          <t>SOLLEFTEÅ</t>
        </is>
      </c>
      <c r="F2043" t="inlineStr">
        <is>
          <t>SCA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57742-2021</t>
        </is>
      </c>
      <c r="B2044" s="1" t="n">
        <v>44484</v>
      </c>
      <c r="C2044" s="1" t="n">
        <v>46185</v>
      </c>
      <c r="D2044" t="inlineStr">
        <is>
          <t>VÄSTERNORRLANDS LÄN</t>
        </is>
      </c>
      <c r="E2044" t="inlineStr">
        <is>
          <t>KRAMFORS</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27926-2022</t>
        </is>
      </c>
      <c r="B2045" s="1" t="n">
        <v>44743</v>
      </c>
      <c r="C2045" s="1" t="n">
        <v>46185</v>
      </c>
      <c r="D2045" t="inlineStr">
        <is>
          <t>VÄSTERNORRLANDS LÄN</t>
        </is>
      </c>
      <c r="E2045" t="inlineStr">
        <is>
          <t>SOLLEFTEÅ</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44920-2021</t>
        </is>
      </c>
      <c r="B2046" s="1" t="n">
        <v>44438</v>
      </c>
      <c r="C2046" s="1" t="n">
        <v>46185</v>
      </c>
      <c r="D2046" t="inlineStr">
        <is>
          <t>VÄSTERNORRLANDS LÄN</t>
        </is>
      </c>
      <c r="E2046" t="inlineStr">
        <is>
          <t>SUNDSVALL</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15855-2022</t>
        </is>
      </c>
      <c r="B2047" s="1" t="n">
        <v>44664</v>
      </c>
      <c r="C2047" s="1" t="n">
        <v>46185</v>
      </c>
      <c r="D2047" t="inlineStr">
        <is>
          <t>VÄSTERNORRLANDS LÄN</t>
        </is>
      </c>
      <c r="E2047" t="inlineStr">
        <is>
          <t>HÄRNÖSAND</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29292-2022</t>
        </is>
      </c>
      <c r="B2048" s="1" t="n">
        <v>44750</v>
      </c>
      <c r="C2048" s="1" t="n">
        <v>46185</v>
      </c>
      <c r="D2048" t="inlineStr">
        <is>
          <t>VÄSTERNORRLANDS LÄN</t>
        </is>
      </c>
      <c r="E2048" t="inlineStr">
        <is>
          <t>SOLLEFTEÅ</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31956-2022</t>
        </is>
      </c>
      <c r="B2049" s="1" t="n">
        <v>44777.92658564815</v>
      </c>
      <c r="C2049" s="1" t="n">
        <v>46185</v>
      </c>
      <c r="D2049" t="inlineStr">
        <is>
          <t>VÄSTERNORRLANDS LÄN</t>
        </is>
      </c>
      <c r="E2049" t="inlineStr">
        <is>
          <t>SUNDSVALL</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43237-2022</t>
        </is>
      </c>
      <c r="B2050" s="1" t="n">
        <v>44833</v>
      </c>
      <c r="C2050" s="1" t="n">
        <v>46185</v>
      </c>
      <c r="D2050" t="inlineStr">
        <is>
          <t>VÄSTERNORRLANDS LÄN</t>
        </is>
      </c>
      <c r="E2050" t="inlineStr">
        <is>
          <t>TIMRÅ</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6486-2022</t>
        </is>
      </c>
      <c r="B2051" s="1" t="n">
        <v>44601.41181712963</v>
      </c>
      <c r="C2051" s="1" t="n">
        <v>46185</v>
      </c>
      <c r="D2051" t="inlineStr">
        <is>
          <t>VÄSTERNORRLANDS LÄN</t>
        </is>
      </c>
      <c r="E2051" t="inlineStr">
        <is>
          <t>KRAMFORS</t>
        </is>
      </c>
      <c r="G2051" t="n">
        <v>0.1</v>
      </c>
      <c r="H2051" t="n">
        <v>0</v>
      </c>
      <c r="I2051" t="n">
        <v>0</v>
      </c>
      <c r="J2051" t="n">
        <v>0</v>
      </c>
      <c r="K2051" t="n">
        <v>0</v>
      </c>
      <c r="L2051" t="n">
        <v>0</v>
      </c>
      <c r="M2051" t="n">
        <v>0</v>
      </c>
      <c r="N2051" t="n">
        <v>0</v>
      </c>
      <c r="O2051" t="n">
        <v>0</v>
      </c>
      <c r="P2051" t="n">
        <v>0</v>
      </c>
      <c r="Q2051" t="n">
        <v>0</v>
      </c>
      <c r="R2051" s="2" t="inlineStr"/>
    </row>
    <row r="2052" ht="15" customHeight="1">
      <c r="A2052" t="inlineStr">
        <is>
          <t>A 12880-2022</t>
        </is>
      </c>
      <c r="B2052" s="1" t="n">
        <v>44642</v>
      </c>
      <c r="C2052" s="1" t="n">
        <v>46185</v>
      </c>
      <c r="D2052" t="inlineStr">
        <is>
          <t>VÄSTERNORRLANDS LÄN</t>
        </is>
      </c>
      <c r="E2052" t="inlineStr">
        <is>
          <t>TIMRÅ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12882-2022</t>
        </is>
      </c>
      <c r="B2053" s="1" t="n">
        <v>44642</v>
      </c>
      <c r="C2053" s="1" t="n">
        <v>46185</v>
      </c>
      <c r="D2053" t="inlineStr">
        <is>
          <t>VÄSTERNORRLANDS LÄN</t>
        </is>
      </c>
      <c r="E2053" t="inlineStr">
        <is>
          <t>TIMRÅ</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44412-2022</t>
        </is>
      </c>
      <c r="B2054" s="1" t="n">
        <v>44839.92626157407</v>
      </c>
      <c r="C2054" s="1" t="n">
        <v>46185</v>
      </c>
      <c r="D2054" t="inlineStr">
        <is>
          <t>VÄSTERNORRLANDS LÄN</t>
        </is>
      </c>
      <c r="E2054" t="inlineStr">
        <is>
          <t>ÅNGE</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45870-2022</t>
        </is>
      </c>
      <c r="B2055" s="1" t="n">
        <v>44844</v>
      </c>
      <c r="C2055" s="1" t="n">
        <v>46185</v>
      </c>
      <c r="D2055" t="inlineStr">
        <is>
          <t>VÄSTERNORRLANDS LÄN</t>
        </is>
      </c>
      <c r="E2055" t="inlineStr">
        <is>
          <t>SUNDSVALL</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47830-2022</t>
        </is>
      </c>
      <c r="B2056" s="1" t="n">
        <v>44855</v>
      </c>
      <c r="C2056" s="1" t="n">
        <v>46185</v>
      </c>
      <c r="D2056" t="inlineStr">
        <is>
          <t>VÄSTERNORRLANDS LÄN</t>
        </is>
      </c>
      <c r="E2056" t="inlineStr">
        <is>
          <t>ÖRNSKÖLDSVIK</t>
        </is>
      </c>
      <c r="F2056" t="inlineStr">
        <is>
          <t>Holmen skog AB</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49984-2022</t>
        </is>
      </c>
      <c r="B2057" s="1" t="n">
        <v>44859</v>
      </c>
      <c r="C2057" s="1" t="n">
        <v>46185</v>
      </c>
      <c r="D2057" t="inlineStr">
        <is>
          <t>VÄSTERNORRLANDS LÄN</t>
        </is>
      </c>
      <c r="E2057" t="inlineStr">
        <is>
          <t>SUNDSVALL</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20950-2022</t>
        </is>
      </c>
      <c r="B2058" s="1" t="n">
        <v>44701</v>
      </c>
      <c r="C2058" s="1" t="n">
        <v>46185</v>
      </c>
      <c r="D2058" t="inlineStr">
        <is>
          <t>VÄSTERNORRLANDS LÄN</t>
        </is>
      </c>
      <c r="E2058" t="inlineStr">
        <is>
          <t>SOLLEFTEÅ</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53699-2021</t>
        </is>
      </c>
      <c r="B2059" s="1" t="n">
        <v>44469</v>
      </c>
      <c r="C2059" s="1" t="n">
        <v>46185</v>
      </c>
      <c r="D2059" t="inlineStr">
        <is>
          <t>VÄSTERNORRLANDS LÄN</t>
        </is>
      </c>
      <c r="E2059" t="inlineStr">
        <is>
          <t>TIMRÅ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56513-2021</t>
        </is>
      </c>
      <c r="B2060" s="1" t="n">
        <v>44480.58693287037</v>
      </c>
      <c r="C2060" s="1" t="n">
        <v>46185</v>
      </c>
      <c r="D2060" t="inlineStr">
        <is>
          <t>VÄSTERNORRLANDS LÄN</t>
        </is>
      </c>
      <c r="E2060" t="inlineStr">
        <is>
          <t>ÖRNSKÖLDSVIK</t>
        </is>
      </c>
      <c r="F2060" t="inlineStr">
        <is>
          <t>Holmen skog AB</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6263-2022</t>
        </is>
      </c>
      <c r="B2061" s="1" t="n">
        <v>44600</v>
      </c>
      <c r="C2061" s="1" t="n">
        <v>46185</v>
      </c>
      <c r="D2061" t="inlineStr">
        <is>
          <t>VÄSTERNORRLANDS LÄN</t>
        </is>
      </c>
      <c r="E2061" t="inlineStr">
        <is>
          <t>ÅNGE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23445-2022</t>
        </is>
      </c>
      <c r="B2062" s="1" t="n">
        <v>44720.94123842593</v>
      </c>
      <c r="C2062" s="1" t="n">
        <v>46185</v>
      </c>
      <c r="D2062" t="inlineStr">
        <is>
          <t>VÄSTERNORRLANDS LÄN</t>
        </is>
      </c>
      <c r="E2062" t="inlineStr">
        <is>
          <t>SOLLEFTEÅ</t>
        </is>
      </c>
      <c r="F2062" t="inlineStr">
        <is>
          <t>SCA</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60612-2021</t>
        </is>
      </c>
      <c r="B2063" s="1" t="n">
        <v>44495</v>
      </c>
      <c r="C2063" s="1" t="n">
        <v>46185</v>
      </c>
      <c r="D2063" t="inlineStr">
        <is>
          <t>VÄSTERNORRLANDS LÄN</t>
        </is>
      </c>
      <c r="E2063" t="inlineStr">
        <is>
          <t>ÖRNSKÖLDSVIK</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70581-2021</t>
        </is>
      </c>
      <c r="B2064" s="1" t="n">
        <v>44537</v>
      </c>
      <c r="C2064" s="1" t="n">
        <v>46185</v>
      </c>
      <c r="D2064" t="inlineStr">
        <is>
          <t>VÄSTERNORRLANDS LÄN</t>
        </is>
      </c>
      <c r="E2064" t="inlineStr">
        <is>
          <t>ÖRNSKÖLDSVIK</t>
        </is>
      </c>
      <c r="F2064" t="inlineStr">
        <is>
          <t>Holmen skog AB</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20470-2022</t>
        </is>
      </c>
      <c r="B2065" s="1" t="n">
        <v>44699</v>
      </c>
      <c r="C2065" s="1" t="n">
        <v>46185</v>
      </c>
      <c r="D2065" t="inlineStr">
        <is>
          <t>VÄSTERNORRLANDS LÄN</t>
        </is>
      </c>
      <c r="E2065" t="inlineStr">
        <is>
          <t>ÖRNSKÖLDSVIK</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56894-2021</t>
        </is>
      </c>
      <c r="B2066" s="1" t="n">
        <v>44481</v>
      </c>
      <c r="C2066" s="1" t="n">
        <v>46185</v>
      </c>
      <c r="D2066" t="inlineStr">
        <is>
          <t>VÄSTERNORRLANDS LÄN</t>
        </is>
      </c>
      <c r="E2066" t="inlineStr">
        <is>
          <t>SUNDSVALL</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20296-2022</t>
        </is>
      </c>
      <c r="B2067" s="1" t="n">
        <v>44698</v>
      </c>
      <c r="C2067" s="1" t="n">
        <v>46185</v>
      </c>
      <c r="D2067" t="inlineStr">
        <is>
          <t>VÄSTERNORRLANDS LÄN</t>
        </is>
      </c>
      <c r="E2067" t="inlineStr">
        <is>
          <t>SOLLEFTEÅ</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16093-2022</t>
        </is>
      </c>
      <c r="B2068" s="1" t="n">
        <v>44665</v>
      </c>
      <c r="C2068" s="1" t="n">
        <v>46185</v>
      </c>
      <c r="D2068" t="inlineStr">
        <is>
          <t>VÄSTERNORRLANDS LÄN</t>
        </is>
      </c>
      <c r="E2068" t="inlineStr">
        <is>
          <t>SOLLEFTEÅ</t>
        </is>
      </c>
      <c r="F2068" t="inlineStr">
        <is>
          <t>Holmen skog AB</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23840-2022</t>
        </is>
      </c>
      <c r="B2069" s="1" t="n">
        <v>44722</v>
      </c>
      <c r="C2069" s="1" t="n">
        <v>46185</v>
      </c>
      <c r="D2069" t="inlineStr">
        <is>
          <t>VÄSTERNORRLANDS LÄN</t>
        </is>
      </c>
      <c r="E2069" t="inlineStr">
        <is>
          <t>SUNDSVALL</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33992-2021</t>
        </is>
      </c>
      <c r="B2070" s="1" t="n">
        <v>44378</v>
      </c>
      <c r="C2070" s="1" t="n">
        <v>46185</v>
      </c>
      <c r="D2070" t="inlineStr">
        <is>
          <t>VÄSTERNORRLANDS LÄN</t>
        </is>
      </c>
      <c r="E2070" t="inlineStr">
        <is>
          <t>ÖRNSKÖLDSVIK</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33083-2022</t>
        </is>
      </c>
      <c r="B2071" s="1" t="n">
        <v>44785</v>
      </c>
      <c r="C2071" s="1" t="n">
        <v>46185</v>
      </c>
      <c r="D2071" t="inlineStr">
        <is>
          <t>VÄSTERNORRLANDS LÄN</t>
        </is>
      </c>
      <c r="E2071" t="inlineStr">
        <is>
          <t>SOLLEFTEÅ</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20509-2022</t>
        </is>
      </c>
      <c r="B2072" s="1" t="n">
        <v>44699.92497685185</v>
      </c>
      <c r="C2072" s="1" t="n">
        <v>46185</v>
      </c>
      <c r="D2072" t="inlineStr">
        <is>
          <t>VÄSTERNORRLANDS LÄN</t>
        </is>
      </c>
      <c r="E2072" t="inlineStr">
        <is>
          <t>SUNDSVALL</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30365-2021</t>
        </is>
      </c>
      <c r="B2073" s="1" t="n">
        <v>44364.45164351852</v>
      </c>
      <c r="C2073" s="1" t="n">
        <v>46185</v>
      </c>
      <c r="D2073" t="inlineStr">
        <is>
          <t>VÄSTERNORRLANDS LÄN</t>
        </is>
      </c>
      <c r="E2073" t="inlineStr">
        <is>
          <t>ÅNGE</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17044-2022</t>
        </is>
      </c>
      <c r="B2074" s="1" t="n">
        <v>44676</v>
      </c>
      <c r="C2074" s="1" t="n">
        <v>46185</v>
      </c>
      <c r="D2074" t="inlineStr">
        <is>
          <t>VÄSTERNORRLANDS LÄN</t>
        </is>
      </c>
      <c r="E2074" t="inlineStr">
        <is>
          <t>ÅNGE</t>
        </is>
      </c>
      <c r="F2074" t="inlineStr">
        <is>
          <t>Övriga Aktiebolag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17060-2022</t>
        </is>
      </c>
      <c r="B2075" s="1" t="n">
        <v>44676.94297453704</v>
      </c>
      <c r="C2075" s="1" t="n">
        <v>46185</v>
      </c>
      <c r="D2075" t="inlineStr">
        <is>
          <t>VÄSTERNORRLANDS LÄN</t>
        </is>
      </c>
      <c r="E2075" t="inlineStr">
        <is>
          <t>SUNDSVALL</t>
        </is>
      </c>
      <c r="F2075" t="inlineStr">
        <is>
          <t>SCA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30019-2021</t>
        </is>
      </c>
      <c r="B2076" s="1" t="n">
        <v>44363.42795138889</v>
      </c>
      <c r="C2076" s="1" t="n">
        <v>46185</v>
      </c>
      <c r="D2076" t="inlineStr">
        <is>
          <t>VÄSTERNORRLANDS LÄN</t>
        </is>
      </c>
      <c r="E2076" t="inlineStr">
        <is>
          <t>SUNDSVALL</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22341-2022</t>
        </is>
      </c>
      <c r="B2077" s="1" t="n">
        <v>44712.94197916667</v>
      </c>
      <c r="C2077" s="1" t="n">
        <v>46185</v>
      </c>
      <c r="D2077" t="inlineStr">
        <is>
          <t>VÄSTERNORRLANDS LÄN</t>
        </is>
      </c>
      <c r="E2077" t="inlineStr">
        <is>
          <t>SOLLEFTEÅ</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16477-2022</t>
        </is>
      </c>
      <c r="B2078" s="1" t="n">
        <v>44671</v>
      </c>
      <c r="C2078" s="1" t="n">
        <v>46185</v>
      </c>
      <c r="D2078" t="inlineStr">
        <is>
          <t>VÄSTERNORRLANDS LÄN</t>
        </is>
      </c>
      <c r="E2078" t="inlineStr">
        <is>
          <t>ÖRNSKÖLDSVIK</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35747-2022</t>
        </is>
      </c>
      <c r="B2079" s="1" t="n">
        <v>44799</v>
      </c>
      <c r="C2079" s="1" t="n">
        <v>46185</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72958-2021</t>
        </is>
      </c>
      <c r="B2080" s="1" t="n">
        <v>44547</v>
      </c>
      <c r="C2080" s="1" t="n">
        <v>46185</v>
      </c>
      <c r="D2080" t="inlineStr">
        <is>
          <t>VÄSTERNORRLANDS LÄN</t>
        </is>
      </c>
      <c r="E2080" t="inlineStr">
        <is>
          <t>SOLLEFTEÅ</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54341-2021</t>
        </is>
      </c>
      <c r="B2081" s="1" t="n">
        <v>44473.0430324074</v>
      </c>
      <c r="C2081" s="1" t="n">
        <v>46185</v>
      </c>
      <c r="D2081" t="inlineStr">
        <is>
          <t>VÄSTERNORRLANDS LÄN</t>
        </is>
      </c>
      <c r="E2081" t="inlineStr">
        <is>
          <t>ÖRNSKÖLDSVIK</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54391-2021</t>
        </is>
      </c>
      <c r="B2082" s="1" t="n">
        <v>44473.38570601852</v>
      </c>
      <c r="C2082" s="1" t="n">
        <v>46185</v>
      </c>
      <c r="D2082" t="inlineStr">
        <is>
          <t>VÄSTERNORRLANDS LÄN</t>
        </is>
      </c>
      <c r="E2082" t="inlineStr">
        <is>
          <t>ÖRNSKÖLDSVIK</t>
        </is>
      </c>
      <c r="F2082" t="inlineStr">
        <is>
          <t>Holmen skog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7436-2022</t>
        </is>
      </c>
      <c r="B2083" s="1" t="n">
        <v>44606</v>
      </c>
      <c r="C2083" s="1" t="n">
        <v>46185</v>
      </c>
      <c r="D2083" t="inlineStr">
        <is>
          <t>VÄSTERNORRLANDS LÄN</t>
        </is>
      </c>
      <c r="E2083" t="inlineStr">
        <is>
          <t>SUNDSVALL</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27368-2022</t>
        </is>
      </c>
      <c r="B2084" s="1" t="n">
        <v>44742.45391203704</v>
      </c>
      <c r="C2084" s="1" t="n">
        <v>46185</v>
      </c>
      <c r="D2084" t="inlineStr">
        <is>
          <t>VÄSTERNORRLANDS LÄN</t>
        </is>
      </c>
      <c r="E2084" t="inlineStr">
        <is>
          <t>ÖRNSKÖLDSVIK</t>
        </is>
      </c>
      <c r="F2084" t="inlineStr">
        <is>
          <t>Holmen skog AB</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33498-2022</t>
        </is>
      </c>
      <c r="B2085" s="1" t="n">
        <v>44788.9269212963</v>
      </c>
      <c r="C2085" s="1" t="n">
        <v>46185</v>
      </c>
      <c r="D2085" t="inlineStr">
        <is>
          <t>VÄSTERNORRLANDS LÄN</t>
        </is>
      </c>
      <c r="E2085" t="inlineStr">
        <is>
          <t>SUNDSVALL</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53799-2021</t>
        </is>
      </c>
      <c r="B2086" s="1" t="n">
        <v>44469.59017361111</v>
      </c>
      <c r="C2086" s="1" t="n">
        <v>46185</v>
      </c>
      <c r="D2086" t="inlineStr">
        <is>
          <t>VÄSTERNORRLANDS LÄN</t>
        </is>
      </c>
      <c r="E2086" t="inlineStr">
        <is>
          <t>ÖRNSKÖLDSVIK</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53955-2021</t>
        </is>
      </c>
      <c r="B2087" s="1" t="n">
        <v>44469</v>
      </c>
      <c r="C2087" s="1" t="n">
        <v>46185</v>
      </c>
      <c r="D2087" t="inlineStr">
        <is>
          <t>VÄSTERNORRLANDS LÄN</t>
        </is>
      </c>
      <c r="E2087" t="inlineStr">
        <is>
          <t>SOLLEFTEÅ</t>
        </is>
      </c>
      <c r="F2087" t="inlineStr">
        <is>
          <t>SCA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48457-2022</t>
        </is>
      </c>
      <c r="B2088" s="1" t="n">
        <v>44858.66527777778</v>
      </c>
      <c r="C2088" s="1" t="n">
        <v>46185</v>
      </c>
      <c r="D2088" t="inlineStr">
        <is>
          <t>VÄSTERNORRLANDS LÄN</t>
        </is>
      </c>
      <c r="E2088" t="inlineStr">
        <is>
          <t>ÖRNSKÖLDSVIK</t>
        </is>
      </c>
      <c r="F2088" t="inlineStr">
        <is>
          <t>Holmen skog AB</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37954-2022</t>
        </is>
      </c>
      <c r="B2089" s="1" t="n">
        <v>44811</v>
      </c>
      <c r="C2089" s="1" t="n">
        <v>46185</v>
      </c>
      <c r="D2089" t="inlineStr">
        <is>
          <t>VÄSTERNORRLANDS LÄN</t>
        </is>
      </c>
      <c r="E2089" t="inlineStr">
        <is>
          <t>ÖRNSKÖLDSVIK</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24569-2022</t>
        </is>
      </c>
      <c r="B2090" s="1" t="n">
        <v>44726</v>
      </c>
      <c r="C2090" s="1" t="n">
        <v>46185</v>
      </c>
      <c r="D2090" t="inlineStr">
        <is>
          <t>VÄSTERNORRLANDS LÄN</t>
        </is>
      </c>
      <c r="E2090" t="inlineStr">
        <is>
          <t>ÖRNSKÖLDSVIK</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32483-2022</t>
        </is>
      </c>
      <c r="B2091" s="1" t="n">
        <v>44782</v>
      </c>
      <c r="C2091" s="1" t="n">
        <v>46185</v>
      </c>
      <c r="D2091" t="inlineStr">
        <is>
          <t>VÄSTERNORRLANDS LÄN</t>
        </is>
      </c>
      <c r="E2091" t="inlineStr">
        <is>
          <t>KRAMFORS</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67098-2021</t>
        </is>
      </c>
      <c r="B2092" s="1" t="n">
        <v>44522.94567129629</v>
      </c>
      <c r="C2092" s="1" t="n">
        <v>46185</v>
      </c>
      <c r="D2092" t="inlineStr">
        <is>
          <t>VÄSTERNORRLANDS LÄN</t>
        </is>
      </c>
      <c r="E2092" t="inlineStr">
        <is>
          <t>SUNDSVALL</t>
        </is>
      </c>
      <c r="F2092" t="inlineStr">
        <is>
          <t>SCA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72315-2021</t>
        </is>
      </c>
      <c r="B2093" s="1" t="n">
        <v>44545</v>
      </c>
      <c r="C2093" s="1" t="n">
        <v>46185</v>
      </c>
      <c r="D2093" t="inlineStr">
        <is>
          <t>VÄSTERNORRLANDS LÄN</t>
        </is>
      </c>
      <c r="E2093" t="inlineStr">
        <is>
          <t>SOLLEFTEÅ</t>
        </is>
      </c>
      <c r="F2093" t="inlineStr">
        <is>
          <t>SCA</t>
        </is>
      </c>
      <c r="G2093" t="n">
        <v>6.6</v>
      </c>
      <c r="H2093" t="n">
        <v>0</v>
      </c>
      <c r="I2093" t="n">
        <v>0</v>
      </c>
      <c r="J2093" t="n">
        <v>0</v>
      </c>
      <c r="K2093" t="n">
        <v>0</v>
      </c>
      <c r="L2093" t="n">
        <v>0</v>
      </c>
      <c r="M2093" t="n">
        <v>0</v>
      </c>
      <c r="N2093" t="n">
        <v>0</v>
      </c>
      <c r="O2093" t="n">
        <v>0</v>
      </c>
      <c r="P2093" t="n">
        <v>0</v>
      </c>
      <c r="Q2093" t="n">
        <v>0</v>
      </c>
      <c r="R2093" s="2" t="inlineStr"/>
    </row>
    <row r="2094" ht="15" customHeight="1">
      <c r="A2094" t="inlineStr">
        <is>
          <t>A 50732-2022</t>
        </is>
      </c>
      <c r="B2094" s="1" t="n">
        <v>44862</v>
      </c>
      <c r="C2094" s="1" t="n">
        <v>46185</v>
      </c>
      <c r="D2094" t="inlineStr">
        <is>
          <t>VÄSTERNORRLANDS LÄN</t>
        </is>
      </c>
      <c r="E2094" t="inlineStr">
        <is>
          <t>ÖRNSKÖLDSVIK</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50640-2022</t>
        </is>
      </c>
      <c r="B2095" s="1" t="n">
        <v>44866.94734953704</v>
      </c>
      <c r="C2095" s="1" t="n">
        <v>46185</v>
      </c>
      <c r="D2095" t="inlineStr">
        <is>
          <t>VÄSTERNORRLANDS LÄN</t>
        </is>
      </c>
      <c r="E2095" t="inlineStr">
        <is>
          <t>ÅNGE</t>
        </is>
      </c>
      <c r="F2095" t="inlineStr">
        <is>
          <t>SCA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1471-2022</t>
        </is>
      </c>
      <c r="B2096" s="1" t="n">
        <v>44573</v>
      </c>
      <c r="C2096" s="1" t="n">
        <v>46185</v>
      </c>
      <c r="D2096" t="inlineStr">
        <is>
          <t>VÄSTERNORRLANDS LÄN</t>
        </is>
      </c>
      <c r="E2096" t="inlineStr">
        <is>
          <t>ÖRNSKÖLDSVIK</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72499-2021</t>
        </is>
      </c>
      <c r="B2097" s="1" t="n">
        <v>44545.94166666667</v>
      </c>
      <c r="C2097" s="1" t="n">
        <v>46185</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70603-2021</t>
        </is>
      </c>
      <c r="B2098" s="1" t="n">
        <v>44536</v>
      </c>
      <c r="C2098" s="1" t="n">
        <v>46185</v>
      </c>
      <c r="D2098" t="inlineStr">
        <is>
          <t>VÄSTERNORRLANDS LÄN</t>
        </is>
      </c>
      <c r="E2098" t="inlineStr">
        <is>
          <t>HÄRNÖSAND</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68317-2021</t>
        </is>
      </c>
      <c r="B2099" s="1" t="n">
        <v>44526.94339120371</v>
      </c>
      <c r="C2099" s="1" t="n">
        <v>46185</v>
      </c>
      <c r="D2099" t="inlineStr">
        <is>
          <t>VÄSTERNORRLANDS LÄN</t>
        </is>
      </c>
      <c r="E2099" t="inlineStr">
        <is>
          <t>SOLLEFTEÅ</t>
        </is>
      </c>
      <c r="F2099" t="inlineStr">
        <is>
          <t>SCA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72521-2021</t>
        </is>
      </c>
      <c r="B2100" s="1" t="n">
        <v>44546.34429398148</v>
      </c>
      <c r="C2100" s="1" t="n">
        <v>46185</v>
      </c>
      <c r="D2100" t="inlineStr">
        <is>
          <t>VÄSTERNORRLANDS LÄN</t>
        </is>
      </c>
      <c r="E2100" t="inlineStr">
        <is>
          <t>ÖRNSKÖLDSVIK</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35085-2022</t>
        </is>
      </c>
      <c r="B2101" s="1" t="n">
        <v>44797</v>
      </c>
      <c r="C2101" s="1" t="n">
        <v>46185</v>
      </c>
      <c r="D2101" t="inlineStr">
        <is>
          <t>VÄSTERNORRLANDS LÄN</t>
        </is>
      </c>
      <c r="E2101" t="inlineStr">
        <is>
          <t>ÖRNSKÖLDSVIK</t>
        </is>
      </c>
      <c r="F2101" t="inlineStr">
        <is>
          <t>Holmen skog AB</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72949-2021</t>
        </is>
      </c>
      <c r="B2102" s="1" t="n">
        <v>44547.92181712963</v>
      </c>
      <c r="C2102" s="1" t="n">
        <v>46185</v>
      </c>
      <c r="D2102" t="inlineStr">
        <is>
          <t>VÄSTERNORRLANDS LÄN</t>
        </is>
      </c>
      <c r="E2102" t="inlineStr">
        <is>
          <t>SOLLEFTEÅ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12191-2022</t>
        </is>
      </c>
      <c r="B2103" s="1" t="n">
        <v>44636.9250925926</v>
      </c>
      <c r="C2103" s="1" t="n">
        <v>46185</v>
      </c>
      <c r="D2103" t="inlineStr">
        <is>
          <t>VÄSTERNORRLANDS LÄN</t>
        </is>
      </c>
      <c r="E2103" t="inlineStr">
        <is>
          <t>SOLLEFTEÅ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28893-2022</t>
        </is>
      </c>
      <c r="B2104" s="1" t="n">
        <v>44749.53978009259</v>
      </c>
      <c r="C2104" s="1" t="n">
        <v>46185</v>
      </c>
      <c r="D2104" t="inlineStr">
        <is>
          <t>VÄSTERNORRLANDS LÄN</t>
        </is>
      </c>
      <c r="E2104" t="inlineStr">
        <is>
          <t>SOLLEFTEÅ</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12960-2022</t>
        </is>
      </c>
      <c r="B2105" s="1" t="n">
        <v>44642</v>
      </c>
      <c r="C2105" s="1" t="n">
        <v>46185</v>
      </c>
      <c r="D2105" t="inlineStr">
        <is>
          <t>VÄSTERNORRLANDS LÄN</t>
        </is>
      </c>
      <c r="E2105" t="inlineStr">
        <is>
          <t>ÖRNSKÖLDSVIK</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66856-2021</t>
        </is>
      </c>
      <c r="B2106" s="1" t="n">
        <v>44522</v>
      </c>
      <c r="C2106" s="1" t="n">
        <v>46185</v>
      </c>
      <c r="D2106" t="inlineStr">
        <is>
          <t>VÄSTERNORRLANDS LÄN</t>
        </is>
      </c>
      <c r="E2106" t="inlineStr">
        <is>
          <t>SOLLEFTEÅ</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5102-2022</t>
        </is>
      </c>
      <c r="B2107" s="1" t="n">
        <v>44593.88219907408</v>
      </c>
      <c r="C2107" s="1" t="n">
        <v>46185</v>
      </c>
      <c r="D2107" t="inlineStr">
        <is>
          <t>VÄSTERNORRLANDS LÄN</t>
        </is>
      </c>
      <c r="E2107" t="inlineStr">
        <is>
          <t>ÖRNSKÖLDSVIK</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67078-2021</t>
        </is>
      </c>
      <c r="B2108" s="1" t="n">
        <v>44522</v>
      </c>
      <c r="C2108" s="1" t="n">
        <v>46185</v>
      </c>
      <c r="D2108" t="inlineStr">
        <is>
          <t>VÄSTERNORRLANDS LÄN</t>
        </is>
      </c>
      <c r="E2108" t="inlineStr">
        <is>
          <t>HÄRNÖSAND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38369-2021</t>
        </is>
      </c>
      <c r="B2109" s="1" t="n">
        <v>44406</v>
      </c>
      <c r="C2109" s="1" t="n">
        <v>46185</v>
      </c>
      <c r="D2109" t="inlineStr">
        <is>
          <t>VÄSTERNORRLANDS LÄN</t>
        </is>
      </c>
      <c r="E2109" t="inlineStr">
        <is>
          <t>ÅNGE</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15241-2022</t>
        </is>
      </c>
      <c r="B2110" s="1" t="n">
        <v>44658.9375</v>
      </c>
      <c r="C2110" s="1" t="n">
        <v>46185</v>
      </c>
      <c r="D2110" t="inlineStr">
        <is>
          <t>VÄSTERNORRLANDS LÄN</t>
        </is>
      </c>
      <c r="E2110" t="inlineStr">
        <is>
          <t>SOLLEFTEÅ</t>
        </is>
      </c>
      <c r="F2110" t="inlineStr">
        <is>
          <t>SCA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43220-2021</t>
        </is>
      </c>
      <c r="B2111" s="1" t="n">
        <v>44431.9378125</v>
      </c>
      <c r="C2111" s="1" t="n">
        <v>46185</v>
      </c>
      <c r="D2111" t="inlineStr">
        <is>
          <t>VÄSTERNORRLANDS LÄN</t>
        </is>
      </c>
      <c r="E2111" t="inlineStr">
        <is>
          <t>SOLLEFTEÅ</t>
        </is>
      </c>
      <c r="F2111" t="inlineStr">
        <is>
          <t>SCA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14597-2022</t>
        </is>
      </c>
      <c r="B2112" s="1" t="n">
        <v>44655</v>
      </c>
      <c r="C2112" s="1" t="n">
        <v>46185</v>
      </c>
      <c r="D2112" t="inlineStr">
        <is>
          <t>VÄSTERNORRLANDS LÄN</t>
        </is>
      </c>
      <c r="E2112" t="inlineStr">
        <is>
          <t>HÄRNÖSAND</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26647-2022</t>
        </is>
      </c>
      <c r="B2113" s="1" t="n">
        <v>44739</v>
      </c>
      <c r="C2113" s="1" t="n">
        <v>46185</v>
      </c>
      <c r="D2113" t="inlineStr">
        <is>
          <t>VÄSTERNORRLANDS LÄN</t>
        </is>
      </c>
      <c r="E2113" t="inlineStr">
        <is>
          <t>ÖRNSKÖLDSVIK</t>
        </is>
      </c>
      <c r="F2113" t="inlineStr">
        <is>
          <t>Holmen skog AB</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32831-2021</t>
        </is>
      </c>
      <c r="B2114" s="1" t="n">
        <v>44375</v>
      </c>
      <c r="C2114" s="1" t="n">
        <v>46185</v>
      </c>
      <c r="D2114" t="inlineStr">
        <is>
          <t>VÄSTERNORRLANDS LÄN</t>
        </is>
      </c>
      <c r="E2114" t="inlineStr">
        <is>
          <t>ÖRNSKÖLDSVIK</t>
        </is>
      </c>
      <c r="F2114" t="inlineStr">
        <is>
          <t>Holmen skog AB</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7434-2022</t>
        </is>
      </c>
      <c r="B2115" s="1" t="n">
        <v>44606.93344907407</v>
      </c>
      <c r="C2115" s="1" t="n">
        <v>46185</v>
      </c>
      <c r="D2115" t="inlineStr">
        <is>
          <t>VÄSTERNORRLANDS LÄN</t>
        </is>
      </c>
      <c r="E2115" t="inlineStr">
        <is>
          <t>SUNDSVALL</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54340-2021</t>
        </is>
      </c>
      <c r="B2116" s="1" t="n">
        <v>44473.04076388889</v>
      </c>
      <c r="C2116" s="1" t="n">
        <v>46185</v>
      </c>
      <c r="D2116" t="inlineStr">
        <is>
          <t>VÄSTERNORRLANDS LÄN</t>
        </is>
      </c>
      <c r="E2116" t="inlineStr">
        <is>
          <t>ÖRNSKÖLDSVIK</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20096-2022</t>
        </is>
      </c>
      <c r="B2117" s="1" t="n">
        <v>44698</v>
      </c>
      <c r="C2117" s="1" t="n">
        <v>46185</v>
      </c>
      <c r="D2117" t="inlineStr">
        <is>
          <t>VÄSTERNORRLANDS LÄN</t>
        </is>
      </c>
      <c r="E2117" t="inlineStr">
        <is>
          <t>ÖRNSKÖLDSVIK</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18024-2022</t>
        </is>
      </c>
      <c r="B2118" s="1" t="n">
        <v>44683.94383101852</v>
      </c>
      <c r="C2118" s="1" t="n">
        <v>46185</v>
      </c>
      <c r="D2118" t="inlineStr">
        <is>
          <t>VÄSTERNORRLANDS LÄN</t>
        </is>
      </c>
      <c r="E2118" t="inlineStr">
        <is>
          <t>ÅNGE</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17963-2022</t>
        </is>
      </c>
      <c r="B2119" s="1" t="n">
        <v>44683</v>
      </c>
      <c r="C2119" s="1" t="n">
        <v>46185</v>
      </c>
      <c r="D2119" t="inlineStr">
        <is>
          <t>VÄSTERNORRLANDS LÄN</t>
        </is>
      </c>
      <c r="E2119" t="inlineStr">
        <is>
          <t>ÅNGE</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18074-2022</t>
        </is>
      </c>
      <c r="B2120" s="1" t="n">
        <v>44684</v>
      </c>
      <c r="C2120" s="1" t="n">
        <v>46185</v>
      </c>
      <c r="D2120" t="inlineStr">
        <is>
          <t>VÄSTERNORRLANDS LÄN</t>
        </is>
      </c>
      <c r="E2120" t="inlineStr">
        <is>
          <t>ÖRNSKÖLDSVIK</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20702-2022</t>
        </is>
      </c>
      <c r="B2121" s="1" t="n">
        <v>44700.92697916667</v>
      </c>
      <c r="C2121" s="1" t="n">
        <v>46185</v>
      </c>
      <c r="D2121" t="inlineStr">
        <is>
          <t>VÄSTERNORRLANDS LÄN</t>
        </is>
      </c>
      <c r="E2121" t="inlineStr">
        <is>
          <t>SOLLEFTEÅ</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22077-2022</t>
        </is>
      </c>
      <c r="B2122" s="1" t="n">
        <v>44711.92616898148</v>
      </c>
      <c r="C2122" s="1" t="n">
        <v>46185</v>
      </c>
      <c r="D2122" t="inlineStr">
        <is>
          <t>VÄSTERNORRLANDS LÄN</t>
        </is>
      </c>
      <c r="E2122" t="inlineStr">
        <is>
          <t>ÖRNSKÖLDSVIK</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29577-2021</t>
        </is>
      </c>
      <c r="B2123" s="1" t="n">
        <v>44361</v>
      </c>
      <c r="C2123" s="1" t="n">
        <v>46185</v>
      </c>
      <c r="D2123" t="inlineStr">
        <is>
          <t>VÄSTERNORRLANDS LÄN</t>
        </is>
      </c>
      <c r="E2123" t="inlineStr">
        <is>
          <t>SUNDSVALL</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58461-2021</t>
        </is>
      </c>
      <c r="B2124" s="1" t="n">
        <v>44488</v>
      </c>
      <c r="C2124" s="1" t="n">
        <v>46185</v>
      </c>
      <c r="D2124" t="inlineStr">
        <is>
          <t>VÄSTERNORRLANDS LÄN</t>
        </is>
      </c>
      <c r="E2124" t="inlineStr">
        <is>
          <t>ÖRNSKÖLDSVIK</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14468-2022</t>
        </is>
      </c>
      <c r="B2125" s="1" t="n">
        <v>44654.67935185185</v>
      </c>
      <c r="C2125" s="1" t="n">
        <v>46185</v>
      </c>
      <c r="D2125" t="inlineStr">
        <is>
          <t>VÄSTERNORRLANDS LÄN</t>
        </is>
      </c>
      <c r="E2125" t="inlineStr">
        <is>
          <t>SUNDSVALL</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21601-2022</t>
        </is>
      </c>
      <c r="B2126" s="1" t="n">
        <v>44706</v>
      </c>
      <c r="C2126" s="1" t="n">
        <v>46185</v>
      </c>
      <c r="D2126" t="inlineStr">
        <is>
          <t>VÄSTERNORRLANDS LÄN</t>
        </is>
      </c>
      <c r="E2126" t="inlineStr">
        <is>
          <t>ÖRNSKÖLDSVIK</t>
        </is>
      </c>
      <c r="F2126" t="inlineStr">
        <is>
          <t>Holmen skog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31444-2022</t>
        </is>
      </c>
      <c r="B2127" s="1" t="n">
        <v>44774</v>
      </c>
      <c r="C2127" s="1" t="n">
        <v>46185</v>
      </c>
      <c r="D2127" t="inlineStr">
        <is>
          <t>VÄSTERNORRLANDS LÄN</t>
        </is>
      </c>
      <c r="E2127" t="inlineStr">
        <is>
          <t>SOLLEFTEÅ</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35496-2022</t>
        </is>
      </c>
      <c r="B2128" s="1" t="n">
        <v>44798</v>
      </c>
      <c r="C2128" s="1" t="n">
        <v>46185</v>
      </c>
      <c r="D2128" t="inlineStr">
        <is>
          <t>VÄSTERNORRLANDS LÄN</t>
        </is>
      </c>
      <c r="E2128" t="inlineStr">
        <is>
          <t>ÅNGE</t>
        </is>
      </c>
      <c r="F2128" t="inlineStr">
        <is>
          <t>SCA</t>
        </is>
      </c>
      <c r="G2128" t="n">
        <v>15.6</v>
      </c>
      <c r="H2128" t="n">
        <v>0</v>
      </c>
      <c r="I2128" t="n">
        <v>0</v>
      </c>
      <c r="J2128" t="n">
        <v>0</v>
      </c>
      <c r="K2128" t="n">
        <v>0</v>
      </c>
      <c r="L2128" t="n">
        <v>0</v>
      </c>
      <c r="M2128" t="n">
        <v>0</v>
      </c>
      <c r="N2128" t="n">
        <v>0</v>
      </c>
      <c r="O2128" t="n">
        <v>0</v>
      </c>
      <c r="P2128" t="n">
        <v>0</v>
      </c>
      <c r="Q2128" t="n">
        <v>0</v>
      </c>
      <c r="R2128" s="2" t="inlineStr"/>
    </row>
    <row r="2129" ht="15" customHeight="1">
      <c r="A2129" t="inlineStr">
        <is>
          <t>A 52290-2021</t>
        </is>
      </c>
      <c r="B2129" s="1" t="n">
        <v>44463.66857638889</v>
      </c>
      <c r="C2129" s="1" t="n">
        <v>46185</v>
      </c>
      <c r="D2129" t="inlineStr">
        <is>
          <t>VÄSTERNORRLANDS LÄN</t>
        </is>
      </c>
      <c r="E2129" t="inlineStr">
        <is>
          <t>ÖRNSKÖLDSVIK</t>
        </is>
      </c>
      <c r="F2129" t="inlineStr">
        <is>
          <t>Holmen skog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39534-2021</t>
        </is>
      </c>
      <c r="B2130" s="1" t="n">
        <v>44415.93429398148</v>
      </c>
      <c r="C2130" s="1" t="n">
        <v>46185</v>
      </c>
      <c r="D2130" t="inlineStr">
        <is>
          <t>VÄSTERNORRLANDS LÄN</t>
        </is>
      </c>
      <c r="E2130" t="inlineStr">
        <is>
          <t>TIMRÅ</t>
        </is>
      </c>
      <c r="F2130" t="inlineStr">
        <is>
          <t>SCA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48541-2021</t>
        </is>
      </c>
      <c r="B2131" s="1" t="n">
        <v>44452</v>
      </c>
      <c r="C2131" s="1" t="n">
        <v>46185</v>
      </c>
      <c r="D2131" t="inlineStr">
        <is>
          <t>VÄSTERNORRLANDS LÄN</t>
        </is>
      </c>
      <c r="E2131" t="inlineStr">
        <is>
          <t>ÖRNSKÖLDSVIK</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59660-2021</t>
        </is>
      </c>
      <c r="B2132" s="1" t="n">
        <v>44494</v>
      </c>
      <c r="C2132" s="1" t="n">
        <v>46185</v>
      </c>
      <c r="D2132" t="inlineStr">
        <is>
          <t>VÄSTERNORRLANDS LÄN</t>
        </is>
      </c>
      <c r="E2132" t="inlineStr">
        <is>
          <t>ÖRNSKÖLDSVIK</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54857-2021</t>
        </is>
      </c>
      <c r="B2133" s="1" t="n">
        <v>44474.33015046296</v>
      </c>
      <c r="C2133" s="1" t="n">
        <v>46185</v>
      </c>
      <c r="D2133" t="inlineStr">
        <is>
          <t>VÄSTERNORRLANDS LÄN</t>
        </is>
      </c>
      <c r="E2133" t="inlineStr">
        <is>
          <t>KRAMFORS</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20517-2022</t>
        </is>
      </c>
      <c r="B2134" s="1" t="n">
        <v>44699.92630787037</v>
      </c>
      <c r="C2134" s="1" t="n">
        <v>46185</v>
      </c>
      <c r="D2134" t="inlineStr">
        <is>
          <t>VÄSTERNORRLANDS LÄN</t>
        </is>
      </c>
      <c r="E2134" t="inlineStr">
        <is>
          <t>SUNDSVALL</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65317-2021</t>
        </is>
      </c>
      <c r="B2135" s="1" t="n">
        <v>44515.62831018519</v>
      </c>
      <c r="C2135" s="1" t="n">
        <v>46185</v>
      </c>
      <c r="D2135" t="inlineStr">
        <is>
          <t>VÄSTERNORRLANDS LÄN</t>
        </is>
      </c>
      <c r="E2135" t="inlineStr">
        <is>
          <t>ÖRNSKÖLDSVIK</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67834-2021</t>
        </is>
      </c>
      <c r="B2136" s="1" t="n">
        <v>44525.45952546296</v>
      </c>
      <c r="C2136" s="1" t="n">
        <v>46185</v>
      </c>
      <c r="D2136" t="inlineStr">
        <is>
          <t>VÄSTERNORRLANDS LÄN</t>
        </is>
      </c>
      <c r="E2136" t="inlineStr">
        <is>
          <t>ÖRNSKÖLDSVIK</t>
        </is>
      </c>
      <c r="F2136" t="inlineStr">
        <is>
          <t>Holmen skog AB</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12779-2022</t>
        </is>
      </c>
      <c r="B2137" s="1" t="n">
        <v>44641</v>
      </c>
      <c r="C2137" s="1" t="n">
        <v>46185</v>
      </c>
      <c r="D2137" t="inlineStr">
        <is>
          <t>VÄSTERNORRLANDS LÄN</t>
        </is>
      </c>
      <c r="E2137" t="inlineStr">
        <is>
          <t>TIMRÅ</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33698-2021</t>
        </is>
      </c>
      <c r="B2138" s="1" t="n">
        <v>44378</v>
      </c>
      <c r="C2138" s="1" t="n">
        <v>46185</v>
      </c>
      <c r="D2138" t="inlineStr">
        <is>
          <t>VÄSTERNORRLANDS LÄN</t>
        </is>
      </c>
      <c r="E2138" t="inlineStr">
        <is>
          <t>ÖRNSKÖLDSVIK</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3532-2022</t>
        </is>
      </c>
      <c r="B2139" s="1" t="n">
        <v>44585.89016203704</v>
      </c>
      <c r="C2139" s="1" t="n">
        <v>46185</v>
      </c>
      <c r="D2139" t="inlineStr">
        <is>
          <t>VÄSTERNORRLANDS LÄN</t>
        </is>
      </c>
      <c r="E2139" t="inlineStr">
        <is>
          <t>HÄRNÖSAND</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41334-2021</t>
        </is>
      </c>
      <c r="B2140" s="1" t="n">
        <v>44424</v>
      </c>
      <c r="C2140" s="1" t="n">
        <v>46185</v>
      </c>
      <c r="D2140" t="inlineStr">
        <is>
          <t>VÄSTERNORRLANDS LÄN</t>
        </is>
      </c>
      <c r="E2140" t="inlineStr">
        <is>
          <t>SOLLEFTEÅ</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51542-2022</t>
        </is>
      </c>
      <c r="B2141" s="1" t="n">
        <v>44869.94850694444</v>
      </c>
      <c r="C2141" s="1" t="n">
        <v>46185</v>
      </c>
      <c r="D2141" t="inlineStr">
        <is>
          <t>VÄSTERNORRLANDS LÄN</t>
        </is>
      </c>
      <c r="E2141" t="inlineStr">
        <is>
          <t>ÅNGE</t>
        </is>
      </c>
      <c r="F2141" t="inlineStr">
        <is>
          <t>SCA</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2823-2022</t>
        </is>
      </c>
      <c r="B2142" s="1" t="n">
        <v>44581.41922453704</v>
      </c>
      <c r="C2142" s="1" t="n">
        <v>46185</v>
      </c>
      <c r="D2142" t="inlineStr">
        <is>
          <t>VÄSTERNORRLANDS LÄN</t>
        </is>
      </c>
      <c r="E2142" t="inlineStr">
        <is>
          <t>KRAMFORS</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34053-2022</t>
        </is>
      </c>
      <c r="B2143" s="1" t="n">
        <v>44790</v>
      </c>
      <c r="C2143" s="1" t="n">
        <v>46185</v>
      </c>
      <c r="D2143" t="inlineStr">
        <is>
          <t>VÄSTERNORRLANDS LÄN</t>
        </is>
      </c>
      <c r="E2143" t="inlineStr">
        <is>
          <t>TIMRÅ</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30591-2021</t>
        </is>
      </c>
      <c r="B2144" s="1" t="n">
        <v>44364</v>
      </c>
      <c r="C2144" s="1" t="n">
        <v>46185</v>
      </c>
      <c r="D2144" t="inlineStr">
        <is>
          <t>VÄSTERNORRLANDS LÄN</t>
        </is>
      </c>
      <c r="E2144" t="inlineStr">
        <is>
          <t>TIMRÅ</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30598-2021</t>
        </is>
      </c>
      <c r="B2145" s="1" t="n">
        <v>44364</v>
      </c>
      <c r="C2145" s="1" t="n">
        <v>46185</v>
      </c>
      <c r="D2145" t="inlineStr">
        <is>
          <t>VÄSTERNORRLANDS LÄN</t>
        </is>
      </c>
      <c r="E2145" t="inlineStr">
        <is>
          <t>ÖRNSKÖLDSVIK</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52062-2021</t>
        </is>
      </c>
      <c r="B2146" s="1" t="n">
        <v>44463.38034722222</v>
      </c>
      <c r="C2146" s="1" t="n">
        <v>46185</v>
      </c>
      <c r="D2146" t="inlineStr">
        <is>
          <t>VÄSTERNORRLANDS LÄN</t>
        </is>
      </c>
      <c r="E2146" t="inlineStr">
        <is>
          <t>ÖRNSKÖLDSVIK</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30118-2021</t>
        </is>
      </c>
      <c r="B2147" s="1" t="n">
        <v>44363</v>
      </c>
      <c r="C2147" s="1" t="n">
        <v>46185</v>
      </c>
      <c r="D2147" t="inlineStr">
        <is>
          <t>VÄSTERNORRLANDS LÄN</t>
        </is>
      </c>
      <c r="E2147" t="inlineStr">
        <is>
          <t>ÖRNSKÖLDSVIK</t>
        </is>
      </c>
      <c r="G2147" t="n">
        <v>10.4</v>
      </c>
      <c r="H2147" t="n">
        <v>0</v>
      </c>
      <c r="I2147" t="n">
        <v>0</v>
      </c>
      <c r="J2147" t="n">
        <v>0</v>
      </c>
      <c r="K2147" t="n">
        <v>0</v>
      </c>
      <c r="L2147" t="n">
        <v>0</v>
      </c>
      <c r="M2147" t="n">
        <v>0</v>
      </c>
      <c r="N2147" t="n">
        <v>0</v>
      </c>
      <c r="O2147" t="n">
        <v>0</v>
      </c>
      <c r="P2147" t="n">
        <v>0</v>
      </c>
      <c r="Q2147" t="n">
        <v>0</v>
      </c>
      <c r="R2147" s="2" t="inlineStr"/>
    </row>
    <row r="2148" ht="15" customHeight="1">
      <c r="A2148" t="inlineStr">
        <is>
          <t>A 72876-2021</t>
        </is>
      </c>
      <c r="B2148" s="1" t="n">
        <v>44547.55855324074</v>
      </c>
      <c r="C2148" s="1" t="n">
        <v>46185</v>
      </c>
      <c r="D2148" t="inlineStr">
        <is>
          <t>VÄSTERNORRLANDS LÄN</t>
        </is>
      </c>
      <c r="E2148" t="inlineStr">
        <is>
          <t>ÖRNSKÖLDSVIK</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55455-2021</t>
        </is>
      </c>
      <c r="B2149" s="1" t="n">
        <v>44475.57884259259</v>
      </c>
      <c r="C2149" s="1" t="n">
        <v>46185</v>
      </c>
      <c r="D2149" t="inlineStr">
        <is>
          <t>VÄSTERNORRLANDS LÄN</t>
        </is>
      </c>
      <c r="E2149" t="inlineStr">
        <is>
          <t>ÖRNSKÖLDSVIK</t>
        </is>
      </c>
      <c r="F2149" t="inlineStr">
        <is>
          <t>Holmen skog AB</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22342-2022</t>
        </is>
      </c>
      <c r="B2150" s="1" t="n">
        <v>44712.94203703704</v>
      </c>
      <c r="C2150" s="1" t="n">
        <v>46185</v>
      </c>
      <c r="D2150" t="inlineStr">
        <is>
          <t>VÄSTERNORRLANDS LÄN</t>
        </is>
      </c>
      <c r="E2150" t="inlineStr">
        <is>
          <t>SOLLEFTEÅ</t>
        </is>
      </c>
      <c r="F2150" t="inlineStr">
        <is>
          <t>SCA</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37826-2022</t>
        </is>
      </c>
      <c r="B2151" s="1" t="n">
        <v>44810.94175925926</v>
      </c>
      <c r="C2151" s="1" t="n">
        <v>46185</v>
      </c>
      <c r="D2151" t="inlineStr">
        <is>
          <t>VÄSTERNORRLANDS LÄN</t>
        </is>
      </c>
      <c r="E2151" t="inlineStr">
        <is>
          <t>SOLLEFTEÅ</t>
        </is>
      </c>
      <c r="F2151" t="inlineStr">
        <is>
          <t>SCA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39676-2021</t>
        </is>
      </c>
      <c r="B2152" s="1" t="n">
        <v>44414</v>
      </c>
      <c r="C2152" s="1" t="n">
        <v>46185</v>
      </c>
      <c r="D2152" t="inlineStr">
        <is>
          <t>VÄSTERNORRLANDS LÄN</t>
        </is>
      </c>
      <c r="E2152" t="inlineStr">
        <is>
          <t>SUNDSVALL</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45126-2021</t>
        </is>
      </c>
      <c r="B2153" s="1" t="n">
        <v>44439</v>
      </c>
      <c r="C2153" s="1" t="n">
        <v>46185</v>
      </c>
      <c r="D2153" t="inlineStr">
        <is>
          <t>VÄSTERNORRLANDS LÄN</t>
        </is>
      </c>
      <c r="E2153" t="inlineStr">
        <is>
          <t>ÖRNSKÖLDSVIK</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55898-2022</t>
        </is>
      </c>
      <c r="B2154" s="1" t="n">
        <v>44888.95342592592</v>
      </c>
      <c r="C2154" s="1" t="n">
        <v>46185</v>
      </c>
      <c r="D2154" t="inlineStr">
        <is>
          <t>VÄSTERNORRLANDS LÄN</t>
        </is>
      </c>
      <c r="E2154" t="inlineStr">
        <is>
          <t>SOLLEFTEÅ</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16083-2022</t>
        </is>
      </c>
      <c r="B2155" s="1" t="n">
        <v>44665</v>
      </c>
      <c r="C2155" s="1" t="n">
        <v>46185</v>
      </c>
      <c r="D2155" t="inlineStr">
        <is>
          <t>VÄSTERNORRLANDS LÄN</t>
        </is>
      </c>
      <c r="E2155" t="inlineStr">
        <is>
          <t>SOLLEFTEÅ</t>
        </is>
      </c>
      <c r="F2155" t="inlineStr">
        <is>
          <t>Holmen skog AB</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33077-2022</t>
        </is>
      </c>
      <c r="B2156" s="1" t="n">
        <v>44785</v>
      </c>
      <c r="C2156" s="1" t="n">
        <v>46185</v>
      </c>
      <c r="D2156" t="inlineStr">
        <is>
          <t>VÄSTERNORRLANDS LÄN</t>
        </is>
      </c>
      <c r="E2156" t="inlineStr">
        <is>
          <t>SOLLEFTEÅ</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5552-2022</t>
        </is>
      </c>
      <c r="B2157" s="1" t="n">
        <v>44595.62966435185</v>
      </c>
      <c r="C2157" s="1" t="n">
        <v>46185</v>
      </c>
      <c r="D2157" t="inlineStr">
        <is>
          <t>VÄSTERNORRLANDS LÄN</t>
        </is>
      </c>
      <c r="E2157" t="inlineStr">
        <is>
          <t>ÅNGE</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35026-2022</t>
        </is>
      </c>
      <c r="B2158" s="1" t="n">
        <v>44796</v>
      </c>
      <c r="C2158" s="1" t="n">
        <v>46185</v>
      </c>
      <c r="D2158" t="inlineStr">
        <is>
          <t>VÄSTERNORRLANDS LÄN</t>
        </is>
      </c>
      <c r="E2158" t="inlineStr">
        <is>
          <t>ÅNGE</t>
        </is>
      </c>
      <c r="F2158" t="inlineStr">
        <is>
          <t>SCA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47922-2022</t>
        </is>
      </c>
      <c r="B2159" s="1" t="n">
        <v>44855.50136574074</v>
      </c>
      <c r="C2159" s="1" t="n">
        <v>46185</v>
      </c>
      <c r="D2159" t="inlineStr">
        <is>
          <t>VÄSTERNORRLANDS LÄN</t>
        </is>
      </c>
      <c r="E2159" t="inlineStr">
        <is>
          <t>ÖRNSKÖLDSVIK</t>
        </is>
      </c>
      <c r="F2159" t="inlineStr">
        <is>
          <t>Holmen skog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39594-2022</t>
        </is>
      </c>
      <c r="B2160" s="1" t="n">
        <v>44818</v>
      </c>
      <c r="C2160" s="1" t="n">
        <v>46185</v>
      </c>
      <c r="D2160" t="inlineStr">
        <is>
          <t>VÄSTERNORRLANDS LÄN</t>
        </is>
      </c>
      <c r="E2160" t="inlineStr">
        <is>
          <t>ÅNGE</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68152-2021</t>
        </is>
      </c>
      <c r="B2161" s="1" t="n">
        <v>44526.43829861111</v>
      </c>
      <c r="C2161" s="1" t="n">
        <v>46185</v>
      </c>
      <c r="D2161" t="inlineStr">
        <is>
          <t>VÄSTERNORRLANDS LÄN</t>
        </is>
      </c>
      <c r="E2161" t="inlineStr">
        <is>
          <t>ÖRNSKÖLDSVIK</t>
        </is>
      </c>
      <c r="F2161" t="inlineStr">
        <is>
          <t>Holmen skog AB</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17586-2022</t>
        </is>
      </c>
      <c r="B2162" s="1" t="n">
        <v>44679.94385416667</v>
      </c>
      <c r="C2162" s="1" t="n">
        <v>46185</v>
      </c>
      <c r="D2162" t="inlineStr">
        <is>
          <t>VÄSTERNORRLANDS LÄN</t>
        </is>
      </c>
      <c r="E2162" t="inlineStr">
        <is>
          <t>SUNDSVALL</t>
        </is>
      </c>
      <c r="F2162" t="inlineStr">
        <is>
          <t>SCA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10313-2022</t>
        </is>
      </c>
      <c r="B2163" s="1" t="n">
        <v>44622</v>
      </c>
      <c r="C2163" s="1" t="n">
        <v>46185</v>
      </c>
      <c r="D2163" t="inlineStr">
        <is>
          <t>VÄSTERNORRLANDS LÄN</t>
        </is>
      </c>
      <c r="E2163" t="inlineStr">
        <is>
          <t>ÅNGE</t>
        </is>
      </c>
      <c r="F2163" t="inlineStr">
        <is>
          <t>SCA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46824-2021</t>
        </is>
      </c>
      <c r="B2164" s="1" t="n">
        <v>44446.34271990741</v>
      </c>
      <c r="C2164" s="1" t="n">
        <v>46185</v>
      </c>
      <c r="D2164" t="inlineStr">
        <is>
          <t>VÄSTERNORRLANDS LÄN</t>
        </is>
      </c>
      <c r="E2164" t="inlineStr">
        <is>
          <t>ÅNGE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36647-2022</t>
        </is>
      </c>
      <c r="B2165" s="1" t="n">
        <v>44804.75269675926</v>
      </c>
      <c r="C2165" s="1" t="n">
        <v>46185</v>
      </c>
      <c r="D2165" t="inlineStr">
        <is>
          <t>VÄSTERNORRLANDS LÄN</t>
        </is>
      </c>
      <c r="E2165" t="inlineStr">
        <is>
          <t>KRAMFORS</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60450-2021</t>
        </is>
      </c>
      <c r="B2166" s="1" t="n">
        <v>44496.44508101852</v>
      </c>
      <c r="C2166" s="1" t="n">
        <v>46185</v>
      </c>
      <c r="D2166" t="inlineStr">
        <is>
          <t>VÄSTERNORRLANDS LÄN</t>
        </is>
      </c>
      <c r="E2166" t="inlineStr">
        <is>
          <t>ÖRNSKÖLDSVIK</t>
        </is>
      </c>
      <c r="F2166" t="inlineStr">
        <is>
          <t>Holmen skog AB</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11241-2022</t>
        </is>
      </c>
      <c r="B2167" s="1" t="n">
        <v>44629</v>
      </c>
      <c r="C2167" s="1" t="n">
        <v>46185</v>
      </c>
      <c r="D2167" t="inlineStr">
        <is>
          <t>VÄSTERNORRLANDS LÄN</t>
        </is>
      </c>
      <c r="E2167" t="inlineStr">
        <is>
          <t>SOLLEFTEÅ</t>
        </is>
      </c>
      <c r="F2167" t="inlineStr">
        <is>
          <t>Kommuner</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44404-2022</t>
        </is>
      </c>
      <c r="B2168" s="1" t="n">
        <v>44838</v>
      </c>
      <c r="C2168" s="1" t="n">
        <v>46185</v>
      </c>
      <c r="D2168" t="inlineStr">
        <is>
          <t>VÄSTERNORRLANDS LÄN</t>
        </is>
      </c>
      <c r="E2168" t="inlineStr">
        <is>
          <t>SUNDSVALL</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44405-2022</t>
        </is>
      </c>
      <c r="B2169" s="1" t="n">
        <v>44838</v>
      </c>
      <c r="C2169" s="1" t="n">
        <v>46185</v>
      </c>
      <c r="D2169" t="inlineStr">
        <is>
          <t>VÄSTERNORRLANDS LÄN</t>
        </is>
      </c>
      <c r="E2169" t="inlineStr">
        <is>
          <t>SUNDSVALL</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44409-2022</t>
        </is>
      </c>
      <c r="B2170" s="1" t="n">
        <v>44839.88365740741</v>
      </c>
      <c r="C2170" s="1" t="n">
        <v>46185</v>
      </c>
      <c r="D2170" t="inlineStr">
        <is>
          <t>VÄSTERNORRLANDS LÄN</t>
        </is>
      </c>
      <c r="E2170" t="inlineStr">
        <is>
          <t>SUNDSVALL</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41474-2022</t>
        </is>
      </c>
      <c r="B2171" s="1" t="n">
        <v>44826.94859953703</v>
      </c>
      <c r="C2171" s="1" t="n">
        <v>46185</v>
      </c>
      <c r="D2171" t="inlineStr">
        <is>
          <t>VÄSTERNORRLANDS LÄN</t>
        </is>
      </c>
      <c r="E2171" t="inlineStr">
        <is>
          <t>SOLLEFTEÅ</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26435-2022</t>
        </is>
      </c>
      <c r="B2172" s="1" t="n">
        <v>44736.93902777778</v>
      </c>
      <c r="C2172" s="1" t="n">
        <v>46185</v>
      </c>
      <c r="D2172" t="inlineStr">
        <is>
          <t>VÄSTERNORRLANDS LÄN</t>
        </is>
      </c>
      <c r="E2172" t="inlineStr">
        <is>
          <t>SOLLEFTEÅ</t>
        </is>
      </c>
      <c r="F2172" t="inlineStr">
        <is>
          <t>SCA</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41222-2022</t>
        </is>
      </c>
      <c r="B2173" s="1" t="n">
        <v>44825</v>
      </c>
      <c r="C2173" s="1" t="n">
        <v>46185</v>
      </c>
      <c r="D2173" t="inlineStr">
        <is>
          <t>VÄSTERNORRLANDS LÄN</t>
        </is>
      </c>
      <c r="E2173" t="inlineStr">
        <is>
          <t>SUNDSVALL</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5034-2024</t>
        </is>
      </c>
      <c r="B2174" s="1" t="n">
        <v>45329.86893518519</v>
      </c>
      <c r="C2174" s="1" t="n">
        <v>46185</v>
      </c>
      <c r="D2174" t="inlineStr">
        <is>
          <t>VÄSTERNORRLANDS LÄN</t>
        </is>
      </c>
      <c r="E2174" t="inlineStr">
        <is>
          <t>SOLLEFTEÅ</t>
        </is>
      </c>
      <c r="F2174" t="inlineStr">
        <is>
          <t>Övriga Aktiebolag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27217-2024</t>
        </is>
      </c>
      <c r="B2175" s="1" t="n">
        <v>45471.6217824074</v>
      </c>
      <c r="C2175" s="1" t="n">
        <v>46185</v>
      </c>
      <c r="D2175" t="inlineStr">
        <is>
          <t>VÄSTERNORRLANDS LÄN</t>
        </is>
      </c>
      <c r="E2175" t="inlineStr">
        <is>
          <t>ÖRNSKÖLDSVIK</t>
        </is>
      </c>
      <c r="F2175" t="inlineStr">
        <is>
          <t>Holmen skog AB</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29429-2024</t>
        </is>
      </c>
      <c r="B2176" s="1" t="n">
        <v>45483</v>
      </c>
      <c r="C2176" s="1" t="n">
        <v>46185</v>
      </c>
      <c r="D2176" t="inlineStr">
        <is>
          <t>VÄSTERNORRLANDS LÄN</t>
        </is>
      </c>
      <c r="E2176" t="inlineStr">
        <is>
          <t>HÄRNÖSAND</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41813-2022</t>
        </is>
      </c>
      <c r="B2177" s="1" t="n">
        <v>44827.94520833333</v>
      </c>
      <c r="C2177" s="1" t="n">
        <v>46185</v>
      </c>
      <c r="D2177" t="inlineStr">
        <is>
          <t>VÄSTERNORRLANDS LÄN</t>
        </is>
      </c>
      <c r="E2177" t="inlineStr">
        <is>
          <t>SOLLEFTEÅ</t>
        </is>
      </c>
      <c r="F2177" t="inlineStr">
        <is>
          <t>SCA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48154-2023</t>
        </is>
      </c>
      <c r="B2178" s="1" t="n">
        <v>45205</v>
      </c>
      <c r="C2178" s="1" t="n">
        <v>46185</v>
      </c>
      <c r="D2178" t="inlineStr">
        <is>
          <t>VÄSTERNORRLANDS LÄN</t>
        </is>
      </c>
      <c r="E2178" t="inlineStr">
        <is>
          <t>KRAMFORS</t>
        </is>
      </c>
      <c r="G2178" t="n">
        <v>11.5</v>
      </c>
      <c r="H2178" t="n">
        <v>0</v>
      </c>
      <c r="I2178" t="n">
        <v>0</v>
      </c>
      <c r="J2178" t="n">
        <v>0</v>
      </c>
      <c r="K2178" t="n">
        <v>0</v>
      </c>
      <c r="L2178" t="n">
        <v>0</v>
      </c>
      <c r="M2178" t="n">
        <v>0</v>
      </c>
      <c r="N2178" t="n">
        <v>0</v>
      </c>
      <c r="O2178" t="n">
        <v>0</v>
      </c>
      <c r="P2178" t="n">
        <v>0</v>
      </c>
      <c r="Q2178" t="n">
        <v>0</v>
      </c>
      <c r="R2178" s="2" t="inlineStr"/>
    </row>
    <row r="2179" ht="15" customHeight="1">
      <c r="A2179" t="inlineStr">
        <is>
          <t>A 30470-2021</t>
        </is>
      </c>
      <c r="B2179" s="1" t="n">
        <v>44364</v>
      </c>
      <c r="C2179" s="1" t="n">
        <v>46185</v>
      </c>
      <c r="D2179" t="inlineStr">
        <is>
          <t>VÄSTERNORRLANDS LÄN</t>
        </is>
      </c>
      <c r="E2179" t="inlineStr">
        <is>
          <t>KRAMFORS</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32756-2022</t>
        </is>
      </c>
      <c r="B2180" s="1" t="n">
        <v>44783</v>
      </c>
      <c r="C2180" s="1" t="n">
        <v>46185</v>
      </c>
      <c r="D2180" t="inlineStr">
        <is>
          <t>VÄSTERNORRLANDS LÄN</t>
        </is>
      </c>
      <c r="E2180" t="inlineStr">
        <is>
          <t>ÖRNSKÖLDSVIK</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52136-2023</t>
        </is>
      </c>
      <c r="B2181" s="1" t="n">
        <v>45223.96625</v>
      </c>
      <c r="C2181" s="1" t="n">
        <v>46185</v>
      </c>
      <c r="D2181" t="inlineStr">
        <is>
          <t>VÄSTERNORRLANDS LÄN</t>
        </is>
      </c>
      <c r="E2181" t="inlineStr">
        <is>
          <t>SOLLEFTEÅ</t>
        </is>
      </c>
      <c r="F2181" t="inlineStr">
        <is>
          <t>SCA</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48198-2023</t>
        </is>
      </c>
      <c r="B2182" s="1" t="n">
        <v>45205.46733796296</v>
      </c>
      <c r="C2182" s="1" t="n">
        <v>46185</v>
      </c>
      <c r="D2182" t="inlineStr">
        <is>
          <t>VÄSTERNORRLANDS LÄN</t>
        </is>
      </c>
      <c r="E2182" t="inlineStr">
        <is>
          <t>KRAMFORS</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48199-2023</t>
        </is>
      </c>
      <c r="B2183" s="1" t="n">
        <v>45205.46829861111</v>
      </c>
      <c r="C2183" s="1" t="n">
        <v>46185</v>
      </c>
      <c r="D2183" t="inlineStr">
        <is>
          <t>VÄSTERNORRLANDS LÄN</t>
        </is>
      </c>
      <c r="E2183" t="inlineStr">
        <is>
          <t>ÖRNSKÖLDSVIK</t>
        </is>
      </c>
      <c r="F2183" t="inlineStr">
        <is>
          <t>Holmen skog AB</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35477-2022</t>
        </is>
      </c>
      <c r="B2184" s="1" t="n">
        <v>44798.92681712963</v>
      </c>
      <c r="C2184" s="1" t="n">
        <v>46185</v>
      </c>
      <c r="D2184" t="inlineStr">
        <is>
          <t>VÄSTERNORRLANDS LÄN</t>
        </is>
      </c>
      <c r="E2184" t="inlineStr">
        <is>
          <t>TIMRÅ</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10242-2025</t>
        </is>
      </c>
      <c r="B2185" s="1" t="n">
        <v>45720.34821759259</v>
      </c>
      <c r="C2185" s="1" t="n">
        <v>46185</v>
      </c>
      <c r="D2185" t="inlineStr">
        <is>
          <t>VÄSTERNORRLANDS LÄN</t>
        </is>
      </c>
      <c r="E2185" t="inlineStr">
        <is>
          <t>SUNDSVALL</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10700-2023</t>
        </is>
      </c>
      <c r="B2186" s="1" t="n">
        <v>44988.58526620371</v>
      </c>
      <c r="C2186" s="1" t="n">
        <v>46185</v>
      </c>
      <c r="D2186" t="inlineStr">
        <is>
          <t>VÄSTERNORRLANDS LÄN</t>
        </is>
      </c>
      <c r="E2186" t="inlineStr">
        <is>
          <t>ÖRNSKÖLDSVIK</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62283-2023</t>
        </is>
      </c>
      <c r="B2187" s="1" t="n">
        <v>45266</v>
      </c>
      <c r="C2187" s="1" t="n">
        <v>46185</v>
      </c>
      <c r="D2187" t="inlineStr">
        <is>
          <t>VÄSTERNORRLANDS LÄN</t>
        </is>
      </c>
      <c r="E2187" t="inlineStr">
        <is>
          <t>SUNDSVALL</t>
        </is>
      </c>
      <c r="G2187" t="n">
        <v>6.4</v>
      </c>
      <c r="H2187" t="n">
        <v>0</v>
      </c>
      <c r="I2187" t="n">
        <v>0</v>
      </c>
      <c r="J2187" t="n">
        <v>0</v>
      </c>
      <c r="K2187" t="n">
        <v>0</v>
      </c>
      <c r="L2187" t="n">
        <v>0</v>
      </c>
      <c r="M2187" t="n">
        <v>0</v>
      </c>
      <c r="N2187" t="n">
        <v>0</v>
      </c>
      <c r="O2187" t="n">
        <v>0</v>
      </c>
      <c r="P2187" t="n">
        <v>0</v>
      </c>
      <c r="Q2187" t="n">
        <v>0</v>
      </c>
      <c r="R2187" s="2" t="inlineStr"/>
    </row>
    <row r="2188" ht="15" customHeight="1">
      <c r="A2188" t="inlineStr">
        <is>
          <t>A 8716-2025</t>
        </is>
      </c>
      <c r="B2188" s="1" t="n">
        <v>45712.50101851852</v>
      </c>
      <c r="C2188" s="1" t="n">
        <v>46185</v>
      </c>
      <c r="D2188" t="inlineStr">
        <is>
          <t>VÄSTERNORRLANDS LÄN</t>
        </is>
      </c>
      <c r="E2188" t="inlineStr">
        <is>
          <t>KRAMFORS</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18456-2023</t>
        </is>
      </c>
      <c r="B2189" s="1" t="n">
        <v>45041</v>
      </c>
      <c r="C2189" s="1" t="n">
        <v>46185</v>
      </c>
      <c r="D2189" t="inlineStr">
        <is>
          <t>VÄSTERNORRLANDS LÄN</t>
        </is>
      </c>
      <c r="E2189" t="inlineStr">
        <is>
          <t>SOLLEFTEÅ</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53450-2023</t>
        </is>
      </c>
      <c r="B2190" s="1" t="n">
        <v>45229.96534722222</v>
      </c>
      <c r="C2190" s="1" t="n">
        <v>46185</v>
      </c>
      <c r="D2190" t="inlineStr">
        <is>
          <t>VÄSTERNORRLANDS LÄN</t>
        </is>
      </c>
      <c r="E2190" t="inlineStr">
        <is>
          <t>SUNDSVALL</t>
        </is>
      </c>
      <c r="F2190" t="inlineStr">
        <is>
          <t>SCA</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53549-2023</t>
        </is>
      </c>
      <c r="B2191" s="1" t="n">
        <v>45230</v>
      </c>
      <c r="C2191" s="1" t="n">
        <v>46185</v>
      </c>
      <c r="D2191" t="inlineStr">
        <is>
          <t>VÄSTERNORRLANDS LÄN</t>
        </is>
      </c>
      <c r="E2191" t="inlineStr">
        <is>
          <t>ÅNGE</t>
        </is>
      </c>
      <c r="F2191" t="inlineStr">
        <is>
          <t>Holmen skog AB</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32501-2024</t>
        </is>
      </c>
      <c r="B2192" s="1" t="n">
        <v>45513</v>
      </c>
      <c r="C2192" s="1" t="n">
        <v>46185</v>
      </c>
      <c r="D2192" t="inlineStr">
        <is>
          <t>VÄSTERNORRLANDS LÄN</t>
        </is>
      </c>
      <c r="E2192" t="inlineStr">
        <is>
          <t>KRAMFORS</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23286-2023</t>
        </is>
      </c>
      <c r="B2193" s="1" t="n">
        <v>45075</v>
      </c>
      <c r="C2193" s="1" t="n">
        <v>46185</v>
      </c>
      <c r="D2193" t="inlineStr">
        <is>
          <t>VÄSTERNORRLANDS LÄN</t>
        </is>
      </c>
      <c r="E2193" t="inlineStr">
        <is>
          <t>SOLLEFTEÅ</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23288-2023</t>
        </is>
      </c>
      <c r="B2194" s="1" t="n">
        <v>45075</v>
      </c>
      <c r="C2194" s="1" t="n">
        <v>46185</v>
      </c>
      <c r="D2194" t="inlineStr">
        <is>
          <t>VÄSTERNORRLANDS LÄN</t>
        </is>
      </c>
      <c r="E2194" t="inlineStr">
        <is>
          <t>SOLLEFTEÅ</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23289-2023</t>
        </is>
      </c>
      <c r="B2195" s="1" t="n">
        <v>45075</v>
      </c>
      <c r="C2195" s="1" t="n">
        <v>46185</v>
      </c>
      <c r="D2195" t="inlineStr">
        <is>
          <t>VÄSTERNORRLANDS LÄN</t>
        </is>
      </c>
      <c r="E2195" t="inlineStr">
        <is>
          <t>SOLLEFTEÅ</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29926-2021</t>
        </is>
      </c>
      <c r="B2196" s="1" t="n">
        <v>44362.93724537037</v>
      </c>
      <c r="C2196" s="1" t="n">
        <v>46185</v>
      </c>
      <c r="D2196" t="inlineStr">
        <is>
          <t>VÄSTERNORRLANDS LÄN</t>
        </is>
      </c>
      <c r="E2196" t="inlineStr">
        <is>
          <t>SUNDSVALL</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45958-2023</t>
        </is>
      </c>
      <c r="B2197" s="1" t="n">
        <v>45195</v>
      </c>
      <c r="C2197" s="1" t="n">
        <v>46185</v>
      </c>
      <c r="D2197" t="inlineStr">
        <is>
          <t>VÄSTERNORRLANDS LÄN</t>
        </is>
      </c>
      <c r="E2197" t="inlineStr">
        <is>
          <t>SOLLEFTEÅ</t>
        </is>
      </c>
      <c r="F2197" t="inlineStr">
        <is>
          <t>SCA</t>
        </is>
      </c>
      <c r="G2197" t="n">
        <v>9.9</v>
      </c>
      <c r="H2197" t="n">
        <v>0</v>
      </c>
      <c r="I2197" t="n">
        <v>0</v>
      </c>
      <c r="J2197" t="n">
        <v>0</v>
      </c>
      <c r="K2197" t="n">
        <v>0</v>
      </c>
      <c r="L2197" t="n">
        <v>0</v>
      </c>
      <c r="M2197" t="n">
        <v>0</v>
      </c>
      <c r="N2197" t="n">
        <v>0</v>
      </c>
      <c r="O2197" t="n">
        <v>0</v>
      </c>
      <c r="P2197" t="n">
        <v>0</v>
      </c>
      <c r="Q2197" t="n">
        <v>0</v>
      </c>
      <c r="R2197" s="2" t="inlineStr"/>
    </row>
    <row r="2198" ht="15" customHeight="1">
      <c r="A2198" t="inlineStr">
        <is>
          <t>A 7218-2025</t>
        </is>
      </c>
      <c r="B2198" s="1" t="n">
        <v>45702.47903935185</v>
      </c>
      <c r="C2198" s="1" t="n">
        <v>46185</v>
      </c>
      <c r="D2198" t="inlineStr">
        <is>
          <t>VÄSTERNORRLANDS LÄN</t>
        </is>
      </c>
      <c r="E2198" t="inlineStr">
        <is>
          <t>ÖRNSKÖLDSVIK</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27163-2022</t>
        </is>
      </c>
      <c r="B2199" s="1" t="n">
        <v>44741</v>
      </c>
      <c r="C2199" s="1" t="n">
        <v>46185</v>
      </c>
      <c r="D2199" t="inlineStr">
        <is>
          <t>VÄSTERNORRLANDS LÄN</t>
        </is>
      </c>
      <c r="E2199" t="inlineStr">
        <is>
          <t>ÖRNSKÖLDSVIK</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27173-2022</t>
        </is>
      </c>
      <c r="B2200" s="1" t="n">
        <v>44741</v>
      </c>
      <c r="C2200" s="1" t="n">
        <v>46185</v>
      </c>
      <c r="D2200" t="inlineStr">
        <is>
          <t>VÄSTERNORRLANDS LÄN</t>
        </is>
      </c>
      <c r="E2200" t="inlineStr">
        <is>
          <t>KRAMFORS</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51810-2023</t>
        </is>
      </c>
      <c r="B2201" s="1" t="n">
        <v>45222.96583333334</v>
      </c>
      <c r="C2201" s="1" t="n">
        <v>46185</v>
      </c>
      <c r="D2201" t="inlineStr">
        <is>
          <t>VÄSTERNORRLANDS LÄN</t>
        </is>
      </c>
      <c r="E2201" t="inlineStr">
        <is>
          <t>ÅNGE</t>
        </is>
      </c>
      <c r="F2201" t="inlineStr">
        <is>
          <t>SCA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16048-2025</t>
        </is>
      </c>
      <c r="B2202" s="1" t="n">
        <v>45749.63847222222</v>
      </c>
      <c r="C2202" s="1" t="n">
        <v>46185</v>
      </c>
      <c r="D2202" t="inlineStr">
        <is>
          <t>VÄSTERNORRLANDS LÄN</t>
        </is>
      </c>
      <c r="E2202" t="inlineStr">
        <is>
          <t>KRAMFORS</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20841-2023</t>
        </is>
      </c>
      <c r="B2203" s="1" t="n">
        <v>45058</v>
      </c>
      <c r="C2203" s="1" t="n">
        <v>46185</v>
      </c>
      <c r="D2203" t="inlineStr">
        <is>
          <t>VÄSTERNORRLANDS LÄN</t>
        </is>
      </c>
      <c r="E2203" t="inlineStr">
        <is>
          <t>TIMRÅ</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28239-2022</t>
        </is>
      </c>
      <c r="B2204" s="1" t="n">
        <v>44746</v>
      </c>
      <c r="C2204" s="1" t="n">
        <v>46185</v>
      </c>
      <c r="D2204" t="inlineStr">
        <is>
          <t>VÄSTERNORRLANDS LÄN</t>
        </is>
      </c>
      <c r="E2204" t="inlineStr">
        <is>
          <t>ÖRNSKÖLDSVIK</t>
        </is>
      </c>
      <c r="F2204" t="inlineStr">
        <is>
          <t>Holmen skog AB</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42566-2024</t>
        </is>
      </c>
      <c r="B2205" s="1" t="n">
        <v>45565</v>
      </c>
      <c r="C2205" s="1" t="n">
        <v>46185</v>
      </c>
      <c r="D2205" t="inlineStr">
        <is>
          <t>VÄSTERNORRLANDS LÄN</t>
        </is>
      </c>
      <c r="E2205" t="inlineStr">
        <is>
          <t>ÖRNSKÖLDSVIK</t>
        </is>
      </c>
      <c r="F2205" t="inlineStr">
        <is>
          <t>Holmen skog AB</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49319-2023</t>
        </is>
      </c>
      <c r="B2206" s="1" t="n">
        <v>45210.94841435185</v>
      </c>
      <c r="C2206" s="1" t="n">
        <v>46185</v>
      </c>
      <c r="D2206" t="inlineStr">
        <is>
          <t>VÄSTERNORRLANDS LÄN</t>
        </is>
      </c>
      <c r="E2206" t="inlineStr">
        <is>
          <t>SUNDSVALL</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42578-2024</t>
        </is>
      </c>
      <c r="B2207" s="1" t="n">
        <v>45565.65378472222</v>
      </c>
      <c r="C2207" s="1" t="n">
        <v>46185</v>
      </c>
      <c r="D2207" t="inlineStr">
        <is>
          <t>VÄSTERNORRLANDS LÄN</t>
        </is>
      </c>
      <c r="E2207" t="inlineStr">
        <is>
          <t>ÖRNSKÖLDSVIK</t>
        </is>
      </c>
      <c r="F2207" t="inlineStr">
        <is>
          <t>Holmen skog AB</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42583-2024</t>
        </is>
      </c>
      <c r="B2208" s="1" t="n">
        <v>45565</v>
      </c>
      <c r="C2208" s="1" t="n">
        <v>46185</v>
      </c>
      <c r="D2208" t="inlineStr">
        <is>
          <t>VÄSTERNORRLANDS LÄN</t>
        </is>
      </c>
      <c r="E2208" t="inlineStr">
        <is>
          <t>ÖRNSKÖLDSVIK</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25023-2022</t>
        </is>
      </c>
      <c r="B2209" s="1" t="n">
        <v>44728</v>
      </c>
      <c r="C2209" s="1" t="n">
        <v>46185</v>
      </c>
      <c r="D2209" t="inlineStr">
        <is>
          <t>VÄSTERNORRLANDS LÄN</t>
        </is>
      </c>
      <c r="E2209" t="inlineStr">
        <is>
          <t>ÅNGE</t>
        </is>
      </c>
      <c r="F2209" t="inlineStr">
        <is>
          <t>SCA</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5722-2024</t>
        </is>
      </c>
      <c r="B2210" s="1" t="n">
        <v>45334</v>
      </c>
      <c r="C2210" s="1" t="n">
        <v>46185</v>
      </c>
      <c r="D2210" t="inlineStr">
        <is>
          <t>VÄSTERNORRLANDS LÄN</t>
        </is>
      </c>
      <c r="E2210" t="inlineStr">
        <is>
          <t>TIMRÅ</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9557-2024</t>
        </is>
      </c>
      <c r="B2211" s="1" t="n">
        <v>45360</v>
      </c>
      <c r="C2211" s="1" t="n">
        <v>46185</v>
      </c>
      <c r="D2211" t="inlineStr">
        <is>
          <t>VÄSTERNORRLANDS LÄN</t>
        </is>
      </c>
      <c r="E2211" t="inlineStr">
        <is>
          <t>SOLLEFTEÅ</t>
        </is>
      </c>
      <c r="F2211" t="inlineStr">
        <is>
          <t>SCA</t>
        </is>
      </c>
      <c r="G2211" t="n">
        <v>7.4</v>
      </c>
      <c r="H2211" t="n">
        <v>0</v>
      </c>
      <c r="I2211" t="n">
        <v>0</v>
      </c>
      <c r="J2211" t="n">
        <v>0</v>
      </c>
      <c r="K2211" t="n">
        <v>0</v>
      </c>
      <c r="L2211" t="n">
        <v>0</v>
      </c>
      <c r="M2211" t="n">
        <v>0</v>
      </c>
      <c r="N2211" t="n">
        <v>0</v>
      </c>
      <c r="O2211" t="n">
        <v>0</v>
      </c>
      <c r="P2211" t="n">
        <v>0</v>
      </c>
      <c r="Q2211" t="n">
        <v>0</v>
      </c>
      <c r="R2211" s="2" t="inlineStr"/>
    </row>
    <row r="2212" ht="15" customHeight="1">
      <c r="A2212" t="inlineStr">
        <is>
          <t>A 43512-2023</t>
        </is>
      </c>
      <c r="B2212" s="1" t="n">
        <v>45181</v>
      </c>
      <c r="C2212" s="1" t="n">
        <v>46185</v>
      </c>
      <c r="D2212" t="inlineStr">
        <is>
          <t>VÄSTERNORRLANDS LÄN</t>
        </is>
      </c>
      <c r="E2212" t="inlineStr">
        <is>
          <t>SOLLEFTEÅ</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44486-2022</t>
        </is>
      </c>
      <c r="B2213" s="1" t="n">
        <v>44840</v>
      </c>
      <c r="C2213" s="1" t="n">
        <v>46185</v>
      </c>
      <c r="D2213" t="inlineStr">
        <is>
          <t>VÄSTERNORRLANDS LÄN</t>
        </is>
      </c>
      <c r="E2213" t="inlineStr">
        <is>
          <t>KRAMFORS</t>
        </is>
      </c>
      <c r="G2213" t="n">
        <v>8.4</v>
      </c>
      <c r="H2213" t="n">
        <v>0</v>
      </c>
      <c r="I2213" t="n">
        <v>0</v>
      </c>
      <c r="J2213" t="n">
        <v>0</v>
      </c>
      <c r="K2213" t="n">
        <v>0</v>
      </c>
      <c r="L2213" t="n">
        <v>0</v>
      </c>
      <c r="M2213" t="n">
        <v>0</v>
      </c>
      <c r="N2213" t="n">
        <v>0</v>
      </c>
      <c r="O2213" t="n">
        <v>0</v>
      </c>
      <c r="P2213" t="n">
        <v>0</v>
      </c>
      <c r="Q2213" t="n">
        <v>0</v>
      </c>
      <c r="R2213" s="2" t="inlineStr"/>
    </row>
    <row r="2214" ht="15" customHeight="1">
      <c r="A2214" t="inlineStr">
        <is>
          <t>A 9772-2024</t>
        </is>
      </c>
      <c r="B2214" s="1" t="n">
        <v>45362.64107638889</v>
      </c>
      <c r="C2214" s="1" t="n">
        <v>46185</v>
      </c>
      <c r="D2214" t="inlineStr">
        <is>
          <t>VÄSTERNORRLANDS LÄN</t>
        </is>
      </c>
      <c r="E2214" t="inlineStr">
        <is>
          <t>ÖRNSKÖLDSVIK</t>
        </is>
      </c>
      <c r="F2214" t="inlineStr">
        <is>
          <t>Holmen skog AB</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31005-2022</t>
        </is>
      </c>
      <c r="B2215" s="1" t="n">
        <v>44768</v>
      </c>
      <c r="C2215" s="1" t="n">
        <v>46185</v>
      </c>
      <c r="D2215" t="inlineStr">
        <is>
          <t>VÄSTERNORRLANDS LÄN</t>
        </is>
      </c>
      <c r="E2215" t="inlineStr">
        <is>
          <t>SOLLEFTEÅ</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57784-2023</t>
        </is>
      </c>
      <c r="B2216" s="1" t="n">
        <v>45246</v>
      </c>
      <c r="C2216" s="1" t="n">
        <v>46185</v>
      </c>
      <c r="D2216" t="inlineStr">
        <is>
          <t>VÄSTERNORRLANDS LÄN</t>
        </is>
      </c>
      <c r="E2216" t="inlineStr">
        <is>
          <t>SUNDSVALL</t>
        </is>
      </c>
      <c r="F2216" t="inlineStr">
        <is>
          <t>SCA</t>
        </is>
      </c>
      <c r="G2216" t="n">
        <v>6.9</v>
      </c>
      <c r="H2216" t="n">
        <v>0</v>
      </c>
      <c r="I2216" t="n">
        <v>0</v>
      </c>
      <c r="J2216" t="n">
        <v>0</v>
      </c>
      <c r="K2216" t="n">
        <v>0</v>
      </c>
      <c r="L2216" t="n">
        <v>0</v>
      </c>
      <c r="M2216" t="n">
        <v>0</v>
      </c>
      <c r="N2216" t="n">
        <v>0</v>
      </c>
      <c r="O2216" t="n">
        <v>0</v>
      </c>
      <c r="P2216" t="n">
        <v>0</v>
      </c>
      <c r="Q2216" t="n">
        <v>0</v>
      </c>
      <c r="R2216" s="2" t="inlineStr"/>
    </row>
    <row r="2217" ht="15" customHeight="1">
      <c r="A2217" t="inlineStr">
        <is>
          <t>A 2080-2025</t>
        </is>
      </c>
      <c r="B2217" s="1" t="n">
        <v>45672</v>
      </c>
      <c r="C2217" s="1" t="n">
        <v>46185</v>
      </c>
      <c r="D2217" t="inlineStr">
        <is>
          <t>VÄSTERNORRLANDS LÄN</t>
        </is>
      </c>
      <c r="E2217" t="inlineStr">
        <is>
          <t>KRAMFORS</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5874-2024</t>
        </is>
      </c>
      <c r="B2218" s="1" t="n">
        <v>45335.6615625</v>
      </c>
      <c r="C2218" s="1" t="n">
        <v>46185</v>
      </c>
      <c r="D2218" t="inlineStr">
        <is>
          <t>VÄSTERNORRLANDS LÄN</t>
        </is>
      </c>
      <c r="E2218" t="inlineStr">
        <is>
          <t>SOLLEFTEÅ</t>
        </is>
      </c>
      <c r="F2218" t="inlineStr">
        <is>
          <t>Övriga Aktiebolag</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6139-2024</t>
        </is>
      </c>
      <c r="B2219" s="1" t="n">
        <v>45337</v>
      </c>
      <c r="C2219" s="1" t="n">
        <v>46185</v>
      </c>
      <c r="D2219" t="inlineStr">
        <is>
          <t>VÄSTERNORRLANDS LÄN</t>
        </is>
      </c>
      <c r="E2219" t="inlineStr">
        <is>
          <t>SOLLEFTEÅ</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47598-2023</t>
        </is>
      </c>
      <c r="B2220" s="1" t="n">
        <v>45197</v>
      </c>
      <c r="C2220" s="1" t="n">
        <v>46185</v>
      </c>
      <c r="D2220" t="inlineStr">
        <is>
          <t>VÄSTERNORRLANDS LÄN</t>
        </is>
      </c>
      <c r="E2220" t="inlineStr">
        <is>
          <t>ÖRNSKÖLDSVIK</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20107-2025</t>
        </is>
      </c>
      <c r="B2221" s="1" t="n">
        <v>45772.46998842592</v>
      </c>
      <c r="C2221" s="1" t="n">
        <v>46185</v>
      </c>
      <c r="D2221" t="inlineStr">
        <is>
          <t>VÄSTERNORRLANDS LÄN</t>
        </is>
      </c>
      <c r="E2221" t="inlineStr">
        <is>
          <t>HÄRNÖSAND</t>
        </is>
      </c>
      <c r="F2221" t="inlineStr">
        <is>
          <t>SCA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4045-2024</t>
        </is>
      </c>
      <c r="B2222" s="1" t="n">
        <v>45323.46451388889</v>
      </c>
      <c r="C2222" s="1" t="n">
        <v>46185</v>
      </c>
      <c r="D2222" t="inlineStr">
        <is>
          <t>VÄSTERNORRLANDS LÄN</t>
        </is>
      </c>
      <c r="E2222" t="inlineStr">
        <is>
          <t>SUNDSVALL</t>
        </is>
      </c>
      <c r="F2222" t="inlineStr">
        <is>
          <t>Kommuner</t>
        </is>
      </c>
      <c r="G2222" t="n">
        <v>6.9</v>
      </c>
      <c r="H2222" t="n">
        <v>0</v>
      </c>
      <c r="I2222" t="n">
        <v>0</v>
      </c>
      <c r="J2222" t="n">
        <v>0</v>
      </c>
      <c r="K2222" t="n">
        <v>0</v>
      </c>
      <c r="L2222" t="n">
        <v>0</v>
      </c>
      <c r="M2222" t="n">
        <v>0</v>
      </c>
      <c r="N2222" t="n">
        <v>0</v>
      </c>
      <c r="O2222" t="n">
        <v>0</v>
      </c>
      <c r="P2222" t="n">
        <v>0</v>
      </c>
      <c r="Q2222" t="n">
        <v>0</v>
      </c>
      <c r="R2222" s="2" t="inlineStr"/>
    </row>
    <row r="2223" ht="15" customHeight="1">
      <c r="A2223" t="inlineStr">
        <is>
          <t>A 44350-2022</t>
        </is>
      </c>
      <c r="B2223" s="1" t="n">
        <v>44839.68814814815</v>
      </c>
      <c r="C2223" s="1" t="n">
        <v>46185</v>
      </c>
      <c r="D2223" t="inlineStr">
        <is>
          <t>VÄSTERNORRLANDS LÄN</t>
        </is>
      </c>
      <c r="E2223" t="inlineStr">
        <is>
          <t>SUNDSVALL</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6274-2024</t>
        </is>
      </c>
      <c r="B2224" s="1" t="n">
        <v>45337.95461805556</v>
      </c>
      <c r="C2224" s="1" t="n">
        <v>46185</v>
      </c>
      <c r="D2224" t="inlineStr">
        <is>
          <t>VÄSTERNORRLANDS LÄN</t>
        </is>
      </c>
      <c r="E2224" t="inlineStr">
        <is>
          <t>ÖRNSKÖLDSVIK</t>
        </is>
      </c>
      <c r="F2224" t="inlineStr">
        <is>
          <t>SCA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31325-2022</t>
        </is>
      </c>
      <c r="B2225" s="1" t="n">
        <v>44774.41421296296</v>
      </c>
      <c r="C2225" s="1" t="n">
        <v>46185</v>
      </c>
      <c r="D2225" t="inlineStr">
        <is>
          <t>VÄSTERNORRLANDS LÄN</t>
        </is>
      </c>
      <c r="E2225" t="inlineStr">
        <is>
          <t>ÅNGE</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18778-2023</t>
        </is>
      </c>
      <c r="B2226" s="1" t="n">
        <v>45043</v>
      </c>
      <c r="C2226" s="1" t="n">
        <v>46185</v>
      </c>
      <c r="D2226" t="inlineStr">
        <is>
          <t>VÄSTERNORRLANDS LÄN</t>
        </is>
      </c>
      <c r="E2226" t="inlineStr">
        <is>
          <t>TIMRÅ</t>
        </is>
      </c>
      <c r="F2226" t="inlineStr">
        <is>
          <t>SCA</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39636-2024</t>
        </is>
      </c>
      <c r="B2227" s="1" t="n">
        <v>45552.44849537037</v>
      </c>
      <c r="C2227" s="1" t="n">
        <v>46185</v>
      </c>
      <c r="D2227" t="inlineStr">
        <is>
          <t>VÄSTERNORRLANDS LÄN</t>
        </is>
      </c>
      <c r="E2227" t="inlineStr">
        <is>
          <t>ÖRNSKÖLDSVIK</t>
        </is>
      </c>
      <c r="F2227" t="inlineStr">
        <is>
          <t>SCA</t>
        </is>
      </c>
      <c r="G2227" t="n">
        <v>6.5</v>
      </c>
      <c r="H2227" t="n">
        <v>0</v>
      </c>
      <c r="I2227" t="n">
        <v>0</v>
      </c>
      <c r="J2227" t="n">
        <v>0</v>
      </c>
      <c r="K2227" t="n">
        <v>0</v>
      </c>
      <c r="L2227" t="n">
        <v>0</v>
      </c>
      <c r="M2227" t="n">
        <v>0</v>
      </c>
      <c r="N2227" t="n">
        <v>0</v>
      </c>
      <c r="O2227" t="n">
        <v>0</v>
      </c>
      <c r="P2227" t="n">
        <v>0</v>
      </c>
      <c r="Q2227" t="n">
        <v>0</v>
      </c>
      <c r="R2227" s="2" t="inlineStr"/>
    </row>
    <row r="2228" ht="15" customHeight="1">
      <c r="A2228" t="inlineStr">
        <is>
          <t>A 15369-2024</t>
        </is>
      </c>
      <c r="B2228" s="1" t="n">
        <v>45400.92290509259</v>
      </c>
      <c r="C2228" s="1" t="n">
        <v>46185</v>
      </c>
      <c r="D2228" t="inlineStr">
        <is>
          <t>VÄSTERNORRLANDS LÄN</t>
        </is>
      </c>
      <c r="E2228" t="inlineStr">
        <is>
          <t>ÅNGE</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7463-2025</t>
        </is>
      </c>
      <c r="B2229" s="1" t="n">
        <v>45705.44458333333</v>
      </c>
      <c r="C2229" s="1" t="n">
        <v>46185</v>
      </c>
      <c r="D2229" t="inlineStr">
        <is>
          <t>VÄSTERNORRLANDS LÄN</t>
        </is>
      </c>
      <c r="E2229" t="inlineStr">
        <is>
          <t>SUNDSVALL</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11083-2025</t>
        </is>
      </c>
      <c r="B2230" s="1" t="n">
        <v>45723.56657407407</v>
      </c>
      <c r="C2230" s="1" t="n">
        <v>46185</v>
      </c>
      <c r="D2230" t="inlineStr">
        <is>
          <t>VÄSTERNORRLANDS LÄN</t>
        </is>
      </c>
      <c r="E2230" t="inlineStr">
        <is>
          <t>SUNDSVALL</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4818-2024</t>
        </is>
      </c>
      <c r="B2231" s="1" t="n">
        <v>45328</v>
      </c>
      <c r="C2231" s="1" t="n">
        <v>46185</v>
      </c>
      <c r="D2231" t="inlineStr">
        <is>
          <t>VÄSTERNORRLANDS LÄN</t>
        </is>
      </c>
      <c r="E2231" t="inlineStr">
        <is>
          <t>HÄRNÖSAND</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4819-2024</t>
        </is>
      </c>
      <c r="B2232" s="1" t="n">
        <v>45328</v>
      </c>
      <c r="C2232" s="1" t="n">
        <v>46185</v>
      </c>
      <c r="D2232" t="inlineStr">
        <is>
          <t>VÄSTERNORRLANDS LÄN</t>
        </is>
      </c>
      <c r="E2232" t="inlineStr">
        <is>
          <t>HÄRNÖSAND</t>
        </is>
      </c>
      <c r="F2232" t="inlineStr">
        <is>
          <t>SCA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3191-2025</t>
        </is>
      </c>
      <c r="B2233" s="1" t="n">
        <v>45679</v>
      </c>
      <c r="C2233" s="1" t="n">
        <v>46185</v>
      </c>
      <c r="D2233" t="inlineStr">
        <is>
          <t>VÄSTERNORRLANDS LÄN</t>
        </is>
      </c>
      <c r="E2233" t="inlineStr">
        <is>
          <t>KRAMFORS</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39821-2023</t>
        </is>
      </c>
      <c r="B2234" s="1" t="n">
        <v>45167.96028935185</v>
      </c>
      <c r="C2234" s="1" t="n">
        <v>46185</v>
      </c>
      <c r="D2234" t="inlineStr">
        <is>
          <t>VÄSTERNORRLANDS LÄN</t>
        </is>
      </c>
      <c r="E2234" t="inlineStr">
        <is>
          <t>SUNDSVALL</t>
        </is>
      </c>
      <c r="F2234" t="inlineStr">
        <is>
          <t>SCA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43176-2022</t>
        </is>
      </c>
      <c r="B2235" s="1" t="n">
        <v>44834</v>
      </c>
      <c r="C2235" s="1" t="n">
        <v>46185</v>
      </c>
      <c r="D2235" t="inlineStr">
        <is>
          <t>VÄSTERNORRLANDS LÄN</t>
        </is>
      </c>
      <c r="E2235" t="inlineStr">
        <is>
          <t>ÖRNSKÖLDSVIK</t>
        </is>
      </c>
      <c r="F2235" t="inlineStr">
        <is>
          <t>Holmen skog AB</t>
        </is>
      </c>
      <c r="G2235" t="n">
        <v>19.8</v>
      </c>
      <c r="H2235" t="n">
        <v>0</v>
      </c>
      <c r="I2235" t="n">
        <v>0</v>
      </c>
      <c r="J2235" t="n">
        <v>0</v>
      </c>
      <c r="K2235" t="n">
        <v>0</v>
      </c>
      <c r="L2235" t="n">
        <v>0</v>
      </c>
      <c r="M2235" t="n">
        <v>0</v>
      </c>
      <c r="N2235" t="n">
        <v>0</v>
      </c>
      <c r="O2235" t="n">
        <v>0</v>
      </c>
      <c r="P2235" t="n">
        <v>0</v>
      </c>
      <c r="Q2235" t="n">
        <v>0</v>
      </c>
      <c r="R2235" s="2" t="inlineStr"/>
    </row>
    <row r="2236" ht="15" customHeight="1">
      <c r="A2236" t="inlineStr">
        <is>
          <t>A 18615-2023</t>
        </is>
      </c>
      <c r="B2236" s="1" t="n">
        <v>45043</v>
      </c>
      <c r="C2236" s="1" t="n">
        <v>46185</v>
      </c>
      <c r="D2236" t="inlineStr">
        <is>
          <t>VÄSTERNORRLANDS LÄN</t>
        </is>
      </c>
      <c r="E2236" t="inlineStr">
        <is>
          <t>KRAMFORS</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35682-2024</t>
        </is>
      </c>
      <c r="B2237" s="1" t="n">
        <v>45532.40609953704</v>
      </c>
      <c r="C2237" s="1" t="n">
        <v>46185</v>
      </c>
      <c r="D2237" t="inlineStr">
        <is>
          <t>VÄSTERNORRLANDS LÄN</t>
        </is>
      </c>
      <c r="E2237" t="inlineStr">
        <is>
          <t>SUNDSVALL</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31696-2022</t>
        </is>
      </c>
      <c r="B2238" s="1" t="n">
        <v>44776</v>
      </c>
      <c r="C2238" s="1" t="n">
        <v>46185</v>
      </c>
      <c r="D2238" t="inlineStr">
        <is>
          <t>VÄSTERNORRLANDS LÄN</t>
        </is>
      </c>
      <c r="E2238" t="inlineStr">
        <is>
          <t>ÅNGE</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48415-2023</t>
        </is>
      </c>
      <c r="B2239" s="1" t="n">
        <v>45205.92366898148</v>
      </c>
      <c r="C2239" s="1" t="n">
        <v>46185</v>
      </c>
      <c r="D2239" t="inlineStr">
        <is>
          <t>VÄSTERNORRLANDS LÄN</t>
        </is>
      </c>
      <c r="E2239" t="inlineStr">
        <is>
          <t>KRAMFORS</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39711-2024</t>
        </is>
      </c>
      <c r="B2240" s="1" t="n">
        <v>45552</v>
      </c>
      <c r="C2240" s="1" t="n">
        <v>46185</v>
      </c>
      <c r="D2240" t="inlineStr">
        <is>
          <t>VÄSTERNORRLANDS LÄN</t>
        </is>
      </c>
      <c r="E2240" t="inlineStr">
        <is>
          <t>SUNDSVALL</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37977-2022</t>
        </is>
      </c>
      <c r="B2241" s="1" t="n">
        <v>44811</v>
      </c>
      <c r="C2241" s="1" t="n">
        <v>46185</v>
      </c>
      <c r="D2241" t="inlineStr">
        <is>
          <t>VÄSTERNORRLANDS LÄN</t>
        </is>
      </c>
      <c r="E2241" t="inlineStr">
        <is>
          <t>SOLLEFTEÅ</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1679-2024</t>
        </is>
      </c>
      <c r="B2242" s="1" t="n">
        <v>45306</v>
      </c>
      <c r="C2242" s="1" t="n">
        <v>46185</v>
      </c>
      <c r="D2242" t="inlineStr">
        <is>
          <t>VÄSTERNORRLANDS LÄN</t>
        </is>
      </c>
      <c r="E2242" t="inlineStr">
        <is>
          <t>SOLLEFTEÅ</t>
        </is>
      </c>
      <c r="F2242" t="inlineStr">
        <is>
          <t>SCA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58129-2023</t>
        </is>
      </c>
      <c r="B2243" s="1" t="n">
        <v>45249</v>
      </c>
      <c r="C2243" s="1" t="n">
        <v>46185</v>
      </c>
      <c r="D2243" t="inlineStr">
        <is>
          <t>VÄSTERNORRLANDS LÄN</t>
        </is>
      </c>
      <c r="E2243" t="inlineStr">
        <is>
          <t>SUNDSVALL</t>
        </is>
      </c>
      <c r="F2243" t="inlineStr">
        <is>
          <t>SCA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20334-2025</t>
        </is>
      </c>
      <c r="B2244" s="1" t="n">
        <v>45775.36496527777</v>
      </c>
      <c r="C2244" s="1" t="n">
        <v>46185</v>
      </c>
      <c r="D2244" t="inlineStr">
        <is>
          <t>VÄSTERNORRLANDS LÄN</t>
        </is>
      </c>
      <c r="E2244" t="inlineStr">
        <is>
          <t>SOLLEFTEÅ</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58634-2023</t>
        </is>
      </c>
      <c r="B2245" s="1" t="n">
        <v>45251</v>
      </c>
      <c r="C2245" s="1" t="n">
        <v>46185</v>
      </c>
      <c r="D2245" t="inlineStr">
        <is>
          <t>VÄSTERNORRLANDS LÄN</t>
        </is>
      </c>
      <c r="E2245" t="inlineStr">
        <is>
          <t>ÅNGE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58652-2023</t>
        </is>
      </c>
      <c r="B2246" s="1" t="n">
        <v>45251.60342592592</v>
      </c>
      <c r="C2246" s="1" t="n">
        <v>46185</v>
      </c>
      <c r="D2246" t="inlineStr">
        <is>
          <t>VÄSTERNORRLANDS LÄN</t>
        </is>
      </c>
      <c r="E2246" t="inlineStr">
        <is>
          <t>SUNDSVALL</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18981-2023</t>
        </is>
      </c>
      <c r="B2247" s="1" t="n">
        <v>45044</v>
      </c>
      <c r="C2247" s="1" t="n">
        <v>46185</v>
      </c>
      <c r="D2247" t="inlineStr">
        <is>
          <t>VÄSTERNORRLANDS LÄN</t>
        </is>
      </c>
      <c r="E2247" t="inlineStr">
        <is>
          <t>KRAMFORS</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49994-2023</t>
        </is>
      </c>
      <c r="B2248" s="1" t="n">
        <v>45215</v>
      </c>
      <c r="C2248" s="1" t="n">
        <v>46185</v>
      </c>
      <c r="D2248" t="inlineStr">
        <is>
          <t>VÄSTERNORRLANDS LÄN</t>
        </is>
      </c>
      <c r="E2248" t="inlineStr">
        <is>
          <t>SUNDSVALL</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3941-2024</t>
        </is>
      </c>
      <c r="B2249" s="1" t="n">
        <v>45322</v>
      </c>
      <c r="C2249" s="1" t="n">
        <v>46185</v>
      </c>
      <c r="D2249" t="inlineStr">
        <is>
          <t>VÄSTERNORRLANDS LÄN</t>
        </is>
      </c>
      <c r="E2249" t="inlineStr">
        <is>
          <t>SUNDSVALL</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43989-2024</t>
        </is>
      </c>
      <c r="B2250" s="1" t="n">
        <v>45572.51328703704</v>
      </c>
      <c r="C2250" s="1" t="n">
        <v>46185</v>
      </c>
      <c r="D2250" t="inlineStr">
        <is>
          <t>VÄSTERNORRLANDS LÄN</t>
        </is>
      </c>
      <c r="E2250" t="inlineStr">
        <is>
          <t>KRAMFORS</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63709-2023</t>
        </is>
      </c>
      <c r="B2251" s="1" t="n">
        <v>45275.95069444444</v>
      </c>
      <c r="C2251" s="1" t="n">
        <v>46185</v>
      </c>
      <c r="D2251" t="inlineStr">
        <is>
          <t>VÄSTERNORRLANDS LÄN</t>
        </is>
      </c>
      <c r="E2251" t="inlineStr">
        <is>
          <t>ÅNGE</t>
        </is>
      </c>
      <c r="F2251" t="inlineStr">
        <is>
          <t>SCA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5316-2024</t>
        </is>
      </c>
      <c r="B2252" s="1" t="n">
        <v>45331</v>
      </c>
      <c r="C2252" s="1" t="n">
        <v>46185</v>
      </c>
      <c r="D2252" t="inlineStr">
        <is>
          <t>VÄSTERNORRLANDS LÄN</t>
        </is>
      </c>
      <c r="E2252" t="inlineStr">
        <is>
          <t>SUNDSVALL</t>
        </is>
      </c>
      <c r="G2252" t="n">
        <v>12.9</v>
      </c>
      <c r="H2252" t="n">
        <v>0</v>
      </c>
      <c r="I2252" t="n">
        <v>0</v>
      </c>
      <c r="J2252" t="n">
        <v>0</v>
      </c>
      <c r="K2252" t="n">
        <v>0</v>
      </c>
      <c r="L2252" t="n">
        <v>0</v>
      </c>
      <c r="M2252" t="n">
        <v>0</v>
      </c>
      <c r="N2252" t="n">
        <v>0</v>
      </c>
      <c r="O2252" t="n">
        <v>0</v>
      </c>
      <c r="P2252" t="n">
        <v>0</v>
      </c>
      <c r="Q2252" t="n">
        <v>0</v>
      </c>
      <c r="R2252" s="2" t="inlineStr"/>
    </row>
    <row r="2253" ht="15" customHeight="1">
      <c r="A2253" t="inlineStr">
        <is>
          <t>A 53764-2023</t>
        </is>
      </c>
      <c r="B2253" s="1" t="n">
        <v>45230.96416666666</v>
      </c>
      <c r="C2253" s="1" t="n">
        <v>46185</v>
      </c>
      <c r="D2253" t="inlineStr">
        <is>
          <t>VÄSTERNORRLANDS LÄN</t>
        </is>
      </c>
      <c r="E2253" t="inlineStr">
        <is>
          <t>SUNDSVALL</t>
        </is>
      </c>
      <c r="F2253" t="inlineStr">
        <is>
          <t>SCA</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34091-2022</t>
        </is>
      </c>
      <c r="B2254" s="1" t="n">
        <v>44791</v>
      </c>
      <c r="C2254" s="1" t="n">
        <v>46185</v>
      </c>
      <c r="D2254" t="inlineStr">
        <is>
          <t>VÄSTERNORRLANDS LÄN</t>
        </is>
      </c>
      <c r="E2254" t="inlineStr">
        <is>
          <t>ÅNGE</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18885-2023</t>
        </is>
      </c>
      <c r="B2255" s="1" t="n">
        <v>45044</v>
      </c>
      <c r="C2255" s="1" t="n">
        <v>46185</v>
      </c>
      <c r="D2255" t="inlineStr">
        <is>
          <t>VÄSTERNORRLANDS LÄN</t>
        </is>
      </c>
      <c r="E2255" t="inlineStr">
        <is>
          <t>HÄRNÖSAND</t>
        </is>
      </c>
      <c r="G2255" t="n">
        <v>0</v>
      </c>
      <c r="H2255" t="n">
        <v>0</v>
      </c>
      <c r="I2255" t="n">
        <v>0</v>
      </c>
      <c r="J2255" t="n">
        <v>0</v>
      </c>
      <c r="K2255" t="n">
        <v>0</v>
      </c>
      <c r="L2255" t="n">
        <v>0</v>
      </c>
      <c r="M2255" t="n">
        <v>0</v>
      </c>
      <c r="N2255" t="n">
        <v>0</v>
      </c>
      <c r="O2255" t="n">
        <v>0</v>
      </c>
      <c r="P2255" t="n">
        <v>0</v>
      </c>
      <c r="Q2255" t="n">
        <v>0</v>
      </c>
      <c r="R2255" s="2" t="inlineStr"/>
    </row>
    <row r="2256" ht="15" customHeight="1">
      <c r="A2256" t="inlineStr">
        <is>
          <t>A 34545-2022</t>
        </is>
      </c>
      <c r="B2256" s="1" t="n">
        <v>44793.93188657407</v>
      </c>
      <c r="C2256" s="1" t="n">
        <v>46185</v>
      </c>
      <c r="D2256" t="inlineStr">
        <is>
          <t>VÄSTERNORRLANDS LÄN</t>
        </is>
      </c>
      <c r="E2256" t="inlineStr">
        <is>
          <t>ÖRNSKÖLDSVIK</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34554-2022</t>
        </is>
      </c>
      <c r="B2257" s="1" t="n">
        <v>44794</v>
      </c>
      <c r="C2257" s="1" t="n">
        <v>46185</v>
      </c>
      <c r="D2257" t="inlineStr">
        <is>
          <t>VÄSTERNORRLANDS LÄN</t>
        </is>
      </c>
      <c r="E2257" t="inlineStr">
        <is>
          <t>SUNDSVALL</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48486-2023</t>
        </is>
      </c>
      <c r="B2258" s="1" t="n">
        <v>45206</v>
      </c>
      <c r="C2258" s="1" t="n">
        <v>46185</v>
      </c>
      <c r="D2258" t="inlineStr">
        <is>
          <t>VÄSTERNORRLANDS LÄN</t>
        </is>
      </c>
      <c r="E2258" t="inlineStr">
        <is>
          <t>ÖRNSKÖLDSVIK</t>
        </is>
      </c>
      <c r="F2258" t="inlineStr">
        <is>
          <t>SCA</t>
        </is>
      </c>
      <c r="G2258" t="n">
        <v>8.5</v>
      </c>
      <c r="H2258" t="n">
        <v>0</v>
      </c>
      <c r="I2258" t="n">
        <v>0</v>
      </c>
      <c r="J2258" t="n">
        <v>0</v>
      </c>
      <c r="K2258" t="n">
        <v>0</v>
      </c>
      <c r="L2258" t="n">
        <v>0</v>
      </c>
      <c r="M2258" t="n">
        <v>0</v>
      </c>
      <c r="N2258" t="n">
        <v>0</v>
      </c>
      <c r="O2258" t="n">
        <v>0</v>
      </c>
      <c r="P2258" t="n">
        <v>0</v>
      </c>
      <c r="Q2258" t="n">
        <v>0</v>
      </c>
      <c r="R2258" s="2" t="inlineStr"/>
    </row>
    <row r="2259" ht="15" customHeight="1">
      <c r="A2259" t="inlineStr">
        <is>
          <t>A 48523-2023</t>
        </is>
      </c>
      <c r="B2259" s="1" t="n">
        <v>45208.35728009259</v>
      </c>
      <c r="C2259" s="1" t="n">
        <v>46185</v>
      </c>
      <c r="D2259" t="inlineStr">
        <is>
          <t>VÄSTERNORRLANDS LÄN</t>
        </is>
      </c>
      <c r="E2259" t="inlineStr">
        <is>
          <t>ÖRNSKÖLDSVIK</t>
        </is>
      </c>
      <c r="F2259" t="inlineStr">
        <is>
          <t>Holmen skog AB</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9102-2025</t>
        </is>
      </c>
      <c r="B2260" s="1" t="n">
        <v>45713.6914699074</v>
      </c>
      <c r="C2260" s="1" t="n">
        <v>46185</v>
      </c>
      <c r="D2260" t="inlineStr">
        <is>
          <t>VÄSTERNORRLANDS LÄN</t>
        </is>
      </c>
      <c r="E2260" t="inlineStr">
        <is>
          <t>SUNDSVALL</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10482-2025</t>
        </is>
      </c>
      <c r="B2261" s="1" t="n">
        <v>45721.33079861111</v>
      </c>
      <c r="C2261" s="1" t="n">
        <v>46185</v>
      </c>
      <c r="D2261" t="inlineStr">
        <is>
          <t>VÄSTERNORRLANDS LÄN</t>
        </is>
      </c>
      <c r="E2261" t="inlineStr">
        <is>
          <t>ÖRNSKÖLDSVIK</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10502-2025</t>
        </is>
      </c>
      <c r="B2262" s="1" t="n">
        <v>45721.38591435185</v>
      </c>
      <c r="C2262" s="1" t="n">
        <v>46185</v>
      </c>
      <c r="D2262" t="inlineStr">
        <is>
          <t>VÄSTERNORRLANDS LÄN</t>
        </is>
      </c>
      <c r="E2262" t="inlineStr">
        <is>
          <t>KRAMFORS</t>
        </is>
      </c>
      <c r="F2262" t="inlineStr">
        <is>
          <t>SCA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11804-2024</t>
        </is>
      </c>
      <c r="B2263" s="1" t="n">
        <v>45375</v>
      </c>
      <c r="C2263" s="1" t="n">
        <v>46185</v>
      </c>
      <c r="D2263" t="inlineStr">
        <is>
          <t>VÄSTERNORRLANDS LÄN</t>
        </is>
      </c>
      <c r="E2263" t="inlineStr">
        <is>
          <t>ÖRNSKÖLDSVIK</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10392-2024</t>
        </is>
      </c>
      <c r="B2264" s="1" t="n">
        <v>45365</v>
      </c>
      <c r="C2264" s="1" t="n">
        <v>46185</v>
      </c>
      <c r="D2264" t="inlineStr">
        <is>
          <t>VÄSTERNORRLANDS LÄN</t>
        </is>
      </c>
      <c r="E2264" t="inlineStr">
        <is>
          <t>KRAMFORS</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20076-2025</t>
        </is>
      </c>
      <c r="B2265" s="1" t="n">
        <v>45772.4487037037</v>
      </c>
      <c r="C2265" s="1" t="n">
        <v>46185</v>
      </c>
      <c r="D2265" t="inlineStr">
        <is>
          <t>VÄSTERNORRLANDS LÄN</t>
        </is>
      </c>
      <c r="E2265" t="inlineStr">
        <is>
          <t>SUNDSVALL</t>
        </is>
      </c>
      <c r="F2265" t="inlineStr">
        <is>
          <t>Naturvårdsverket</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50562-2022</t>
        </is>
      </c>
      <c r="B2266" s="1" t="n">
        <v>44862</v>
      </c>
      <c r="C2266" s="1" t="n">
        <v>46185</v>
      </c>
      <c r="D2266" t="inlineStr">
        <is>
          <t>VÄSTERNORRLANDS LÄN</t>
        </is>
      </c>
      <c r="E2266" t="inlineStr">
        <is>
          <t>ÖRNSKÖLDSVIK</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44688-2023</t>
        </is>
      </c>
      <c r="B2267" s="1" t="n">
        <v>45189.92204861111</v>
      </c>
      <c r="C2267" s="1" t="n">
        <v>46185</v>
      </c>
      <c r="D2267" t="inlineStr">
        <is>
          <t>VÄSTERNORRLANDS LÄN</t>
        </is>
      </c>
      <c r="E2267" t="inlineStr">
        <is>
          <t>SUNDSVALL</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50655-2022</t>
        </is>
      </c>
      <c r="B2268" s="1" t="n">
        <v>44866</v>
      </c>
      <c r="C2268" s="1" t="n">
        <v>46185</v>
      </c>
      <c r="D2268" t="inlineStr">
        <is>
          <t>VÄSTERNORRLANDS LÄN</t>
        </is>
      </c>
      <c r="E2268" t="inlineStr">
        <is>
          <t>SOLLEFTEÅ</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59579-2023</t>
        </is>
      </c>
      <c r="B2269" s="1" t="n">
        <v>45253</v>
      </c>
      <c r="C2269" s="1" t="n">
        <v>46185</v>
      </c>
      <c r="D2269" t="inlineStr">
        <is>
          <t>VÄSTERNORRLANDS LÄN</t>
        </is>
      </c>
      <c r="E2269" t="inlineStr">
        <is>
          <t>SOLLEFTEÅ</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3096-2025</t>
        </is>
      </c>
      <c r="B2270" s="1" t="n">
        <v>45678.66643518519</v>
      </c>
      <c r="C2270" s="1" t="n">
        <v>46185</v>
      </c>
      <c r="D2270" t="inlineStr">
        <is>
          <t>VÄSTERNORRLANDS LÄN</t>
        </is>
      </c>
      <c r="E2270" t="inlineStr">
        <is>
          <t>SOLLEFTEÅ</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47650-2022</t>
        </is>
      </c>
      <c r="B2271" s="1" t="n">
        <v>44853</v>
      </c>
      <c r="C2271" s="1" t="n">
        <v>46185</v>
      </c>
      <c r="D2271" t="inlineStr">
        <is>
          <t>VÄSTERNORRLANDS LÄN</t>
        </is>
      </c>
      <c r="E2271" t="inlineStr">
        <is>
          <t>KRAMFORS</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21998-2023</t>
        </is>
      </c>
      <c r="B2272" s="1" t="n">
        <v>45068</v>
      </c>
      <c r="C2272" s="1" t="n">
        <v>46185</v>
      </c>
      <c r="D2272" t="inlineStr">
        <is>
          <t>VÄSTERNORRLANDS LÄN</t>
        </is>
      </c>
      <c r="E2272" t="inlineStr">
        <is>
          <t>SUNDSVALL</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47582-2023</t>
        </is>
      </c>
      <c r="B2273" s="1" t="n">
        <v>45197</v>
      </c>
      <c r="C2273" s="1" t="n">
        <v>46185</v>
      </c>
      <c r="D2273" t="inlineStr">
        <is>
          <t>VÄSTERNORRLANDS LÄN</t>
        </is>
      </c>
      <c r="E2273" t="inlineStr">
        <is>
          <t>ÖRNSKÖLDSVIK</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42771-2022</t>
        </is>
      </c>
      <c r="B2274" s="1" t="n">
        <v>44832</v>
      </c>
      <c r="C2274" s="1" t="n">
        <v>46185</v>
      </c>
      <c r="D2274" t="inlineStr">
        <is>
          <t>VÄSTERNORRLANDS LÄN</t>
        </is>
      </c>
      <c r="E2274" t="inlineStr">
        <is>
          <t>SOLLEFTEÅ</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15673-2024</t>
        </is>
      </c>
      <c r="B2275" s="1" t="n">
        <v>45404.40168981482</v>
      </c>
      <c r="C2275" s="1" t="n">
        <v>46185</v>
      </c>
      <c r="D2275" t="inlineStr">
        <is>
          <t>VÄSTERNORRLANDS LÄN</t>
        </is>
      </c>
      <c r="E2275" t="inlineStr">
        <is>
          <t>SUNDSVALL</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10153-2025</t>
        </is>
      </c>
      <c r="B2276" s="1" t="n">
        <v>45719.64228009259</v>
      </c>
      <c r="C2276" s="1" t="n">
        <v>46185</v>
      </c>
      <c r="D2276" t="inlineStr">
        <is>
          <t>VÄSTERNORRLANDS LÄN</t>
        </is>
      </c>
      <c r="E2276" t="inlineStr">
        <is>
          <t>ÖRNSKÖLDSVIK</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6610-2025</t>
        </is>
      </c>
      <c r="B2277" s="1" t="n">
        <v>45700</v>
      </c>
      <c r="C2277" s="1" t="n">
        <v>46185</v>
      </c>
      <c r="D2277" t="inlineStr">
        <is>
          <t>VÄSTERNORRLANDS LÄN</t>
        </is>
      </c>
      <c r="E2277" t="inlineStr">
        <is>
          <t>ÅNGE</t>
        </is>
      </c>
      <c r="F2277" t="inlineStr">
        <is>
          <t>SCA</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54342-2023</t>
        </is>
      </c>
      <c r="B2278" s="1" t="n">
        <v>45232</v>
      </c>
      <c r="C2278" s="1" t="n">
        <v>46185</v>
      </c>
      <c r="D2278" t="inlineStr">
        <is>
          <t>VÄSTERNORRLANDS LÄN</t>
        </is>
      </c>
      <c r="E2278" t="inlineStr">
        <is>
          <t>ÅNGE</t>
        </is>
      </c>
      <c r="F2278" t="inlineStr">
        <is>
          <t>SCA</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14152-2024</t>
        </is>
      </c>
      <c r="B2279" s="1" t="n">
        <v>45392</v>
      </c>
      <c r="C2279" s="1" t="n">
        <v>46185</v>
      </c>
      <c r="D2279" t="inlineStr">
        <is>
          <t>VÄSTERNORRLANDS LÄN</t>
        </is>
      </c>
      <c r="E2279" t="inlineStr">
        <is>
          <t>SUNDSVALL</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53003-2021</t>
        </is>
      </c>
      <c r="B2280" s="1" t="n">
        <v>44467.64587962963</v>
      </c>
      <c r="C2280" s="1" t="n">
        <v>46185</v>
      </c>
      <c r="D2280" t="inlineStr">
        <is>
          <t>VÄSTERNORRLANDS LÄN</t>
        </is>
      </c>
      <c r="E2280" t="inlineStr">
        <is>
          <t>ÖRNSKÖLDSVIK</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11172-2025</t>
        </is>
      </c>
      <c r="B2281" s="1" t="n">
        <v>45724</v>
      </c>
      <c r="C2281" s="1" t="n">
        <v>46185</v>
      </c>
      <c r="D2281" t="inlineStr">
        <is>
          <t>VÄSTERNORRLANDS LÄN</t>
        </is>
      </c>
      <c r="E2281" t="inlineStr">
        <is>
          <t>KRAMFORS</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49186-2022</t>
        </is>
      </c>
      <c r="B2282" s="1" t="n">
        <v>44860</v>
      </c>
      <c r="C2282" s="1" t="n">
        <v>46185</v>
      </c>
      <c r="D2282" t="inlineStr">
        <is>
          <t>VÄSTERNORRLANDS LÄN</t>
        </is>
      </c>
      <c r="E2282" t="inlineStr">
        <is>
          <t>SUNDSVALL</t>
        </is>
      </c>
      <c r="F2282" t="inlineStr">
        <is>
          <t>SCA</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54053-2023</t>
        </is>
      </c>
      <c r="B2283" s="1" t="n">
        <v>45231.96831018518</v>
      </c>
      <c r="C2283" s="1" t="n">
        <v>46185</v>
      </c>
      <c r="D2283" t="inlineStr">
        <is>
          <t>VÄSTERNORRLANDS LÄN</t>
        </is>
      </c>
      <c r="E2283" t="inlineStr">
        <is>
          <t>SUNDSVALL</t>
        </is>
      </c>
      <c r="F2283" t="inlineStr">
        <is>
          <t>SCA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48979-2023</t>
        </is>
      </c>
      <c r="B2284" s="1" t="n">
        <v>45209.63055555556</v>
      </c>
      <c r="C2284" s="1" t="n">
        <v>46185</v>
      </c>
      <c r="D2284" t="inlineStr">
        <is>
          <t>VÄSTERNORRLANDS LÄN</t>
        </is>
      </c>
      <c r="E2284" t="inlineStr">
        <is>
          <t>ÖRNSKÖLDSVIK</t>
        </is>
      </c>
      <c r="F2284" t="inlineStr">
        <is>
          <t>Holmen skog AB</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59654-2022</t>
        </is>
      </c>
      <c r="B2285" s="1" t="n">
        <v>44907.96673611111</v>
      </c>
      <c r="C2285" s="1" t="n">
        <v>46185</v>
      </c>
      <c r="D2285" t="inlineStr">
        <is>
          <t>VÄSTERNORRLANDS LÄN</t>
        </is>
      </c>
      <c r="E2285" t="inlineStr">
        <is>
          <t>SUNDSVALL</t>
        </is>
      </c>
      <c r="F2285" t="inlineStr">
        <is>
          <t>Naturvårdsverket</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54714-2022</t>
        </is>
      </c>
      <c r="B2286" s="1" t="n">
        <v>44881</v>
      </c>
      <c r="C2286" s="1" t="n">
        <v>46185</v>
      </c>
      <c r="D2286" t="inlineStr">
        <is>
          <t>VÄSTERNORRLANDS LÄN</t>
        </is>
      </c>
      <c r="E2286" t="inlineStr">
        <is>
          <t>ÖRNSKÖLDSVIK</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49029-2023</t>
        </is>
      </c>
      <c r="B2287" s="1" t="n">
        <v>45209</v>
      </c>
      <c r="C2287" s="1" t="n">
        <v>46185</v>
      </c>
      <c r="D2287" t="inlineStr">
        <is>
          <t>VÄSTERNORRLANDS LÄN</t>
        </is>
      </c>
      <c r="E2287" t="inlineStr">
        <is>
          <t>KRAMFORS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49036-2023</t>
        </is>
      </c>
      <c r="B2288" s="1" t="n">
        <v>45209.95693287037</v>
      </c>
      <c r="C2288" s="1" t="n">
        <v>46185</v>
      </c>
      <c r="D2288" t="inlineStr">
        <is>
          <t>VÄSTERNORRLANDS LÄN</t>
        </is>
      </c>
      <c r="E2288" t="inlineStr">
        <is>
          <t>SOLLEFTEÅ</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16853-2023</t>
        </is>
      </c>
      <c r="B2289" s="1" t="n">
        <v>45033</v>
      </c>
      <c r="C2289" s="1" t="n">
        <v>46185</v>
      </c>
      <c r="D2289" t="inlineStr">
        <is>
          <t>VÄSTERNORRLANDS LÄN</t>
        </is>
      </c>
      <c r="E2289" t="inlineStr">
        <is>
          <t>ÅNGE</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20571-2025</t>
        </is>
      </c>
      <c r="B2290" s="1" t="n">
        <v>45775.6683912037</v>
      </c>
      <c r="C2290" s="1" t="n">
        <v>46185</v>
      </c>
      <c r="D2290" t="inlineStr">
        <is>
          <t>VÄSTERNORRLANDS LÄN</t>
        </is>
      </c>
      <c r="E2290" t="inlineStr">
        <is>
          <t>ÖRNSKÖLDSVIK</t>
        </is>
      </c>
      <c r="F2290" t="inlineStr">
        <is>
          <t>Holmen skog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49711-2021</t>
        </is>
      </c>
      <c r="B2291" s="1" t="n">
        <v>44455</v>
      </c>
      <c r="C2291" s="1" t="n">
        <v>46185</v>
      </c>
      <c r="D2291" t="inlineStr">
        <is>
          <t>VÄSTERNORRLANDS LÄN</t>
        </is>
      </c>
      <c r="E2291" t="inlineStr">
        <is>
          <t>SOLLEFTEÅ</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16237-2024</t>
        </is>
      </c>
      <c r="B2292" s="1" t="n">
        <v>45407.05681712963</v>
      </c>
      <c r="C2292" s="1" t="n">
        <v>46185</v>
      </c>
      <c r="D2292" t="inlineStr">
        <is>
          <t>VÄSTERNORRLANDS LÄN</t>
        </is>
      </c>
      <c r="E2292" t="inlineStr">
        <is>
          <t>SOLLEFTEÅ</t>
        </is>
      </c>
      <c r="F2292" t="inlineStr">
        <is>
          <t>SCA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54166-2023</t>
        </is>
      </c>
      <c r="B2293" s="1" t="n">
        <v>45225</v>
      </c>
      <c r="C2293" s="1" t="n">
        <v>46185</v>
      </c>
      <c r="D2293" t="inlineStr">
        <is>
          <t>VÄSTERNORRLANDS LÄN</t>
        </is>
      </c>
      <c r="E2293" t="inlineStr">
        <is>
          <t>KRAMFORS</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4345-2024</t>
        </is>
      </c>
      <c r="B2294" s="1" t="n">
        <v>45324.88559027778</v>
      </c>
      <c r="C2294" s="1" t="n">
        <v>46185</v>
      </c>
      <c r="D2294" t="inlineStr">
        <is>
          <t>VÄSTERNORRLANDS LÄN</t>
        </is>
      </c>
      <c r="E2294" t="inlineStr">
        <is>
          <t>ÖRNSKÖLDSVIK</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2365-2024</t>
        </is>
      </c>
      <c r="B2295" s="1" t="n">
        <v>45310.59778935185</v>
      </c>
      <c r="C2295" s="1" t="n">
        <v>46185</v>
      </c>
      <c r="D2295" t="inlineStr">
        <is>
          <t>VÄSTERNORRLANDS LÄN</t>
        </is>
      </c>
      <c r="E2295" t="inlineStr">
        <is>
          <t>ÅNGE</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2372-2024</t>
        </is>
      </c>
      <c r="B2296" s="1" t="n">
        <v>45310.6115625</v>
      </c>
      <c r="C2296" s="1" t="n">
        <v>46185</v>
      </c>
      <c r="D2296" t="inlineStr">
        <is>
          <t>VÄSTERNORRLANDS LÄN</t>
        </is>
      </c>
      <c r="E2296" t="inlineStr">
        <is>
          <t>ÅNGE</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17452-2025</t>
        </is>
      </c>
      <c r="B2297" s="1" t="n">
        <v>45757.44842592593</v>
      </c>
      <c r="C2297" s="1" t="n">
        <v>46185</v>
      </c>
      <c r="D2297" t="inlineStr">
        <is>
          <t>VÄSTERNORRLANDS LÄN</t>
        </is>
      </c>
      <c r="E2297" t="inlineStr">
        <is>
          <t>ÅNGE</t>
        </is>
      </c>
      <c r="F2297" t="inlineStr">
        <is>
          <t>SCA</t>
        </is>
      </c>
      <c r="G2297" t="n">
        <v>9.800000000000001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16875-2024</t>
        </is>
      </c>
      <c r="B2298" s="1" t="n">
        <v>45409</v>
      </c>
      <c r="C2298" s="1" t="n">
        <v>46185</v>
      </c>
      <c r="D2298" t="inlineStr">
        <is>
          <t>VÄSTERNORRLANDS LÄN</t>
        </is>
      </c>
      <c r="E2298" t="inlineStr">
        <is>
          <t>HÄRNÖSAND</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48001-2023</t>
        </is>
      </c>
      <c r="B2299" s="1" t="n">
        <v>45204</v>
      </c>
      <c r="C2299" s="1" t="n">
        <v>46185</v>
      </c>
      <c r="D2299" t="inlineStr">
        <is>
          <t>VÄSTERNORRLANDS LÄN</t>
        </is>
      </c>
      <c r="E2299" t="inlineStr">
        <is>
          <t>ÖRNSKÖLDSVIK</t>
        </is>
      </c>
      <c r="F2299" t="inlineStr">
        <is>
          <t>Holmen skog AB</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6816-2024</t>
        </is>
      </c>
      <c r="B2300" s="1" t="n">
        <v>45342</v>
      </c>
      <c r="C2300" s="1" t="n">
        <v>46185</v>
      </c>
      <c r="D2300" t="inlineStr">
        <is>
          <t>VÄSTERNORRLANDS LÄN</t>
        </is>
      </c>
      <c r="E2300" t="inlineStr">
        <is>
          <t>SOLLEFTEÅ</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35577-2024</t>
        </is>
      </c>
      <c r="B2301" s="1" t="n">
        <v>45531</v>
      </c>
      <c r="C2301" s="1" t="n">
        <v>46185</v>
      </c>
      <c r="D2301" t="inlineStr">
        <is>
          <t>VÄSTERNORRLANDS LÄN</t>
        </is>
      </c>
      <c r="E2301" t="inlineStr">
        <is>
          <t>ÅNGE</t>
        </is>
      </c>
      <c r="F2301" t="inlineStr">
        <is>
          <t>SCA</t>
        </is>
      </c>
      <c r="G2301" t="n">
        <v>0.1</v>
      </c>
      <c r="H2301" t="n">
        <v>0</v>
      </c>
      <c r="I2301" t="n">
        <v>0</v>
      </c>
      <c r="J2301" t="n">
        <v>0</v>
      </c>
      <c r="K2301" t="n">
        <v>0</v>
      </c>
      <c r="L2301" t="n">
        <v>0</v>
      </c>
      <c r="M2301" t="n">
        <v>0</v>
      </c>
      <c r="N2301" t="n">
        <v>0</v>
      </c>
      <c r="O2301" t="n">
        <v>0</v>
      </c>
      <c r="P2301" t="n">
        <v>0</v>
      </c>
      <c r="Q2301" t="n">
        <v>0</v>
      </c>
      <c r="R2301" s="2" t="inlineStr"/>
    </row>
    <row r="2302" ht="15" customHeight="1">
      <c r="A2302" t="inlineStr">
        <is>
          <t>A 35595-2024</t>
        </is>
      </c>
      <c r="B2302" s="1" t="n">
        <v>45531</v>
      </c>
      <c r="C2302" s="1" t="n">
        <v>46185</v>
      </c>
      <c r="D2302" t="inlineStr">
        <is>
          <t>VÄSTERNORRLANDS LÄN</t>
        </is>
      </c>
      <c r="E2302" t="inlineStr">
        <is>
          <t>HÄRNÖSAND</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32482-2022</t>
        </is>
      </c>
      <c r="B2303" s="1" t="n">
        <v>44782</v>
      </c>
      <c r="C2303" s="1" t="n">
        <v>46185</v>
      </c>
      <c r="D2303" t="inlineStr">
        <is>
          <t>VÄSTERNORRLANDS LÄN</t>
        </is>
      </c>
      <c r="E2303" t="inlineStr">
        <is>
          <t>ÖRNSKÖLDSVIK</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19519-2023</t>
        </is>
      </c>
      <c r="B2304" s="1" t="n">
        <v>45050</v>
      </c>
      <c r="C2304" s="1" t="n">
        <v>46185</v>
      </c>
      <c r="D2304" t="inlineStr">
        <is>
          <t>VÄSTERNORRLANDS LÄN</t>
        </is>
      </c>
      <c r="E2304" t="inlineStr">
        <is>
          <t>ÖRNSKÖLDSVIK</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59560-2023</t>
        </is>
      </c>
      <c r="B2305" s="1" t="n">
        <v>45254</v>
      </c>
      <c r="C2305" s="1" t="n">
        <v>46185</v>
      </c>
      <c r="D2305" t="inlineStr">
        <is>
          <t>VÄSTERNORRLANDS LÄN</t>
        </is>
      </c>
      <c r="E2305" t="inlineStr">
        <is>
          <t>ÖRNSKÖLDSVIK</t>
        </is>
      </c>
      <c r="G2305" t="n">
        <v>12.1</v>
      </c>
      <c r="H2305" t="n">
        <v>0</v>
      </c>
      <c r="I2305" t="n">
        <v>0</v>
      </c>
      <c r="J2305" t="n">
        <v>0</v>
      </c>
      <c r="K2305" t="n">
        <v>0</v>
      </c>
      <c r="L2305" t="n">
        <v>0</v>
      </c>
      <c r="M2305" t="n">
        <v>0</v>
      </c>
      <c r="N2305" t="n">
        <v>0</v>
      </c>
      <c r="O2305" t="n">
        <v>0</v>
      </c>
      <c r="P2305" t="n">
        <v>0</v>
      </c>
      <c r="Q2305" t="n">
        <v>0</v>
      </c>
      <c r="R2305" s="2" t="inlineStr"/>
    </row>
    <row r="2306" ht="15" customHeight="1">
      <c r="A2306" t="inlineStr">
        <is>
          <t>A 54045-2023</t>
        </is>
      </c>
      <c r="B2306" s="1" t="n">
        <v>45231.96743055555</v>
      </c>
      <c r="C2306" s="1" t="n">
        <v>46185</v>
      </c>
      <c r="D2306" t="inlineStr">
        <is>
          <t>VÄSTERNORRLANDS LÄN</t>
        </is>
      </c>
      <c r="E2306" t="inlineStr">
        <is>
          <t>SOLLEFTEÅ</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15411-2025</t>
        </is>
      </c>
      <c r="B2307" s="1" t="n">
        <v>45747.45125</v>
      </c>
      <c r="C2307" s="1" t="n">
        <v>46185</v>
      </c>
      <c r="D2307" t="inlineStr">
        <is>
          <t>VÄSTERNORRLANDS LÄN</t>
        </is>
      </c>
      <c r="E2307" t="inlineStr">
        <is>
          <t>SUNDSVALL</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16238-2024</t>
        </is>
      </c>
      <c r="B2308" s="1" t="n">
        <v>45407.05692129629</v>
      </c>
      <c r="C2308" s="1" t="n">
        <v>46185</v>
      </c>
      <c r="D2308" t="inlineStr">
        <is>
          <t>VÄSTERNORRLANDS LÄN</t>
        </is>
      </c>
      <c r="E2308" t="inlineStr">
        <is>
          <t>SOLLEFTEÅ</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48011-2023</t>
        </is>
      </c>
      <c r="B2309" s="1" t="n">
        <v>45198</v>
      </c>
      <c r="C2309" s="1" t="n">
        <v>46185</v>
      </c>
      <c r="D2309" t="inlineStr">
        <is>
          <t>VÄSTERNORRLANDS LÄN</t>
        </is>
      </c>
      <c r="E2309" t="inlineStr">
        <is>
          <t>SUNDSVALL</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38811-2022</t>
        </is>
      </c>
      <c r="B2310" s="1" t="n">
        <v>44816</v>
      </c>
      <c r="C2310" s="1" t="n">
        <v>46185</v>
      </c>
      <c r="D2310" t="inlineStr">
        <is>
          <t>VÄSTERNORRLANDS LÄN</t>
        </is>
      </c>
      <c r="E2310" t="inlineStr">
        <is>
          <t>ÖRNSKÖLDSVIK</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27489-2023</t>
        </is>
      </c>
      <c r="B2311" s="1" t="n">
        <v>45092</v>
      </c>
      <c r="C2311" s="1" t="n">
        <v>46185</v>
      </c>
      <c r="D2311" t="inlineStr">
        <is>
          <t>VÄSTERNORRLANDS LÄN</t>
        </is>
      </c>
      <c r="E2311" t="inlineStr">
        <is>
          <t>TIMRÅ</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27498-2023</t>
        </is>
      </c>
      <c r="B2312" s="1" t="n">
        <v>45097</v>
      </c>
      <c r="C2312" s="1" t="n">
        <v>46185</v>
      </c>
      <c r="D2312" t="inlineStr">
        <is>
          <t>VÄSTERNORRLANDS LÄN</t>
        </is>
      </c>
      <c r="E2312" t="inlineStr">
        <is>
          <t>ÖRNSKÖLDSVIK</t>
        </is>
      </c>
      <c r="F2312" t="inlineStr">
        <is>
          <t>Holmen skog AB</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46255-2023</t>
        </is>
      </c>
      <c r="B2313" s="1" t="n">
        <v>45196</v>
      </c>
      <c r="C2313" s="1" t="n">
        <v>46185</v>
      </c>
      <c r="D2313" t="inlineStr">
        <is>
          <t>VÄSTERNORRLANDS LÄN</t>
        </is>
      </c>
      <c r="E2313" t="inlineStr">
        <is>
          <t>ÅNGE</t>
        </is>
      </c>
      <c r="F2313" t="inlineStr">
        <is>
          <t>SCA</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20183-2024</t>
        </is>
      </c>
      <c r="B2314" s="1" t="n">
        <v>45434</v>
      </c>
      <c r="C2314" s="1" t="n">
        <v>46185</v>
      </c>
      <c r="D2314" t="inlineStr">
        <is>
          <t>VÄSTERNORRLANDS LÄN</t>
        </is>
      </c>
      <c r="E2314" t="inlineStr">
        <is>
          <t>SUNDSVALL</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52267-2023</t>
        </is>
      </c>
      <c r="B2315" s="1" t="n">
        <v>45217</v>
      </c>
      <c r="C2315" s="1" t="n">
        <v>46185</v>
      </c>
      <c r="D2315" t="inlineStr">
        <is>
          <t>VÄSTERNORRLANDS LÄN</t>
        </is>
      </c>
      <c r="E2315" t="inlineStr">
        <is>
          <t>SOLLEFTEÅ</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51754-2023</t>
        </is>
      </c>
      <c r="B2316" s="1" t="n">
        <v>45222</v>
      </c>
      <c r="C2316" s="1" t="n">
        <v>46185</v>
      </c>
      <c r="D2316" t="inlineStr">
        <is>
          <t>VÄSTERNORRLANDS LÄN</t>
        </is>
      </c>
      <c r="E2316" t="inlineStr">
        <is>
          <t>SUNDSVALL</t>
        </is>
      </c>
      <c r="F2316" t="inlineStr">
        <is>
          <t>Kommuner</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42663-2022</t>
        </is>
      </c>
      <c r="B2317" s="1" t="n">
        <v>44831</v>
      </c>
      <c r="C2317" s="1" t="n">
        <v>46185</v>
      </c>
      <c r="D2317" t="inlineStr">
        <is>
          <t>VÄSTERNORRLANDS LÄN</t>
        </is>
      </c>
      <c r="E2317" t="inlineStr">
        <is>
          <t>SOLLEFTEÅ</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39899-2024</t>
        </is>
      </c>
      <c r="B2318" s="1" t="n">
        <v>45553.48993055556</v>
      </c>
      <c r="C2318" s="1" t="n">
        <v>46185</v>
      </c>
      <c r="D2318" t="inlineStr">
        <is>
          <t>VÄSTERNORRLANDS LÄN</t>
        </is>
      </c>
      <c r="E2318" t="inlineStr">
        <is>
          <t>SUNDSVALL</t>
        </is>
      </c>
      <c r="F2318" t="inlineStr">
        <is>
          <t>SCA</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39900-2024</t>
        </is>
      </c>
      <c r="B2319" s="1" t="n">
        <v>45553.49010416667</v>
      </c>
      <c r="C2319" s="1" t="n">
        <v>46185</v>
      </c>
      <c r="D2319" t="inlineStr">
        <is>
          <t>VÄSTERNORRLANDS LÄN</t>
        </is>
      </c>
      <c r="E2319" t="inlineStr">
        <is>
          <t>SUNDSVALL</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39969-2024</t>
        </is>
      </c>
      <c r="B2320" s="1" t="n">
        <v>45553.59498842592</v>
      </c>
      <c r="C2320" s="1" t="n">
        <v>46185</v>
      </c>
      <c r="D2320" t="inlineStr">
        <is>
          <t>VÄSTERNORRLANDS LÄN</t>
        </is>
      </c>
      <c r="E2320" t="inlineStr">
        <is>
          <t>ÖRNSKÖLDSVIK</t>
        </is>
      </c>
      <c r="F2320" t="inlineStr">
        <is>
          <t>Holmen skog AB</t>
        </is>
      </c>
      <c r="G2320" t="n">
        <v>8.1</v>
      </c>
      <c r="H2320" t="n">
        <v>0</v>
      </c>
      <c r="I2320" t="n">
        <v>0</v>
      </c>
      <c r="J2320" t="n">
        <v>0</v>
      </c>
      <c r="K2320" t="n">
        <v>0</v>
      </c>
      <c r="L2320" t="n">
        <v>0</v>
      </c>
      <c r="M2320" t="n">
        <v>0</v>
      </c>
      <c r="N2320" t="n">
        <v>0</v>
      </c>
      <c r="O2320" t="n">
        <v>0</v>
      </c>
      <c r="P2320" t="n">
        <v>0</v>
      </c>
      <c r="Q2320" t="n">
        <v>0</v>
      </c>
      <c r="R2320" s="2" t="inlineStr"/>
    </row>
    <row r="2321" ht="15" customHeight="1">
      <c r="A2321" t="inlineStr">
        <is>
          <t>A 52706-2022</t>
        </is>
      </c>
      <c r="B2321" s="1" t="n">
        <v>44874</v>
      </c>
      <c r="C2321" s="1" t="n">
        <v>46185</v>
      </c>
      <c r="D2321" t="inlineStr">
        <is>
          <t>VÄSTERNORRLANDS LÄN</t>
        </is>
      </c>
      <c r="E2321" t="inlineStr">
        <is>
          <t>SUNDSVALL</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52740-2022</t>
        </is>
      </c>
      <c r="B2322" s="1" t="n">
        <v>44874</v>
      </c>
      <c r="C2322" s="1" t="n">
        <v>46185</v>
      </c>
      <c r="D2322" t="inlineStr">
        <is>
          <t>VÄSTERNORRLANDS LÄN</t>
        </is>
      </c>
      <c r="E2322" t="inlineStr">
        <is>
          <t>SUNDSVALL</t>
        </is>
      </c>
      <c r="F2322" t="inlineStr">
        <is>
          <t>SCA</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44948-2022</t>
        </is>
      </c>
      <c r="B2323" s="1" t="n">
        <v>44841.57553240741</v>
      </c>
      <c r="C2323" s="1" t="n">
        <v>46185</v>
      </c>
      <c r="D2323" t="inlineStr">
        <is>
          <t>VÄSTERNORRLANDS LÄN</t>
        </is>
      </c>
      <c r="E2323" t="inlineStr">
        <is>
          <t>ÖRNSKÖLDSVIK</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31914-2023</t>
        </is>
      </c>
      <c r="B2324" s="1" t="n">
        <v>45118</v>
      </c>
      <c r="C2324" s="1" t="n">
        <v>46185</v>
      </c>
      <c r="D2324" t="inlineStr">
        <is>
          <t>VÄSTERNORRLANDS LÄN</t>
        </is>
      </c>
      <c r="E2324" t="inlineStr">
        <is>
          <t>SOLLEFTEÅ</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31930-2023</t>
        </is>
      </c>
      <c r="B2325" s="1" t="n">
        <v>45118</v>
      </c>
      <c r="C2325" s="1" t="n">
        <v>46185</v>
      </c>
      <c r="D2325" t="inlineStr">
        <is>
          <t>VÄSTERNORRLANDS LÄN</t>
        </is>
      </c>
      <c r="E2325" t="inlineStr">
        <is>
          <t>ÖRNSKÖLDSVIK</t>
        </is>
      </c>
      <c r="F2325" t="inlineStr">
        <is>
          <t>SCA</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18654-2025</t>
        </is>
      </c>
      <c r="B2326" s="1" t="n">
        <v>45763.57469907407</v>
      </c>
      <c r="C2326" s="1" t="n">
        <v>46185</v>
      </c>
      <c r="D2326" t="inlineStr">
        <is>
          <t>VÄSTERNORRLANDS LÄN</t>
        </is>
      </c>
      <c r="E2326" t="inlineStr">
        <is>
          <t>KRAMFORS</t>
        </is>
      </c>
      <c r="F2326" t="inlineStr">
        <is>
          <t>SCA</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10763-2024</t>
        </is>
      </c>
      <c r="B2327" s="1" t="n">
        <v>45369</v>
      </c>
      <c r="C2327" s="1" t="n">
        <v>46185</v>
      </c>
      <c r="D2327" t="inlineStr">
        <is>
          <t>VÄSTERNORRLANDS LÄN</t>
        </is>
      </c>
      <c r="E2327" t="inlineStr">
        <is>
          <t>ÖRNSKÖLDSVIK</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10776-2024</t>
        </is>
      </c>
      <c r="B2328" s="1" t="n">
        <v>45369</v>
      </c>
      <c r="C2328" s="1" t="n">
        <v>46185</v>
      </c>
      <c r="D2328" t="inlineStr">
        <is>
          <t>VÄSTERNORRLANDS LÄN</t>
        </is>
      </c>
      <c r="E2328" t="inlineStr">
        <is>
          <t>ÖRNSKÖLDSVIK</t>
        </is>
      </c>
      <c r="F2328" t="inlineStr">
        <is>
          <t>Holmen skog AB</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51054-2023</t>
        </is>
      </c>
      <c r="B2329" s="1" t="n">
        <v>45218.64065972222</v>
      </c>
      <c r="C2329" s="1" t="n">
        <v>46185</v>
      </c>
      <c r="D2329" t="inlineStr">
        <is>
          <t>VÄSTERNORRLANDS LÄN</t>
        </is>
      </c>
      <c r="E2329" t="inlineStr">
        <is>
          <t>ÖRNSKÖLDSVIK</t>
        </is>
      </c>
      <c r="F2329" t="inlineStr">
        <is>
          <t>Holmen skog AB</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30768-2024</t>
        </is>
      </c>
      <c r="B2330" s="1" t="n">
        <v>45496</v>
      </c>
      <c r="C2330" s="1" t="n">
        <v>46185</v>
      </c>
      <c r="D2330" t="inlineStr">
        <is>
          <t>VÄSTERNORRLANDS LÄN</t>
        </is>
      </c>
      <c r="E2330" t="inlineStr">
        <is>
          <t>KRAMFORS</t>
        </is>
      </c>
      <c r="F2330" t="inlineStr">
        <is>
          <t>Kyrkan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21324-2024</t>
        </is>
      </c>
      <c r="B2331" s="1" t="n">
        <v>45440.76388888889</v>
      </c>
      <c r="C2331" s="1" t="n">
        <v>46185</v>
      </c>
      <c r="D2331" t="inlineStr">
        <is>
          <t>VÄSTERNORRLANDS LÄN</t>
        </is>
      </c>
      <c r="E2331" t="inlineStr">
        <is>
          <t>ÖRNSKÖLDSVIK</t>
        </is>
      </c>
      <c r="F2331" t="inlineStr">
        <is>
          <t>Holmen skog AB</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21533-2024</t>
        </is>
      </c>
      <c r="B2332" s="1" t="n">
        <v>45441</v>
      </c>
      <c r="C2332" s="1" t="n">
        <v>46185</v>
      </c>
      <c r="D2332" t="inlineStr">
        <is>
          <t>VÄSTERNORRLANDS LÄN</t>
        </is>
      </c>
      <c r="E2332" t="inlineStr">
        <is>
          <t>ÖRNSKÖLDSVIK</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15273-2025</t>
        </is>
      </c>
      <c r="B2333" s="1" t="n">
        <v>45744.67740740741</v>
      </c>
      <c r="C2333" s="1" t="n">
        <v>46185</v>
      </c>
      <c r="D2333" t="inlineStr">
        <is>
          <t>VÄSTERNORRLANDS LÄN</t>
        </is>
      </c>
      <c r="E2333" t="inlineStr">
        <is>
          <t>SOLLEFTEÅ</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15287-2025</t>
        </is>
      </c>
      <c r="B2334" s="1" t="n">
        <v>45745</v>
      </c>
      <c r="C2334" s="1" t="n">
        <v>46185</v>
      </c>
      <c r="D2334" t="inlineStr">
        <is>
          <t>VÄSTERNORRLANDS LÄN</t>
        </is>
      </c>
      <c r="E2334" t="inlineStr">
        <is>
          <t>ÅNGE</t>
        </is>
      </c>
      <c r="F2334" t="inlineStr">
        <is>
          <t>SCA</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26429-2023</t>
        </is>
      </c>
      <c r="B2335" s="1" t="n">
        <v>45089</v>
      </c>
      <c r="C2335" s="1" t="n">
        <v>46185</v>
      </c>
      <c r="D2335" t="inlineStr">
        <is>
          <t>VÄSTERNORRLANDS LÄN</t>
        </is>
      </c>
      <c r="E2335" t="inlineStr">
        <is>
          <t>ÖRNSKÖLDSVIK</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14094-2025</t>
        </is>
      </c>
      <c r="B2336" s="1" t="n">
        <v>45740.44827546296</v>
      </c>
      <c r="C2336" s="1" t="n">
        <v>46185</v>
      </c>
      <c r="D2336" t="inlineStr">
        <is>
          <t>VÄSTERNORRLANDS LÄN</t>
        </is>
      </c>
      <c r="E2336" t="inlineStr">
        <is>
          <t>SOLLEFTEÅ</t>
        </is>
      </c>
      <c r="F2336" t="inlineStr">
        <is>
          <t>SCA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14096-2025</t>
        </is>
      </c>
      <c r="B2337" s="1" t="n">
        <v>45740.44858796296</v>
      </c>
      <c r="C2337" s="1" t="n">
        <v>46185</v>
      </c>
      <c r="D2337" t="inlineStr">
        <is>
          <t>VÄSTERNORRLANDS LÄN</t>
        </is>
      </c>
      <c r="E2337" t="inlineStr">
        <is>
          <t>SOLLEFTEÅ</t>
        </is>
      </c>
      <c r="F2337" t="inlineStr">
        <is>
          <t>SCA</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20761-2024</t>
        </is>
      </c>
      <c r="B2338" s="1" t="n">
        <v>45436</v>
      </c>
      <c r="C2338" s="1" t="n">
        <v>46185</v>
      </c>
      <c r="D2338" t="inlineStr">
        <is>
          <t>VÄSTERNORRLANDS LÄN</t>
        </is>
      </c>
      <c r="E2338" t="inlineStr">
        <is>
          <t>ÅNGE</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200-2023</t>
        </is>
      </c>
      <c r="B2339" s="1" t="n">
        <v>44928</v>
      </c>
      <c r="C2339" s="1" t="n">
        <v>46185</v>
      </c>
      <c r="D2339" t="inlineStr">
        <is>
          <t>VÄSTERNORRLANDS LÄN</t>
        </is>
      </c>
      <c r="E2339" t="inlineStr">
        <is>
          <t>SUNDSVALL</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57294-2023</t>
        </is>
      </c>
      <c r="B2340" s="1" t="n">
        <v>45245.60854166667</v>
      </c>
      <c r="C2340" s="1" t="n">
        <v>46185</v>
      </c>
      <c r="D2340" t="inlineStr">
        <is>
          <t>VÄSTERNORRLANDS LÄN</t>
        </is>
      </c>
      <c r="E2340" t="inlineStr">
        <is>
          <t>ÖRNSKÖLDSVIK</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42857-2022</t>
        </is>
      </c>
      <c r="B2341" s="1" t="n">
        <v>44832</v>
      </c>
      <c r="C2341" s="1" t="n">
        <v>46185</v>
      </c>
      <c r="D2341" t="inlineStr">
        <is>
          <t>VÄSTERNORRLANDS LÄN</t>
        </is>
      </c>
      <c r="E2341" t="inlineStr">
        <is>
          <t>ÅNGE</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42879-2022</t>
        </is>
      </c>
      <c r="B2342" s="1" t="n">
        <v>44832</v>
      </c>
      <c r="C2342" s="1" t="n">
        <v>46185</v>
      </c>
      <c r="D2342" t="inlineStr">
        <is>
          <t>VÄSTERNORRLANDS LÄN</t>
        </is>
      </c>
      <c r="E2342" t="inlineStr">
        <is>
          <t>SUNDSVALL</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13937-2024</t>
        </is>
      </c>
      <c r="B2343" s="1" t="n">
        <v>45391</v>
      </c>
      <c r="C2343" s="1" t="n">
        <v>46185</v>
      </c>
      <c r="D2343" t="inlineStr">
        <is>
          <t>VÄSTERNORRLANDS LÄN</t>
        </is>
      </c>
      <c r="E2343" t="inlineStr">
        <is>
          <t>SUNDSVALL</t>
        </is>
      </c>
      <c r="F2343" t="inlineStr">
        <is>
          <t>SCA</t>
        </is>
      </c>
      <c r="G2343" t="n">
        <v>13.5</v>
      </c>
      <c r="H2343" t="n">
        <v>0</v>
      </c>
      <c r="I2343" t="n">
        <v>0</v>
      </c>
      <c r="J2343" t="n">
        <v>0</v>
      </c>
      <c r="K2343" t="n">
        <v>0</v>
      </c>
      <c r="L2343" t="n">
        <v>0</v>
      </c>
      <c r="M2343" t="n">
        <v>0</v>
      </c>
      <c r="N2343" t="n">
        <v>0</v>
      </c>
      <c r="O2343" t="n">
        <v>0</v>
      </c>
      <c r="P2343" t="n">
        <v>0</v>
      </c>
      <c r="Q2343" t="n">
        <v>0</v>
      </c>
      <c r="R2343" s="2" t="inlineStr"/>
    </row>
    <row r="2344" ht="15" customHeight="1">
      <c r="A2344" t="inlineStr">
        <is>
          <t>A 7293-2025</t>
        </is>
      </c>
      <c r="B2344" s="1" t="n">
        <v>45702</v>
      </c>
      <c r="C2344" s="1" t="n">
        <v>46185</v>
      </c>
      <c r="D2344" t="inlineStr">
        <is>
          <t>VÄSTERNORRLANDS LÄN</t>
        </is>
      </c>
      <c r="E2344" t="inlineStr">
        <is>
          <t>SUNDSVALL</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18147-2023</t>
        </is>
      </c>
      <c r="B2345" s="1" t="n">
        <v>45040.94042824074</v>
      </c>
      <c r="C2345" s="1" t="n">
        <v>46185</v>
      </c>
      <c r="D2345" t="inlineStr">
        <is>
          <t>VÄSTERNORRLANDS LÄN</t>
        </is>
      </c>
      <c r="E2345" t="inlineStr">
        <is>
          <t>ÖRNSKÖLDSVIK</t>
        </is>
      </c>
      <c r="F2345" t="inlineStr">
        <is>
          <t>SCA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18149-2023</t>
        </is>
      </c>
      <c r="B2346" s="1" t="n">
        <v>45040</v>
      </c>
      <c r="C2346" s="1" t="n">
        <v>46185</v>
      </c>
      <c r="D2346" t="inlineStr">
        <is>
          <t>VÄSTERNORRLANDS LÄN</t>
        </is>
      </c>
      <c r="E2346" t="inlineStr">
        <is>
          <t>SOLLEFTEÅ</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18153-2023</t>
        </is>
      </c>
      <c r="B2347" s="1" t="n">
        <v>45040</v>
      </c>
      <c r="C2347" s="1" t="n">
        <v>46185</v>
      </c>
      <c r="D2347" t="inlineStr">
        <is>
          <t>VÄSTERNORRLANDS LÄN</t>
        </is>
      </c>
      <c r="E2347" t="inlineStr">
        <is>
          <t>SUNDSVALL</t>
        </is>
      </c>
      <c r="F2347" t="inlineStr">
        <is>
          <t>SCA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37172-2022</t>
        </is>
      </c>
      <c r="B2348" s="1" t="n">
        <v>44806</v>
      </c>
      <c r="C2348" s="1" t="n">
        <v>46185</v>
      </c>
      <c r="D2348" t="inlineStr">
        <is>
          <t>VÄSTERNORRLANDS LÄN</t>
        </is>
      </c>
      <c r="E2348" t="inlineStr">
        <is>
          <t>HÄRNÖSAND</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37172-2022</t>
        </is>
      </c>
      <c r="B2349" s="1" t="n">
        <v>44806</v>
      </c>
      <c r="C2349" s="1" t="n">
        <v>46185</v>
      </c>
      <c r="D2349" t="inlineStr">
        <is>
          <t>VÄSTERNORRLANDS LÄN</t>
        </is>
      </c>
      <c r="E2349" t="inlineStr">
        <is>
          <t>HÄRNÖSAND</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40846-2022</t>
        </is>
      </c>
      <c r="B2350" s="1" t="n">
        <v>44824.94766203704</v>
      </c>
      <c r="C2350" s="1" t="n">
        <v>46185</v>
      </c>
      <c r="D2350" t="inlineStr">
        <is>
          <t>VÄSTERNORRLANDS LÄN</t>
        </is>
      </c>
      <c r="E2350" t="inlineStr">
        <is>
          <t>SUNDSVALL</t>
        </is>
      </c>
      <c r="F2350" t="inlineStr">
        <is>
          <t>SCA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14975-2024</t>
        </is>
      </c>
      <c r="B2351" s="1" t="n">
        <v>45398.94100694444</v>
      </c>
      <c r="C2351" s="1" t="n">
        <v>46185</v>
      </c>
      <c r="D2351" t="inlineStr">
        <is>
          <t>VÄSTERNORRLANDS LÄN</t>
        </is>
      </c>
      <c r="E2351" t="inlineStr">
        <is>
          <t>SOLLEFTEÅ</t>
        </is>
      </c>
      <c r="F2351" t="inlineStr">
        <is>
          <t>SCA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14983-2024</t>
        </is>
      </c>
      <c r="B2352" s="1" t="n">
        <v>45398.94237268518</v>
      </c>
      <c r="C2352" s="1" t="n">
        <v>46185</v>
      </c>
      <c r="D2352" t="inlineStr">
        <is>
          <t>VÄSTERNORRLANDS LÄN</t>
        </is>
      </c>
      <c r="E2352" t="inlineStr">
        <is>
          <t>SOLLEFTEÅ</t>
        </is>
      </c>
      <c r="F2352" t="inlineStr">
        <is>
          <t>SCA</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16249-2024</t>
        </is>
      </c>
      <c r="B2353" s="1" t="n">
        <v>45407</v>
      </c>
      <c r="C2353" s="1" t="n">
        <v>46185</v>
      </c>
      <c r="D2353" t="inlineStr">
        <is>
          <t>VÄSTERNORRLANDS LÄN</t>
        </is>
      </c>
      <c r="E2353" t="inlineStr">
        <is>
          <t>SUNDSVALL</t>
        </is>
      </c>
      <c r="F2353" t="inlineStr">
        <is>
          <t>SCA</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22680-2024</t>
        </is>
      </c>
      <c r="B2354" s="1" t="n">
        <v>45447.94548611111</v>
      </c>
      <c r="C2354" s="1" t="n">
        <v>46185</v>
      </c>
      <c r="D2354" t="inlineStr">
        <is>
          <t>VÄSTERNORRLANDS LÄN</t>
        </is>
      </c>
      <c r="E2354" t="inlineStr">
        <is>
          <t>ÅNGE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20184-2025</t>
        </is>
      </c>
      <c r="B2355" s="1" t="n">
        <v>45772.59458333333</v>
      </c>
      <c r="C2355" s="1" t="n">
        <v>46185</v>
      </c>
      <c r="D2355" t="inlineStr">
        <is>
          <t>VÄSTERNORRLANDS LÄN</t>
        </is>
      </c>
      <c r="E2355" t="inlineStr">
        <is>
          <t>SOLLEFTEÅ</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58997-2023</t>
        </is>
      </c>
      <c r="B2356" s="1" t="n">
        <v>45252.6352662037</v>
      </c>
      <c r="C2356" s="1" t="n">
        <v>46185</v>
      </c>
      <c r="D2356" t="inlineStr">
        <is>
          <t>VÄSTERNORRLANDS LÄN</t>
        </is>
      </c>
      <c r="E2356" t="inlineStr">
        <is>
          <t>ÅNGE</t>
        </is>
      </c>
      <c r="F2356" t="inlineStr">
        <is>
          <t>Övriga Aktiebolag</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58998-2023</t>
        </is>
      </c>
      <c r="B2357" s="1" t="n">
        <v>45250</v>
      </c>
      <c r="C2357" s="1" t="n">
        <v>46185</v>
      </c>
      <c r="D2357" t="inlineStr">
        <is>
          <t>VÄSTERNORRLANDS LÄN</t>
        </is>
      </c>
      <c r="E2357" t="inlineStr">
        <is>
          <t>TIMRÅ</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14537-2024</t>
        </is>
      </c>
      <c r="B2358" s="1" t="n">
        <v>45394</v>
      </c>
      <c r="C2358" s="1" t="n">
        <v>46185</v>
      </c>
      <c r="D2358" t="inlineStr">
        <is>
          <t>VÄSTERNORRLANDS LÄN</t>
        </is>
      </c>
      <c r="E2358" t="inlineStr">
        <is>
          <t>SUNDSVALL</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21034-2024</t>
        </is>
      </c>
      <c r="B2359" s="1" t="n">
        <v>45439</v>
      </c>
      <c r="C2359" s="1" t="n">
        <v>46185</v>
      </c>
      <c r="D2359" t="inlineStr">
        <is>
          <t>VÄSTERNORRLANDS LÄN</t>
        </is>
      </c>
      <c r="E2359" t="inlineStr">
        <is>
          <t>ÖRNSKÖLDSVIK</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426-2024</t>
        </is>
      </c>
      <c r="B2360" s="1" t="n">
        <v>45296.53644675926</v>
      </c>
      <c r="C2360" s="1" t="n">
        <v>46185</v>
      </c>
      <c r="D2360" t="inlineStr">
        <is>
          <t>VÄSTERNORRLANDS LÄN</t>
        </is>
      </c>
      <c r="E2360" t="inlineStr">
        <is>
          <t>ÖRNSKÖLDSVIK</t>
        </is>
      </c>
      <c r="F2360" t="inlineStr">
        <is>
          <t>Holmen skog AB</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11539-2024</t>
        </is>
      </c>
      <c r="B2361" s="1" t="n">
        <v>45372.9560300926</v>
      </c>
      <c r="C2361" s="1" t="n">
        <v>46185</v>
      </c>
      <c r="D2361" t="inlineStr">
        <is>
          <t>VÄSTERNORRLANDS LÄN</t>
        </is>
      </c>
      <c r="E2361" t="inlineStr">
        <is>
          <t>SOLLEFTEÅ</t>
        </is>
      </c>
      <c r="F2361" t="inlineStr">
        <is>
          <t>SCA</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21200-2024</t>
        </is>
      </c>
      <c r="B2362" s="1" t="n">
        <v>45440</v>
      </c>
      <c r="C2362" s="1" t="n">
        <v>46185</v>
      </c>
      <c r="D2362" t="inlineStr">
        <is>
          <t>VÄSTERNORRLANDS LÄN</t>
        </is>
      </c>
      <c r="E2362" t="inlineStr">
        <is>
          <t>ÅNGE</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30084-2022</t>
        </is>
      </c>
      <c r="B2363" s="1" t="n">
        <v>44757.3788425926</v>
      </c>
      <c r="C2363" s="1" t="n">
        <v>46185</v>
      </c>
      <c r="D2363" t="inlineStr">
        <is>
          <t>VÄSTERNORRLANDS LÄN</t>
        </is>
      </c>
      <c r="E2363" t="inlineStr">
        <is>
          <t>SUNDSVALL</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53524-2021</t>
        </is>
      </c>
      <c r="B2364" s="1" t="n">
        <v>44468</v>
      </c>
      <c r="C2364" s="1" t="n">
        <v>46185</v>
      </c>
      <c r="D2364" t="inlineStr">
        <is>
          <t>VÄSTERNORRLANDS LÄN</t>
        </is>
      </c>
      <c r="E2364" t="inlineStr">
        <is>
          <t>SOLLEFTEÅ</t>
        </is>
      </c>
      <c r="F2364" t="inlineStr">
        <is>
          <t>SCA</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20418-2024</t>
        </is>
      </c>
      <c r="B2365" s="1" t="n">
        <v>45435</v>
      </c>
      <c r="C2365" s="1" t="n">
        <v>46185</v>
      </c>
      <c r="D2365" t="inlineStr">
        <is>
          <t>VÄSTERNORRLANDS LÄN</t>
        </is>
      </c>
      <c r="E2365" t="inlineStr">
        <is>
          <t>SUNDSVALL</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17190-2024</t>
        </is>
      </c>
      <c r="B2366" s="1" t="n">
        <v>45412</v>
      </c>
      <c r="C2366" s="1" t="n">
        <v>46185</v>
      </c>
      <c r="D2366" t="inlineStr">
        <is>
          <t>VÄSTERNORRLANDS LÄN</t>
        </is>
      </c>
      <c r="E2366" t="inlineStr">
        <is>
          <t>SUNDSVALL</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57400-2023</t>
        </is>
      </c>
      <c r="B2367" s="1" t="n">
        <v>45245.96820601852</v>
      </c>
      <c r="C2367" s="1" t="n">
        <v>46185</v>
      </c>
      <c r="D2367" t="inlineStr">
        <is>
          <t>VÄSTERNORRLANDS LÄN</t>
        </is>
      </c>
      <c r="E2367" t="inlineStr">
        <is>
          <t>SUNDSVALL</t>
        </is>
      </c>
      <c r="F2367" t="inlineStr">
        <is>
          <t>SCA</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57404-2023</t>
        </is>
      </c>
      <c r="B2368" s="1" t="n">
        <v>45245.96857638889</v>
      </c>
      <c r="C2368" s="1" t="n">
        <v>46185</v>
      </c>
      <c r="D2368" t="inlineStr">
        <is>
          <t>VÄSTERNORRLANDS LÄN</t>
        </is>
      </c>
      <c r="E2368" t="inlineStr">
        <is>
          <t>SUNDSVALL</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22574-2024</t>
        </is>
      </c>
      <c r="B2369" s="1" t="n">
        <v>45447</v>
      </c>
      <c r="C2369" s="1" t="n">
        <v>46185</v>
      </c>
      <c r="D2369" t="inlineStr">
        <is>
          <t>VÄSTERNORRLANDS LÄN</t>
        </is>
      </c>
      <c r="E2369" t="inlineStr">
        <is>
          <t>ÖRNSKÖLDSVIK</t>
        </is>
      </c>
      <c r="F2369" t="inlineStr">
        <is>
          <t>Holmen skog AB</t>
        </is>
      </c>
      <c r="G2369" t="n">
        <v>0.1</v>
      </c>
      <c r="H2369" t="n">
        <v>0</v>
      </c>
      <c r="I2369" t="n">
        <v>0</v>
      </c>
      <c r="J2369" t="n">
        <v>0</v>
      </c>
      <c r="K2369" t="n">
        <v>0</v>
      </c>
      <c r="L2369" t="n">
        <v>0</v>
      </c>
      <c r="M2369" t="n">
        <v>0</v>
      </c>
      <c r="N2369" t="n">
        <v>0</v>
      </c>
      <c r="O2369" t="n">
        <v>0</v>
      </c>
      <c r="P2369" t="n">
        <v>0</v>
      </c>
      <c r="Q2369" t="n">
        <v>0</v>
      </c>
      <c r="R2369" s="2" t="inlineStr"/>
    </row>
    <row r="2370" ht="15" customHeight="1">
      <c r="A2370" t="inlineStr">
        <is>
          <t>A 59495-2023</t>
        </is>
      </c>
      <c r="B2370" s="1" t="n">
        <v>45253</v>
      </c>
      <c r="C2370" s="1" t="n">
        <v>46185</v>
      </c>
      <c r="D2370" t="inlineStr">
        <is>
          <t>VÄSTERNORRLANDS LÄN</t>
        </is>
      </c>
      <c r="E2370" t="inlineStr">
        <is>
          <t>ÖRNSKÖLDSVIK</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59581-2023</t>
        </is>
      </c>
      <c r="B2371" s="1" t="n">
        <v>45254.60465277778</v>
      </c>
      <c r="C2371" s="1" t="n">
        <v>46185</v>
      </c>
      <c r="D2371" t="inlineStr">
        <is>
          <t>VÄSTERNORRLANDS LÄN</t>
        </is>
      </c>
      <c r="E2371" t="inlineStr">
        <is>
          <t>ÖRNSKÖLDSVIK</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51110-2023</t>
        </is>
      </c>
      <c r="B2372" s="1" t="n">
        <v>45218</v>
      </c>
      <c r="C2372" s="1" t="n">
        <v>46185</v>
      </c>
      <c r="D2372" t="inlineStr">
        <is>
          <t>VÄSTERNORRLANDS LÄN</t>
        </is>
      </c>
      <c r="E2372" t="inlineStr">
        <is>
          <t>SUNDSVALL</t>
        </is>
      </c>
      <c r="F2372" t="inlineStr">
        <is>
          <t>SCA</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16726-2024</t>
        </is>
      </c>
      <c r="B2373" s="1" t="n">
        <v>45409.98535879629</v>
      </c>
      <c r="C2373" s="1" t="n">
        <v>46185</v>
      </c>
      <c r="D2373" t="inlineStr">
        <is>
          <t>VÄSTERNORRLANDS LÄN</t>
        </is>
      </c>
      <c r="E2373" t="inlineStr">
        <is>
          <t>SOLLEFTEÅ</t>
        </is>
      </c>
      <c r="F2373" t="inlineStr">
        <is>
          <t>SCA</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57019-2022</t>
        </is>
      </c>
      <c r="B2374" s="1" t="n">
        <v>44894.95877314815</v>
      </c>
      <c r="C2374" s="1" t="n">
        <v>46185</v>
      </c>
      <c r="D2374" t="inlineStr">
        <is>
          <t>VÄSTERNORRLANDS LÄN</t>
        </is>
      </c>
      <c r="E2374" t="inlineStr">
        <is>
          <t>SOLLEFTEÅ</t>
        </is>
      </c>
      <c r="F2374" t="inlineStr">
        <is>
          <t>SCA</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18869-2024</t>
        </is>
      </c>
      <c r="B2375" s="1" t="n">
        <v>45426</v>
      </c>
      <c r="C2375" s="1" t="n">
        <v>46185</v>
      </c>
      <c r="D2375" t="inlineStr">
        <is>
          <t>VÄSTERNORRLANDS LÄN</t>
        </is>
      </c>
      <c r="E2375" t="inlineStr">
        <is>
          <t>ÅNGE</t>
        </is>
      </c>
      <c r="F2375" t="inlineStr">
        <is>
          <t>SCA</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23063-2024</t>
        </is>
      </c>
      <c r="B2376" s="1" t="n">
        <v>45450.44278935185</v>
      </c>
      <c r="C2376" s="1" t="n">
        <v>46185</v>
      </c>
      <c r="D2376" t="inlineStr">
        <is>
          <t>VÄSTERNORRLANDS LÄN</t>
        </is>
      </c>
      <c r="E2376" t="inlineStr">
        <is>
          <t>ÅNGE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55912-2023</t>
        </is>
      </c>
      <c r="B2377" s="1" t="n">
        <v>45239.92665509259</v>
      </c>
      <c r="C2377" s="1" t="n">
        <v>46185</v>
      </c>
      <c r="D2377" t="inlineStr">
        <is>
          <t>VÄSTERNORRLANDS LÄN</t>
        </is>
      </c>
      <c r="E2377" t="inlineStr">
        <is>
          <t>SOLLEFTEÅ</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31912-2021</t>
        </is>
      </c>
      <c r="B2378" s="1" t="n">
        <v>44370</v>
      </c>
      <c r="C2378" s="1" t="n">
        <v>46185</v>
      </c>
      <c r="D2378" t="inlineStr">
        <is>
          <t>VÄSTERNORRLANDS LÄN</t>
        </is>
      </c>
      <c r="E2378" t="inlineStr">
        <is>
          <t>KRAMFORS</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58424-2022</t>
        </is>
      </c>
      <c r="B2379" s="1" t="n">
        <v>44901</v>
      </c>
      <c r="C2379" s="1" t="n">
        <v>46185</v>
      </c>
      <c r="D2379" t="inlineStr">
        <is>
          <t>VÄSTERNORRLANDS LÄN</t>
        </is>
      </c>
      <c r="E2379" t="inlineStr">
        <is>
          <t>KRAMFORS</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47792-2022</t>
        </is>
      </c>
      <c r="B2380" s="1" t="n">
        <v>44854.95238425926</v>
      </c>
      <c r="C2380" s="1" t="n">
        <v>46185</v>
      </c>
      <c r="D2380" t="inlineStr">
        <is>
          <t>VÄSTERNORRLANDS LÄN</t>
        </is>
      </c>
      <c r="E2380" t="inlineStr">
        <is>
          <t>ÅNGE</t>
        </is>
      </c>
      <c r="F2380" t="inlineStr">
        <is>
          <t>SCA</t>
        </is>
      </c>
      <c r="G2380" t="n">
        <v>10.9</v>
      </c>
      <c r="H2380" t="n">
        <v>0</v>
      </c>
      <c r="I2380" t="n">
        <v>0</v>
      </c>
      <c r="J2380" t="n">
        <v>0</v>
      </c>
      <c r="K2380" t="n">
        <v>0</v>
      </c>
      <c r="L2380" t="n">
        <v>0</v>
      </c>
      <c r="M2380" t="n">
        <v>0</v>
      </c>
      <c r="N2380" t="n">
        <v>0</v>
      </c>
      <c r="O2380" t="n">
        <v>0</v>
      </c>
      <c r="P2380" t="n">
        <v>0</v>
      </c>
      <c r="Q2380" t="n">
        <v>0</v>
      </c>
      <c r="R2380" s="2" t="inlineStr"/>
    </row>
    <row r="2381" ht="15" customHeight="1">
      <c r="A2381" t="inlineStr">
        <is>
          <t>A 24797-2024</t>
        </is>
      </c>
      <c r="B2381" s="1" t="n">
        <v>45460.95269675926</v>
      </c>
      <c r="C2381" s="1" t="n">
        <v>46185</v>
      </c>
      <c r="D2381" t="inlineStr">
        <is>
          <t>VÄSTERNORRLANDS LÄN</t>
        </is>
      </c>
      <c r="E2381" t="inlineStr">
        <is>
          <t>ÅNGE</t>
        </is>
      </c>
      <c r="F2381" t="inlineStr">
        <is>
          <t>SCA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17218-2025</t>
        </is>
      </c>
      <c r="B2382" s="1" t="n">
        <v>45756.45168981481</v>
      </c>
      <c r="C2382" s="1" t="n">
        <v>46185</v>
      </c>
      <c r="D2382" t="inlineStr">
        <is>
          <t>VÄSTERNORRLANDS LÄN</t>
        </is>
      </c>
      <c r="E2382" t="inlineStr">
        <is>
          <t>ÖRNSKÖLDSVIK</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23129-2024</t>
        </is>
      </c>
      <c r="B2383" s="1" t="n">
        <v>45450.61503472222</v>
      </c>
      <c r="C2383" s="1" t="n">
        <v>46185</v>
      </c>
      <c r="D2383" t="inlineStr">
        <is>
          <t>VÄSTERNORRLANDS LÄN</t>
        </is>
      </c>
      <c r="E2383" t="inlineStr">
        <is>
          <t>KRAMFORS</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61909-2023</t>
        </is>
      </c>
      <c r="B2384" s="1" t="n">
        <v>45265</v>
      </c>
      <c r="C2384" s="1" t="n">
        <v>46185</v>
      </c>
      <c r="D2384" t="inlineStr">
        <is>
          <t>VÄSTERNORRLANDS LÄN</t>
        </is>
      </c>
      <c r="E2384" t="inlineStr">
        <is>
          <t>KRAMFORS</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55520-2021</t>
        </is>
      </c>
      <c r="B2385" s="1" t="n">
        <v>44475</v>
      </c>
      <c r="C2385" s="1" t="n">
        <v>46185</v>
      </c>
      <c r="D2385" t="inlineStr">
        <is>
          <t>VÄSTERNORRLANDS LÄN</t>
        </is>
      </c>
      <c r="E2385" t="inlineStr">
        <is>
          <t>ÖRNSKÖLDSVIK</t>
        </is>
      </c>
      <c r="F2385" t="inlineStr">
        <is>
          <t>Holmen skog AB</t>
        </is>
      </c>
      <c r="G2385" t="n">
        <v>9.300000000000001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16926-2025</t>
        </is>
      </c>
      <c r="B2386" s="1" t="n">
        <v>45755.39195601852</v>
      </c>
      <c r="C2386" s="1" t="n">
        <v>46185</v>
      </c>
      <c r="D2386" t="inlineStr">
        <is>
          <t>VÄSTERNORRLANDS LÄN</t>
        </is>
      </c>
      <c r="E2386" t="inlineStr">
        <is>
          <t>ÖRNSKÖLDSVIK</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17639-2025</t>
        </is>
      </c>
      <c r="B2387" s="1" t="n">
        <v>45758.3203587963</v>
      </c>
      <c r="C2387" s="1" t="n">
        <v>46185</v>
      </c>
      <c r="D2387" t="inlineStr">
        <is>
          <t>VÄSTERNORRLANDS LÄN</t>
        </is>
      </c>
      <c r="E2387" t="inlineStr">
        <is>
          <t>ÖRNSKÖLDSVIK</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56260-2023</t>
        </is>
      </c>
      <c r="B2388" s="1" t="n">
        <v>45240</v>
      </c>
      <c r="C2388" s="1" t="n">
        <v>46185</v>
      </c>
      <c r="D2388" t="inlineStr">
        <is>
          <t>VÄSTERNORRLANDS LÄN</t>
        </is>
      </c>
      <c r="E2388" t="inlineStr">
        <is>
          <t>SOLLEFTEÅ</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4126-2023</t>
        </is>
      </c>
      <c r="B2389" s="1" t="n">
        <v>44952</v>
      </c>
      <c r="C2389" s="1" t="n">
        <v>46185</v>
      </c>
      <c r="D2389" t="inlineStr">
        <is>
          <t>VÄSTERNORRLANDS LÄN</t>
        </is>
      </c>
      <c r="E2389" t="inlineStr">
        <is>
          <t>TIMRÅ</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42366-2022</t>
        </is>
      </c>
      <c r="B2390" s="1" t="n">
        <v>44831.38560185185</v>
      </c>
      <c r="C2390" s="1" t="n">
        <v>46185</v>
      </c>
      <c r="D2390" t="inlineStr">
        <is>
          <t>VÄSTERNORRLANDS LÄN</t>
        </is>
      </c>
      <c r="E2390" t="inlineStr">
        <is>
          <t>ÖRNSKÖLDSVIK</t>
        </is>
      </c>
      <c r="F2390" t="inlineStr">
        <is>
          <t>Holmen skog AB</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22668-2024</t>
        </is>
      </c>
      <c r="B2391" s="1" t="n">
        <v>45447.94453703704</v>
      </c>
      <c r="C2391" s="1" t="n">
        <v>46185</v>
      </c>
      <c r="D2391" t="inlineStr">
        <is>
          <t>VÄSTERNORRLANDS LÄN</t>
        </is>
      </c>
      <c r="E2391" t="inlineStr">
        <is>
          <t>SOLLEFTEÅ</t>
        </is>
      </c>
      <c r="F2391" t="inlineStr">
        <is>
          <t>SCA</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22289-2024</t>
        </is>
      </c>
      <c r="B2392" s="1" t="n">
        <v>45446</v>
      </c>
      <c r="C2392" s="1" t="n">
        <v>46185</v>
      </c>
      <c r="D2392" t="inlineStr">
        <is>
          <t>VÄSTERNORRLANDS LÄN</t>
        </is>
      </c>
      <c r="E2392" t="inlineStr">
        <is>
          <t>ÖRNSKÖLDSVIK</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51370-2022</t>
        </is>
      </c>
      <c r="B2393" s="1" t="n">
        <v>44869</v>
      </c>
      <c r="C2393" s="1" t="n">
        <v>46185</v>
      </c>
      <c r="D2393" t="inlineStr">
        <is>
          <t>VÄSTERNORRLANDS LÄN</t>
        </is>
      </c>
      <c r="E2393" t="inlineStr">
        <is>
          <t>SUNDSVALL</t>
        </is>
      </c>
      <c r="G2393" t="n">
        <v>18.7</v>
      </c>
      <c r="H2393" t="n">
        <v>0</v>
      </c>
      <c r="I2393" t="n">
        <v>0</v>
      </c>
      <c r="J2393" t="n">
        <v>0</v>
      </c>
      <c r="K2393" t="n">
        <v>0</v>
      </c>
      <c r="L2393" t="n">
        <v>0</v>
      </c>
      <c r="M2393" t="n">
        <v>0</v>
      </c>
      <c r="N2393" t="n">
        <v>0</v>
      </c>
      <c r="O2393" t="n">
        <v>0</v>
      </c>
      <c r="P2393" t="n">
        <v>0</v>
      </c>
      <c r="Q2393" t="n">
        <v>0</v>
      </c>
      <c r="R2393" s="2" t="inlineStr"/>
    </row>
    <row r="2394" ht="15" customHeight="1">
      <c r="A2394" t="inlineStr">
        <is>
          <t>A 54174-2021</t>
        </is>
      </c>
      <c r="B2394" s="1" t="n">
        <v>44470.5666087963</v>
      </c>
      <c r="C2394" s="1" t="n">
        <v>46185</v>
      </c>
      <c r="D2394" t="inlineStr">
        <is>
          <t>VÄSTERNORRLANDS LÄN</t>
        </is>
      </c>
      <c r="E2394" t="inlineStr">
        <is>
          <t>ÖRNSKÖLDSVIK</t>
        </is>
      </c>
      <c r="G2394" t="n">
        <v>10.4</v>
      </c>
      <c r="H2394" t="n">
        <v>0</v>
      </c>
      <c r="I2394" t="n">
        <v>0</v>
      </c>
      <c r="J2394" t="n">
        <v>0</v>
      </c>
      <c r="K2394" t="n">
        <v>0</v>
      </c>
      <c r="L2394" t="n">
        <v>0</v>
      </c>
      <c r="M2394" t="n">
        <v>0</v>
      </c>
      <c r="N2394" t="n">
        <v>0</v>
      </c>
      <c r="O2394" t="n">
        <v>0</v>
      </c>
      <c r="P2394" t="n">
        <v>0</v>
      </c>
      <c r="Q2394" t="n">
        <v>0</v>
      </c>
      <c r="R2394" s="2" t="inlineStr"/>
    </row>
    <row r="2395" ht="15" customHeight="1">
      <c r="A2395" t="inlineStr">
        <is>
          <t>A 51383-2022</t>
        </is>
      </c>
      <c r="B2395" s="1" t="n">
        <v>44866</v>
      </c>
      <c r="C2395" s="1" t="n">
        <v>46185</v>
      </c>
      <c r="D2395" t="inlineStr">
        <is>
          <t>VÄSTERNORRLANDS LÄN</t>
        </is>
      </c>
      <c r="E2395" t="inlineStr">
        <is>
          <t>ÅNGE</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51393-2022</t>
        </is>
      </c>
      <c r="B2396" s="1" t="n">
        <v>44869.43277777778</v>
      </c>
      <c r="C2396" s="1" t="n">
        <v>46185</v>
      </c>
      <c r="D2396" t="inlineStr">
        <is>
          <t>VÄSTERNORRLANDS LÄN</t>
        </is>
      </c>
      <c r="E2396" t="inlineStr">
        <is>
          <t>ÅNGE</t>
        </is>
      </c>
      <c r="F2396" t="inlineStr">
        <is>
          <t>Holmen skog AB</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9831-2024</t>
        </is>
      </c>
      <c r="B2397" s="1" t="n">
        <v>45363.04699074074</v>
      </c>
      <c r="C2397" s="1" t="n">
        <v>46185</v>
      </c>
      <c r="D2397" t="inlineStr">
        <is>
          <t>VÄSTERNORRLANDS LÄN</t>
        </is>
      </c>
      <c r="E2397" t="inlineStr">
        <is>
          <t>SOLLEFTEÅ</t>
        </is>
      </c>
      <c r="F2397" t="inlineStr">
        <is>
          <t>SCA</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37586-2022</t>
        </is>
      </c>
      <c r="B2398" s="1" t="n">
        <v>44809.92577546297</v>
      </c>
      <c r="C2398" s="1" t="n">
        <v>46185</v>
      </c>
      <c r="D2398" t="inlineStr">
        <is>
          <t>VÄSTERNORRLANDS LÄN</t>
        </is>
      </c>
      <c r="E2398" t="inlineStr">
        <is>
          <t>HÄRNÖSAND</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40355-2024</t>
        </is>
      </c>
      <c r="B2399" s="1" t="n">
        <v>45555.36541666667</v>
      </c>
      <c r="C2399" s="1" t="n">
        <v>46185</v>
      </c>
      <c r="D2399" t="inlineStr">
        <is>
          <t>VÄSTERNORRLANDS LÄN</t>
        </is>
      </c>
      <c r="E2399" t="inlineStr">
        <is>
          <t>SOLLEFTEÅ</t>
        </is>
      </c>
      <c r="F2399" t="inlineStr">
        <is>
          <t>SCA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18051-2024</t>
        </is>
      </c>
      <c r="B2400" s="1" t="n">
        <v>45420</v>
      </c>
      <c r="C2400" s="1" t="n">
        <v>46185</v>
      </c>
      <c r="D2400" t="inlineStr">
        <is>
          <t>VÄSTERNORRLANDS LÄN</t>
        </is>
      </c>
      <c r="E2400" t="inlineStr">
        <is>
          <t>ÖRNSKÖLDSVIK</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53451-2023</t>
        </is>
      </c>
      <c r="B2401" s="1" t="n">
        <v>45229.96545138889</v>
      </c>
      <c r="C2401" s="1" t="n">
        <v>46185</v>
      </c>
      <c r="D2401" t="inlineStr">
        <is>
          <t>VÄSTERNORRLANDS LÄN</t>
        </is>
      </c>
      <c r="E2401" t="inlineStr">
        <is>
          <t>SUNDSVALL</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12581-2024</t>
        </is>
      </c>
      <c r="B2402" s="1" t="n">
        <v>45379</v>
      </c>
      <c r="C2402" s="1" t="n">
        <v>46185</v>
      </c>
      <c r="D2402" t="inlineStr">
        <is>
          <t>VÄSTERNORRLANDS LÄN</t>
        </is>
      </c>
      <c r="E2402" t="inlineStr">
        <is>
          <t>ÅNGE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21899-2024</t>
        </is>
      </c>
      <c r="B2403" s="1" t="n">
        <v>45443</v>
      </c>
      <c r="C2403" s="1" t="n">
        <v>46185</v>
      </c>
      <c r="D2403" t="inlineStr">
        <is>
          <t>VÄSTERNORRLANDS LÄN</t>
        </is>
      </c>
      <c r="E2403" t="inlineStr">
        <is>
          <t>SUNDSVALL</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37177-2024</t>
        </is>
      </c>
      <c r="B2404" s="1" t="n">
        <v>45539</v>
      </c>
      <c r="C2404" s="1" t="n">
        <v>46185</v>
      </c>
      <c r="D2404" t="inlineStr">
        <is>
          <t>VÄSTERNORRLANDS LÄN</t>
        </is>
      </c>
      <c r="E2404" t="inlineStr">
        <is>
          <t>ÖRNSKÖLDSVIK</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39230-2021</t>
        </is>
      </c>
      <c r="B2405" s="1" t="n">
        <v>44413.43902777778</v>
      </c>
      <c r="C2405" s="1" t="n">
        <v>46185</v>
      </c>
      <c r="D2405" t="inlineStr">
        <is>
          <t>VÄSTERNORRLANDS LÄN</t>
        </is>
      </c>
      <c r="E2405" t="inlineStr">
        <is>
          <t>SOLLEFTEÅ</t>
        </is>
      </c>
      <c r="G2405" t="n">
        <v>13.6</v>
      </c>
      <c r="H2405" t="n">
        <v>0</v>
      </c>
      <c r="I2405" t="n">
        <v>0</v>
      </c>
      <c r="J2405" t="n">
        <v>0</v>
      </c>
      <c r="K2405" t="n">
        <v>0</v>
      </c>
      <c r="L2405" t="n">
        <v>0</v>
      </c>
      <c r="M2405" t="n">
        <v>0</v>
      </c>
      <c r="N2405" t="n">
        <v>0</v>
      </c>
      <c r="O2405" t="n">
        <v>0</v>
      </c>
      <c r="P2405" t="n">
        <v>0</v>
      </c>
      <c r="Q2405" t="n">
        <v>0</v>
      </c>
      <c r="R2405" s="2" t="inlineStr"/>
    </row>
    <row r="2406" ht="15" customHeight="1">
      <c r="A2406" t="inlineStr">
        <is>
          <t>A 52109-2023</t>
        </is>
      </c>
      <c r="B2406" s="1" t="n">
        <v>45223</v>
      </c>
      <c r="C2406" s="1" t="n">
        <v>46185</v>
      </c>
      <c r="D2406" t="inlineStr">
        <is>
          <t>VÄSTERNORRLANDS LÄN</t>
        </is>
      </c>
      <c r="E2406" t="inlineStr">
        <is>
          <t>SUNDSVALL</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52110-2023</t>
        </is>
      </c>
      <c r="B2407" s="1" t="n">
        <v>45223</v>
      </c>
      <c r="C2407" s="1" t="n">
        <v>46185</v>
      </c>
      <c r="D2407" t="inlineStr">
        <is>
          <t>VÄSTERNORRLANDS LÄN</t>
        </is>
      </c>
      <c r="E2407" t="inlineStr">
        <is>
          <t>SUNDSVALL</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37962-2021</t>
        </is>
      </c>
      <c r="B2408" s="1" t="n">
        <v>44403.94012731482</v>
      </c>
      <c r="C2408" s="1" t="n">
        <v>46185</v>
      </c>
      <c r="D2408" t="inlineStr">
        <is>
          <t>VÄSTERNORRLANDS LÄN</t>
        </is>
      </c>
      <c r="E2408" t="inlineStr">
        <is>
          <t>SUNDSVALL</t>
        </is>
      </c>
      <c r="F2408" t="inlineStr">
        <is>
          <t>SCA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61619-2023</t>
        </is>
      </c>
      <c r="B2409" s="1" t="n">
        <v>45261</v>
      </c>
      <c r="C2409" s="1" t="n">
        <v>46185</v>
      </c>
      <c r="D2409" t="inlineStr">
        <is>
          <t>VÄSTERNORRLANDS LÄN</t>
        </is>
      </c>
      <c r="E2409" t="inlineStr">
        <is>
          <t>KRAMFORS</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30604-2021</t>
        </is>
      </c>
      <c r="B2410" s="1" t="n">
        <v>44364</v>
      </c>
      <c r="C2410" s="1" t="n">
        <v>46185</v>
      </c>
      <c r="D2410" t="inlineStr">
        <is>
          <t>VÄSTERNORRLANDS LÄN</t>
        </is>
      </c>
      <c r="E2410" t="inlineStr">
        <is>
          <t>ÖRNSKÖLDSVIK</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47552-2022</t>
        </is>
      </c>
      <c r="B2411" s="1" t="n">
        <v>44853</v>
      </c>
      <c r="C2411" s="1" t="n">
        <v>46185</v>
      </c>
      <c r="D2411" t="inlineStr">
        <is>
          <t>VÄSTERNORRLANDS LÄN</t>
        </is>
      </c>
      <c r="E2411" t="inlineStr">
        <is>
          <t>HÄRNÖSAND</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28711-2024</t>
        </is>
      </c>
      <c r="B2412" s="1" t="n">
        <v>45478</v>
      </c>
      <c r="C2412" s="1" t="n">
        <v>46185</v>
      </c>
      <c r="D2412" t="inlineStr">
        <is>
          <t>VÄSTERNORRLANDS LÄN</t>
        </is>
      </c>
      <c r="E2412" t="inlineStr">
        <is>
          <t>ÖRNSKÖLDSVIK</t>
        </is>
      </c>
      <c r="F2412" t="inlineStr">
        <is>
          <t>Holmen skog AB</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38102-2022</t>
        </is>
      </c>
      <c r="B2413" s="1" t="n">
        <v>44811</v>
      </c>
      <c r="C2413" s="1" t="n">
        <v>46185</v>
      </c>
      <c r="D2413" t="inlineStr">
        <is>
          <t>VÄSTERNORRLANDS LÄN</t>
        </is>
      </c>
      <c r="E2413" t="inlineStr">
        <is>
          <t>SOLLEFTEÅ</t>
        </is>
      </c>
      <c r="F2413" t="inlineStr">
        <is>
          <t>SCA</t>
        </is>
      </c>
      <c r="G2413" t="n">
        <v>4.9</v>
      </c>
      <c r="H2413" t="n">
        <v>0</v>
      </c>
      <c r="I2413" t="n">
        <v>0</v>
      </c>
      <c r="J2413" t="n">
        <v>0</v>
      </c>
      <c r="K2413" t="n">
        <v>0</v>
      </c>
      <c r="L2413" t="n">
        <v>0</v>
      </c>
      <c r="M2413" t="n">
        <v>0</v>
      </c>
      <c r="N2413" t="n">
        <v>0</v>
      </c>
      <c r="O2413" t="n">
        <v>0</v>
      </c>
      <c r="P2413" t="n">
        <v>0</v>
      </c>
      <c r="Q2413" t="n">
        <v>0</v>
      </c>
      <c r="R2413" s="2" t="inlineStr"/>
      <c r="U2413">
        <f>HYPERLINK("https://klasma.github.io/Logging_2283/knärot/A 38102-2022 karta knärot.png", "A 38102-2022")</f>
        <v/>
      </c>
      <c r="V2413">
        <f>HYPERLINK("https://klasma.github.io/Logging_2283/klagomål/A 38102-2022 FSC-klagomål.docx", "A 38102-2022")</f>
        <v/>
      </c>
      <c r="W2413">
        <f>HYPERLINK("https://klasma.github.io/Logging_2283/klagomålsmail/A 38102-2022 FSC-klagomål mail.docx", "A 38102-2022")</f>
        <v/>
      </c>
      <c r="X2413">
        <f>HYPERLINK("https://klasma.github.io/Logging_2283/tillsyn/A 38102-2022 tillsynsbegäran.docx", "A 38102-2022")</f>
        <v/>
      </c>
      <c r="Y2413">
        <f>HYPERLINK("https://klasma.github.io/Logging_2283/tillsynsmail/A 38102-2022 tillsynsbegäran mail.docx", "A 38102-2022")</f>
        <v/>
      </c>
    </row>
    <row r="2414" ht="15" customHeight="1">
      <c r="A2414" t="inlineStr">
        <is>
          <t>A 15633-2025</t>
        </is>
      </c>
      <c r="B2414" s="1" t="n">
        <v>45748.37162037037</v>
      </c>
      <c r="C2414" s="1" t="n">
        <v>46185</v>
      </c>
      <c r="D2414" t="inlineStr">
        <is>
          <t>VÄSTERNORRLANDS LÄN</t>
        </is>
      </c>
      <c r="E2414" t="inlineStr">
        <is>
          <t>SUNDSVALL</t>
        </is>
      </c>
      <c r="G2414" t="n">
        <v>7.6</v>
      </c>
      <c r="H2414" t="n">
        <v>0</v>
      </c>
      <c r="I2414" t="n">
        <v>0</v>
      </c>
      <c r="J2414" t="n">
        <v>0</v>
      </c>
      <c r="K2414" t="n">
        <v>0</v>
      </c>
      <c r="L2414" t="n">
        <v>0</v>
      </c>
      <c r="M2414" t="n">
        <v>0</v>
      </c>
      <c r="N2414" t="n">
        <v>0</v>
      </c>
      <c r="O2414" t="n">
        <v>0</v>
      </c>
      <c r="P2414" t="n">
        <v>0</v>
      </c>
      <c r="Q2414" t="n">
        <v>0</v>
      </c>
      <c r="R2414" s="2" t="inlineStr"/>
    </row>
    <row r="2415" ht="15" customHeight="1">
      <c r="A2415" t="inlineStr">
        <is>
          <t>A 51847-2021</t>
        </is>
      </c>
      <c r="B2415" s="1" t="n">
        <v>44462.69077546296</v>
      </c>
      <c r="C2415" s="1" t="n">
        <v>46185</v>
      </c>
      <c r="D2415" t="inlineStr">
        <is>
          <t>VÄSTERNORRLANDS LÄN</t>
        </is>
      </c>
      <c r="E2415" t="inlineStr">
        <is>
          <t>SOLLEFTEÅ</t>
        </is>
      </c>
      <c r="F2415" t="inlineStr">
        <is>
          <t>Holmen skog AB</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9285-2024</t>
        </is>
      </c>
      <c r="B2416" s="1" t="n">
        <v>45358.64868055555</v>
      </c>
      <c r="C2416" s="1" t="n">
        <v>46185</v>
      </c>
      <c r="D2416" t="inlineStr">
        <is>
          <t>VÄSTERNORRLANDS LÄN</t>
        </is>
      </c>
      <c r="E2416" t="inlineStr">
        <is>
          <t>ÖRNSKÖLDSVIK</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31179-2023</t>
        </is>
      </c>
      <c r="B2417" s="1" t="n">
        <v>45113.92564814815</v>
      </c>
      <c r="C2417" s="1" t="n">
        <v>46185</v>
      </c>
      <c r="D2417" t="inlineStr">
        <is>
          <t>VÄSTERNORRLANDS LÄN</t>
        </is>
      </c>
      <c r="E2417" t="inlineStr">
        <is>
          <t>SOLLEFTEÅ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31192-2023</t>
        </is>
      </c>
      <c r="B2418" s="1" t="n">
        <v>45113</v>
      </c>
      <c r="C2418" s="1" t="n">
        <v>46185</v>
      </c>
      <c r="D2418" t="inlineStr">
        <is>
          <t>VÄSTERNORRLANDS LÄN</t>
        </is>
      </c>
      <c r="E2418" t="inlineStr">
        <is>
          <t>ÖRNSKÖLDSVIK</t>
        </is>
      </c>
      <c r="F2418" t="inlineStr">
        <is>
          <t>SCA</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20226-2024</t>
        </is>
      </c>
      <c r="B2419" s="1" t="n">
        <v>45434</v>
      </c>
      <c r="C2419" s="1" t="n">
        <v>46185</v>
      </c>
      <c r="D2419" t="inlineStr">
        <is>
          <t>VÄSTERNORRLANDS LÄN</t>
        </is>
      </c>
      <c r="E2419" t="inlineStr">
        <is>
          <t>TIMRÅ</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45739-2021</t>
        </is>
      </c>
      <c r="B2420" s="1" t="n">
        <v>44441</v>
      </c>
      <c r="C2420" s="1" t="n">
        <v>46185</v>
      </c>
      <c r="D2420" t="inlineStr">
        <is>
          <t>VÄSTERNORRLANDS LÄN</t>
        </is>
      </c>
      <c r="E2420" t="inlineStr">
        <is>
          <t>SUNDSVALL</t>
        </is>
      </c>
      <c r="G2420" t="n">
        <v>14.8</v>
      </c>
      <c r="H2420" t="n">
        <v>0</v>
      </c>
      <c r="I2420" t="n">
        <v>0</v>
      </c>
      <c r="J2420" t="n">
        <v>0</v>
      </c>
      <c r="K2420" t="n">
        <v>0</v>
      </c>
      <c r="L2420" t="n">
        <v>0</v>
      </c>
      <c r="M2420" t="n">
        <v>0</v>
      </c>
      <c r="N2420" t="n">
        <v>0</v>
      </c>
      <c r="O2420" t="n">
        <v>0</v>
      </c>
      <c r="P2420" t="n">
        <v>0</v>
      </c>
      <c r="Q2420" t="n">
        <v>0</v>
      </c>
      <c r="R2420" s="2" t="inlineStr"/>
    </row>
    <row r="2421" ht="15" customHeight="1">
      <c r="A2421" t="inlineStr">
        <is>
          <t>A 59334-2022</t>
        </is>
      </c>
      <c r="B2421" s="1" t="n">
        <v>44904.65364583334</v>
      </c>
      <c r="C2421" s="1" t="n">
        <v>46185</v>
      </c>
      <c r="D2421" t="inlineStr">
        <is>
          <t>VÄSTERNORRLANDS LÄN</t>
        </is>
      </c>
      <c r="E2421" t="inlineStr">
        <is>
          <t>ÖRNSKÖLDSVIK</t>
        </is>
      </c>
      <c r="F2421" t="inlineStr">
        <is>
          <t>Holmen skog AB</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58179-2021</t>
        </is>
      </c>
      <c r="B2422" s="1" t="n">
        <v>44487</v>
      </c>
      <c r="C2422" s="1" t="n">
        <v>46185</v>
      </c>
      <c r="D2422" t="inlineStr">
        <is>
          <t>VÄSTERNORRLANDS LÄN</t>
        </is>
      </c>
      <c r="E2422" t="inlineStr">
        <is>
          <t>SOLLEFTEÅ</t>
        </is>
      </c>
      <c r="G2422" t="n">
        <v>8.300000000000001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16692-2024</t>
        </is>
      </c>
      <c r="B2423" s="1" t="n">
        <v>45408</v>
      </c>
      <c r="C2423" s="1" t="n">
        <v>46185</v>
      </c>
      <c r="D2423" t="inlineStr">
        <is>
          <t>VÄSTERNORRLANDS LÄN</t>
        </is>
      </c>
      <c r="E2423" t="inlineStr">
        <is>
          <t>ÖRNSKÖLDSVIK</t>
        </is>
      </c>
      <c r="G2423" t="n">
        <v>7</v>
      </c>
      <c r="H2423" t="n">
        <v>0</v>
      </c>
      <c r="I2423" t="n">
        <v>0</v>
      </c>
      <c r="J2423" t="n">
        <v>0</v>
      </c>
      <c r="K2423" t="n">
        <v>0</v>
      </c>
      <c r="L2423" t="n">
        <v>0</v>
      </c>
      <c r="M2423" t="n">
        <v>0</v>
      </c>
      <c r="N2423" t="n">
        <v>0</v>
      </c>
      <c r="O2423" t="n">
        <v>0</v>
      </c>
      <c r="P2423" t="n">
        <v>0</v>
      </c>
      <c r="Q2423" t="n">
        <v>0</v>
      </c>
      <c r="R2423" s="2" t="inlineStr"/>
    </row>
    <row r="2424" ht="15" customHeight="1">
      <c r="A2424" t="inlineStr">
        <is>
          <t>A 16693-2024</t>
        </is>
      </c>
      <c r="B2424" s="1" t="n">
        <v>45408</v>
      </c>
      <c r="C2424" s="1" t="n">
        <v>46185</v>
      </c>
      <c r="D2424" t="inlineStr">
        <is>
          <t>VÄSTERNORRLANDS LÄN</t>
        </is>
      </c>
      <c r="E2424" t="inlineStr">
        <is>
          <t>SOLLEFTEÅ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16710-2024</t>
        </is>
      </c>
      <c r="B2425" s="1" t="n">
        <v>45409.07748842592</v>
      </c>
      <c r="C2425" s="1" t="n">
        <v>46185</v>
      </c>
      <c r="D2425" t="inlineStr">
        <is>
          <t>VÄSTERNORRLANDS LÄN</t>
        </is>
      </c>
      <c r="E2425" t="inlineStr">
        <is>
          <t>SOLLEFTEÅ</t>
        </is>
      </c>
      <c r="F2425" t="inlineStr">
        <is>
          <t>SCA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58352-2022</t>
        </is>
      </c>
      <c r="B2426" s="1" t="n">
        <v>44901.60188657408</v>
      </c>
      <c r="C2426" s="1" t="n">
        <v>46185</v>
      </c>
      <c r="D2426" t="inlineStr">
        <is>
          <t>VÄSTERNORRLANDS LÄN</t>
        </is>
      </c>
      <c r="E2426" t="inlineStr">
        <is>
          <t>SUNDSVALL</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18623-2024</t>
        </is>
      </c>
      <c r="B2427" s="1" t="n">
        <v>45425.96378472223</v>
      </c>
      <c r="C2427" s="1" t="n">
        <v>46185</v>
      </c>
      <c r="D2427" t="inlineStr">
        <is>
          <t>VÄSTERNORRLANDS LÄN</t>
        </is>
      </c>
      <c r="E2427" t="inlineStr">
        <is>
          <t>SOLLEFTEÅ</t>
        </is>
      </c>
      <c r="F2427" t="inlineStr">
        <is>
          <t>SCA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29957-2023</t>
        </is>
      </c>
      <c r="B2428" s="1" t="n">
        <v>45107</v>
      </c>
      <c r="C2428" s="1" t="n">
        <v>46185</v>
      </c>
      <c r="D2428" t="inlineStr">
        <is>
          <t>VÄSTERNORRLANDS LÄN</t>
        </is>
      </c>
      <c r="E2428" t="inlineStr">
        <is>
          <t>SOLLEFTEÅ</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13009-2023</t>
        </is>
      </c>
      <c r="B2429" s="1" t="n">
        <v>45002.03643518518</v>
      </c>
      <c r="C2429" s="1" t="n">
        <v>46185</v>
      </c>
      <c r="D2429" t="inlineStr">
        <is>
          <t>VÄSTERNORRLANDS LÄN</t>
        </is>
      </c>
      <c r="E2429" t="inlineStr">
        <is>
          <t>SOLLEFTEÅ</t>
        </is>
      </c>
      <c r="F2429" t="inlineStr">
        <is>
          <t>SCA</t>
        </is>
      </c>
      <c r="G2429" t="n">
        <v>7.9</v>
      </c>
      <c r="H2429" t="n">
        <v>0</v>
      </c>
      <c r="I2429" t="n">
        <v>0</v>
      </c>
      <c r="J2429" t="n">
        <v>0</v>
      </c>
      <c r="K2429" t="n">
        <v>0</v>
      </c>
      <c r="L2429" t="n">
        <v>0</v>
      </c>
      <c r="M2429" t="n">
        <v>0</v>
      </c>
      <c r="N2429" t="n">
        <v>0</v>
      </c>
      <c r="O2429" t="n">
        <v>0</v>
      </c>
      <c r="P2429" t="n">
        <v>0</v>
      </c>
      <c r="Q2429" t="n">
        <v>0</v>
      </c>
      <c r="R2429" s="2" t="inlineStr"/>
    </row>
    <row r="2430" ht="15" customHeight="1">
      <c r="A2430" t="inlineStr">
        <is>
          <t>A 50651-2022</t>
        </is>
      </c>
      <c r="B2430" s="1" t="n">
        <v>44866</v>
      </c>
      <c r="C2430" s="1" t="n">
        <v>46185</v>
      </c>
      <c r="D2430" t="inlineStr">
        <is>
          <t>VÄSTERNORRLANDS LÄN</t>
        </is>
      </c>
      <c r="E2430" t="inlineStr">
        <is>
          <t>SUNDSVALL</t>
        </is>
      </c>
      <c r="F2430" t="inlineStr">
        <is>
          <t>SCA</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24231-2024</t>
        </is>
      </c>
      <c r="B2431" s="1" t="n">
        <v>45457.34393518518</v>
      </c>
      <c r="C2431" s="1" t="n">
        <v>46185</v>
      </c>
      <c r="D2431" t="inlineStr">
        <is>
          <t>VÄSTERNORRLANDS LÄN</t>
        </is>
      </c>
      <c r="E2431" t="inlineStr">
        <is>
          <t>ÅNGE</t>
        </is>
      </c>
      <c r="F2431" t="inlineStr">
        <is>
          <t>Sveaskog</t>
        </is>
      </c>
      <c r="G2431" t="n">
        <v>7</v>
      </c>
      <c r="H2431" t="n">
        <v>0</v>
      </c>
      <c r="I2431" t="n">
        <v>0</v>
      </c>
      <c r="J2431" t="n">
        <v>0</v>
      </c>
      <c r="K2431" t="n">
        <v>0</v>
      </c>
      <c r="L2431" t="n">
        <v>0</v>
      </c>
      <c r="M2431" t="n">
        <v>0</v>
      </c>
      <c r="N2431" t="n">
        <v>0</v>
      </c>
      <c r="O2431" t="n">
        <v>0</v>
      </c>
      <c r="P2431" t="n">
        <v>0</v>
      </c>
      <c r="Q2431" t="n">
        <v>0</v>
      </c>
      <c r="R2431" s="2" t="inlineStr"/>
    </row>
    <row r="2432" ht="15" customHeight="1">
      <c r="A2432" t="inlineStr">
        <is>
          <t>A 23287-2023</t>
        </is>
      </c>
      <c r="B2432" s="1" t="n">
        <v>45075</v>
      </c>
      <c r="C2432" s="1" t="n">
        <v>46185</v>
      </c>
      <c r="D2432" t="inlineStr">
        <is>
          <t>VÄSTERNORRLANDS LÄN</t>
        </is>
      </c>
      <c r="E2432" t="inlineStr">
        <is>
          <t>SOLLEFTEÅ</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53305-2021</t>
        </is>
      </c>
      <c r="B2433" s="1" t="n">
        <v>44467</v>
      </c>
      <c r="C2433" s="1" t="n">
        <v>46185</v>
      </c>
      <c r="D2433" t="inlineStr">
        <is>
          <t>VÄSTERNORRLANDS LÄN</t>
        </is>
      </c>
      <c r="E2433" t="inlineStr">
        <is>
          <t>TIMRÅ</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34815-2024</t>
        </is>
      </c>
      <c r="B2434" s="1" t="n">
        <v>45526.70732638889</v>
      </c>
      <c r="C2434" s="1" t="n">
        <v>46185</v>
      </c>
      <c r="D2434" t="inlineStr">
        <is>
          <t>VÄSTERNORRLANDS LÄN</t>
        </is>
      </c>
      <c r="E2434" t="inlineStr">
        <is>
          <t>ÅNGE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9567-2024</t>
        </is>
      </c>
      <c r="B2435" s="1" t="n">
        <v>45360.03635416667</v>
      </c>
      <c r="C2435" s="1" t="n">
        <v>46185</v>
      </c>
      <c r="D2435" t="inlineStr">
        <is>
          <t>VÄSTERNORRLANDS LÄN</t>
        </is>
      </c>
      <c r="E2435" t="inlineStr">
        <is>
          <t>ÅNGE</t>
        </is>
      </c>
      <c r="F2435" t="inlineStr">
        <is>
          <t>SCA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24324-2024</t>
        </is>
      </c>
      <c r="B2436" s="1" t="n">
        <v>45457</v>
      </c>
      <c r="C2436" s="1" t="n">
        <v>46185</v>
      </c>
      <c r="D2436" t="inlineStr">
        <is>
          <t>VÄSTERNORRLANDS LÄN</t>
        </is>
      </c>
      <c r="E2436" t="inlineStr">
        <is>
          <t>ÖRNSKÖLDSVIK</t>
        </is>
      </c>
      <c r="G2436" t="n">
        <v>6.9</v>
      </c>
      <c r="H2436" t="n">
        <v>0</v>
      </c>
      <c r="I2436" t="n">
        <v>0</v>
      </c>
      <c r="J2436" t="n">
        <v>0</v>
      </c>
      <c r="K2436" t="n">
        <v>0</v>
      </c>
      <c r="L2436" t="n">
        <v>0</v>
      </c>
      <c r="M2436" t="n">
        <v>0</v>
      </c>
      <c r="N2436" t="n">
        <v>0</v>
      </c>
      <c r="O2436" t="n">
        <v>0</v>
      </c>
      <c r="P2436" t="n">
        <v>0</v>
      </c>
      <c r="Q2436" t="n">
        <v>0</v>
      </c>
      <c r="R2436" s="2" t="inlineStr"/>
    </row>
    <row r="2437" ht="15" customHeight="1">
      <c r="A2437" t="inlineStr">
        <is>
          <t>A 795-2023</t>
        </is>
      </c>
      <c r="B2437" s="1" t="n">
        <v>44928</v>
      </c>
      <c r="C2437" s="1" t="n">
        <v>46185</v>
      </c>
      <c r="D2437" t="inlineStr">
        <is>
          <t>VÄSTERNORRLANDS LÄN</t>
        </is>
      </c>
      <c r="E2437" t="inlineStr">
        <is>
          <t>SUNDSVALL</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1420-2023</t>
        </is>
      </c>
      <c r="B2438" s="1" t="n">
        <v>44936.92762731481</v>
      </c>
      <c r="C2438" s="1" t="n">
        <v>46185</v>
      </c>
      <c r="D2438" t="inlineStr">
        <is>
          <t>VÄSTERNORRLANDS LÄN</t>
        </is>
      </c>
      <c r="E2438" t="inlineStr">
        <is>
          <t>ÅNGE</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60817-2022</t>
        </is>
      </c>
      <c r="B2439" s="1" t="n">
        <v>44907</v>
      </c>
      <c r="C2439" s="1" t="n">
        <v>46185</v>
      </c>
      <c r="D2439" t="inlineStr">
        <is>
          <t>VÄSTERNORRLANDS LÄN</t>
        </is>
      </c>
      <c r="E2439" t="inlineStr">
        <is>
          <t>KRAMFORS</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4912-2023</t>
        </is>
      </c>
      <c r="B2440" s="1" t="n">
        <v>44956</v>
      </c>
      <c r="C2440" s="1" t="n">
        <v>46185</v>
      </c>
      <c r="D2440" t="inlineStr">
        <is>
          <t>VÄSTERNORRLANDS LÄN</t>
        </is>
      </c>
      <c r="E2440" t="inlineStr">
        <is>
          <t>SUNDSVALL</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56169-2021</t>
        </is>
      </c>
      <c r="B2441" s="1" t="n">
        <v>44477.68009259259</v>
      </c>
      <c r="C2441" s="1" t="n">
        <v>46185</v>
      </c>
      <c r="D2441" t="inlineStr">
        <is>
          <t>VÄSTERNORRLANDS LÄN</t>
        </is>
      </c>
      <c r="E2441" t="inlineStr">
        <is>
          <t>KRAMFORS</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60205-2023</t>
        </is>
      </c>
      <c r="B2442" s="1" t="n">
        <v>45257</v>
      </c>
      <c r="C2442" s="1" t="n">
        <v>46185</v>
      </c>
      <c r="D2442" t="inlineStr">
        <is>
          <t>VÄSTERNORRLANDS LÄN</t>
        </is>
      </c>
      <c r="E2442" t="inlineStr">
        <is>
          <t>ÅNGE</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57395-2023</t>
        </is>
      </c>
      <c r="B2443" s="1" t="n">
        <v>45245.9678125</v>
      </c>
      <c r="C2443" s="1" t="n">
        <v>46185</v>
      </c>
      <c r="D2443" t="inlineStr">
        <is>
          <t>VÄSTERNORRLANDS LÄN</t>
        </is>
      </c>
      <c r="E2443" t="inlineStr">
        <is>
          <t>SOLLEFTEÅ</t>
        </is>
      </c>
      <c r="F2443" t="inlineStr">
        <is>
          <t>SCA</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42700-2021</t>
        </is>
      </c>
      <c r="B2444" s="1" t="n">
        <v>44428</v>
      </c>
      <c r="C2444" s="1" t="n">
        <v>46185</v>
      </c>
      <c r="D2444" t="inlineStr">
        <is>
          <t>VÄSTERNORRLANDS LÄN</t>
        </is>
      </c>
      <c r="E2444" t="inlineStr">
        <is>
          <t>SUNDSVALL</t>
        </is>
      </c>
      <c r="G2444" t="n">
        <v>8.199999999999999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53645-2022</t>
        </is>
      </c>
      <c r="B2445" s="1" t="n">
        <v>44879</v>
      </c>
      <c r="C2445" s="1" t="n">
        <v>46185</v>
      </c>
      <c r="D2445" t="inlineStr">
        <is>
          <t>VÄSTERNORRLANDS LÄN</t>
        </is>
      </c>
      <c r="E2445" t="inlineStr">
        <is>
          <t>SUNDSVALL</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29629-2023</t>
        </is>
      </c>
      <c r="B2446" s="1" t="n">
        <v>45106.94587962963</v>
      </c>
      <c r="C2446" s="1" t="n">
        <v>46185</v>
      </c>
      <c r="D2446" t="inlineStr">
        <is>
          <t>VÄSTERNORRLANDS LÄN</t>
        </is>
      </c>
      <c r="E2446" t="inlineStr">
        <is>
          <t>SUNDSVALL</t>
        </is>
      </c>
      <c r="F2446" t="inlineStr">
        <is>
          <t>SCA</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25001-2024</t>
        </is>
      </c>
      <c r="B2447" s="1" t="n">
        <v>45461.78337962963</v>
      </c>
      <c r="C2447" s="1" t="n">
        <v>46185</v>
      </c>
      <c r="D2447" t="inlineStr">
        <is>
          <t>VÄSTERNORRLANDS LÄN</t>
        </is>
      </c>
      <c r="E2447" t="inlineStr">
        <is>
          <t>ÖRNSKÖLDSVIK</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65146-2023</t>
        </is>
      </c>
      <c r="B2448" s="1" t="n">
        <v>45288.57377314815</v>
      </c>
      <c r="C2448" s="1" t="n">
        <v>46185</v>
      </c>
      <c r="D2448" t="inlineStr">
        <is>
          <t>VÄSTERNORRLANDS LÄN</t>
        </is>
      </c>
      <c r="E2448" t="inlineStr">
        <is>
          <t>ÖRNSKÖLDSVIK</t>
        </is>
      </c>
      <c r="F2448" t="inlineStr">
        <is>
          <t>Holmen skog AB</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25210-2023</t>
        </is>
      </c>
      <c r="B2449" s="1" t="n">
        <v>45079</v>
      </c>
      <c r="C2449" s="1" t="n">
        <v>46185</v>
      </c>
      <c r="D2449" t="inlineStr">
        <is>
          <t>VÄSTERNORRLANDS LÄN</t>
        </is>
      </c>
      <c r="E2449" t="inlineStr">
        <is>
          <t>ÖRNSKÖLDSVIK</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25599-2023</t>
        </is>
      </c>
      <c r="B2450" s="1" t="n">
        <v>45089</v>
      </c>
      <c r="C2450" s="1" t="n">
        <v>46185</v>
      </c>
      <c r="D2450" t="inlineStr">
        <is>
          <t>VÄSTERNORRLANDS LÄN</t>
        </is>
      </c>
      <c r="E2450" t="inlineStr">
        <is>
          <t>KRAMFORS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58453-2023</t>
        </is>
      </c>
      <c r="B2451" s="1" t="n">
        <v>45250.93866898148</v>
      </c>
      <c r="C2451" s="1" t="n">
        <v>46185</v>
      </c>
      <c r="D2451" t="inlineStr">
        <is>
          <t>VÄSTERNORRLANDS LÄN</t>
        </is>
      </c>
      <c r="E2451" t="inlineStr">
        <is>
          <t>SUNDSVALL</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38286-2024</t>
        </is>
      </c>
      <c r="B2452" s="1" t="n">
        <v>45545.61614583333</v>
      </c>
      <c r="C2452" s="1" t="n">
        <v>46185</v>
      </c>
      <c r="D2452" t="inlineStr">
        <is>
          <t>VÄSTERNORRLANDS LÄN</t>
        </is>
      </c>
      <c r="E2452" t="inlineStr">
        <is>
          <t>TIMRÅ</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46247-2022</t>
        </is>
      </c>
      <c r="B2453" s="1" t="n">
        <v>44846</v>
      </c>
      <c r="C2453" s="1" t="n">
        <v>46185</v>
      </c>
      <c r="D2453" t="inlineStr">
        <is>
          <t>VÄSTERNORRLANDS LÄN</t>
        </is>
      </c>
      <c r="E2453" t="inlineStr">
        <is>
          <t>SUNDSVALL</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20786-2024</t>
        </is>
      </c>
      <c r="B2454" s="1" t="n">
        <v>45437</v>
      </c>
      <c r="C2454" s="1" t="n">
        <v>46185</v>
      </c>
      <c r="D2454" t="inlineStr">
        <is>
          <t>VÄSTERNORRLANDS LÄN</t>
        </is>
      </c>
      <c r="E2454" t="inlineStr">
        <is>
          <t>TIMRÅ</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2129-2024</t>
        </is>
      </c>
      <c r="B2455" s="1" t="n">
        <v>45309</v>
      </c>
      <c r="C2455" s="1" t="n">
        <v>46185</v>
      </c>
      <c r="D2455" t="inlineStr">
        <is>
          <t>VÄSTERNORRLANDS LÄN</t>
        </is>
      </c>
      <c r="E2455" t="inlineStr">
        <is>
          <t>ÖRNSKÖLDSVIK</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42755-2022</t>
        </is>
      </c>
      <c r="B2456" s="1" t="n">
        <v>44832</v>
      </c>
      <c r="C2456" s="1" t="n">
        <v>46185</v>
      </c>
      <c r="D2456" t="inlineStr">
        <is>
          <t>VÄSTERNORRLANDS LÄN</t>
        </is>
      </c>
      <c r="E2456" t="inlineStr">
        <is>
          <t>SOLLEFTEÅ</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61860-2023</t>
        </is>
      </c>
      <c r="B2457" s="1" t="n">
        <v>45264</v>
      </c>
      <c r="C2457" s="1" t="n">
        <v>46185</v>
      </c>
      <c r="D2457" t="inlineStr">
        <is>
          <t>VÄSTERNORRLANDS LÄN</t>
        </is>
      </c>
      <c r="E2457" t="inlineStr">
        <is>
          <t>SUNDSVALL</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54617-2023</t>
        </is>
      </c>
      <c r="B2458" s="1" t="n">
        <v>45233.95835648148</v>
      </c>
      <c r="C2458" s="1" t="n">
        <v>46185</v>
      </c>
      <c r="D2458" t="inlineStr">
        <is>
          <t>VÄSTERNORRLANDS LÄN</t>
        </is>
      </c>
      <c r="E2458" t="inlineStr">
        <is>
          <t>SOLLEFTEÅ</t>
        </is>
      </c>
      <c r="F2458" t="inlineStr">
        <is>
          <t>SCA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34397-2021</t>
        </is>
      </c>
      <c r="B2459" s="1" t="n">
        <v>44379</v>
      </c>
      <c r="C2459" s="1" t="n">
        <v>46185</v>
      </c>
      <c r="D2459" t="inlineStr">
        <is>
          <t>VÄSTERNORRLANDS LÄN</t>
        </is>
      </c>
      <c r="E2459" t="inlineStr">
        <is>
          <t>SOLLEFTEÅ</t>
        </is>
      </c>
      <c r="F2459" t="inlineStr">
        <is>
          <t>SCA</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51311-2022</t>
        </is>
      </c>
      <c r="B2460" s="1" t="n">
        <v>44868</v>
      </c>
      <c r="C2460" s="1" t="n">
        <v>46185</v>
      </c>
      <c r="D2460" t="inlineStr">
        <is>
          <t>VÄSTERNORRLANDS LÄN</t>
        </is>
      </c>
      <c r="E2460" t="inlineStr">
        <is>
          <t>ÅNGE</t>
        </is>
      </c>
      <c r="F2460" t="inlineStr">
        <is>
          <t>SCA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33428-2023</t>
        </is>
      </c>
      <c r="B2461" s="1" t="n">
        <v>45128.94976851852</v>
      </c>
      <c r="C2461" s="1" t="n">
        <v>46185</v>
      </c>
      <c r="D2461" t="inlineStr">
        <is>
          <t>VÄSTERNORRLANDS LÄN</t>
        </is>
      </c>
      <c r="E2461" t="inlineStr">
        <is>
          <t>ÅNGE</t>
        </is>
      </c>
      <c r="F2461" t="inlineStr">
        <is>
          <t>SCA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2620-2024</t>
        </is>
      </c>
      <c r="B2462" s="1" t="n">
        <v>45313.92673611111</v>
      </c>
      <c r="C2462" s="1" t="n">
        <v>46185</v>
      </c>
      <c r="D2462" t="inlineStr">
        <is>
          <t>VÄSTERNORRLANDS LÄN</t>
        </is>
      </c>
      <c r="E2462" t="inlineStr">
        <is>
          <t>SUNDSVALL</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40519-2021</t>
        </is>
      </c>
      <c r="B2463" s="1" t="n">
        <v>44420</v>
      </c>
      <c r="C2463" s="1" t="n">
        <v>46185</v>
      </c>
      <c r="D2463" t="inlineStr">
        <is>
          <t>VÄSTERNORRLANDS LÄN</t>
        </is>
      </c>
      <c r="E2463" t="inlineStr">
        <is>
          <t>TIMRÅ</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28338-2024</t>
        </is>
      </c>
      <c r="B2464" s="1" t="n">
        <v>45477</v>
      </c>
      <c r="C2464" s="1" t="n">
        <v>46185</v>
      </c>
      <c r="D2464" t="inlineStr">
        <is>
          <t>VÄSTERNORRLANDS LÄN</t>
        </is>
      </c>
      <c r="E2464" t="inlineStr">
        <is>
          <t>ÖRNSKÖLDSVIK</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33631-2024</t>
        </is>
      </c>
      <c r="B2465" s="1" t="n">
        <v>45520</v>
      </c>
      <c r="C2465" s="1" t="n">
        <v>46185</v>
      </c>
      <c r="D2465" t="inlineStr">
        <is>
          <t>VÄSTERNORRLANDS LÄN</t>
        </is>
      </c>
      <c r="E2465" t="inlineStr">
        <is>
          <t>ÅNGE</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53824-2022</t>
        </is>
      </c>
      <c r="B2466" s="1" t="n">
        <v>44880.57431712963</v>
      </c>
      <c r="C2466" s="1" t="n">
        <v>46185</v>
      </c>
      <c r="D2466" t="inlineStr">
        <is>
          <t>VÄSTERNORRLANDS LÄN</t>
        </is>
      </c>
      <c r="E2466" t="inlineStr">
        <is>
          <t>KRAMFORS</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25329-2024</t>
        </is>
      </c>
      <c r="B2467" s="1" t="n">
        <v>45462</v>
      </c>
      <c r="C2467" s="1" t="n">
        <v>46185</v>
      </c>
      <c r="D2467" t="inlineStr">
        <is>
          <t>VÄSTERNORRLANDS LÄN</t>
        </is>
      </c>
      <c r="E2467" t="inlineStr">
        <is>
          <t>ÖRNSKÖLDSVIK</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15154-2024</t>
        </is>
      </c>
      <c r="B2468" s="1" t="n">
        <v>45399.94466435185</v>
      </c>
      <c r="C2468" s="1" t="n">
        <v>46185</v>
      </c>
      <c r="D2468" t="inlineStr">
        <is>
          <t>VÄSTERNORRLANDS LÄN</t>
        </is>
      </c>
      <c r="E2468" t="inlineStr">
        <is>
          <t>SOLLEFTEÅ</t>
        </is>
      </c>
      <c r="F2468" t="inlineStr">
        <is>
          <t>SCA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4360-2023</t>
        </is>
      </c>
      <c r="B2469" s="1" t="n">
        <v>44954.72591435185</v>
      </c>
      <c r="C2469" s="1" t="n">
        <v>46185</v>
      </c>
      <c r="D2469" t="inlineStr">
        <is>
          <t>VÄSTERNORRLANDS LÄN</t>
        </is>
      </c>
      <c r="E2469" t="inlineStr">
        <is>
          <t>ÖRNSKÖLDSVIK</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13773-2024</t>
        </is>
      </c>
      <c r="B2470" s="1" t="n">
        <v>45390.95297453704</v>
      </c>
      <c r="C2470" s="1" t="n">
        <v>46185</v>
      </c>
      <c r="D2470" t="inlineStr">
        <is>
          <t>VÄSTERNORRLANDS LÄN</t>
        </is>
      </c>
      <c r="E2470" t="inlineStr">
        <is>
          <t>ÅNGE</t>
        </is>
      </c>
      <c r="F2470" t="inlineStr">
        <is>
          <t>SCA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56492-2022</t>
        </is>
      </c>
      <c r="B2471" s="1" t="n">
        <v>44893</v>
      </c>
      <c r="C2471" s="1" t="n">
        <v>46185</v>
      </c>
      <c r="D2471" t="inlineStr">
        <is>
          <t>VÄSTERNORRLANDS LÄN</t>
        </is>
      </c>
      <c r="E2471" t="inlineStr">
        <is>
          <t>ÖRNSKÖLDSVIK</t>
        </is>
      </c>
      <c r="F2471" t="inlineStr">
        <is>
          <t>Holmen skog AB</t>
        </is>
      </c>
      <c r="G2471" t="n">
        <v>8.300000000000001</v>
      </c>
      <c r="H2471" t="n">
        <v>0</v>
      </c>
      <c r="I2471" t="n">
        <v>0</v>
      </c>
      <c r="J2471" t="n">
        <v>0</v>
      </c>
      <c r="K2471" t="n">
        <v>0</v>
      </c>
      <c r="L2471" t="n">
        <v>0</v>
      </c>
      <c r="M2471" t="n">
        <v>0</v>
      </c>
      <c r="N2471" t="n">
        <v>0</v>
      </c>
      <c r="O2471" t="n">
        <v>0</v>
      </c>
      <c r="P2471" t="n">
        <v>0</v>
      </c>
      <c r="Q2471" t="n">
        <v>0</v>
      </c>
      <c r="R2471" s="2" t="inlineStr"/>
      <c r="U2471">
        <f>HYPERLINK("https://klasma.github.io/Logging_2284/knärot/A 56492-2022 karta knärot.png", "A 56492-2022")</f>
        <v/>
      </c>
      <c r="V2471">
        <f>HYPERLINK("https://klasma.github.io/Logging_2284/klagomål/A 56492-2022 FSC-klagomål.docx", "A 56492-2022")</f>
        <v/>
      </c>
      <c r="W2471">
        <f>HYPERLINK("https://klasma.github.io/Logging_2284/klagomålsmail/A 56492-2022 FSC-klagomål mail.docx", "A 56492-2022")</f>
        <v/>
      </c>
      <c r="X2471">
        <f>HYPERLINK("https://klasma.github.io/Logging_2284/tillsyn/A 56492-2022 tillsynsbegäran.docx", "A 56492-2022")</f>
        <v/>
      </c>
      <c r="Y2471">
        <f>HYPERLINK("https://klasma.github.io/Logging_2284/tillsynsmail/A 56492-2022 tillsynsbegäran mail.docx", "A 56492-2022")</f>
        <v/>
      </c>
    </row>
    <row r="2472" ht="15" customHeight="1">
      <c r="A2472" t="inlineStr">
        <is>
          <t>A 60328-2023</t>
        </is>
      </c>
      <c r="B2472" s="1" t="n">
        <v>45258</v>
      </c>
      <c r="C2472" s="1" t="n">
        <v>46185</v>
      </c>
      <c r="D2472" t="inlineStr">
        <is>
          <t>VÄSTERNORRLANDS LÄN</t>
        </is>
      </c>
      <c r="E2472" t="inlineStr">
        <is>
          <t>SOLLEFTEÅ</t>
        </is>
      </c>
      <c r="F2472" t="inlineStr">
        <is>
          <t>SCA</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44357-2022</t>
        </is>
      </c>
      <c r="B2473" s="1" t="n">
        <v>44839</v>
      </c>
      <c r="C2473" s="1" t="n">
        <v>46185</v>
      </c>
      <c r="D2473" t="inlineStr">
        <is>
          <t>VÄSTERNORRLANDS LÄN</t>
        </is>
      </c>
      <c r="E2473" t="inlineStr">
        <is>
          <t>ÖRNSKÖLDSVIK</t>
        </is>
      </c>
      <c r="F2473" t="inlineStr">
        <is>
          <t>Holmen skog AB</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63991-2023</t>
        </is>
      </c>
      <c r="B2474" s="1" t="n">
        <v>45278</v>
      </c>
      <c r="C2474" s="1" t="n">
        <v>46185</v>
      </c>
      <c r="D2474" t="inlineStr">
        <is>
          <t>VÄSTERNORRLANDS LÄN</t>
        </is>
      </c>
      <c r="E2474" t="inlineStr">
        <is>
          <t>KRAMFORS</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60867-2021</t>
        </is>
      </c>
      <c r="B2475" s="1" t="n">
        <v>44497</v>
      </c>
      <c r="C2475" s="1" t="n">
        <v>46185</v>
      </c>
      <c r="D2475" t="inlineStr">
        <is>
          <t>VÄSTERNORRLANDS LÄN</t>
        </is>
      </c>
      <c r="E2475" t="inlineStr">
        <is>
          <t>ÖRNSKÖLDSVIK</t>
        </is>
      </c>
      <c r="F2475" t="inlineStr">
        <is>
          <t>Holmen skog AB</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22666-2024</t>
        </is>
      </c>
      <c r="B2476" s="1" t="n">
        <v>45447</v>
      </c>
      <c r="C2476" s="1" t="n">
        <v>46185</v>
      </c>
      <c r="D2476" t="inlineStr">
        <is>
          <t>VÄSTERNORRLANDS LÄN</t>
        </is>
      </c>
      <c r="E2476" t="inlineStr">
        <is>
          <t>SOLLEFTEÅ</t>
        </is>
      </c>
      <c r="F2476" t="inlineStr">
        <is>
          <t>SCA</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22675-2024</t>
        </is>
      </c>
      <c r="B2477" s="1" t="n">
        <v>45447.94508101852</v>
      </c>
      <c r="C2477" s="1" t="n">
        <v>46185</v>
      </c>
      <c r="D2477" t="inlineStr">
        <is>
          <t>VÄSTERNORRLANDS LÄN</t>
        </is>
      </c>
      <c r="E2477" t="inlineStr">
        <is>
          <t>SOLLEFTEÅ</t>
        </is>
      </c>
      <c r="F2477" t="inlineStr">
        <is>
          <t>SCA</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31916-2023</t>
        </is>
      </c>
      <c r="B2478" s="1" t="n">
        <v>45118.93978009259</v>
      </c>
      <c r="C2478" s="1" t="n">
        <v>46185</v>
      </c>
      <c r="D2478" t="inlineStr">
        <is>
          <t>VÄSTERNORRLANDS LÄN</t>
        </is>
      </c>
      <c r="E2478" t="inlineStr">
        <is>
          <t>SOLLEFTEÅ</t>
        </is>
      </c>
      <c r="F2478" t="inlineStr">
        <is>
          <t>SCA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33258-2023</t>
        </is>
      </c>
      <c r="B2479" s="1" t="n">
        <v>45114</v>
      </c>
      <c r="C2479" s="1" t="n">
        <v>46185</v>
      </c>
      <c r="D2479" t="inlineStr">
        <is>
          <t>VÄSTERNORRLANDS LÄN</t>
        </is>
      </c>
      <c r="E2479" t="inlineStr">
        <is>
          <t>ÖRNSKÖLDSVIK</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31919-2023</t>
        </is>
      </c>
      <c r="B2480" s="1" t="n">
        <v>45118</v>
      </c>
      <c r="C2480" s="1" t="n">
        <v>46185</v>
      </c>
      <c r="D2480" t="inlineStr">
        <is>
          <t>VÄSTERNORRLANDS LÄN</t>
        </is>
      </c>
      <c r="E2480" t="inlineStr">
        <is>
          <t>SOLLEFTEÅ</t>
        </is>
      </c>
      <c r="F2480" t="inlineStr">
        <is>
          <t>SCA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29163-2024</t>
        </is>
      </c>
      <c r="B2481" s="1" t="n">
        <v>45482</v>
      </c>
      <c r="C2481" s="1" t="n">
        <v>46185</v>
      </c>
      <c r="D2481" t="inlineStr">
        <is>
          <t>VÄSTERNORRLANDS LÄN</t>
        </is>
      </c>
      <c r="E2481" t="inlineStr">
        <is>
          <t>ÖRNSKÖLDSVIK</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44876-2024</t>
        </is>
      </c>
      <c r="B2482" s="1" t="n">
        <v>45575.34474537037</v>
      </c>
      <c r="C2482" s="1" t="n">
        <v>46185</v>
      </c>
      <c r="D2482" t="inlineStr">
        <is>
          <t>VÄSTERNORRLANDS LÄN</t>
        </is>
      </c>
      <c r="E2482" t="inlineStr">
        <is>
          <t>ÅNGE</t>
        </is>
      </c>
      <c r="F2482" t="inlineStr">
        <is>
          <t>SCA</t>
        </is>
      </c>
      <c r="G2482" t="n">
        <v>12.4</v>
      </c>
      <c r="H2482" t="n">
        <v>0</v>
      </c>
      <c r="I2482" t="n">
        <v>0</v>
      </c>
      <c r="J2482" t="n">
        <v>0</v>
      </c>
      <c r="K2482" t="n">
        <v>0</v>
      </c>
      <c r="L2482" t="n">
        <v>0</v>
      </c>
      <c r="M2482" t="n">
        <v>0</v>
      </c>
      <c r="N2482" t="n">
        <v>0</v>
      </c>
      <c r="O2482" t="n">
        <v>0</v>
      </c>
      <c r="P2482" t="n">
        <v>0</v>
      </c>
      <c r="Q2482" t="n">
        <v>0</v>
      </c>
      <c r="R2482" s="2" t="inlineStr"/>
    </row>
    <row r="2483" ht="15" customHeight="1">
      <c r="A2483" t="inlineStr">
        <is>
          <t>A 33261-2023</t>
        </is>
      </c>
      <c r="B2483" s="1" t="n">
        <v>45114</v>
      </c>
      <c r="C2483" s="1" t="n">
        <v>46185</v>
      </c>
      <c r="D2483" t="inlineStr">
        <is>
          <t>VÄSTERNORRLANDS LÄN</t>
        </is>
      </c>
      <c r="E2483" t="inlineStr">
        <is>
          <t>ÖRNSKÖLDSVIK</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33288-2023</t>
        </is>
      </c>
      <c r="B2484" s="1" t="n">
        <v>45127</v>
      </c>
      <c r="C2484" s="1" t="n">
        <v>46185</v>
      </c>
      <c r="D2484" t="inlineStr">
        <is>
          <t>VÄSTERNORRLANDS LÄN</t>
        </is>
      </c>
      <c r="E2484" t="inlineStr">
        <is>
          <t>ÖRNSKÖLDSVIK</t>
        </is>
      </c>
      <c r="F2484" t="inlineStr">
        <is>
          <t>Holmen skog AB</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11088-2024</t>
        </is>
      </c>
      <c r="B2485" s="1" t="n">
        <v>45370</v>
      </c>
      <c r="C2485" s="1" t="n">
        <v>46185</v>
      </c>
      <c r="D2485" t="inlineStr">
        <is>
          <t>VÄSTERNORRLANDS LÄN</t>
        </is>
      </c>
      <c r="E2485" t="inlineStr">
        <is>
          <t>ÅNGE</t>
        </is>
      </c>
      <c r="F2485" t="inlineStr">
        <is>
          <t>SCA</t>
        </is>
      </c>
      <c r="G2485" t="n">
        <v>9.300000000000001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14804-2024</t>
        </is>
      </c>
      <c r="B2486" s="1" t="n">
        <v>45397</v>
      </c>
      <c r="C2486" s="1" t="n">
        <v>46185</v>
      </c>
      <c r="D2486" t="inlineStr">
        <is>
          <t>VÄSTERNORRLANDS LÄN</t>
        </is>
      </c>
      <c r="E2486" t="inlineStr">
        <is>
          <t>SUNDSVALL</t>
        </is>
      </c>
      <c r="G2486" t="n">
        <v>7.4</v>
      </c>
      <c r="H2486" t="n">
        <v>0</v>
      </c>
      <c r="I2486" t="n">
        <v>0</v>
      </c>
      <c r="J2486" t="n">
        <v>0</v>
      </c>
      <c r="K2486" t="n">
        <v>0</v>
      </c>
      <c r="L2486" t="n">
        <v>0</v>
      </c>
      <c r="M2486" t="n">
        <v>0</v>
      </c>
      <c r="N2486" t="n">
        <v>0</v>
      </c>
      <c r="O2486" t="n">
        <v>0</v>
      </c>
      <c r="P2486" t="n">
        <v>0</v>
      </c>
      <c r="Q2486" t="n">
        <v>0</v>
      </c>
      <c r="R2486" s="2" t="inlineStr"/>
    </row>
    <row r="2487" ht="15" customHeight="1">
      <c r="A2487" t="inlineStr">
        <is>
          <t>A 47272-2022</t>
        </is>
      </c>
      <c r="B2487" s="1" t="n">
        <v>44852.95016203704</v>
      </c>
      <c r="C2487" s="1" t="n">
        <v>46185</v>
      </c>
      <c r="D2487" t="inlineStr">
        <is>
          <t>VÄSTERNORRLANDS LÄN</t>
        </is>
      </c>
      <c r="E2487" t="inlineStr">
        <is>
          <t>SOLLEFTEÅ</t>
        </is>
      </c>
      <c r="G2487" t="n">
        <v>12.2</v>
      </c>
      <c r="H2487" t="n">
        <v>0</v>
      </c>
      <c r="I2487" t="n">
        <v>0</v>
      </c>
      <c r="J2487" t="n">
        <v>0</v>
      </c>
      <c r="K2487" t="n">
        <v>0</v>
      </c>
      <c r="L2487" t="n">
        <v>0</v>
      </c>
      <c r="M2487" t="n">
        <v>0</v>
      </c>
      <c r="N2487" t="n">
        <v>0</v>
      </c>
      <c r="O2487" t="n">
        <v>0</v>
      </c>
      <c r="P2487" t="n">
        <v>0</v>
      </c>
      <c r="Q2487" t="n">
        <v>0</v>
      </c>
      <c r="R2487" s="2" t="inlineStr"/>
    </row>
    <row r="2488" ht="15" customHeight="1">
      <c r="A2488" t="inlineStr">
        <is>
          <t>A 63978-2023</t>
        </is>
      </c>
      <c r="B2488" s="1" t="n">
        <v>45278</v>
      </c>
      <c r="C2488" s="1" t="n">
        <v>46185</v>
      </c>
      <c r="D2488" t="inlineStr">
        <is>
          <t>VÄSTERNORRLANDS LÄN</t>
        </is>
      </c>
      <c r="E2488" t="inlineStr">
        <is>
          <t>SUNDSVALL</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22208-2024</t>
        </is>
      </c>
      <c r="B2489" s="1" t="n">
        <v>45446.38181712963</v>
      </c>
      <c r="C2489" s="1" t="n">
        <v>46185</v>
      </c>
      <c r="D2489" t="inlineStr">
        <is>
          <t>VÄSTERNORRLANDS LÄN</t>
        </is>
      </c>
      <c r="E2489" t="inlineStr">
        <is>
          <t>SOLLEFTEÅ</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19780-2025</t>
        </is>
      </c>
      <c r="B2490" s="1" t="n">
        <v>45771.42789351852</v>
      </c>
      <c r="C2490" s="1" t="n">
        <v>46185</v>
      </c>
      <c r="D2490" t="inlineStr">
        <is>
          <t>VÄSTERNORRLANDS LÄN</t>
        </is>
      </c>
      <c r="E2490" t="inlineStr">
        <is>
          <t>KRAMFORS</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27304-2024</t>
        </is>
      </c>
      <c r="B2491" s="1" t="n">
        <v>45471.94401620371</v>
      </c>
      <c r="C2491" s="1" t="n">
        <v>46185</v>
      </c>
      <c r="D2491" t="inlineStr">
        <is>
          <t>VÄSTERNORRLANDS LÄN</t>
        </is>
      </c>
      <c r="E2491" t="inlineStr">
        <is>
          <t>SUNDSVALL</t>
        </is>
      </c>
      <c r="F2491" t="inlineStr">
        <is>
          <t>SCA</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27314-2024</t>
        </is>
      </c>
      <c r="B2492" s="1" t="n">
        <v>45471.94633101852</v>
      </c>
      <c r="C2492" s="1" t="n">
        <v>46185</v>
      </c>
      <c r="D2492" t="inlineStr">
        <is>
          <t>VÄSTERNORRLANDS LÄN</t>
        </is>
      </c>
      <c r="E2492" t="inlineStr">
        <is>
          <t>SOLLEFTEÅ</t>
        </is>
      </c>
      <c r="G2492" t="n">
        <v>3.8</v>
      </c>
      <c r="H2492" t="n">
        <v>0</v>
      </c>
      <c r="I2492" t="n">
        <v>0</v>
      </c>
      <c r="J2492" t="n">
        <v>0</v>
      </c>
      <c r="K2492" t="n">
        <v>0</v>
      </c>
      <c r="L2492" t="n">
        <v>0</v>
      </c>
      <c r="M2492" t="n">
        <v>0</v>
      </c>
      <c r="N2492" t="n">
        <v>0</v>
      </c>
      <c r="O2492" t="n">
        <v>0</v>
      </c>
      <c r="P2492" t="n">
        <v>0</v>
      </c>
      <c r="Q2492" t="n">
        <v>0</v>
      </c>
      <c r="R2492" s="2" t="inlineStr"/>
      <c r="U2492">
        <f>HYPERLINK("https://klasma.github.io/Logging_2283/knärot/A 27314-2024 karta knärot.png", "A 27314-2024")</f>
        <v/>
      </c>
      <c r="V2492">
        <f>HYPERLINK("https://klasma.github.io/Logging_2283/klagomål/A 27314-2024 FSC-klagomål.docx", "A 27314-2024")</f>
        <v/>
      </c>
      <c r="W2492">
        <f>HYPERLINK("https://klasma.github.io/Logging_2283/klagomålsmail/A 27314-2024 FSC-klagomål mail.docx", "A 27314-2024")</f>
        <v/>
      </c>
      <c r="X2492">
        <f>HYPERLINK("https://klasma.github.io/Logging_2283/tillsyn/A 27314-2024 tillsynsbegäran.docx", "A 27314-2024")</f>
        <v/>
      </c>
      <c r="Y2492">
        <f>HYPERLINK("https://klasma.github.io/Logging_2283/tillsynsmail/A 27314-2024 tillsynsbegäran mail.docx", "A 27314-2024")</f>
        <v/>
      </c>
    </row>
    <row r="2493" ht="15" customHeight="1">
      <c r="A2493" t="inlineStr">
        <is>
          <t>A 15374-2024</t>
        </is>
      </c>
      <c r="B2493" s="1" t="n">
        <v>45400</v>
      </c>
      <c r="C2493" s="1" t="n">
        <v>46185</v>
      </c>
      <c r="D2493" t="inlineStr">
        <is>
          <t>VÄSTERNORRLANDS LÄN</t>
        </is>
      </c>
      <c r="E2493" t="inlineStr">
        <is>
          <t>KRAMFORS</t>
        </is>
      </c>
      <c r="G2493" t="n">
        <v>29.6</v>
      </c>
      <c r="H2493" t="n">
        <v>0</v>
      </c>
      <c r="I2493" t="n">
        <v>0</v>
      </c>
      <c r="J2493" t="n">
        <v>0</v>
      </c>
      <c r="K2493" t="n">
        <v>0</v>
      </c>
      <c r="L2493" t="n">
        <v>0</v>
      </c>
      <c r="M2493" t="n">
        <v>0</v>
      </c>
      <c r="N2493" t="n">
        <v>0</v>
      </c>
      <c r="O2493" t="n">
        <v>0</v>
      </c>
      <c r="P2493" t="n">
        <v>0</v>
      </c>
      <c r="Q2493" t="n">
        <v>0</v>
      </c>
      <c r="R2493" s="2" t="inlineStr"/>
    </row>
    <row r="2494" ht="15" customHeight="1">
      <c r="A2494" t="inlineStr">
        <is>
          <t>A 62750-2022</t>
        </is>
      </c>
      <c r="B2494" s="1" t="n">
        <v>44925.93922453704</v>
      </c>
      <c r="C2494" s="1" t="n">
        <v>46185</v>
      </c>
      <c r="D2494" t="inlineStr">
        <is>
          <t>VÄSTERNORRLANDS LÄN</t>
        </is>
      </c>
      <c r="E2494" t="inlineStr">
        <is>
          <t>SOLLEFTEÅ</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38118-2022</t>
        </is>
      </c>
      <c r="B2495" s="1" t="n">
        <v>44811</v>
      </c>
      <c r="C2495" s="1" t="n">
        <v>46185</v>
      </c>
      <c r="D2495" t="inlineStr">
        <is>
          <t>VÄSTERNORRLANDS LÄN</t>
        </is>
      </c>
      <c r="E2495" t="inlineStr">
        <is>
          <t>ÖRNSKÖLDSVIK</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28182-2024</t>
        </is>
      </c>
      <c r="B2496" s="1" t="n">
        <v>45477.30112268519</v>
      </c>
      <c r="C2496" s="1" t="n">
        <v>46185</v>
      </c>
      <c r="D2496" t="inlineStr">
        <is>
          <t>VÄSTERNORRLANDS LÄN</t>
        </is>
      </c>
      <c r="E2496" t="inlineStr">
        <is>
          <t>ÖRNSKÖLDSVIK</t>
        </is>
      </c>
      <c r="F2496" t="inlineStr">
        <is>
          <t>Holmen skog AB</t>
        </is>
      </c>
      <c r="G2496" t="n">
        <v>9.699999999999999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49665-2022</t>
        </is>
      </c>
      <c r="B2497" s="1" t="n">
        <v>44862</v>
      </c>
      <c r="C2497" s="1" t="n">
        <v>46185</v>
      </c>
      <c r="D2497" t="inlineStr">
        <is>
          <t>VÄSTERNORRLANDS LÄN</t>
        </is>
      </c>
      <c r="E2497" t="inlineStr">
        <is>
          <t>SOLLEFTEÅ</t>
        </is>
      </c>
      <c r="F2497" t="inlineStr">
        <is>
          <t>Holmen skog AB</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64563-2023</t>
        </is>
      </c>
      <c r="B2498" s="1" t="n">
        <v>45281</v>
      </c>
      <c r="C2498" s="1" t="n">
        <v>46185</v>
      </c>
      <c r="D2498" t="inlineStr">
        <is>
          <t>VÄSTERNORRLANDS LÄN</t>
        </is>
      </c>
      <c r="E2498" t="inlineStr">
        <is>
          <t>HÄRNÖSAND</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66027-2021</t>
        </is>
      </c>
      <c r="B2499" s="1" t="n">
        <v>44517</v>
      </c>
      <c r="C2499" s="1" t="n">
        <v>46185</v>
      </c>
      <c r="D2499" t="inlineStr">
        <is>
          <t>VÄSTERNORRLANDS LÄN</t>
        </is>
      </c>
      <c r="E2499" t="inlineStr">
        <is>
          <t>SUNDSVALL</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60119-2023</t>
        </is>
      </c>
      <c r="B2500" s="1" t="n">
        <v>45258.47869212963</v>
      </c>
      <c r="C2500" s="1" t="n">
        <v>46185</v>
      </c>
      <c r="D2500" t="inlineStr">
        <is>
          <t>VÄSTERNORRLANDS LÄN</t>
        </is>
      </c>
      <c r="E2500" t="inlineStr">
        <is>
          <t>SUNDSVALL</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3953-2024</t>
        </is>
      </c>
      <c r="B2501" s="1" t="n">
        <v>45322</v>
      </c>
      <c r="C2501" s="1" t="n">
        <v>46185</v>
      </c>
      <c r="D2501" t="inlineStr">
        <is>
          <t>VÄSTERNORRLANDS LÄN</t>
        </is>
      </c>
      <c r="E2501" t="inlineStr">
        <is>
          <t>HÄRNÖSAND</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4056-2024</t>
        </is>
      </c>
      <c r="B2502" s="1" t="n">
        <v>45323</v>
      </c>
      <c r="C2502" s="1" t="n">
        <v>46185</v>
      </c>
      <c r="D2502" t="inlineStr">
        <is>
          <t>VÄSTERNORRLANDS LÄN</t>
        </is>
      </c>
      <c r="E2502" t="inlineStr">
        <is>
          <t>SUNDSVALL</t>
        </is>
      </c>
      <c r="F2502" t="inlineStr">
        <is>
          <t>Kommuner</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54325-2022</t>
        </is>
      </c>
      <c r="B2503" s="1" t="n">
        <v>44879</v>
      </c>
      <c r="C2503" s="1" t="n">
        <v>46185</v>
      </c>
      <c r="D2503" t="inlineStr">
        <is>
          <t>VÄSTERNORRLANDS LÄN</t>
        </is>
      </c>
      <c r="E2503" t="inlineStr">
        <is>
          <t>ÖRNSKÖLDSVIK</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60420-2022</t>
        </is>
      </c>
      <c r="B2504" s="1" t="n">
        <v>44910</v>
      </c>
      <c r="C2504" s="1" t="n">
        <v>46185</v>
      </c>
      <c r="D2504" t="inlineStr">
        <is>
          <t>VÄSTERNORRLANDS LÄN</t>
        </is>
      </c>
      <c r="E2504" t="inlineStr">
        <is>
          <t>SOLLEFTEÅ</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33239-2023</t>
        </is>
      </c>
      <c r="B2505" s="1" t="n">
        <v>45114</v>
      </c>
      <c r="C2505" s="1" t="n">
        <v>46185</v>
      </c>
      <c r="D2505" t="inlineStr">
        <is>
          <t>VÄSTERNORRLANDS LÄN</t>
        </is>
      </c>
      <c r="E2505" t="inlineStr">
        <is>
          <t>KRAMFORS</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64746-2023</t>
        </is>
      </c>
      <c r="B2506" s="1" t="n">
        <v>45281.9281712963</v>
      </c>
      <c r="C2506" s="1" t="n">
        <v>46185</v>
      </c>
      <c r="D2506" t="inlineStr">
        <is>
          <t>VÄSTERNORRLANDS LÄN</t>
        </is>
      </c>
      <c r="E2506" t="inlineStr">
        <is>
          <t>HÄRNÖSAND</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33244-2023</t>
        </is>
      </c>
      <c r="B2507" s="1" t="n">
        <v>45114</v>
      </c>
      <c r="C2507" s="1" t="n">
        <v>46185</v>
      </c>
      <c r="D2507" t="inlineStr">
        <is>
          <t>VÄSTERNORRLANDS LÄN</t>
        </is>
      </c>
      <c r="E2507" t="inlineStr">
        <is>
          <t>ÖRNSKÖLDSVIK</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25068-2024</t>
        </is>
      </c>
      <c r="B2508" s="1" t="n">
        <v>45462.36707175926</v>
      </c>
      <c r="C2508" s="1" t="n">
        <v>46185</v>
      </c>
      <c r="D2508" t="inlineStr">
        <is>
          <t>VÄSTERNORRLANDS LÄN</t>
        </is>
      </c>
      <c r="E2508" t="inlineStr">
        <is>
          <t>ÖRNSKÖLDSVIK</t>
        </is>
      </c>
      <c r="F2508" t="inlineStr">
        <is>
          <t>Holmen skog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25115-2024</t>
        </is>
      </c>
      <c r="B2509" s="1" t="n">
        <v>45462</v>
      </c>
      <c r="C2509" s="1" t="n">
        <v>46185</v>
      </c>
      <c r="D2509" t="inlineStr">
        <is>
          <t>VÄSTERNORRLANDS LÄN</t>
        </is>
      </c>
      <c r="E2509" t="inlineStr">
        <is>
          <t>HÄRNÖSAND</t>
        </is>
      </c>
      <c r="G2509" t="n">
        <v>6.8</v>
      </c>
      <c r="H2509" t="n">
        <v>0</v>
      </c>
      <c r="I2509" t="n">
        <v>0</v>
      </c>
      <c r="J2509" t="n">
        <v>0</v>
      </c>
      <c r="K2509" t="n">
        <v>0</v>
      </c>
      <c r="L2509" t="n">
        <v>0</v>
      </c>
      <c r="M2509" t="n">
        <v>0</v>
      </c>
      <c r="N2509" t="n">
        <v>0</v>
      </c>
      <c r="O2509" t="n">
        <v>0</v>
      </c>
      <c r="P2509" t="n">
        <v>0</v>
      </c>
      <c r="Q2509" t="n">
        <v>0</v>
      </c>
      <c r="R2509" s="2" t="inlineStr"/>
    </row>
    <row r="2510" ht="15" customHeight="1">
      <c r="A2510" t="inlineStr">
        <is>
          <t>A 25128-2024</t>
        </is>
      </c>
      <c r="B2510" s="1" t="n">
        <v>45462.4621875</v>
      </c>
      <c r="C2510" s="1" t="n">
        <v>46185</v>
      </c>
      <c r="D2510" t="inlineStr">
        <is>
          <t>VÄSTERNORRLANDS LÄN</t>
        </is>
      </c>
      <c r="E2510" t="inlineStr">
        <is>
          <t>ÖRNSKÖLDSVIK</t>
        </is>
      </c>
      <c r="F2510" t="inlineStr">
        <is>
          <t>Holmen skog AB</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2347-2022</t>
        </is>
      </c>
      <c r="B2511" s="1" t="n">
        <v>44578</v>
      </c>
      <c r="C2511" s="1" t="n">
        <v>46185</v>
      </c>
      <c r="D2511" t="inlineStr">
        <is>
          <t>VÄSTERNORRLANDS LÄN</t>
        </is>
      </c>
      <c r="E2511" t="inlineStr">
        <is>
          <t>SUNDSVALL</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49025-2022</t>
        </is>
      </c>
      <c r="B2512" s="1" t="n">
        <v>44860.43298611111</v>
      </c>
      <c r="C2512" s="1" t="n">
        <v>46185</v>
      </c>
      <c r="D2512" t="inlineStr">
        <is>
          <t>VÄSTERNORRLANDS LÄN</t>
        </is>
      </c>
      <c r="E2512" t="inlineStr">
        <is>
          <t>ÖRNSKÖLDSVIK</t>
        </is>
      </c>
      <c r="F2512" t="inlineStr">
        <is>
          <t>Holmen skog AB</t>
        </is>
      </c>
      <c r="G2512" t="n">
        <v>10.3</v>
      </c>
      <c r="H2512" t="n">
        <v>0</v>
      </c>
      <c r="I2512" t="n">
        <v>0</v>
      </c>
      <c r="J2512" t="n">
        <v>0</v>
      </c>
      <c r="K2512" t="n">
        <v>0</v>
      </c>
      <c r="L2512" t="n">
        <v>0</v>
      </c>
      <c r="M2512" t="n">
        <v>0</v>
      </c>
      <c r="N2512" t="n">
        <v>0</v>
      </c>
      <c r="O2512" t="n">
        <v>0</v>
      </c>
      <c r="P2512" t="n">
        <v>0</v>
      </c>
      <c r="Q2512" t="n">
        <v>0</v>
      </c>
      <c r="R2512" s="2" t="inlineStr"/>
    </row>
    <row r="2513" ht="15" customHeight="1">
      <c r="A2513" t="inlineStr">
        <is>
          <t>A 27639-2023</t>
        </is>
      </c>
      <c r="B2513" s="1" t="n">
        <v>45097</v>
      </c>
      <c r="C2513" s="1" t="n">
        <v>46185</v>
      </c>
      <c r="D2513" t="inlineStr">
        <is>
          <t>VÄSTERNORRLANDS LÄN</t>
        </is>
      </c>
      <c r="E2513" t="inlineStr">
        <is>
          <t>SUNDSVALL</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28506-2024</t>
        </is>
      </c>
      <c r="B2514" s="1" t="n">
        <v>45477.9475</v>
      </c>
      <c r="C2514" s="1" t="n">
        <v>46185</v>
      </c>
      <c r="D2514" t="inlineStr">
        <is>
          <t>VÄSTERNORRLANDS LÄN</t>
        </is>
      </c>
      <c r="E2514" t="inlineStr">
        <is>
          <t>ÅNGE</t>
        </is>
      </c>
      <c r="F2514" t="inlineStr">
        <is>
          <t>SCA</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25847-2024</t>
        </is>
      </c>
      <c r="B2515" s="1" t="n">
        <v>45467</v>
      </c>
      <c r="C2515" s="1" t="n">
        <v>46185</v>
      </c>
      <c r="D2515" t="inlineStr">
        <is>
          <t>VÄSTERNORRLANDS LÄN</t>
        </is>
      </c>
      <c r="E2515" t="inlineStr">
        <is>
          <t>SOLLEFTEÅ</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22759-2023</t>
        </is>
      </c>
      <c r="B2516" s="1" t="n">
        <v>45071.94153935185</v>
      </c>
      <c r="C2516" s="1" t="n">
        <v>46185</v>
      </c>
      <c r="D2516" t="inlineStr">
        <is>
          <t>VÄSTERNORRLANDS LÄN</t>
        </is>
      </c>
      <c r="E2516" t="inlineStr">
        <is>
          <t>SUNDSVALL</t>
        </is>
      </c>
      <c r="F2516" t="inlineStr">
        <is>
          <t>SCA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24199-2024</t>
        </is>
      </c>
      <c r="B2517" s="1" t="n">
        <v>45456.96634259259</v>
      </c>
      <c r="C2517" s="1" t="n">
        <v>46185</v>
      </c>
      <c r="D2517" t="inlineStr">
        <is>
          <t>VÄSTERNORRLANDS LÄN</t>
        </is>
      </c>
      <c r="E2517" t="inlineStr">
        <is>
          <t>SOLLEFTEÅ</t>
        </is>
      </c>
      <c r="F2517" t="inlineStr">
        <is>
          <t>SCA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24232-2024</t>
        </is>
      </c>
      <c r="B2518" s="1" t="n">
        <v>45457.34686342593</v>
      </c>
      <c r="C2518" s="1" t="n">
        <v>46185</v>
      </c>
      <c r="D2518" t="inlineStr">
        <is>
          <t>VÄSTERNORRLANDS LÄN</t>
        </is>
      </c>
      <c r="E2518" t="inlineStr">
        <is>
          <t>ÅNGE</t>
        </is>
      </c>
      <c r="F2518" t="inlineStr">
        <is>
          <t>Sveaskog</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30348-2024</t>
        </is>
      </c>
      <c r="B2519" s="1" t="n">
        <v>45490.95524305556</v>
      </c>
      <c r="C2519" s="1" t="n">
        <v>46185</v>
      </c>
      <c r="D2519" t="inlineStr">
        <is>
          <t>VÄSTERNORRLANDS LÄN</t>
        </is>
      </c>
      <c r="E2519" t="inlineStr">
        <is>
          <t>ÅNGE</t>
        </is>
      </c>
      <c r="F2519" t="inlineStr">
        <is>
          <t>SCA</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25799-2024</t>
        </is>
      </c>
      <c r="B2520" s="1" t="n">
        <v>45463</v>
      </c>
      <c r="C2520" s="1" t="n">
        <v>46185</v>
      </c>
      <c r="D2520" t="inlineStr">
        <is>
          <t>VÄSTERNORRLANDS LÄN</t>
        </is>
      </c>
      <c r="E2520" t="inlineStr">
        <is>
          <t>SOLLEFTEÅ</t>
        </is>
      </c>
      <c r="F2520" t="inlineStr">
        <is>
          <t>Kommuner</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30184-2024</t>
        </is>
      </c>
      <c r="B2521" s="1" t="n">
        <v>45489.94590277778</v>
      </c>
      <c r="C2521" s="1" t="n">
        <v>46185</v>
      </c>
      <c r="D2521" t="inlineStr">
        <is>
          <t>VÄSTERNORRLANDS LÄN</t>
        </is>
      </c>
      <c r="E2521" t="inlineStr">
        <is>
          <t>HÄRNÖSAND</t>
        </is>
      </c>
      <c r="F2521" t="inlineStr">
        <is>
          <t>SCA</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31457-2024</t>
        </is>
      </c>
      <c r="B2522" s="1" t="n">
        <v>45505</v>
      </c>
      <c r="C2522" s="1" t="n">
        <v>46185</v>
      </c>
      <c r="D2522" t="inlineStr">
        <is>
          <t>VÄSTERNORRLANDS LÄN</t>
        </is>
      </c>
      <c r="E2522" t="inlineStr">
        <is>
          <t>ÅNGE</t>
        </is>
      </c>
      <c r="F2522" t="inlineStr">
        <is>
          <t>SCA</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45959-2021</t>
        </is>
      </c>
      <c r="B2523" s="1" t="n">
        <v>44441</v>
      </c>
      <c r="C2523" s="1" t="n">
        <v>46185</v>
      </c>
      <c r="D2523" t="inlineStr">
        <is>
          <t>VÄSTERNORRLANDS LÄN</t>
        </is>
      </c>
      <c r="E2523" t="inlineStr">
        <is>
          <t>SUNDSVALL</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31507-2024</t>
        </is>
      </c>
      <c r="B2524" s="1" t="n">
        <v>45505</v>
      </c>
      <c r="C2524" s="1" t="n">
        <v>46185</v>
      </c>
      <c r="D2524" t="inlineStr">
        <is>
          <t>VÄSTERNORRLANDS LÄN</t>
        </is>
      </c>
      <c r="E2524" t="inlineStr">
        <is>
          <t>SUNDSVALL</t>
        </is>
      </c>
      <c r="F2524" t="inlineStr">
        <is>
          <t>SCA</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44431-2022</t>
        </is>
      </c>
      <c r="B2525" s="1" t="n">
        <v>44839</v>
      </c>
      <c r="C2525" s="1" t="n">
        <v>46185</v>
      </c>
      <c r="D2525" t="inlineStr">
        <is>
          <t>VÄSTERNORRLANDS LÄN</t>
        </is>
      </c>
      <c r="E2525" t="inlineStr">
        <is>
          <t>ÖRNSKÖLDSVIK</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44432-2022</t>
        </is>
      </c>
      <c r="B2526" s="1" t="n">
        <v>44839</v>
      </c>
      <c r="C2526" s="1" t="n">
        <v>46185</v>
      </c>
      <c r="D2526" t="inlineStr">
        <is>
          <t>VÄSTERNORRLANDS LÄN</t>
        </is>
      </c>
      <c r="E2526" t="inlineStr">
        <is>
          <t>TIMRÅ</t>
        </is>
      </c>
      <c r="F2526" t="inlineStr">
        <is>
          <t>SCA</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35389-2024</t>
        </is>
      </c>
      <c r="B2527" s="1" t="n">
        <v>45531.40188657407</v>
      </c>
      <c r="C2527" s="1" t="n">
        <v>46185</v>
      </c>
      <c r="D2527" t="inlineStr">
        <is>
          <t>VÄSTERNORRLANDS LÄN</t>
        </is>
      </c>
      <c r="E2527" t="inlineStr">
        <is>
          <t>SUNDSVALL</t>
        </is>
      </c>
      <c r="F2527" t="inlineStr">
        <is>
          <t>SCA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35392-2024</t>
        </is>
      </c>
      <c r="B2528" s="1" t="n">
        <v>45531.4025462963</v>
      </c>
      <c r="C2528" s="1" t="n">
        <v>46185</v>
      </c>
      <c r="D2528" t="inlineStr">
        <is>
          <t>VÄSTERNORRLANDS LÄN</t>
        </is>
      </c>
      <c r="E2528" t="inlineStr">
        <is>
          <t>ÅNGE</t>
        </is>
      </c>
      <c r="F2528" t="inlineStr">
        <is>
          <t>SCA</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25851-2024</t>
        </is>
      </c>
      <c r="B2529" s="1" t="n">
        <v>45467.44688657407</v>
      </c>
      <c r="C2529" s="1" t="n">
        <v>46185</v>
      </c>
      <c r="D2529" t="inlineStr">
        <is>
          <t>VÄSTERNORRLANDS LÄN</t>
        </is>
      </c>
      <c r="E2529" t="inlineStr">
        <is>
          <t>SOLLEFTEÅ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28086-2023</t>
        </is>
      </c>
      <c r="B2530" s="1" t="n">
        <v>45099.40969907407</v>
      </c>
      <c r="C2530" s="1" t="n">
        <v>46185</v>
      </c>
      <c r="D2530" t="inlineStr">
        <is>
          <t>VÄSTERNORRLANDS LÄN</t>
        </is>
      </c>
      <c r="E2530" t="inlineStr">
        <is>
          <t>KRAMFORS</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35417-2024</t>
        </is>
      </c>
      <c r="B2531" s="1" t="n">
        <v>45531.40851851852</v>
      </c>
      <c r="C2531" s="1" t="n">
        <v>46185</v>
      </c>
      <c r="D2531" t="inlineStr">
        <is>
          <t>VÄSTERNORRLANDS LÄN</t>
        </is>
      </c>
      <c r="E2531" t="inlineStr">
        <is>
          <t>SOLLEFTEÅ</t>
        </is>
      </c>
      <c r="F2531" t="inlineStr">
        <is>
          <t>SCA</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35420-2024</t>
        </is>
      </c>
      <c r="B2532" s="1" t="n">
        <v>45531</v>
      </c>
      <c r="C2532" s="1" t="n">
        <v>46185</v>
      </c>
      <c r="D2532" t="inlineStr">
        <is>
          <t>VÄSTERNORRLANDS LÄN</t>
        </is>
      </c>
      <c r="E2532" t="inlineStr">
        <is>
          <t>SOLLEFTEÅ</t>
        </is>
      </c>
      <c r="F2532" t="inlineStr">
        <is>
          <t>SCA</t>
        </is>
      </c>
      <c r="G2532" t="n">
        <v>9.1</v>
      </c>
      <c r="H2532" t="n">
        <v>0</v>
      </c>
      <c r="I2532" t="n">
        <v>0</v>
      </c>
      <c r="J2532" t="n">
        <v>0</v>
      </c>
      <c r="K2532" t="n">
        <v>0</v>
      </c>
      <c r="L2532" t="n">
        <v>0</v>
      </c>
      <c r="M2532" t="n">
        <v>0</v>
      </c>
      <c r="N2532" t="n">
        <v>0</v>
      </c>
      <c r="O2532" t="n">
        <v>0</v>
      </c>
      <c r="P2532" t="n">
        <v>0</v>
      </c>
      <c r="Q2532" t="n">
        <v>0</v>
      </c>
      <c r="R2532" s="2" t="inlineStr"/>
    </row>
    <row r="2533" ht="15" customHeight="1">
      <c r="A2533" t="inlineStr">
        <is>
          <t>A 33783-2024</t>
        </is>
      </c>
      <c r="B2533" s="1" t="n">
        <v>45520</v>
      </c>
      <c r="C2533" s="1" t="n">
        <v>46185</v>
      </c>
      <c r="D2533" t="inlineStr">
        <is>
          <t>VÄSTERNORRLANDS LÄN</t>
        </is>
      </c>
      <c r="E2533" t="inlineStr">
        <is>
          <t>ÅNGE</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34311-2023</t>
        </is>
      </c>
      <c r="B2534" s="1" t="n">
        <v>45138.92317129629</v>
      </c>
      <c r="C2534" s="1" t="n">
        <v>46185</v>
      </c>
      <c r="D2534" t="inlineStr">
        <is>
          <t>VÄSTERNORRLANDS LÄN</t>
        </is>
      </c>
      <c r="E2534" t="inlineStr">
        <is>
          <t>SOLLEFTEÅ</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25362-2024</t>
        </is>
      </c>
      <c r="B2535" s="1" t="n">
        <v>45462.95824074074</v>
      </c>
      <c r="C2535" s="1" t="n">
        <v>46185</v>
      </c>
      <c r="D2535" t="inlineStr">
        <is>
          <t>VÄSTERNORRLANDS LÄN</t>
        </is>
      </c>
      <c r="E2535" t="inlineStr">
        <is>
          <t>SUNDSVALL</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25363-2024</t>
        </is>
      </c>
      <c r="B2536" s="1" t="n">
        <v>45462.95833333334</v>
      </c>
      <c r="C2536" s="1" t="n">
        <v>46185</v>
      </c>
      <c r="D2536" t="inlineStr">
        <is>
          <t>VÄSTERNORRLANDS LÄN</t>
        </is>
      </c>
      <c r="E2536" t="inlineStr">
        <is>
          <t>SOLLEFTEÅ</t>
        </is>
      </c>
      <c r="F2536" t="inlineStr">
        <is>
          <t>SCA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25384-2024</t>
        </is>
      </c>
      <c r="B2537" s="1" t="n">
        <v>45462.96334490741</v>
      </c>
      <c r="C2537" s="1" t="n">
        <v>46185</v>
      </c>
      <c r="D2537" t="inlineStr">
        <is>
          <t>VÄSTERNORRLANDS LÄN</t>
        </is>
      </c>
      <c r="E2537" t="inlineStr">
        <is>
          <t>SOLLEFTEÅ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22126-2024</t>
        </is>
      </c>
      <c r="B2538" s="1" t="n">
        <v>45443.95326388889</v>
      </c>
      <c r="C2538" s="1" t="n">
        <v>46185</v>
      </c>
      <c r="D2538" t="inlineStr">
        <is>
          <t>VÄSTERNORRLANDS LÄN</t>
        </is>
      </c>
      <c r="E2538" t="inlineStr">
        <is>
          <t>SUNDSVALL</t>
        </is>
      </c>
      <c r="F2538" t="inlineStr">
        <is>
          <t>SCA</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23127-2024</t>
        </is>
      </c>
      <c r="B2539" s="1" t="n">
        <v>45450.61115740741</v>
      </c>
      <c r="C2539" s="1" t="n">
        <v>46185</v>
      </c>
      <c r="D2539" t="inlineStr">
        <is>
          <t>VÄSTERNORRLANDS LÄN</t>
        </is>
      </c>
      <c r="E2539" t="inlineStr">
        <is>
          <t>KRAMFORS</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61480-2021</t>
        </is>
      </c>
      <c r="B2540" s="1" t="n">
        <v>44500</v>
      </c>
      <c r="C2540" s="1" t="n">
        <v>46185</v>
      </c>
      <c r="D2540" t="inlineStr">
        <is>
          <t>VÄSTERNORRLANDS LÄN</t>
        </is>
      </c>
      <c r="E2540" t="inlineStr">
        <is>
          <t>SOLLEFTEÅ</t>
        </is>
      </c>
      <c r="F2540" t="inlineStr">
        <is>
          <t>SCA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22416-2024</t>
        </is>
      </c>
      <c r="B2541" s="1" t="n">
        <v>45446</v>
      </c>
      <c r="C2541" s="1" t="n">
        <v>46185</v>
      </c>
      <c r="D2541" t="inlineStr">
        <is>
          <t>VÄSTERNORRLANDS LÄN</t>
        </is>
      </c>
      <c r="E2541" t="inlineStr">
        <is>
          <t>TIMRÅ</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22417-2024</t>
        </is>
      </c>
      <c r="B2542" s="1" t="n">
        <v>45446.69421296296</v>
      </c>
      <c r="C2542" s="1" t="n">
        <v>46185</v>
      </c>
      <c r="D2542" t="inlineStr">
        <is>
          <t>VÄSTERNORRLANDS LÄN</t>
        </is>
      </c>
      <c r="E2542" t="inlineStr">
        <is>
          <t>ÖRNSKÖLDSVIK</t>
        </is>
      </c>
      <c r="F2542" t="inlineStr">
        <is>
          <t>Holmen skog AB</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27321-2024</t>
        </is>
      </c>
      <c r="B2543" s="1" t="n">
        <v>45471</v>
      </c>
      <c r="C2543" s="1" t="n">
        <v>46185</v>
      </c>
      <c r="D2543" t="inlineStr">
        <is>
          <t>VÄSTERNORRLANDS LÄN</t>
        </is>
      </c>
      <c r="E2543" t="inlineStr">
        <is>
          <t>ÅNGE</t>
        </is>
      </c>
      <c r="F2543" t="inlineStr">
        <is>
          <t>SCA</t>
        </is>
      </c>
      <c r="G2543" t="n">
        <v>14.1</v>
      </c>
      <c r="H2543" t="n">
        <v>0</v>
      </c>
      <c r="I2543" t="n">
        <v>0</v>
      </c>
      <c r="J2543" t="n">
        <v>0</v>
      </c>
      <c r="K2543" t="n">
        <v>0</v>
      </c>
      <c r="L2543" t="n">
        <v>0</v>
      </c>
      <c r="M2543" t="n">
        <v>0</v>
      </c>
      <c r="N2543" t="n">
        <v>0</v>
      </c>
      <c r="O2543" t="n">
        <v>0</v>
      </c>
      <c r="P2543" t="n">
        <v>0</v>
      </c>
      <c r="Q2543" t="n">
        <v>0</v>
      </c>
      <c r="R2543" s="2" t="inlineStr"/>
    </row>
    <row r="2544" ht="15" customHeight="1">
      <c r="A2544" t="inlineStr">
        <is>
          <t>A 56176-2022</t>
        </is>
      </c>
      <c r="B2544" s="1" t="n">
        <v>44889.94862268519</v>
      </c>
      <c r="C2544" s="1" t="n">
        <v>46185</v>
      </c>
      <c r="D2544" t="inlineStr">
        <is>
          <t>VÄSTERNORRLANDS LÄN</t>
        </is>
      </c>
      <c r="E2544" t="inlineStr">
        <is>
          <t>SOLLEFTEÅ</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19440-2025</t>
        </is>
      </c>
      <c r="B2545" s="1" t="n">
        <v>45770.30425925926</v>
      </c>
      <c r="C2545" s="1" t="n">
        <v>46185</v>
      </c>
      <c r="D2545" t="inlineStr">
        <is>
          <t>VÄSTERNORRLANDS LÄN</t>
        </is>
      </c>
      <c r="E2545" t="inlineStr">
        <is>
          <t>ÖRNSKÖLDSVIK</t>
        </is>
      </c>
      <c r="F2545" t="inlineStr">
        <is>
          <t>Holmen skog AB</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19446-2025</t>
        </is>
      </c>
      <c r="B2546" s="1" t="n">
        <v>45770.32109953704</v>
      </c>
      <c r="C2546" s="1" t="n">
        <v>46185</v>
      </c>
      <c r="D2546" t="inlineStr">
        <is>
          <t>VÄSTERNORRLANDS LÄN</t>
        </is>
      </c>
      <c r="E2546" t="inlineStr">
        <is>
          <t>ÖRNSKÖLDSVIK</t>
        </is>
      </c>
      <c r="F2546" t="inlineStr">
        <is>
          <t>Holmen skog AB</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45128-2022</t>
        </is>
      </c>
      <c r="B2547" s="1" t="n">
        <v>44844.3146412037</v>
      </c>
      <c r="C2547" s="1" t="n">
        <v>46185</v>
      </c>
      <c r="D2547" t="inlineStr">
        <is>
          <t>VÄSTERNORRLANDS LÄN</t>
        </is>
      </c>
      <c r="E2547" t="inlineStr">
        <is>
          <t>ÅNGE</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43066-2022</t>
        </is>
      </c>
      <c r="B2548" s="1" t="n">
        <v>44833</v>
      </c>
      <c r="C2548" s="1" t="n">
        <v>46185</v>
      </c>
      <c r="D2548" t="inlineStr">
        <is>
          <t>VÄSTERNORRLANDS LÄN</t>
        </is>
      </c>
      <c r="E2548" t="inlineStr">
        <is>
          <t>ÅNGE</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57595-2022</t>
        </is>
      </c>
      <c r="B2549" s="1" t="n">
        <v>44896.97862268519</v>
      </c>
      <c r="C2549" s="1" t="n">
        <v>46185</v>
      </c>
      <c r="D2549" t="inlineStr">
        <is>
          <t>VÄSTERNORRLANDS LÄN</t>
        </is>
      </c>
      <c r="E2549" t="inlineStr">
        <is>
          <t>ÅNGE</t>
        </is>
      </c>
      <c r="F2549" t="inlineStr">
        <is>
          <t>SCA</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56996-2022</t>
        </is>
      </c>
      <c r="B2550" s="1" t="n">
        <v>44894</v>
      </c>
      <c r="C2550" s="1" t="n">
        <v>46185</v>
      </c>
      <c r="D2550" t="inlineStr">
        <is>
          <t>VÄSTERNORRLANDS LÄN</t>
        </is>
      </c>
      <c r="E2550" t="inlineStr">
        <is>
          <t>KRAMFORS</t>
        </is>
      </c>
      <c r="G2550" t="n">
        <v>13.8</v>
      </c>
      <c r="H2550" t="n">
        <v>0</v>
      </c>
      <c r="I2550" t="n">
        <v>0</v>
      </c>
      <c r="J2550" t="n">
        <v>0</v>
      </c>
      <c r="K2550" t="n">
        <v>0</v>
      </c>
      <c r="L2550" t="n">
        <v>0</v>
      </c>
      <c r="M2550" t="n">
        <v>0</v>
      </c>
      <c r="N2550" t="n">
        <v>0</v>
      </c>
      <c r="O2550" t="n">
        <v>0</v>
      </c>
      <c r="P2550" t="n">
        <v>0</v>
      </c>
      <c r="Q2550" t="n">
        <v>0</v>
      </c>
      <c r="R2550" s="2" t="inlineStr"/>
    </row>
    <row r="2551" ht="15" customHeight="1">
      <c r="A2551" t="inlineStr">
        <is>
          <t>A 72642-2021</t>
        </is>
      </c>
      <c r="B2551" s="1" t="n">
        <v>44545</v>
      </c>
      <c r="C2551" s="1" t="n">
        <v>46185</v>
      </c>
      <c r="D2551" t="inlineStr">
        <is>
          <t>VÄSTERNORRLANDS LÄN</t>
        </is>
      </c>
      <c r="E2551" t="inlineStr">
        <is>
          <t>ÖRNSKÖLDSVIK</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20451-2024</t>
        </is>
      </c>
      <c r="B2552" s="1" t="n">
        <v>45435.63512731482</v>
      </c>
      <c r="C2552" s="1" t="n">
        <v>46185</v>
      </c>
      <c r="D2552" t="inlineStr">
        <is>
          <t>VÄSTERNORRLANDS LÄN</t>
        </is>
      </c>
      <c r="E2552" t="inlineStr">
        <is>
          <t>ÖRNSKÖLDSVIK</t>
        </is>
      </c>
      <c r="F2552" t="inlineStr">
        <is>
          <t>Holmen skog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44080-2024</t>
        </is>
      </c>
      <c r="B2553" s="1" t="n">
        <v>45572.61517361111</v>
      </c>
      <c r="C2553" s="1" t="n">
        <v>46185</v>
      </c>
      <c r="D2553" t="inlineStr">
        <is>
          <t>VÄSTERNORRLANDS LÄN</t>
        </is>
      </c>
      <c r="E2553" t="inlineStr">
        <is>
          <t>SUNDSVALL</t>
        </is>
      </c>
      <c r="F2553" t="inlineStr">
        <is>
          <t>SCA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44730-2024</t>
        </is>
      </c>
      <c r="B2554" s="1" t="n">
        <v>45574.58511574074</v>
      </c>
      <c r="C2554" s="1" t="n">
        <v>46185</v>
      </c>
      <c r="D2554" t="inlineStr">
        <is>
          <t>VÄSTERNORRLANDS LÄN</t>
        </is>
      </c>
      <c r="E2554" t="inlineStr">
        <is>
          <t>SUNDSVALL</t>
        </is>
      </c>
      <c r="G2554" t="n">
        <v>9.199999999999999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26951-2024</t>
        </is>
      </c>
      <c r="B2555" s="1" t="n">
        <v>45470.96991898148</v>
      </c>
      <c r="C2555" s="1" t="n">
        <v>46185</v>
      </c>
      <c r="D2555" t="inlineStr">
        <is>
          <t>VÄSTERNORRLANDS LÄN</t>
        </is>
      </c>
      <c r="E2555" t="inlineStr">
        <is>
          <t>ÅNGE</t>
        </is>
      </c>
      <c r="F2555" t="inlineStr">
        <is>
          <t>SCA</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26952-2024</t>
        </is>
      </c>
      <c r="B2556" s="1" t="n">
        <v>45470</v>
      </c>
      <c r="C2556" s="1" t="n">
        <v>46185</v>
      </c>
      <c r="D2556" t="inlineStr">
        <is>
          <t>VÄSTERNORRLANDS LÄN</t>
        </is>
      </c>
      <c r="E2556" t="inlineStr">
        <is>
          <t>ÅNGE</t>
        </is>
      </c>
      <c r="F2556" t="inlineStr">
        <is>
          <t>SCA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56680-2023</t>
        </is>
      </c>
      <c r="B2557" s="1" t="n">
        <v>45243</v>
      </c>
      <c r="C2557" s="1" t="n">
        <v>46185</v>
      </c>
      <c r="D2557" t="inlineStr">
        <is>
          <t>VÄSTERNORRLANDS LÄN</t>
        </is>
      </c>
      <c r="E2557" t="inlineStr">
        <is>
          <t>HÄRNÖSAND</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56684-2023</t>
        </is>
      </c>
      <c r="B2558" s="1" t="n">
        <v>45243.96592592593</v>
      </c>
      <c r="C2558" s="1" t="n">
        <v>46185</v>
      </c>
      <c r="D2558" t="inlineStr">
        <is>
          <t>VÄSTERNORRLANDS LÄN</t>
        </is>
      </c>
      <c r="E2558" t="inlineStr">
        <is>
          <t>SOLLEFTEÅ</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63216-2023</t>
        </is>
      </c>
      <c r="B2559" s="1" t="n">
        <v>45273.62721064815</v>
      </c>
      <c r="C2559" s="1" t="n">
        <v>46185</v>
      </c>
      <c r="D2559" t="inlineStr">
        <is>
          <t>VÄSTERNORRLANDS LÄN</t>
        </is>
      </c>
      <c r="E2559" t="inlineStr">
        <is>
          <t>ÅNGE</t>
        </is>
      </c>
      <c r="F2559" t="inlineStr">
        <is>
          <t>Holmen skog AB</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63228-2023</t>
        </is>
      </c>
      <c r="B2560" s="1" t="n">
        <v>45273</v>
      </c>
      <c r="C2560" s="1" t="n">
        <v>46185</v>
      </c>
      <c r="D2560" t="inlineStr">
        <is>
          <t>VÄSTERNORRLANDS LÄN</t>
        </is>
      </c>
      <c r="E2560" t="inlineStr">
        <is>
          <t>KRAMFORS</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36007-2021</t>
        </is>
      </c>
      <c r="B2561" s="1" t="n">
        <v>44389.37854166667</v>
      </c>
      <c r="C2561" s="1" t="n">
        <v>46185</v>
      </c>
      <c r="D2561" t="inlineStr">
        <is>
          <t>VÄSTERNORRLANDS LÄN</t>
        </is>
      </c>
      <c r="E2561" t="inlineStr">
        <is>
          <t>SUNDSVALL</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33367-2021</t>
        </is>
      </c>
      <c r="B2562" s="1" t="n">
        <v>44377</v>
      </c>
      <c r="C2562" s="1" t="n">
        <v>46185</v>
      </c>
      <c r="D2562" t="inlineStr">
        <is>
          <t>VÄSTERNORRLANDS LÄN</t>
        </is>
      </c>
      <c r="E2562" t="inlineStr">
        <is>
          <t>ÖRNSKÖLDSVIK</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63712-2023</t>
        </is>
      </c>
      <c r="B2563" s="1" t="n">
        <v>45275.95094907407</v>
      </c>
      <c r="C2563" s="1" t="n">
        <v>46185</v>
      </c>
      <c r="D2563" t="inlineStr">
        <is>
          <t>VÄSTERNORRLANDS LÄN</t>
        </is>
      </c>
      <c r="E2563" t="inlineStr">
        <is>
          <t>SOLLEFTEÅ</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63729-2023</t>
        </is>
      </c>
      <c r="B2564" s="1" t="n">
        <v>45276</v>
      </c>
      <c r="C2564" s="1" t="n">
        <v>46185</v>
      </c>
      <c r="D2564" t="inlineStr">
        <is>
          <t>VÄSTERNORRLANDS LÄN</t>
        </is>
      </c>
      <c r="E2564" t="inlineStr">
        <is>
          <t>ÖRNSKÖLDSVIK</t>
        </is>
      </c>
      <c r="F2564" t="inlineStr">
        <is>
          <t>SCA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62659-2023</t>
        </is>
      </c>
      <c r="B2565" s="1" t="n">
        <v>45268</v>
      </c>
      <c r="C2565" s="1" t="n">
        <v>46185</v>
      </c>
      <c r="D2565" t="inlineStr">
        <is>
          <t>VÄSTERNORRLANDS LÄN</t>
        </is>
      </c>
      <c r="E2565" t="inlineStr">
        <is>
          <t>ÖRNSKÖLDSVIK</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63750-2023</t>
        </is>
      </c>
      <c r="B2566" s="1" t="n">
        <v>45277.8662962963</v>
      </c>
      <c r="C2566" s="1" t="n">
        <v>46185</v>
      </c>
      <c r="D2566" t="inlineStr">
        <is>
          <t>VÄSTERNORRLANDS LÄN</t>
        </is>
      </c>
      <c r="E2566" t="inlineStr">
        <is>
          <t>ÖRNSKÖLDSVIK</t>
        </is>
      </c>
      <c r="F2566" t="inlineStr">
        <is>
          <t>Övriga Aktiebolag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34973-2024</t>
        </is>
      </c>
      <c r="B2567" s="1" t="n">
        <v>45527.53800925926</v>
      </c>
      <c r="C2567" s="1" t="n">
        <v>46185</v>
      </c>
      <c r="D2567" t="inlineStr">
        <is>
          <t>VÄSTERNORRLANDS LÄN</t>
        </is>
      </c>
      <c r="E2567" t="inlineStr">
        <is>
          <t>ÖRNSKÖLDSVIK</t>
        </is>
      </c>
      <c r="F2567" t="inlineStr">
        <is>
          <t>Holmen skog AB</t>
        </is>
      </c>
      <c r="G2567" t="n">
        <v>0.1</v>
      </c>
      <c r="H2567" t="n">
        <v>0</v>
      </c>
      <c r="I2567" t="n">
        <v>0</v>
      </c>
      <c r="J2567" t="n">
        <v>0</v>
      </c>
      <c r="K2567" t="n">
        <v>0</v>
      </c>
      <c r="L2567" t="n">
        <v>0</v>
      </c>
      <c r="M2567" t="n">
        <v>0</v>
      </c>
      <c r="N2567" t="n">
        <v>0</v>
      </c>
      <c r="O2567" t="n">
        <v>0</v>
      </c>
      <c r="P2567" t="n">
        <v>0</v>
      </c>
      <c r="Q2567" t="n">
        <v>0</v>
      </c>
      <c r="R2567" s="2" t="inlineStr"/>
    </row>
    <row r="2568" ht="15" customHeight="1">
      <c r="A2568" t="inlineStr">
        <is>
          <t>A 34981-2024</t>
        </is>
      </c>
      <c r="B2568" s="1" t="n">
        <v>45527</v>
      </c>
      <c r="C2568" s="1" t="n">
        <v>46185</v>
      </c>
      <c r="D2568" t="inlineStr">
        <is>
          <t>VÄSTERNORRLANDS LÄN</t>
        </is>
      </c>
      <c r="E2568" t="inlineStr">
        <is>
          <t>ÖRNSKÖLDSVIK</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4815-2024</t>
        </is>
      </c>
      <c r="B2569" s="1" t="n">
        <v>45328</v>
      </c>
      <c r="C2569" s="1" t="n">
        <v>46185</v>
      </c>
      <c r="D2569" t="inlineStr">
        <is>
          <t>VÄSTERNORRLANDS LÄN</t>
        </is>
      </c>
      <c r="E2569" t="inlineStr">
        <is>
          <t>KRAMFORS</t>
        </is>
      </c>
      <c r="F2569" t="inlineStr">
        <is>
          <t>SCA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55179-2022</t>
        </is>
      </c>
      <c r="B2570" s="1" t="n">
        <v>44886</v>
      </c>
      <c r="C2570" s="1" t="n">
        <v>46185</v>
      </c>
      <c r="D2570" t="inlineStr">
        <is>
          <t>VÄSTERNORRLANDS LÄN</t>
        </is>
      </c>
      <c r="E2570" t="inlineStr">
        <is>
          <t>TIMRÅ</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55197-2022</t>
        </is>
      </c>
      <c r="B2571" s="1" t="n">
        <v>44886.93714120371</v>
      </c>
      <c r="C2571" s="1" t="n">
        <v>46185</v>
      </c>
      <c r="D2571" t="inlineStr">
        <is>
          <t>VÄSTERNORRLANDS LÄN</t>
        </is>
      </c>
      <c r="E2571" t="inlineStr">
        <is>
          <t>ÅNGE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50186-2021</t>
        </is>
      </c>
      <c r="B2572" s="1" t="n">
        <v>44456</v>
      </c>
      <c r="C2572" s="1" t="n">
        <v>46185</v>
      </c>
      <c r="D2572" t="inlineStr">
        <is>
          <t>VÄSTERNORRLANDS LÄN</t>
        </is>
      </c>
      <c r="E2572" t="inlineStr">
        <is>
          <t>ÅNGE</t>
        </is>
      </c>
      <c r="F2572" t="inlineStr">
        <is>
          <t>SCA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37382-2021</t>
        </is>
      </c>
      <c r="B2573" s="1" t="n">
        <v>44397</v>
      </c>
      <c r="C2573" s="1" t="n">
        <v>46185</v>
      </c>
      <c r="D2573" t="inlineStr">
        <is>
          <t>VÄSTERNORRLANDS LÄN</t>
        </is>
      </c>
      <c r="E2573" t="inlineStr">
        <is>
          <t>ÅNGE</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28281-2024</t>
        </is>
      </c>
      <c r="B2574" s="1" t="n">
        <v>45477.46048611111</v>
      </c>
      <c r="C2574" s="1" t="n">
        <v>46185</v>
      </c>
      <c r="D2574" t="inlineStr">
        <is>
          <t>VÄSTERNORRLANDS LÄN</t>
        </is>
      </c>
      <c r="E2574" t="inlineStr">
        <is>
          <t>ÖRNSKÖLDSVIK</t>
        </is>
      </c>
      <c r="F2574" t="inlineStr">
        <is>
          <t>Holmen skog AB</t>
        </is>
      </c>
      <c r="G2574" t="n">
        <v>8</v>
      </c>
      <c r="H2574" t="n">
        <v>0</v>
      </c>
      <c r="I2574" t="n">
        <v>0</v>
      </c>
      <c r="J2574" t="n">
        <v>0</v>
      </c>
      <c r="K2574" t="n">
        <v>0</v>
      </c>
      <c r="L2574" t="n">
        <v>0</v>
      </c>
      <c r="M2574" t="n">
        <v>0</v>
      </c>
      <c r="N2574" t="n">
        <v>0</v>
      </c>
      <c r="O2574" t="n">
        <v>0</v>
      </c>
      <c r="P2574" t="n">
        <v>0</v>
      </c>
      <c r="Q2574" t="n">
        <v>0</v>
      </c>
      <c r="R2574" s="2" t="inlineStr"/>
    </row>
    <row r="2575" ht="15" customHeight="1">
      <c r="A2575" t="inlineStr">
        <is>
          <t>A 20526-2024</t>
        </is>
      </c>
      <c r="B2575" s="1" t="n">
        <v>45435</v>
      </c>
      <c r="C2575" s="1" t="n">
        <v>46185</v>
      </c>
      <c r="D2575" t="inlineStr">
        <is>
          <t>VÄSTERNORRLANDS LÄN</t>
        </is>
      </c>
      <c r="E2575" t="inlineStr">
        <is>
          <t>TIMRÅ</t>
        </is>
      </c>
      <c r="F2575" t="inlineStr">
        <is>
          <t>SCA</t>
        </is>
      </c>
      <c r="G2575" t="n">
        <v>11.3</v>
      </c>
      <c r="H2575" t="n">
        <v>0</v>
      </c>
      <c r="I2575" t="n">
        <v>0</v>
      </c>
      <c r="J2575" t="n">
        <v>0</v>
      </c>
      <c r="K2575" t="n">
        <v>0</v>
      </c>
      <c r="L2575" t="n">
        <v>0</v>
      </c>
      <c r="M2575" t="n">
        <v>0</v>
      </c>
      <c r="N2575" t="n">
        <v>0</v>
      </c>
      <c r="O2575" t="n">
        <v>0</v>
      </c>
      <c r="P2575" t="n">
        <v>0</v>
      </c>
      <c r="Q2575" t="n">
        <v>0</v>
      </c>
      <c r="R2575" s="2" t="inlineStr"/>
    </row>
    <row r="2576" ht="15" customHeight="1">
      <c r="A2576" t="inlineStr">
        <is>
          <t>A 54252-2022</t>
        </is>
      </c>
      <c r="B2576" s="1" t="n">
        <v>44881.95212962963</v>
      </c>
      <c r="C2576" s="1" t="n">
        <v>46185</v>
      </c>
      <c r="D2576" t="inlineStr">
        <is>
          <t>VÄSTERNORRLANDS LÄN</t>
        </is>
      </c>
      <c r="E2576" t="inlineStr">
        <is>
          <t>HÄRNÖSAND</t>
        </is>
      </c>
      <c r="F2576" t="inlineStr">
        <is>
          <t>SCA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4800-2023</t>
        </is>
      </c>
      <c r="B2577" s="1" t="n">
        <v>44952</v>
      </c>
      <c r="C2577" s="1" t="n">
        <v>46185</v>
      </c>
      <c r="D2577" t="inlineStr">
        <is>
          <t>VÄSTERNORRLANDS LÄN</t>
        </is>
      </c>
      <c r="E2577" t="inlineStr">
        <is>
          <t>SUNDSVALL</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17437-2023</t>
        </is>
      </c>
      <c r="B2578" s="1" t="n">
        <v>45035.92703703704</v>
      </c>
      <c r="C2578" s="1" t="n">
        <v>46185</v>
      </c>
      <c r="D2578" t="inlineStr">
        <is>
          <t>VÄSTERNORRLANDS LÄN</t>
        </is>
      </c>
      <c r="E2578" t="inlineStr">
        <is>
          <t>SUNDSVALL</t>
        </is>
      </c>
      <c r="G2578" t="n">
        <v>13.7</v>
      </c>
      <c r="H2578" t="n">
        <v>0</v>
      </c>
      <c r="I2578" t="n">
        <v>0</v>
      </c>
      <c r="J2578" t="n">
        <v>0</v>
      </c>
      <c r="K2578" t="n">
        <v>0</v>
      </c>
      <c r="L2578" t="n">
        <v>0</v>
      </c>
      <c r="M2578" t="n">
        <v>0</v>
      </c>
      <c r="N2578" t="n">
        <v>0</v>
      </c>
      <c r="O2578" t="n">
        <v>0</v>
      </c>
      <c r="P2578" t="n">
        <v>0</v>
      </c>
      <c r="Q2578" t="n">
        <v>0</v>
      </c>
      <c r="R2578" s="2" t="inlineStr"/>
    </row>
    <row r="2579" ht="15" customHeight="1">
      <c r="A2579" t="inlineStr">
        <is>
          <t>A 2312-2023</t>
        </is>
      </c>
      <c r="B2579" s="1" t="n">
        <v>44942</v>
      </c>
      <c r="C2579" s="1" t="n">
        <v>46185</v>
      </c>
      <c r="D2579" t="inlineStr">
        <is>
          <t>VÄSTERNORRLANDS LÄN</t>
        </is>
      </c>
      <c r="E2579" t="inlineStr">
        <is>
          <t>KRAMFORS</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50338-2022</t>
        </is>
      </c>
      <c r="B2580" s="1" t="n">
        <v>44865.95387731482</v>
      </c>
      <c r="C2580" s="1" t="n">
        <v>46185</v>
      </c>
      <c r="D2580" t="inlineStr">
        <is>
          <t>VÄSTERNORRLANDS LÄN</t>
        </is>
      </c>
      <c r="E2580" t="inlineStr">
        <is>
          <t>HÄRNÖSAND</t>
        </is>
      </c>
      <c r="F2580" t="inlineStr">
        <is>
          <t>SCA</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28202-2024</t>
        </is>
      </c>
      <c r="B2581" s="1" t="n">
        <v>45477.33899305556</v>
      </c>
      <c r="C2581" s="1" t="n">
        <v>46185</v>
      </c>
      <c r="D2581" t="inlineStr">
        <is>
          <t>VÄSTERNORRLANDS LÄN</t>
        </is>
      </c>
      <c r="E2581" t="inlineStr">
        <is>
          <t>ÖRNSKÖLDSVIK</t>
        </is>
      </c>
      <c r="F2581" t="inlineStr">
        <is>
          <t>Holmen skog AB</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683-2024</t>
        </is>
      </c>
      <c r="B2582" s="1" t="n">
        <v>45300</v>
      </c>
      <c r="C2582" s="1" t="n">
        <v>46185</v>
      </c>
      <c r="D2582" t="inlineStr">
        <is>
          <t>VÄSTERNORRLANDS LÄN</t>
        </is>
      </c>
      <c r="E2582" t="inlineStr">
        <is>
          <t>ÖRNSKÖLDSVIK</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68324-2021</t>
        </is>
      </c>
      <c r="B2583" s="1" t="n">
        <v>44526.96865740741</v>
      </c>
      <c r="C2583" s="1" t="n">
        <v>46185</v>
      </c>
      <c r="D2583" t="inlineStr">
        <is>
          <t>VÄSTERNORRLANDS LÄN</t>
        </is>
      </c>
      <c r="E2583" t="inlineStr">
        <is>
          <t>ÖRNSKÖLDSVIK</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36885-2023</t>
        </is>
      </c>
      <c r="B2584" s="1" t="n">
        <v>45154</v>
      </c>
      <c r="C2584" s="1" t="n">
        <v>46185</v>
      </c>
      <c r="D2584" t="inlineStr">
        <is>
          <t>VÄSTERNORRLANDS LÄN</t>
        </is>
      </c>
      <c r="E2584" t="inlineStr">
        <is>
          <t>SUNDSVALL</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33287-2024</t>
        </is>
      </c>
      <c r="B2585" s="1" t="n">
        <v>45518.74296296296</v>
      </c>
      <c r="C2585" s="1" t="n">
        <v>46185</v>
      </c>
      <c r="D2585" t="inlineStr">
        <is>
          <t>VÄSTERNORRLANDS LÄN</t>
        </is>
      </c>
      <c r="E2585" t="inlineStr">
        <is>
          <t>TIMRÅ</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22471-2024</t>
        </is>
      </c>
      <c r="B2586" s="1" t="n">
        <v>45446</v>
      </c>
      <c r="C2586" s="1" t="n">
        <v>46185</v>
      </c>
      <c r="D2586" t="inlineStr">
        <is>
          <t>VÄSTERNORRLANDS LÄN</t>
        </is>
      </c>
      <c r="E2586" t="inlineStr">
        <is>
          <t>SOLLEFTEÅ</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32592-2024</t>
        </is>
      </c>
      <c r="B2587" s="1" t="n">
        <v>45513.59996527778</v>
      </c>
      <c r="C2587" s="1" t="n">
        <v>46185</v>
      </c>
      <c r="D2587" t="inlineStr">
        <is>
          <t>VÄSTERNORRLANDS LÄN</t>
        </is>
      </c>
      <c r="E2587" t="inlineStr">
        <is>
          <t>ÖRNSKÖLDSVIK</t>
        </is>
      </c>
      <c r="F2587" t="inlineStr">
        <is>
          <t>Holmen skog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60227-2021</t>
        </is>
      </c>
      <c r="B2588" s="1" t="n">
        <v>44495</v>
      </c>
      <c r="C2588" s="1" t="n">
        <v>46185</v>
      </c>
      <c r="D2588" t="inlineStr">
        <is>
          <t>VÄSTERNORRLANDS LÄN</t>
        </is>
      </c>
      <c r="E2588" t="inlineStr">
        <is>
          <t>ÖRNSKÖLDSVIK</t>
        </is>
      </c>
      <c r="G2588" t="n">
        <v>9.300000000000001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34013-2023</t>
        </is>
      </c>
      <c r="B2589" s="1" t="n">
        <v>45124</v>
      </c>
      <c r="C2589" s="1" t="n">
        <v>46185</v>
      </c>
      <c r="D2589" t="inlineStr">
        <is>
          <t>VÄSTERNORRLANDS LÄN</t>
        </is>
      </c>
      <c r="E2589" t="inlineStr">
        <is>
          <t>ÖRNSKÖLDSVIK</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32180-2024</t>
        </is>
      </c>
      <c r="B2590" s="1" t="n">
        <v>45511</v>
      </c>
      <c r="C2590" s="1" t="n">
        <v>46185</v>
      </c>
      <c r="D2590" t="inlineStr">
        <is>
          <t>VÄSTERNORRLANDS LÄN</t>
        </is>
      </c>
      <c r="E2590" t="inlineStr">
        <is>
          <t>HÄRNÖSAND</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58032-2021</t>
        </is>
      </c>
      <c r="B2591" s="1" t="n">
        <v>44487</v>
      </c>
      <c r="C2591" s="1" t="n">
        <v>46185</v>
      </c>
      <c r="D2591" t="inlineStr">
        <is>
          <t>VÄSTERNORRLANDS LÄN</t>
        </is>
      </c>
      <c r="E2591" t="inlineStr">
        <is>
          <t>SUNDSVALL</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25888-2024</t>
        </is>
      </c>
      <c r="B2592" s="1" t="n">
        <v>45467.5041550926</v>
      </c>
      <c r="C2592" s="1" t="n">
        <v>46185</v>
      </c>
      <c r="D2592" t="inlineStr">
        <is>
          <t>VÄSTERNORRLANDS LÄN</t>
        </is>
      </c>
      <c r="E2592" t="inlineStr">
        <is>
          <t>ÖRNSKÖLDSVIK</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59346-2023</t>
        </is>
      </c>
      <c r="B2593" s="1" t="n">
        <v>45253</v>
      </c>
      <c r="C2593" s="1" t="n">
        <v>46185</v>
      </c>
      <c r="D2593" t="inlineStr">
        <is>
          <t>VÄSTERNORRLANDS LÄN</t>
        </is>
      </c>
      <c r="E2593" t="inlineStr">
        <is>
          <t>SOLLEFTEÅ</t>
        </is>
      </c>
      <c r="F2593" t="inlineStr">
        <is>
          <t>Holmen skog AB</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38087-2024</t>
        </is>
      </c>
      <c r="B2594" s="1" t="n">
        <v>45545</v>
      </c>
      <c r="C2594" s="1" t="n">
        <v>46185</v>
      </c>
      <c r="D2594" t="inlineStr">
        <is>
          <t>VÄSTERNORRLANDS LÄN</t>
        </is>
      </c>
      <c r="E2594" t="inlineStr">
        <is>
          <t>ÖRNSKÖLDSVIK</t>
        </is>
      </c>
      <c r="G2594" t="n">
        <v>13.3</v>
      </c>
      <c r="H2594" t="n">
        <v>0</v>
      </c>
      <c r="I2594" t="n">
        <v>0</v>
      </c>
      <c r="J2594" t="n">
        <v>0</v>
      </c>
      <c r="K2594" t="n">
        <v>0</v>
      </c>
      <c r="L2594" t="n">
        <v>0</v>
      </c>
      <c r="M2594" t="n">
        <v>0</v>
      </c>
      <c r="N2594" t="n">
        <v>0</v>
      </c>
      <c r="O2594" t="n">
        <v>0</v>
      </c>
      <c r="P2594" t="n">
        <v>0</v>
      </c>
      <c r="Q2594" t="n">
        <v>0</v>
      </c>
      <c r="R2594" s="2" t="inlineStr"/>
    </row>
    <row r="2595" ht="15" customHeight="1">
      <c r="A2595" t="inlineStr">
        <is>
          <t>A 51854-2024</t>
        </is>
      </c>
      <c r="B2595" s="1" t="n">
        <v>45607.54087962963</v>
      </c>
      <c r="C2595" s="1" t="n">
        <v>46185</v>
      </c>
      <c r="D2595" t="inlineStr">
        <is>
          <t>VÄSTERNORRLANDS LÄN</t>
        </is>
      </c>
      <c r="E2595" t="inlineStr">
        <is>
          <t>ÖRNSKÖLDSVIK</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49494-2024</t>
        </is>
      </c>
      <c r="B2596" s="1" t="n">
        <v>45596.36549768518</v>
      </c>
      <c r="C2596" s="1" t="n">
        <v>46185</v>
      </c>
      <c r="D2596" t="inlineStr">
        <is>
          <t>VÄSTERNORRLANDS LÄN</t>
        </is>
      </c>
      <c r="E2596" t="inlineStr">
        <is>
          <t>ÖRNSKÖLDSVIK</t>
        </is>
      </c>
      <c r="F2596" t="inlineStr">
        <is>
          <t>Holmen skog AB</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40790-2023</t>
        </is>
      </c>
      <c r="B2597" s="1" t="n">
        <v>45170.95814814815</v>
      </c>
      <c r="C2597" s="1" t="n">
        <v>46185</v>
      </c>
      <c r="D2597" t="inlineStr">
        <is>
          <t>VÄSTERNORRLANDS LÄN</t>
        </is>
      </c>
      <c r="E2597" t="inlineStr">
        <is>
          <t>ÅNGE</t>
        </is>
      </c>
      <c r="F2597" t="inlineStr">
        <is>
          <t>SCA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64917-2021</t>
        </is>
      </c>
      <c r="B2598" s="1" t="n">
        <v>44512</v>
      </c>
      <c r="C2598" s="1" t="n">
        <v>46185</v>
      </c>
      <c r="D2598" t="inlineStr">
        <is>
          <t>VÄSTERNORRLANDS LÄN</t>
        </is>
      </c>
      <c r="E2598" t="inlineStr">
        <is>
          <t>SUNDSVALL</t>
        </is>
      </c>
      <c r="F2598" t="inlineStr">
        <is>
          <t>Kommuner</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69663-2021</t>
        </is>
      </c>
      <c r="B2599" s="1" t="n">
        <v>44531</v>
      </c>
      <c r="C2599" s="1" t="n">
        <v>46185</v>
      </c>
      <c r="D2599" t="inlineStr">
        <is>
          <t>VÄSTERNORRLANDS LÄN</t>
        </is>
      </c>
      <c r="E2599" t="inlineStr">
        <is>
          <t>TIMRÅ</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38234-2024</t>
        </is>
      </c>
      <c r="B2600" s="1" t="n">
        <v>45545.56025462963</v>
      </c>
      <c r="C2600" s="1" t="n">
        <v>46185</v>
      </c>
      <c r="D2600" t="inlineStr">
        <is>
          <t>VÄSTERNORRLANDS LÄN</t>
        </is>
      </c>
      <c r="E2600" t="inlineStr">
        <is>
          <t>SOLLEFTEÅ</t>
        </is>
      </c>
      <c r="F2600" t="inlineStr">
        <is>
          <t>Holmen skog AB</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27908-2024</t>
        </is>
      </c>
      <c r="B2601" s="1" t="n">
        <v>45475.94615740741</v>
      </c>
      <c r="C2601" s="1" t="n">
        <v>46185</v>
      </c>
      <c r="D2601" t="inlineStr">
        <is>
          <t>VÄSTERNORRLANDS LÄN</t>
        </is>
      </c>
      <c r="E2601" t="inlineStr">
        <is>
          <t>SOLLEFTEÅ</t>
        </is>
      </c>
      <c r="F2601" t="inlineStr">
        <is>
          <t>SCA</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11310-2023</t>
        </is>
      </c>
      <c r="B2602" s="1" t="n">
        <v>44993.01190972222</v>
      </c>
      <c r="C2602" s="1" t="n">
        <v>46185</v>
      </c>
      <c r="D2602" t="inlineStr">
        <is>
          <t>VÄSTERNORRLANDS LÄN</t>
        </is>
      </c>
      <c r="E2602" t="inlineStr">
        <is>
          <t>ÅNGE</t>
        </is>
      </c>
      <c r="F2602" t="inlineStr">
        <is>
          <t>SCA</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1090-2023</t>
        </is>
      </c>
      <c r="B2603" s="1" t="n">
        <v>44929</v>
      </c>
      <c r="C2603" s="1" t="n">
        <v>46185</v>
      </c>
      <c r="D2603" t="inlineStr">
        <is>
          <t>VÄSTERNORRLANDS LÄN</t>
        </is>
      </c>
      <c r="E2603" t="inlineStr">
        <is>
          <t>ÅNGE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45269-2024</t>
        </is>
      </c>
      <c r="B2604" s="1" t="n">
        <v>45576.35744212963</v>
      </c>
      <c r="C2604" s="1" t="n">
        <v>46185</v>
      </c>
      <c r="D2604" t="inlineStr">
        <is>
          <t>VÄSTERNORRLANDS LÄN</t>
        </is>
      </c>
      <c r="E2604" t="inlineStr">
        <is>
          <t>ÖRNSKÖLDSVIK</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34313-2024</t>
        </is>
      </c>
      <c r="B2605" s="1" t="n">
        <v>45524</v>
      </c>
      <c r="C2605" s="1" t="n">
        <v>46185</v>
      </c>
      <c r="D2605" t="inlineStr">
        <is>
          <t>VÄSTERNORRLANDS LÄN</t>
        </is>
      </c>
      <c r="E2605" t="inlineStr">
        <is>
          <t>SOLLEFTEÅ</t>
        </is>
      </c>
      <c r="F2605" t="inlineStr">
        <is>
          <t>Övriga statliga verk och myndigheter</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29240-2024</t>
        </is>
      </c>
      <c r="B2606" s="1" t="n">
        <v>45482.94565972222</v>
      </c>
      <c r="C2606" s="1" t="n">
        <v>46185</v>
      </c>
      <c r="D2606" t="inlineStr">
        <is>
          <t>VÄSTERNORRLANDS LÄN</t>
        </is>
      </c>
      <c r="E2606" t="inlineStr">
        <is>
          <t>KRAMFORS</t>
        </is>
      </c>
      <c r="F2606" t="inlineStr">
        <is>
          <t>SCA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41146-2023</t>
        </is>
      </c>
      <c r="B2607" s="1" t="n">
        <v>45173.94277777777</v>
      </c>
      <c r="C2607" s="1" t="n">
        <v>46185</v>
      </c>
      <c r="D2607" t="inlineStr">
        <is>
          <t>VÄSTERNORRLANDS LÄN</t>
        </is>
      </c>
      <c r="E2607" t="inlineStr">
        <is>
          <t>SOLLEFTEÅ</t>
        </is>
      </c>
      <c r="F2607" t="inlineStr">
        <is>
          <t>SCA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61492-2023</t>
        </is>
      </c>
      <c r="B2608" s="1" t="n">
        <v>45264</v>
      </c>
      <c r="C2608" s="1" t="n">
        <v>46185</v>
      </c>
      <c r="D2608" t="inlineStr">
        <is>
          <t>VÄSTERNORRLANDS LÄN</t>
        </is>
      </c>
      <c r="E2608" t="inlineStr">
        <is>
          <t>SUNDSVALL</t>
        </is>
      </c>
      <c r="F2608" t="inlineStr">
        <is>
          <t>SCA</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34318-2024</t>
        </is>
      </c>
      <c r="B2609" s="1" t="n">
        <v>45524</v>
      </c>
      <c r="C2609" s="1" t="n">
        <v>46185</v>
      </c>
      <c r="D2609" t="inlineStr">
        <is>
          <t>VÄSTERNORRLANDS LÄN</t>
        </is>
      </c>
      <c r="E2609" t="inlineStr">
        <is>
          <t>SOLLEFTEÅ</t>
        </is>
      </c>
      <c r="F2609" t="inlineStr">
        <is>
          <t>Övriga statliga verk och myndigheter</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10365-2024</t>
        </is>
      </c>
      <c r="B2610" s="1" t="n">
        <v>45365</v>
      </c>
      <c r="C2610" s="1" t="n">
        <v>46185</v>
      </c>
      <c r="D2610" t="inlineStr">
        <is>
          <t>VÄSTERNORRLANDS LÄN</t>
        </is>
      </c>
      <c r="E2610" t="inlineStr">
        <is>
          <t>KRAMFORS</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25313-2025</t>
        </is>
      </c>
      <c r="B2611" s="1" t="n">
        <v>45799</v>
      </c>
      <c r="C2611" s="1" t="n">
        <v>46185</v>
      </c>
      <c r="D2611" t="inlineStr">
        <is>
          <t>VÄSTERNORRLANDS LÄN</t>
        </is>
      </c>
      <c r="E2611" t="inlineStr">
        <is>
          <t>SOLLEFTEÅ</t>
        </is>
      </c>
      <c r="F2611" t="inlineStr">
        <is>
          <t>Kommuner</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25340-2025</t>
        </is>
      </c>
      <c r="B2612" s="1" t="n">
        <v>45800.60074074074</v>
      </c>
      <c r="C2612" s="1" t="n">
        <v>46185</v>
      </c>
      <c r="D2612" t="inlineStr">
        <is>
          <t>VÄSTERNORRLANDS LÄN</t>
        </is>
      </c>
      <c r="E2612" t="inlineStr">
        <is>
          <t>ÅNGE</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5721-2024</t>
        </is>
      </c>
      <c r="B2613" s="1" t="n">
        <v>45334</v>
      </c>
      <c r="C2613" s="1" t="n">
        <v>46185</v>
      </c>
      <c r="D2613" t="inlineStr">
        <is>
          <t>VÄSTERNORRLANDS LÄN</t>
        </is>
      </c>
      <c r="E2613" t="inlineStr">
        <is>
          <t>SUNDSVALL</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25363-2025</t>
        </is>
      </c>
      <c r="B2614" s="1" t="n">
        <v>45799</v>
      </c>
      <c r="C2614" s="1" t="n">
        <v>46185</v>
      </c>
      <c r="D2614" t="inlineStr">
        <is>
          <t>VÄSTERNORRLANDS LÄN</t>
        </is>
      </c>
      <c r="E2614" t="inlineStr">
        <is>
          <t>HÄRNÖSAND</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27668-2024</t>
        </is>
      </c>
      <c r="B2615" s="1" t="n">
        <v>45474.95435185185</v>
      </c>
      <c r="C2615" s="1" t="n">
        <v>46185</v>
      </c>
      <c r="D2615" t="inlineStr">
        <is>
          <t>VÄSTERNORRLANDS LÄN</t>
        </is>
      </c>
      <c r="E2615" t="inlineStr">
        <is>
          <t>ÅNGE</t>
        </is>
      </c>
      <c r="F2615" t="inlineStr">
        <is>
          <t>SCA</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30207-2024</t>
        </is>
      </c>
      <c r="B2616" s="1" t="n">
        <v>45488</v>
      </c>
      <c r="C2616" s="1" t="n">
        <v>46185</v>
      </c>
      <c r="D2616" t="inlineStr">
        <is>
          <t>VÄSTERNORRLANDS LÄN</t>
        </is>
      </c>
      <c r="E2616" t="inlineStr">
        <is>
          <t>ÖRNSKÖLDSVIK</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30209-2024</t>
        </is>
      </c>
      <c r="B2617" s="1" t="n">
        <v>45488</v>
      </c>
      <c r="C2617" s="1" t="n">
        <v>46185</v>
      </c>
      <c r="D2617" t="inlineStr">
        <is>
          <t>VÄSTERNORRLANDS LÄN</t>
        </is>
      </c>
      <c r="E2617" t="inlineStr">
        <is>
          <t>ÖRNSKÖLDSVIK</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63375-2023</t>
        </is>
      </c>
      <c r="B2618" s="1" t="n">
        <v>45273</v>
      </c>
      <c r="C2618" s="1" t="n">
        <v>46185</v>
      </c>
      <c r="D2618" t="inlineStr">
        <is>
          <t>VÄSTERNORRLANDS LÄN</t>
        </is>
      </c>
      <c r="E2618" t="inlineStr">
        <is>
          <t>HÄRNÖSAND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31554-2024</t>
        </is>
      </c>
      <c r="B2619" s="1" t="n">
        <v>45505.96472222222</v>
      </c>
      <c r="C2619" s="1" t="n">
        <v>46185</v>
      </c>
      <c r="D2619" t="inlineStr">
        <is>
          <t>VÄSTERNORRLANDS LÄN</t>
        </is>
      </c>
      <c r="E2619" t="inlineStr">
        <is>
          <t>SOLLEFTEÅ</t>
        </is>
      </c>
      <c r="F2619" t="inlineStr">
        <is>
          <t>SCA</t>
        </is>
      </c>
      <c r="G2619" t="n">
        <v>7.4</v>
      </c>
      <c r="H2619" t="n">
        <v>0</v>
      </c>
      <c r="I2619" t="n">
        <v>0</v>
      </c>
      <c r="J2619" t="n">
        <v>0</v>
      </c>
      <c r="K2619" t="n">
        <v>0</v>
      </c>
      <c r="L2619" t="n">
        <v>0</v>
      </c>
      <c r="M2619" t="n">
        <v>0</v>
      </c>
      <c r="N2619" t="n">
        <v>0</v>
      </c>
      <c r="O2619" t="n">
        <v>0</v>
      </c>
      <c r="P2619" t="n">
        <v>0</v>
      </c>
      <c r="Q2619" t="n">
        <v>0</v>
      </c>
      <c r="R2619" s="2" t="inlineStr"/>
    </row>
    <row r="2620" ht="15" customHeight="1">
      <c r="A2620" t="inlineStr">
        <is>
          <t>A 25273-2025</t>
        </is>
      </c>
      <c r="B2620" s="1" t="n">
        <v>45800.55253472222</v>
      </c>
      <c r="C2620" s="1" t="n">
        <v>46185</v>
      </c>
      <c r="D2620" t="inlineStr">
        <is>
          <t>VÄSTERNORRLANDS LÄN</t>
        </is>
      </c>
      <c r="E2620" t="inlineStr">
        <is>
          <t>ÅNGE</t>
        </is>
      </c>
      <c r="F2620" t="inlineStr">
        <is>
          <t>SCA</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31556-2024</t>
        </is>
      </c>
      <c r="B2621" s="1" t="n">
        <v>45505</v>
      </c>
      <c r="C2621" s="1" t="n">
        <v>46185</v>
      </c>
      <c r="D2621" t="inlineStr">
        <is>
          <t>VÄSTERNORRLANDS LÄN</t>
        </is>
      </c>
      <c r="E2621" t="inlineStr">
        <is>
          <t>SOLLEFTEÅ</t>
        </is>
      </c>
      <c r="F2621" t="inlineStr">
        <is>
          <t>SCA</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28699-2024</t>
        </is>
      </c>
      <c r="B2622" s="1" t="n">
        <v>45478.50231481482</v>
      </c>
      <c r="C2622" s="1" t="n">
        <v>46185</v>
      </c>
      <c r="D2622" t="inlineStr">
        <is>
          <t>VÄSTERNORRLANDS LÄN</t>
        </is>
      </c>
      <c r="E2622" t="inlineStr">
        <is>
          <t>ÖRNSKÖLDSVIK</t>
        </is>
      </c>
      <c r="F2622" t="inlineStr">
        <is>
          <t>Holmen skog AB</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28547-2024</t>
        </is>
      </c>
      <c r="B2623" s="1" t="n">
        <v>45478.35789351852</v>
      </c>
      <c r="C2623" s="1" t="n">
        <v>46185</v>
      </c>
      <c r="D2623" t="inlineStr">
        <is>
          <t>VÄSTERNORRLANDS LÄN</t>
        </is>
      </c>
      <c r="E2623" t="inlineStr">
        <is>
          <t>ÖRNSKÖLDSVIK</t>
        </is>
      </c>
      <c r="F2623" t="inlineStr">
        <is>
          <t>Holmen skog AB</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30298-2024</t>
        </is>
      </c>
      <c r="B2624" s="1" t="n">
        <v>45490</v>
      </c>
      <c r="C2624" s="1" t="n">
        <v>46185</v>
      </c>
      <c r="D2624" t="inlineStr">
        <is>
          <t>VÄSTERNORRLANDS LÄN</t>
        </is>
      </c>
      <c r="E2624" t="inlineStr">
        <is>
          <t>SUNDSVALL</t>
        </is>
      </c>
      <c r="F2624" t="inlineStr">
        <is>
          <t>Kommuner</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25352-2025</t>
        </is>
      </c>
      <c r="B2625" s="1" t="n">
        <v>45800.61552083334</v>
      </c>
      <c r="C2625" s="1" t="n">
        <v>46185</v>
      </c>
      <c r="D2625" t="inlineStr">
        <is>
          <t>VÄSTERNORRLANDS LÄN</t>
        </is>
      </c>
      <c r="E2625" t="inlineStr">
        <is>
          <t>ÅNGE</t>
        </is>
      </c>
      <c r="F2625" t="inlineStr">
        <is>
          <t>SCA</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24955-2025</t>
        </is>
      </c>
      <c r="B2626" s="1" t="n">
        <v>45799.57399305556</v>
      </c>
      <c r="C2626" s="1" t="n">
        <v>46185</v>
      </c>
      <c r="D2626" t="inlineStr">
        <is>
          <t>VÄSTERNORRLANDS LÄN</t>
        </is>
      </c>
      <c r="E2626" t="inlineStr">
        <is>
          <t>HÄRNÖSAND</t>
        </is>
      </c>
      <c r="F2626" t="inlineStr">
        <is>
          <t>SCA</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24993-2025</t>
        </is>
      </c>
      <c r="B2627" s="1" t="n">
        <v>45799.61525462963</v>
      </c>
      <c r="C2627" s="1" t="n">
        <v>46185</v>
      </c>
      <c r="D2627" t="inlineStr">
        <is>
          <t>VÄSTERNORRLANDS LÄN</t>
        </is>
      </c>
      <c r="E2627" t="inlineStr">
        <is>
          <t>KRAMFORS</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25017-2025</t>
        </is>
      </c>
      <c r="B2628" s="1" t="n">
        <v>45799.63791666667</v>
      </c>
      <c r="C2628" s="1" t="n">
        <v>46185</v>
      </c>
      <c r="D2628" t="inlineStr">
        <is>
          <t>VÄSTERNORRLANDS LÄN</t>
        </is>
      </c>
      <c r="E2628" t="inlineStr">
        <is>
          <t>ÅNGE</t>
        </is>
      </c>
      <c r="F2628" t="inlineStr">
        <is>
          <t>Sveaskog</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26661-2024</t>
        </is>
      </c>
      <c r="B2629" s="1" t="n">
        <v>45469</v>
      </c>
      <c r="C2629" s="1" t="n">
        <v>46185</v>
      </c>
      <c r="D2629" t="inlineStr">
        <is>
          <t>VÄSTERNORRLANDS LÄN</t>
        </is>
      </c>
      <c r="E2629" t="inlineStr">
        <is>
          <t>SUNDSVALL</t>
        </is>
      </c>
      <c r="F2629" t="inlineStr">
        <is>
          <t>SCA</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26662-2024</t>
        </is>
      </c>
      <c r="B2630" s="1" t="n">
        <v>45469</v>
      </c>
      <c r="C2630" s="1" t="n">
        <v>46185</v>
      </c>
      <c r="D2630" t="inlineStr">
        <is>
          <t>VÄSTERNORRLANDS LÄN</t>
        </is>
      </c>
      <c r="E2630" t="inlineStr">
        <is>
          <t>TIMRÅ</t>
        </is>
      </c>
      <c r="F2630" t="inlineStr">
        <is>
          <t>SCA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30056-2024</t>
        </is>
      </c>
      <c r="B2631" s="1" t="n">
        <v>45488.94775462963</v>
      </c>
      <c r="C2631" s="1" t="n">
        <v>46185</v>
      </c>
      <c r="D2631" t="inlineStr">
        <is>
          <t>VÄSTERNORRLANDS LÄN</t>
        </is>
      </c>
      <c r="E2631" t="inlineStr">
        <is>
          <t>ÖRNSKÖLDSVIK</t>
        </is>
      </c>
      <c r="F2631" t="inlineStr">
        <is>
          <t>SCA</t>
        </is>
      </c>
      <c r="G2631" t="n">
        <v>6.1</v>
      </c>
      <c r="H2631" t="n">
        <v>0</v>
      </c>
      <c r="I2631" t="n">
        <v>0</v>
      </c>
      <c r="J2631" t="n">
        <v>0</v>
      </c>
      <c r="K2631" t="n">
        <v>0</v>
      </c>
      <c r="L2631" t="n">
        <v>0</v>
      </c>
      <c r="M2631" t="n">
        <v>0</v>
      </c>
      <c r="N2631" t="n">
        <v>0</v>
      </c>
      <c r="O2631" t="n">
        <v>0</v>
      </c>
      <c r="P2631" t="n">
        <v>0</v>
      </c>
      <c r="Q2631" t="n">
        <v>0</v>
      </c>
      <c r="R2631" s="2" t="inlineStr"/>
    </row>
    <row r="2632" ht="15" customHeight="1">
      <c r="A2632" t="inlineStr">
        <is>
          <t>A 52724-2021</t>
        </is>
      </c>
      <c r="B2632" s="1" t="n">
        <v>44466.93547453704</v>
      </c>
      <c r="C2632" s="1" t="n">
        <v>46185</v>
      </c>
      <c r="D2632" t="inlineStr">
        <is>
          <t>VÄSTERNORRLANDS LÄN</t>
        </is>
      </c>
      <c r="E2632" t="inlineStr">
        <is>
          <t>KRAMFORS</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24730-2025</t>
        </is>
      </c>
      <c r="B2633" s="1" t="n">
        <v>45799.34150462963</v>
      </c>
      <c r="C2633" s="1" t="n">
        <v>46185</v>
      </c>
      <c r="D2633" t="inlineStr">
        <is>
          <t>VÄSTERNORRLANDS LÄN</t>
        </is>
      </c>
      <c r="E2633" t="inlineStr">
        <is>
          <t>SOLLEFTEÅ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25238-2025</t>
        </is>
      </c>
      <c r="B2634" s="1" t="n">
        <v>45800.49016203704</v>
      </c>
      <c r="C2634" s="1" t="n">
        <v>46185</v>
      </c>
      <c r="D2634" t="inlineStr">
        <is>
          <t>VÄSTERNORRLANDS LÄN</t>
        </is>
      </c>
      <c r="E2634" t="inlineStr">
        <is>
          <t>SOLLEFTEÅ</t>
        </is>
      </c>
      <c r="F2634" t="inlineStr">
        <is>
          <t>SCA</t>
        </is>
      </c>
      <c r="G2634" t="n">
        <v>9.800000000000001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27895-2024</t>
        </is>
      </c>
      <c r="B2635" s="1" t="n">
        <v>45475.92822916667</v>
      </c>
      <c r="C2635" s="1" t="n">
        <v>46185</v>
      </c>
      <c r="D2635" t="inlineStr">
        <is>
          <t>VÄSTERNORRLANDS LÄN</t>
        </is>
      </c>
      <c r="E2635" t="inlineStr">
        <is>
          <t>SUNDSVALL</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27977-2024</t>
        </is>
      </c>
      <c r="B2636" s="1" t="n">
        <v>45476</v>
      </c>
      <c r="C2636" s="1" t="n">
        <v>46185</v>
      </c>
      <c r="D2636" t="inlineStr">
        <is>
          <t>VÄSTERNORRLANDS LÄN</t>
        </is>
      </c>
      <c r="E2636" t="inlineStr">
        <is>
          <t>HÄRNÖSAND</t>
        </is>
      </c>
      <c r="G2636" t="n">
        <v>6.4</v>
      </c>
      <c r="H2636" t="n">
        <v>0</v>
      </c>
      <c r="I2636" t="n">
        <v>0</v>
      </c>
      <c r="J2636" t="n">
        <v>0</v>
      </c>
      <c r="K2636" t="n">
        <v>0</v>
      </c>
      <c r="L2636" t="n">
        <v>0</v>
      </c>
      <c r="M2636" t="n">
        <v>0</v>
      </c>
      <c r="N2636" t="n">
        <v>0</v>
      </c>
      <c r="O2636" t="n">
        <v>0</v>
      </c>
      <c r="P2636" t="n">
        <v>0</v>
      </c>
      <c r="Q2636" t="n">
        <v>0</v>
      </c>
      <c r="R2636" s="2" t="inlineStr"/>
    </row>
    <row r="2637" ht="15" customHeight="1">
      <c r="A2637" t="inlineStr">
        <is>
          <t>A 25196-2025</t>
        </is>
      </c>
      <c r="B2637" s="1" t="n">
        <v>45800.46025462963</v>
      </c>
      <c r="C2637" s="1" t="n">
        <v>46185</v>
      </c>
      <c r="D2637" t="inlineStr">
        <is>
          <t>VÄSTERNORRLANDS LÄN</t>
        </is>
      </c>
      <c r="E2637" t="inlineStr">
        <is>
          <t>SUNDSVALL</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25241-2025</t>
        </is>
      </c>
      <c r="B2638" s="1" t="n">
        <v>45800.49053240741</v>
      </c>
      <c r="C2638" s="1" t="n">
        <v>46185</v>
      </c>
      <c r="D2638" t="inlineStr">
        <is>
          <t>VÄSTERNORRLANDS LÄN</t>
        </is>
      </c>
      <c r="E2638" t="inlineStr">
        <is>
          <t>ÅNGE</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29869-2024</t>
        </is>
      </c>
      <c r="B2639" s="1" t="n">
        <v>45485.94493055555</v>
      </c>
      <c r="C2639" s="1" t="n">
        <v>46185</v>
      </c>
      <c r="D2639" t="inlineStr">
        <is>
          <t>VÄSTERNORRLANDS LÄN</t>
        </is>
      </c>
      <c r="E2639" t="inlineStr">
        <is>
          <t>SOLLEFTEÅ</t>
        </is>
      </c>
      <c r="F2639" t="inlineStr">
        <is>
          <t>SCA</t>
        </is>
      </c>
      <c r="G2639" t="n">
        <v>6.4</v>
      </c>
      <c r="H2639" t="n">
        <v>0</v>
      </c>
      <c r="I2639" t="n">
        <v>0</v>
      </c>
      <c r="J2639" t="n">
        <v>0</v>
      </c>
      <c r="K2639" t="n">
        <v>0</v>
      </c>
      <c r="L2639" t="n">
        <v>0</v>
      </c>
      <c r="M2639" t="n">
        <v>0</v>
      </c>
      <c r="N2639" t="n">
        <v>0</v>
      </c>
      <c r="O2639" t="n">
        <v>0</v>
      </c>
      <c r="P2639" t="n">
        <v>0</v>
      </c>
      <c r="Q2639" t="n">
        <v>0</v>
      </c>
      <c r="R2639" s="2" t="inlineStr"/>
    </row>
    <row r="2640" ht="15" customHeight="1">
      <c r="A2640" t="inlineStr">
        <is>
          <t>A 25258-2025</t>
        </is>
      </c>
      <c r="B2640" s="1" t="n">
        <v>45800.51092592593</v>
      </c>
      <c r="C2640" s="1" t="n">
        <v>46185</v>
      </c>
      <c r="D2640" t="inlineStr">
        <is>
          <t>VÄSTERNORRLANDS LÄN</t>
        </is>
      </c>
      <c r="E2640" t="inlineStr">
        <is>
          <t>SUNDSVALL</t>
        </is>
      </c>
      <c r="F2640" t="inlineStr">
        <is>
          <t>Naturvårdsverket</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25351-2025</t>
        </is>
      </c>
      <c r="B2641" s="1" t="n">
        <v>45800.61526620371</v>
      </c>
      <c r="C2641" s="1" t="n">
        <v>46185</v>
      </c>
      <c r="D2641" t="inlineStr">
        <is>
          <t>VÄSTERNORRLANDS LÄN</t>
        </is>
      </c>
      <c r="E2641" t="inlineStr">
        <is>
          <t>SUNDSVALL</t>
        </is>
      </c>
      <c r="F2641" t="inlineStr">
        <is>
          <t>Kyrkan</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51573-2024</t>
        </is>
      </c>
      <c r="B2642" s="1" t="n">
        <v>45604</v>
      </c>
      <c r="C2642" s="1" t="n">
        <v>46185</v>
      </c>
      <c r="D2642" t="inlineStr">
        <is>
          <t>VÄSTERNORRLANDS LÄN</t>
        </is>
      </c>
      <c r="E2642" t="inlineStr">
        <is>
          <t>SOLLEFTEÅ</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25126-2025</t>
        </is>
      </c>
      <c r="B2643" s="1" t="n">
        <v>45800.37791666666</v>
      </c>
      <c r="C2643" s="1" t="n">
        <v>46185</v>
      </c>
      <c r="D2643" t="inlineStr">
        <is>
          <t>VÄSTERNORRLANDS LÄN</t>
        </is>
      </c>
      <c r="E2643" t="inlineStr">
        <is>
          <t>ÖRNSKÖLDSVIK</t>
        </is>
      </c>
      <c r="F2643" t="inlineStr">
        <is>
          <t>Holmen skog AB</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44045-2022</t>
        </is>
      </c>
      <c r="B2644" s="1" t="n">
        <v>44838</v>
      </c>
      <c r="C2644" s="1" t="n">
        <v>46185</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70173-2021</t>
        </is>
      </c>
      <c r="B2645" s="1" t="n">
        <v>44533</v>
      </c>
      <c r="C2645" s="1" t="n">
        <v>46185</v>
      </c>
      <c r="D2645" t="inlineStr">
        <is>
          <t>VÄSTERNORRLANDS LÄN</t>
        </is>
      </c>
      <c r="E2645" t="inlineStr">
        <is>
          <t>SUNDSVALL</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25297-2025</t>
        </is>
      </c>
      <c r="B2646" s="1" t="n">
        <v>45800.5684837963</v>
      </c>
      <c r="C2646" s="1" t="n">
        <v>46185</v>
      </c>
      <c r="D2646" t="inlineStr">
        <is>
          <t>VÄSTERNORRLANDS LÄN</t>
        </is>
      </c>
      <c r="E2646" t="inlineStr">
        <is>
          <t>SOLLEFTEÅ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62968-2021</t>
        </is>
      </c>
      <c r="B2647" s="1" t="n">
        <v>44505.30230324074</v>
      </c>
      <c r="C2647" s="1" t="n">
        <v>46185</v>
      </c>
      <c r="D2647" t="inlineStr">
        <is>
          <t>VÄSTERNORRLANDS LÄN</t>
        </is>
      </c>
      <c r="E2647" t="inlineStr">
        <is>
          <t>ÖRNSKÖLDSVIK</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55643-2021</t>
        </is>
      </c>
      <c r="B2648" s="1" t="n">
        <v>44475</v>
      </c>
      <c r="C2648" s="1" t="n">
        <v>46185</v>
      </c>
      <c r="D2648" t="inlineStr">
        <is>
          <t>VÄSTERNORRLANDS LÄN</t>
        </is>
      </c>
      <c r="E2648" t="inlineStr">
        <is>
          <t>SOLLEFTEÅ</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35761-2024</t>
        </is>
      </c>
      <c r="B2649" s="1" t="n">
        <v>45532.57244212963</v>
      </c>
      <c r="C2649" s="1" t="n">
        <v>46185</v>
      </c>
      <c r="D2649" t="inlineStr">
        <is>
          <t>VÄSTERNORRLANDS LÄN</t>
        </is>
      </c>
      <c r="E2649" t="inlineStr">
        <is>
          <t>ÖRNSKÖLDSVIK</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35793-2024</t>
        </is>
      </c>
      <c r="B2650" s="1" t="n">
        <v>45532</v>
      </c>
      <c r="C2650" s="1" t="n">
        <v>46185</v>
      </c>
      <c r="D2650" t="inlineStr">
        <is>
          <t>VÄSTERNORRLANDS LÄN</t>
        </is>
      </c>
      <c r="E2650" t="inlineStr">
        <is>
          <t>SOLLEFTEÅ</t>
        </is>
      </c>
      <c r="F2650" t="inlineStr">
        <is>
          <t>SCA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35794-2024</t>
        </is>
      </c>
      <c r="B2651" s="1" t="n">
        <v>45532.62974537037</v>
      </c>
      <c r="C2651" s="1" t="n">
        <v>46185</v>
      </c>
      <c r="D2651" t="inlineStr">
        <is>
          <t>VÄSTERNORRLANDS LÄN</t>
        </is>
      </c>
      <c r="E2651" t="inlineStr">
        <is>
          <t>SOLLEFTEÅ</t>
        </is>
      </c>
      <c r="F2651" t="inlineStr">
        <is>
          <t>SCA</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35803-2024</t>
        </is>
      </c>
      <c r="B2652" s="1" t="n">
        <v>45532.64506944444</v>
      </c>
      <c r="C2652" s="1" t="n">
        <v>46185</v>
      </c>
      <c r="D2652" t="inlineStr">
        <is>
          <t>VÄSTERNORRLANDS LÄN</t>
        </is>
      </c>
      <c r="E2652" t="inlineStr">
        <is>
          <t>SOLLEFTEÅ</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4915-2023</t>
        </is>
      </c>
      <c r="B2653" s="1" t="n">
        <v>44958.39085648148</v>
      </c>
      <c r="C2653" s="1" t="n">
        <v>46185</v>
      </c>
      <c r="D2653" t="inlineStr">
        <is>
          <t>VÄSTERNORRLANDS LÄN</t>
        </is>
      </c>
      <c r="E2653" t="inlineStr">
        <is>
          <t>KRAMFORS</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38623-2025</t>
        </is>
      </c>
      <c r="B2654" s="1" t="n">
        <v>45884.55336805555</v>
      </c>
      <c r="C2654" s="1" t="n">
        <v>46185</v>
      </c>
      <c r="D2654" t="inlineStr">
        <is>
          <t>VÄSTERNORRLANDS LÄN</t>
        </is>
      </c>
      <c r="E2654" t="inlineStr">
        <is>
          <t>TIMRÅ</t>
        </is>
      </c>
      <c r="F2654" t="inlineStr">
        <is>
          <t>SCA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38634-2025</t>
        </is>
      </c>
      <c r="B2655" s="1" t="n">
        <v>45884.56539351852</v>
      </c>
      <c r="C2655" s="1" t="n">
        <v>46185</v>
      </c>
      <c r="D2655" t="inlineStr">
        <is>
          <t>VÄSTERNORRLANDS LÄN</t>
        </is>
      </c>
      <c r="E2655" t="inlineStr">
        <is>
          <t>ÖRNSKÖLDSVIK</t>
        </is>
      </c>
      <c r="F2655" t="inlineStr">
        <is>
          <t>Holmen skog AB</t>
        </is>
      </c>
      <c r="G2655" t="n">
        <v>5.4</v>
      </c>
      <c r="H2655" t="n">
        <v>0</v>
      </c>
      <c r="I2655" t="n">
        <v>0</v>
      </c>
      <c r="J2655" t="n">
        <v>0</v>
      </c>
      <c r="K2655" t="n">
        <v>0</v>
      </c>
      <c r="L2655" t="n">
        <v>0</v>
      </c>
      <c r="M2655" t="n">
        <v>0</v>
      </c>
      <c r="N2655" t="n">
        <v>0</v>
      </c>
      <c r="O2655" t="n">
        <v>0</v>
      </c>
      <c r="P2655" t="n">
        <v>0</v>
      </c>
      <c r="Q2655" t="n">
        <v>0</v>
      </c>
      <c r="R2655" s="2" t="inlineStr"/>
    </row>
    <row r="2656" ht="15" customHeight="1">
      <c r="A2656" t="inlineStr">
        <is>
          <t>A 60757-2023</t>
        </is>
      </c>
      <c r="B2656" s="1" t="n">
        <v>45260</v>
      </c>
      <c r="C2656" s="1" t="n">
        <v>46185</v>
      </c>
      <c r="D2656" t="inlineStr">
        <is>
          <t>VÄSTERNORRLANDS LÄN</t>
        </is>
      </c>
      <c r="E2656" t="inlineStr">
        <is>
          <t>ÖRNSKÖLDSVIK</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55913-2022</t>
        </is>
      </c>
      <c r="B2657" s="1" t="n">
        <v>44889</v>
      </c>
      <c r="C2657" s="1" t="n">
        <v>46185</v>
      </c>
      <c r="D2657" t="inlineStr">
        <is>
          <t>VÄSTERNORRLANDS LÄN</t>
        </is>
      </c>
      <c r="E2657" t="inlineStr">
        <is>
          <t>ÖRNSKÖLDSVIK</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1116-2023</t>
        </is>
      </c>
      <c r="B2658" s="1" t="n">
        <v>44929</v>
      </c>
      <c r="C2658" s="1" t="n">
        <v>46185</v>
      </c>
      <c r="D2658" t="inlineStr">
        <is>
          <t>VÄSTERNORRLANDS LÄN</t>
        </is>
      </c>
      <c r="E2658" t="inlineStr">
        <is>
          <t>ÅNGE</t>
        </is>
      </c>
      <c r="G2658" t="n">
        <v>17.2</v>
      </c>
      <c r="H2658" t="n">
        <v>0</v>
      </c>
      <c r="I2658" t="n">
        <v>0</v>
      </c>
      <c r="J2658" t="n">
        <v>0</v>
      </c>
      <c r="K2658" t="n">
        <v>0</v>
      </c>
      <c r="L2658" t="n">
        <v>0</v>
      </c>
      <c r="M2658" t="n">
        <v>0</v>
      </c>
      <c r="N2658" t="n">
        <v>0</v>
      </c>
      <c r="O2658" t="n">
        <v>0</v>
      </c>
      <c r="P2658" t="n">
        <v>0</v>
      </c>
      <c r="Q2658" t="n">
        <v>0</v>
      </c>
      <c r="R2658" s="2" t="inlineStr"/>
    </row>
    <row r="2659" ht="15" customHeight="1">
      <c r="A2659" t="inlineStr">
        <is>
          <t>A 38100-2023</t>
        </is>
      </c>
      <c r="B2659" s="1" t="n">
        <v>45160.9647800926</v>
      </c>
      <c r="C2659" s="1" t="n">
        <v>46185</v>
      </c>
      <c r="D2659" t="inlineStr">
        <is>
          <t>VÄSTERNORRLANDS LÄN</t>
        </is>
      </c>
      <c r="E2659" t="inlineStr">
        <is>
          <t>SOLLEFTEÅ</t>
        </is>
      </c>
      <c r="F2659" t="inlineStr">
        <is>
          <t>SCA</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25116-2025</t>
        </is>
      </c>
      <c r="B2660" s="1" t="n">
        <v>45800.36362268519</v>
      </c>
      <c r="C2660" s="1" t="n">
        <v>46185</v>
      </c>
      <c r="D2660" t="inlineStr">
        <is>
          <t>VÄSTERNORRLANDS LÄN</t>
        </is>
      </c>
      <c r="E2660" t="inlineStr">
        <is>
          <t>ÖRNSKÖLDSVIK</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25154-2025</t>
        </is>
      </c>
      <c r="B2661" s="1" t="n">
        <v>45800.42770833334</v>
      </c>
      <c r="C2661" s="1" t="n">
        <v>46185</v>
      </c>
      <c r="D2661" t="inlineStr">
        <is>
          <t>VÄSTERNORRLANDS LÄN</t>
        </is>
      </c>
      <c r="E2661" t="inlineStr">
        <is>
          <t>SUNDSVALL</t>
        </is>
      </c>
      <c r="F2661" t="inlineStr">
        <is>
          <t>SCA</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25161-2025</t>
        </is>
      </c>
      <c r="B2662" s="1" t="n">
        <v>45800.42946759259</v>
      </c>
      <c r="C2662" s="1" t="n">
        <v>46185</v>
      </c>
      <c r="D2662" t="inlineStr">
        <is>
          <t>VÄSTERNORRLANDS LÄN</t>
        </is>
      </c>
      <c r="E2662" t="inlineStr">
        <is>
          <t>KRAMFORS</t>
        </is>
      </c>
      <c r="G2662" t="n">
        <v>11.1</v>
      </c>
      <c r="H2662" t="n">
        <v>0</v>
      </c>
      <c r="I2662" t="n">
        <v>0</v>
      </c>
      <c r="J2662" t="n">
        <v>0</v>
      </c>
      <c r="K2662" t="n">
        <v>0</v>
      </c>
      <c r="L2662" t="n">
        <v>0</v>
      </c>
      <c r="M2662" t="n">
        <v>0</v>
      </c>
      <c r="N2662" t="n">
        <v>0</v>
      </c>
      <c r="O2662" t="n">
        <v>0</v>
      </c>
      <c r="P2662" t="n">
        <v>0</v>
      </c>
      <c r="Q2662" t="n">
        <v>0</v>
      </c>
      <c r="R2662" s="2" t="inlineStr"/>
    </row>
    <row r="2663" ht="15" customHeight="1">
      <c r="A2663" t="inlineStr">
        <is>
          <t>A 25173-2025</t>
        </is>
      </c>
      <c r="B2663" s="1" t="n">
        <v>45800.44560185185</v>
      </c>
      <c r="C2663" s="1" t="n">
        <v>46185</v>
      </c>
      <c r="D2663" t="inlineStr">
        <is>
          <t>VÄSTERNORRLANDS LÄN</t>
        </is>
      </c>
      <c r="E2663" t="inlineStr">
        <is>
          <t>ÖRNSKÖLDSVIK</t>
        </is>
      </c>
      <c r="F2663" t="inlineStr">
        <is>
          <t>Holmen skog AB</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38284-2025</t>
        </is>
      </c>
      <c r="B2664" s="1" t="n">
        <v>45883.4275</v>
      </c>
      <c r="C2664" s="1" t="n">
        <v>46185</v>
      </c>
      <c r="D2664" t="inlineStr">
        <is>
          <t>VÄSTERNORRLANDS LÄN</t>
        </is>
      </c>
      <c r="E2664" t="inlineStr">
        <is>
          <t>ÖRNSKÖLDSVIK</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38131-2023</t>
        </is>
      </c>
      <c r="B2665" s="1" t="n">
        <v>45160</v>
      </c>
      <c r="C2665" s="1" t="n">
        <v>46185</v>
      </c>
      <c r="D2665" t="inlineStr">
        <is>
          <t>VÄSTERNORRLANDS LÄN</t>
        </is>
      </c>
      <c r="E2665" t="inlineStr">
        <is>
          <t>SUNDSVALL</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57888-2023</t>
        </is>
      </c>
      <c r="B2666" s="1" t="n">
        <v>45247</v>
      </c>
      <c r="C2666" s="1" t="n">
        <v>46185</v>
      </c>
      <c r="D2666" t="inlineStr">
        <is>
          <t>VÄSTERNORRLANDS LÄN</t>
        </is>
      </c>
      <c r="E2666" t="inlineStr">
        <is>
          <t>ÖRNSKÖLDSVIK</t>
        </is>
      </c>
      <c r="F2666" t="inlineStr">
        <is>
          <t>Holmen skog AB</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25355-2025</t>
        </is>
      </c>
      <c r="B2667" s="1" t="n">
        <v>45800.61607638889</v>
      </c>
      <c r="C2667" s="1" t="n">
        <v>46185</v>
      </c>
      <c r="D2667" t="inlineStr">
        <is>
          <t>VÄSTERNORRLANDS LÄN</t>
        </is>
      </c>
      <c r="E2667" t="inlineStr">
        <is>
          <t>HÄRNÖSAND</t>
        </is>
      </c>
      <c r="F2667" t="inlineStr">
        <is>
          <t>SCA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1643-2023</t>
        </is>
      </c>
      <c r="B2668" s="1" t="n">
        <v>44937.92483796296</v>
      </c>
      <c r="C2668" s="1" t="n">
        <v>46185</v>
      </c>
      <c r="D2668" t="inlineStr">
        <is>
          <t>VÄSTERNORRLANDS LÄN</t>
        </is>
      </c>
      <c r="E2668" t="inlineStr">
        <is>
          <t>HÄRNÖSAND</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63916-2023</t>
        </is>
      </c>
      <c r="B2669" s="1" t="n">
        <v>45278</v>
      </c>
      <c r="C2669" s="1" t="n">
        <v>46185</v>
      </c>
      <c r="D2669" t="inlineStr">
        <is>
          <t>VÄSTERNORRLANDS LÄN</t>
        </is>
      </c>
      <c r="E2669" t="inlineStr">
        <is>
          <t>ÖRNSKÖLDSVIK</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24759-2025</t>
        </is>
      </c>
      <c r="B2670" s="1" t="n">
        <v>45799.38284722222</v>
      </c>
      <c r="C2670" s="1" t="n">
        <v>46185</v>
      </c>
      <c r="D2670" t="inlineStr">
        <is>
          <t>VÄSTERNORRLANDS LÄN</t>
        </is>
      </c>
      <c r="E2670" t="inlineStr">
        <is>
          <t>SOLLEFTEÅ</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35426-2024</t>
        </is>
      </c>
      <c r="B2671" s="1" t="n">
        <v>45531</v>
      </c>
      <c r="C2671" s="1" t="n">
        <v>46185</v>
      </c>
      <c r="D2671" t="inlineStr">
        <is>
          <t>VÄSTERNORRLANDS LÄN</t>
        </is>
      </c>
      <c r="E2671" t="inlineStr">
        <is>
          <t>ÅNGE</t>
        </is>
      </c>
      <c r="F2671" t="inlineStr">
        <is>
          <t>SCA</t>
        </is>
      </c>
      <c r="G2671" t="n">
        <v>10.9</v>
      </c>
      <c r="H2671" t="n">
        <v>0</v>
      </c>
      <c r="I2671" t="n">
        <v>0</v>
      </c>
      <c r="J2671" t="n">
        <v>0</v>
      </c>
      <c r="K2671" t="n">
        <v>0</v>
      </c>
      <c r="L2671" t="n">
        <v>0</v>
      </c>
      <c r="M2671" t="n">
        <v>0</v>
      </c>
      <c r="N2671" t="n">
        <v>0</v>
      </c>
      <c r="O2671" t="n">
        <v>0</v>
      </c>
      <c r="P2671" t="n">
        <v>0</v>
      </c>
      <c r="Q2671" t="n">
        <v>0</v>
      </c>
      <c r="R2671" s="2" t="inlineStr"/>
    </row>
    <row r="2672" ht="15" customHeight="1">
      <c r="A2672" t="inlineStr">
        <is>
          <t>A 24880-2025</t>
        </is>
      </c>
      <c r="B2672" s="1" t="n">
        <v>45799.49642361111</v>
      </c>
      <c r="C2672" s="1" t="n">
        <v>46185</v>
      </c>
      <c r="D2672" t="inlineStr">
        <is>
          <t>VÄSTERNORRLANDS LÄN</t>
        </is>
      </c>
      <c r="E2672" t="inlineStr">
        <is>
          <t>ÖRNSKÖLDSVIK</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35447-2024</t>
        </is>
      </c>
      <c r="B2673" s="1" t="n">
        <v>45531.43938657407</v>
      </c>
      <c r="C2673" s="1" t="n">
        <v>46185</v>
      </c>
      <c r="D2673" t="inlineStr">
        <is>
          <t>VÄSTERNORRLANDS LÄN</t>
        </is>
      </c>
      <c r="E2673" t="inlineStr">
        <is>
          <t>HÄRNÖSAND</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32391-2024</t>
        </is>
      </c>
      <c r="B2674" s="1" t="n">
        <v>45512.64163194445</v>
      </c>
      <c r="C2674" s="1" t="n">
        <v>46185</v>
      </c>
      <c r="D2674" t="inlineStr">
        <is>
          <t>VÄSTERNORRLANDS LÄN</t>
        </is>
      </c>
      <c r="E2674" t="inlineStr">
        <is>
          <t>SUNDSVALL</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30907-2024</t>
        </is>
      </c>
      <c r="B2675" s="1" t="n">
        <v>45498</v>
      </c>
      <c r="C2675" s="1" t="n">
        <v>46185</v>
      </c>
      <c r="D2675" t="inlineStr">
        <is>
          <t>VÄSTERNORRLANDS LÄN</t>
        </is>
      </c>
      <c r="E2675" t="inlineStr">
        <is>
          <t>TIMRÅ</t>
        </is>
      </c>
      <c r="G2675" t="n">
        <v>6.6</v>
      </c>
      <c r="H2675" t="n">
        <v>0</v>
      </c>
      <c r="I2675" t="n">
        <v>0</v>
      </c>
      <c r="J2675" t="n">
        <v>0</v>
      </c>
      <c r="K2675" t="n">
        <v>0</v>
      </c>
      <c r="L2675" t="n">
        <v>0</v>
      </c>
      <c r="M2675" t="n">
        <v>0</v>
      </c>
      <c r="N2675" t="n">
        <v>0</v>
      </c>
      <c r="O2675" t="n">
        <v>0</v>
      </c>
      <c r="P2675" t="n">
        <v>0</v>
      </c>
      <c r="Q2675" t="n">
        <v>0</v>
      </c>
      <c r="R2675" s="2" t="inlineStr"/>
    </row>
    <row r="2676" ht="15" customHeight="1">
      <c r="A2676" t="inlineStr">
        <is>
          <t>A 38256-2025</t>
        </is>
      </c>
      <c r="B2676" s="1" t="n">
        <v>45883.38284722222</v>
      </c>
      <c r="C2676" s="1" t="n">
        <v>46185</v>
      </c>
      <c r="D2676" t="inlineStr">
        <is>
          <t>VÄSTERNORRLANDS LÄN</t>
        </is>
      </c>
      <c r="E2676" t="inlineStr">
        <is>
          <t>KRAMFORS</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1417-2023</t>
        </is>
      </c>
      <c r="B2677" s="1" t="n">
        <v>44936</v>
      </c>
      <c r="C2677" s="1" t="n">
        <v>46185</v>
      </c>
      <c r="D2677" t="inlineStr">
        <is>
          <t>VÄSTERNORRLANDS LÄN</t>
        </is>
      </c>
      <c r="E2677" t="inlineStr">
        <is>
          <t>SUNDSVALL</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54339-2021</t>
        </is>
      </c>
      <c r="B2678" s="1" t="n">
        <v>44473.03760416667</v>
      </c>
      <c r="C2678" s="1" t="n">
        <v>46185</v>
      </c>
      <c r="D2678" t="inlineStr">
        <is>
          <t>VÄSTERNORRLANDS LÄN</t>
        </is>
      </c>
      <c r="E2678" t="inlineStr">
        <is>
          <t>ÖRNSKÖLDSVIK</t>
        </is>
      </c>
      <c r="G2678" t="n">
        <v>9.6</v>
      </c>
      <c r="H2678" t="n">
        <v>0</v>
      </c>
      <c r="I2678" t="n">
        <v>0</v>
      </c>
      <c r="J2678" t="n">
        <v>0</v>
      </c>
      <c r="K2678" t="n">
        <v>0</v>
      </c>
      <c r="L2678" t="n">
        <v>0</v>
      </c>
      <c r="M2678" t="n">
        <v>0</v>
      </c>
      <c r="N2678" t="n">
        <v>0</v>
      </c>
      <c r="O2678" t="n">
        <v>0</v>
      </c>
      <c r="P2678" t="n">
        <v>0</v>
      </c>
      <c r="Q2678" t="n">
        <v>0</v>
      </c>
      <c r="R2678" s="2" t="inlineStr"/>
    </row>
    <row r="2679" ht="15" customHeight="1">
      <c r="A2679" t="inlineStr">
        <is>
          <t>A 28771-2024</t>
        </is>
      </c>
      <c r="B2679" s="1" t="n">
        <v>45478</v>
      </c>
      <c r="C2679" s="1" t="n">
        <v>46185</v>
      </c>
      <c r="D2679" t="inlineStr">
        <is>
          <t>VÄSTERNORRLANDS LÄN</t>
        </is>
      </c>
      <c r="E2679" t="inlineStr">
        <is>
          <t>SUNDSVALL</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27009-2022</t>
        </is>
      </c>
      <c r="B2680" s="1" t="n">
        <v>44740</v>
      </c>
      <c r="C2680" s="1" t="n">
        <v>46185</v>
      </c>
      <c r="D2680" t="inlineStr">
        <is>
          <t>VÄSTERNORRLANDS LÄN</t>
        </is>
      </c>
      <c r="E2680" t="inlineStr">
        <is>
          <t>SUNDSVALL</t>
        </is>
      </c>
      <c r="F2680" t="inlineStr">
        <is>
          <t>SCA</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31545-2024</t>
        </is>
      </c>
      <c r="B2681" s="1" t="n">
        <v>45505</v>
      </c>
      <c r="C2681" s="1" t="n">
        <v>46185</v>
      </c>
      <c r="D2681" t="inlineStr">
        <is>
          <t>VÄSTERNORRLANDS LÄN</t>
        </is>
      </c>
      <c r="E2681" t="inlineStr">
        <is>
          <t>ÅNGE</t>
        </is>
      </c>
      <c r="F2681" t="inlineStr">
        <is>
          <t>SCA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14318-2023</t>
        </is>
      </c>
      <c r="B2682" s="1" t="n">
        <v>45011.94162037037</v>
      </c>
      <c r="C2682" s="1" t="n">
        <v>46185</v>
      </c>
      <c r="D2682" t="inlineStr">
        <is>
          <t>VÄSTERNORRLANDS LÄN</t>
        </is>
      </c>
      <c r="E2682" t="inlineStr">
        <is>
          <t>ÖRNSKÖLDSVIK</t>
        </is>
      </c>
      <c r="F2682" t="inlineStr">
        <is>
          <t>SCA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26030-2024</t>
        </is>
      </c>
      <c r="B2683" s="1" t="n">
        <v>45467.96278935186</v>
      </c>
      <c r="C2683" s="1" t="n">
        <v>46185</v>
      </c>
      <c r="D2683" t="inlineStr">
        <is>
          <t>VÄSTERNORRLANDS LÄN</t>
        </is>
      </c>
      <c r="E2683" t="inlineStr">
        <is>
          <t>SUNDSVALL</t>
        </is>
      </c>
      <c r="F2683" t="inlineStr">
        <is>
          <t>SCA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27377-2024</t>
        </is>
      </c>
      <c r="B2684" s="1" t="n">
        <v>45473.88317129629</v>
      </c>
      <c r="C2684" s="1" t="n">
        <v>46185</v>
      </c>
      <c r="D2684" t="inlineStr">
        <is>
          <t>VÄSTERNORRLANDS LÄN</t>
        </is>
      </c>
      <c r="E2684" t="inlineStr">
        <is>
          <t>SOLLEFTEÅ</t>
        </is>
      </c>
      <c r="G2684" t="n">
        <v>9.1</v>
      </c>
      <c r="H2684" t="n">
        <v>0</v>
      </c>
      <c r="I2684" t="n">
        <v>0</v>
      </c>
      <c r="J2684" t="n">
        <v>0</v>
      </c>
      <c r="K2684" t="n">
        <v>0</v>
      </c>
      <c r="L2684" t="n">
        <v>0</v>
      </c>
      <c r="M2684" t="n">
        <v>0</v>
      </c>
      <c r="N2684" t="n">
        <v>0</v>
      </c>
      <c r="O2684" t="n">
        <v>0</v>
      </c>
      <c r="P2684" t="n">
        <v>0</v>
      </c>
      <c r="Q2684" t="n">
        <v>0</v>
      </c>
      <c r="R2684" s="2" t="inlineStr"/>
    </row>
    <row r="2685" ht="15" customHeight="1">
      <c r="A2685" t="inlineStr">
        <is>
          <t>A 4648-2023</t>
        </is>
      </c>
      <c r="B2685" s="1" t="n">
        <v>44952</v>
      </c>
      <c r="C2685" s="1" t="n">
        <v>46185</v>
      </c>
      <c r="D2685" t="inlineStr">
        <is>
          <t>VÄSTERNORRLANDS LÄN</t>
        </is>
      </c>
      <c r="E2685" t="inlineStr">
        <is>
          <t>HÄRNÖSAND</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57010-2023</t>
        </is>
      </c>
      <c r="B2686" s="1" t="n">
        <v>45239</v>
      </c>
      <c r="C2686" s="1" t="n">
        <v>46185</v>
      </c>
      <c r="D2686" t="inlineStr">
        <is>
          <t>VÄSTERNORRLANDS LÄN</t>
        </is>
      </c>
      <c r="E2686" t="inlineStr">
        <is>
          <t>SOLLEFTEÅ</t>
        </is>
      </c>
      <c r="G2686" t="n">
        <v>1.6</v>
      </c>
      <c r="H2686" t="n">
        <v>0</v>
      </c>
      <c r="I2686" t="n">
        <v>0</v>
      </c>
      <c r="J2686" t="n">
        <v>0</v>
      </c>
      <c r="K2686" t="n">
        <v>0</v>
      </c>
      <c r="L2686" t="n">
        <v>0</v>
      </c>
      <c r="M2686" t="n">
        <v>0</v>
      </c>
      <c r="N2686" t="n">
        <v>0</v>
      </c>
      <c r="O2686" t="n">
        <v>0</v>
      </c>
      <c r="P2686" t="n">
        <v>0</v>
      </c>
      <c r="Q2686" t="n">
        <v>0</v>
      </c>
      <c r="R2686" s="2" t="inlineStr"/>
      <c r="U2686">
        <f>HYPERLINK("https://klasma.github.io/Logging_2283/knärot/A 57010-2023 karta knärot.png", "A 57010-2023")</f>
        <v/>
      </c>
      <c r="V2686">
        <f>HYPERLINK("https://klasma.github.io/Logging_2283/klagomål/A 57010-2023 FSC-klagomål.docx", "A 57010-2023")</f>
        <v/>
      </c>
      <c r="W2686">
        <f>HYPERLINK("https://klasma.github.io/Logging_2283/klagomålsmail/A 57010-2023 FSC-klagomål mail.docx", "A 57010-2023")</f>
        <v/>
      </c>
      <c r="X2686">
        <f>HYPERLINK("https://klasma.github.io/Logging_2283/tillsyn/A 57010-2023 tillsynsbegäran.docx", "A 57010-2023")</f>
        <v/>
      </c>
      <c r="Y2686">
        <f>HYPERLINK("https://klasma.github.io/Logging_2283/tillsynsmail/A 57010-2023 tillsynsbegäran mail.docx", "A 57010-2023")</f>
        <v/>
      </c>
    </row>
    <row r="2687" ht="15" customHeight="1">
      <c r="A2687" t="inlineStr">
        <is>
          <t>A 38220-2025</t>
        </is>
      </c>
      <c r="B2687" s="1" t="n">
        <v>45883.34418981482</v>
      </c>
      <c r="C2687" s="1" t="n">
        <v>46185</v>
      </c>
      <c r="D2687" t="inlineStr">
        <is>
          <t>VÄSTERNORRLANDS LÄN</t>
        </is>
      </c>
      <c r="E2687" t="inlineStr">
        <is>
          <t>SOLLEFTEÅ</t>
        </is>
      </c>
      <c r="F2687" t="inlineStr">
        <is>
          <t>SCA</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38281-2025</t>
        </is>
      </c>
      <c r="B2688" s="1" t="n">
        <v>45883.42438657407</v>
      </c>
      <c r="C2688" s="1" t="n">
        <v>46185</v>
      </c>
      <c r="D2688" t="inlineStr">
        <is>
          <t>VÄSTERNORRLANDS LÄN</t>
        </is>
      </c>
      <c r="E2688" t="inlineStr">
        <is>
          <t>KRAMFORS</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40889-2023</t>
        </is>
      </c>
      <c r="B2689" s="1" t="n">
        <v>45173.37847222222</v>
      </c>
      <c r="C2689" s="1" t="n">
        <v>46185</v>
      </c>
      <c r="D2689" t="inlineStr">
        <is>
          <t>VÄSTERNORRLANDS LÄN</t>
        </is>
      </c>
      <c r="E2689" t="inlineStr">
        <is>
          <t>ÖRNSKÖLDSVIK</t>
        </is>
      </c>
      <c r="F2689" t="inlineStr">
        <is>
          <t>Holmen skog AB</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24931-2025</t>
        </is>
      </c>
      <c r="B2690" s="1" t="n">
        <v>45799.55543981482</v>
      </c>
      <c r="C2690" s="1" t="n">
        <v>46185</v>
      </c>
      <c r="D2690" t="inlineStr">
        <is>
          <t>VÄSTERNORRLANDS LÄN</t>
        </is>
      </c>
      <c r="E2690" t="inlineStr">
        <is>
          <t>ÖRNSKÖLDSVIK</t>
        </is>
      </c>
      <c r="F2690" t="inlineStr">
        <is>
          <t>Holmen skog AB</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20099-2024</t>
        </is>
      </c>
      <c r="B2691" s="1" t="n">
        <v>45434</v>
      </c>
      <c r="C2691" s="1" t="n">
        <v>46185</v>
      </c>
      <c r="D2691" t="inlineStr">
        <is>
          <t>VÄSTERNORRLANDS LÄN</t>
        </is>
      </c>
      <c r="E2691" t="inlineStr">
        <is>
          <t>ÖRNSKÖLDSVIK</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22075-2024</t>
        </is>
      </c>
      <c r="B2692" s="1" t="n">
        <v>45443.63814814815</v>
      </c>
      <c r="C2692" s="1" t="n">
        <v>46185</v>
      </c>
      <c r="D2692" t="inlineStr">
        <is>
          <t>VÄSTERNORRLANDS LÄN</t>
        </is>
      </c>
      <c r="E2692" t="inlineStr">
        <is>
          <t>ÖRNSKÖLDSVIK</t>
        </is>
      </c>
      <c r="F2692" t="inlineStr">
        <is>
          <t>Holmen skog AB</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25002-2024</t>
        </is>
      </c>
      <c r="B2693" s="1" t="n">
        <v>45461.78789351852</v>
      </c>
      <c r="C2693" s="1" t="n">
        <v>46185</v>
      </c>
      <c r="D2693" t="inlineStr">
        <is>
          <t>VÄSTERNORRLANDS LÄN</t>
        </is>
      </c>
      <c r="E2693" t="inlineStr">
        <is>
          <t>ÖRNSKÖLDSVIK</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25022-2024</t>
        </is>
      </c>
      <c r="B2694" s="1" t="n">
        <v>45461.9628125</v>
      </c>
      <c r="C2694" s="1" t="n">
        <v>46185</v>
      </c>
      <c r="D2694" t="inlineStr">
        <is>
          <t>VÄSTERNORRLANDS LÄN</t>
        </is>
      </c>
      <c r="E2694" t="inlineStr">
        <is>
          <t>SUNDSVALL</t>
        </is>
      </c>
      <c r="F2694" t="inlineStr">
        <is>
          <t>SCA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24976-2025</t>
        </is>
      </c>
      <c r="B2695" s="1" t="n">
        <v>45799.59138888889</v>
      </c>
      <c r="C2695" s="1" t="n">
        <v>46185</v>
      </c>
      <c r="D2695" t="inlineStr">
        <is>
          <t>VÄSTERNORRLANDS LÄN</t>
        </is>
      </c>
      <c r="E2695" t="inlineStr">
        <is>
          <t>KRAMFORS</t>
        </is>
      </c>
      <c r="G2695" t="n">
        <v>9.6</v>
      </c>
      <c r="H2695" t="n">
        <v>0</v>
      </c>
      <c r="I2695" t="n">
        <v>0</v>
      </c>
      <c r="J2695" t="n">
        <v>0</v>
      </c>
      <c r="K2695" t="n">
        <v>0</v>
      </c>
      <c r="L2695" t="n">
        <v>0</v>
      </c>
      <c r="M2695" t="n">
        <v>0</v>
      </c>
      <c r="N2695" t="n">
        <v>0</v>
      </c>
      <c r="O2695" t="n">
        <v>0</v>
      </c>
      <c r="P2695" t="n">
        <v>0</v>
      </c>
      <c r="Q2695" t="n">
        <v>0</v>
      </c>
      <c r="R2695" s="2" t="inlineStr"/>
    </row>
    <row r="2696" ht="15" customHeight="1">
      <c r="A2696" t="inlineStr">
        <is>
          <t>A 24979-2025</t>
        </is>
      </c>
      <c r="B2696" s="1" t="n">
        <v>45799.59546296296</v>
      </c>
      <c r="C2696" s="1" t="n">
        <v>46185</v>
      </c>
      <c r="D2696" t="inlineStr">
        <is>
          <t>VÄSTERNORRLANDS LÄN</t>
        </is>
      </c>
      <c r="E2696" t="inlineStr">
        <is>
          <t>ÖRNSKÖLDSVIK</t>
        </is>
      </c>
      <c r="F2696" t="inlineStr">
        <is>
          <t>Holmen skog AB</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35941-2024</t>
        </is>
      </c>
      <c r="B2697" s="1" t="n">
        <v>45533</v>
      </c>
      <c r="C2697" s="1" t="n">
        <v>46185</v>
      </c>
      <c r="D2697" t="inlineStr">
        <is>
          <t>VÄSTERNORRLANDS LÄN</t>
        </is>
      </c>
      <c r="E2697" t="inlineStr">
        <is>
          <t>ÖRNSKÖLDSVIK</t>
        </is>
      </c>
      <c r="F2697" t="inlineStr">
        <is>
          <t>Holmen skog AB</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4576-2024</t>
        </is>
      </c>
      <c r="B2698" s="1" t="n">
        <v>45327</v>
      </c>
      <c r="C2698" s="1" t="n">
        <v>46185</v>
      </c>
      <c r="D2698" t="inlineStr">
        <is>
          <t>VÄSTERNORRLANDS LÄN</t>
        </is>
      </c>
      <c r="E2698" t="inlineStr">
        <is>
          <t>ÖRNSKÖLDSVIK</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4583-2024</t>
        </is>
      </c>
      <c r="B2699" s="1" t="n">
        <v>45327.92802083334</v>
      </c>
      <c r="C2699" s="1" t="n">
        <v>46185</v>
      </c>
      <c r="D2699" t="inlineStr">
        <is>
          <t>VÄSTERNORRLANDS LÄN</t>
        </is>
      </c>
      <c r="E2699" t="inlineStr">
        <is>
          <t>SUNDSVALL</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52213-2022</t>
        </is>
      </c>
      <c r="B2700" s="1" t="n">
        <v>44869</v>
      </c>
      <c r="C2700" s="1" t="n">
        <v>46185</v>
      </c>
      <c r="D2700" t="inlineStr">
        <is>
          <t>VÄSTERNORRLANDS LÄN</t>
        </is>
      </c>
      <c r="E2700" t="inlineStr">
        <is>
          <t>TIMRÅ</t>
        </is>
      </c>
      <c r="G2700" t="n">
        <v>11.4</v>
      </c>
      <c r="H2700" t="n">
        <v>0</v>
      </c>
      <c r="I2700" t="n">
        <v>0</v>
      </c>
      <c r="J2700" t="n">
        <v>0</v>
      </c>
      <c r="K2700" t="n">
        <v>0</v>
      </c>
      <c r="L2700" t="n">
        <v>0</v>
      </c>
      <c r="M2700" t="n">
        <v>0</v>
      </c>
      <c r="N2700" t="n">
        <v>0</v>
      </c>
      <c r="O2700" t="n">
        <v>0</v>
      </c>
      <c r="P2700" t="n">
        <v>0</v>
      </c>
      <c r="Q2700" t="n">
        <v>0</v>
      </c>
      <c r="R2700" s="2" t="inlineStr"/>
    </row>
    <row r="2701" ht="15" customHeight="1">
      <c r="A2701" t="inlineStr">
        <is>
          <t>A 26524-2024</t>
        </is>
      </c>
      <c r="B2701" s="1" t="n">
        <v>45469</v>
      </c>
      <c r="C2701" s="1" t="n">
        <v>46185</v>
      </c>
      <c r="D2701" t="inlineStr">
        <is>
          <t>VÄSTERNORRLANDS LÄN</t>
        </is>
      </c>
      <c r="E2701" t="inlineStr">
        <is>
          <t>KRAMFORS</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25329-2025</t>
        </is>
      </c>
      <c r="B2702" s="1" t="n">
        <v>45800.58971064815</v>
      </c>
      <c r="C2702" s="1" t="n">
        <v>46185</v>
      </c>
      <c r="D2702" t="inlineStr">
        <is>
          <t>VÄSTERNORRLANDS LÄN</t>
        </is>
      </c>
      <c r="E2702" t="inlineStr">
        <is>
          <t>SUNDSVALL</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24854-2025</t>
        </is>
      </c>
      <c r="B2703" s="1" t="n">
        <v>45799.47362268518</v>
      </c>
      <c r="C2703" s="1" t="n">
        <v>46185</v>
      </c>
      <c r="D2703" t="inlineStr">
        <is>
          <t>VÄSTERNORRLANDS LÄN</t>
        </is>
      </c>
      <c r="E2703" t="inlineStr">
        <is>
          <t>ÖRNSKÖLDSVIK</t>
        </is>
      </c>
      <c r="F2703" t="inlineStr">
        <is>
          <t>Holmen skog AB</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27915-2024</t>
        </is>
      </c>
      <c r="B2704" s="1" t="n">
        <v>45475</v>
      </c>
      <c r="C2704" s="1" t="n">
        <v>46185</v>
      </c>
      <c r="D2704" t="inlineStr">
        <is>
          <t>VÄSTERNORRLANDS LÄN</t>
        </is>
      </c>
      <c r="E2704" t="inlineStr">
        <is>
          <t>ÅNGE</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27916-2024</t>
        </is>
      </c>
      <c r="B2705" s="1" t="n">
        <v>45475.94834490741</v>
      </c>
      <c r="C2705" s="1" t="n">
        <v>46185</v>
      </c>
      <c r="D2705" t="inlineStr">
        <is>
          <t>VÄSTERNORRLANDS LÄN</t>
        </is>
      </c>
      <c r="E2705" t="inlineStr">
        <is>
          <t>SOLLEFTEÅ</t>
        </is>
      </c>
      <c r="F2705" t="inlineStr">
        <is>
          <t>SCA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27938-2024</t>
        </is>
      </c>
      <c r="B2706" s="1" t="n">
        <v>45476</v>
      </c>
      <c r="C2706" s="1" t="n">
        <v>46185</v>
      </c>
      <c r="D2706" t="inlineStr">
        <is>
          <t>VÄSTERNORRLANDS LÄN</t>
        </is>
      </c>
      <c r="E2706" t="inlineStr">
        <is>
          <t>ÖRNSKÖLDSVIK</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66554-2021</t>
        </is>
      </c>
      <c r="B2707" s="1" t="n">
        <v>44519</v>
      </c>
      <c r="C2707" s="1" t="n">
        <v>46185</v>
      </c>
      <c r="D2707" t="inlineStr">
        <is>
          <t>VÄSTERNORRLANDS LÄN</t>
        </is>
      </c>
      <c r="E2707" t="inlineStr">
        <is>
          <t>KRAMFORS</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25722-2025</t>
        </is>
      </c>
      <c r="B2708" s="1" t="n">
        <v>45800</v>
      </c>
      <c r="C2708" s="1" t="n">
        <v>46185</v>
      </c>
      <c r="D2708" t="inlineStr">
        <is>
          <t>VÄSTERNORRLANDS LÄN</t>
        </is>
      </c>
      <c r="E2708" t="inlineStr">
        <is>
          <t>SUNDSVALL</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66664-2021</t>
        </is>
      </c>
      <c r="B2709" s="1" t="n">
        <v>44519.60472222222</v>
      </c>
      <c r="C2709" s="1" t="n">
        <v>46185</v>
      </c>
      <c r="D2709" t="inlineStr">
        <is>
          <t>VÄSTERNORRLANDS LÄN</t>
        </is>
      </c>
      <c r="E2709" t="inlineStr">
        <is>
          <t>ÖRNSKÖLDSVIK</t>
        </is>
      </c>
      <c r="F2709" t="inlineStr">
        <is>
          <t>Kommuner</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5650-2022</t>
        </is>
      </c>
      <c r="B2710" s="1" t="n">
        <v>44595</v>
      </c>
      <c r="C2710" s="1" t="n">
        <v>46185</v>
      </c>
      <c r="D2710" t="inlineStr">
        <is>
          <t>VÄSTERNORRLANDS LÄN</t>
        </is>
      </c>
      <c r="E2710" t="inlineStr">
        <is>
          <t>SUNDSVALL</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25039-2025</t>
        </is>
      </c>
      <c r="B2711" s="1" t="n">
        <v>45799.65723379629</v>
      </c>
      <c r="C2711" s="1" t="n">
        <v>46185</v>
      </c>
      <c r="D2711" t="inlineStr">
        <is>
          <t>VÄSTERNORRLANDS LÄN</t>
        </is>
      </c>
      <c r="E2711" t="inlineStr">
        <is>
          <t>KRAMFORS</t>
        </is>
      </c>
      <c r="F2711" t="inlineStr">
        <is>
          <t>SCA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24847-2025</t>
        </is>
      </c>
      <c r="B2712" s="1" t="n">
        <v>45799.46907407408</v>
      </c>
      <c r="C2712" s="1" t="n">
        <v>46185</v>
      </c>
      <c r="D2712" t="inlineStr">
        <is>
          <t>VÄSTERNORRLANDS LÄN</t>
        </is>
      </c>
      <c r="E2712" t="inlineStr">
        <is>
          <t>ÅNGE</t>
        </is>
      </c>
      <c r="F2712" t="inlineStr">
        <is>
          <t>SCA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25067-2025</t>
        </is>
      </c>
      <c r="B2713" s="1" t="n">
        <v>45799.71908564815</v>
      </c>
      <c r="C2713" s="1" t="n">
        <v>46185</v>
      </c>
      <c r="D2713" t="inlineStr">
        <is>
          <t>VÄSTERNORRLANDS LÄN</t>
        </is>
      </c>
      <c r="E2713" t="inlineStr">
        <is>
          <t>ÅNGE</t>
        </is>
      </c>
      <c r="F2713" t="inlineStr">
        <is>
          <t>SCA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34577-2024</t>
        </is>
      </c>
      <c r="B2714" s="1" t="n">
        <v>45526.36336805556</v>
      </c>
      <c r="C2714" s="1" t="n">
        <v>46185</v>
      </c>
      <c r="D2714" t="inlineStr">
        <is>
          <t>VÄSTERNORRLANDS LÄN</t>
        </is>
      </c>
      <c r="E2714" t="inlineStr">
        <is>
          <t>ÖRNSKÖLDSVIK</t>
        </is>
      </c>
      <c r="F2714" t="inlineStr">
        <is>
          <t>Holmen skog AB</t>
        </is>
      </c>
      <c r="G2714" t="n">
        <v>7.8</v>
      </c>
      <c r="H2714" t="n">
        <v>0</v>
      </c>
      <c r="I2714" t="n">
        <v>0</v>
      </c>
      <c r="J2714" t="n">
        <v>0</v>
      </c>
      <c r="K2714" t="n">
        <v>0</v>
      </c>
      <c r="L2714" t="n">
        <v>0</v>
      </c>
      <c r="M2714" t="n">
        <v>0</v>
      </c>
      <c r="N2714" t="n">
        <v>0</v>
      </c>
      <c r="O2714" t="n">
        <v>0</v>
      </c>
      <c r="P2714" t="n">
        <v>0</v>
      </c>
      <c r="Q2714" t="n">
        <v>0</v>
      </c>
      <c r="R2714" s="2" t="inlineStr"/>
    </row>
    <row r="2715" ht="15" customHeight="1">
      <c r="A2715" t="inlineStr">
        <is>
          <t>A 25145-2025</t>
        </is>
      </c>
      <c r="B2715" s="1" t="n">
        <v>45800</v>
      </c>
      <c r="C2715" s="1" t="n">
        <v>46185</v>
      </c>
      <c r="D2715" t="inlineStr">
        <is>
          <t>VÄSTERNORRLANDS LÄN</t>
        </is>
      </c>
      <c r="E2715" t="inlineStr">
        <is>
          <t>SOLLEFTEÅ</t>
        </is>
      </c>
      <c r="G2715" t="n">
        <v>8.800000000000001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28784-2024</t>
        </is>
      </c>
      <c r="B2716" s="1" t="n">
        <v>45478.60880787037</v>
      </c>
      <c r="C2716" s="1" t="n">
        <v>46185</v>
      </c>
      <c r="D2716" t="inlineStr">
        <is>
          <t>VÄSTERNORRLANDS LÄN</t>
        </is>
      </c>
      <c r="E2716" t="inlineStr">
        <is>
          <t>SUNDSVALL</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28785-2024</t>
        </is>
      </c>
      <c r="B2717" s="1" t="n">
        <v>45478</v>
      </c>
      <c r="C2717" s="1" t="n">
        <v>46185</v>
      </c>
      <c r="D2717" t="inlineStr">
        <is>
          <t>VÄSTERNORRLANDS LÄN</t>
        </is>
      </c>
      <c r="E2717" t="inlineStr">
        <is>
          <t>SUNDSVALL</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59371-2022</t>
        </is>
      </c>
      <c r="B2718" s="1" t="n">
        <v>44904</v>
      </c>
      <c r="C2718" s="1" t="n">
        <v>46185</v>
      </c>
      <c r="D2718" t="inlineStr">
        <is>
          <t>VÄSTERNORRLANDS LÄN</t>
        </is>
      </c>
      <c r="E2718" t="inlineStr">
        <is>
          <t>SOLLEFTEÅ</t>
        </is>
      </c>
      <c r="F2718" t="inlineStr">
        <is>
          <t>SCA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25347-2025</t>
        </is>
      </c>
      <c r="B2719" s="1" t="n">
        <v>45800.61166666666</v>
      </c>
      <c r="C2719" s="1" t="n">
        <v>46185</v>
      </c>
      <c r="D2719" t="inlineStr">
        <is>
          <t>VÄSTERNORRLANDS LÄN</t>
        </is>
      </c>
      <c r="E2719" t="inlineStr">
        <is>
          <t>ÖRNSKÖLDSVIK</t>
        </is>
      </c>
      <c r="F2719" t="inlineStr">
        <is>
          <t>Holmen skog AB</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68797-2021</t>
        </is>
      </c>
      <c r="B2720" s="1" t="n">
        <v>44529</v>
      </c>
      <c r="C2720" s="1" t="n">
        <v>46185</v>
      </c>
      <c r="D2720" t="inlineStr">
        <is>
          <t>VÄSTERNORRLANDS LÄN</t>
        </is>
      </c>
      <c r="E2720" t="inlineStr">
        <is>
          <t>KRAMFORS</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20975-2022</t>
        </is>
      </c>
      <c r="B2721" s="1" t="n">
        <v>44701</v>
      </c>
      <c r="C2721" s="1" t="n">
        <v>46185</v>
      </c>
      <c r="D2721" t="inlineStr">
        <is>
          <t>VÄSTERNORRLANDS LÄN</t>
        </is>
      </c>
      <c r="E2721" t="inlineStr">
        <is>
          <t>SUNDSVALL</t>
        </is>
      </c>
      <c r="F2721" t="inlineStr">
        <is>
          <t>SCA</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1964-2022</t>
        </is>
      </c>
      <c r="B2722" s="1" t="n">
        <v>44575.5050462963</v>
      </c>
      <c r="C2722" s="1" t="n">
        <v>46185</v>
      </c>
      <c r="D2722" t="inlineStr">
        <is>
          <t>VÄSTERNORRLANDS LÄN</t>
        </is>
      </c>
      <c r="E2722" t="inlineStr">
        <is>
          <t>ÅNGE</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1997-2022</t>
        </is>
      </c>
      <c r="B2723" s="1" t="n">
        <v>44575</v>
      </c>
      <c r="C2723" s="1" t="n">
        <v>46185</v>
      </c>
      <c r="D2723" t="inlineStr">
        <is>
          <t>VÄSTERNORRLANDS LÄN</t>
        </is>
      </c>
      <c r="E2723" t="inlineStr">
        <is>
          <t>SOLLEFTEÅ</t>
        </is>
      </c>
      <c r="G2723" t="n">
        <v>8.800000000000001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52651-2021</t>
        </is>
      </c>
      <c r="B2724" s="1" t="n">
        <v>44466.65153935185</v>
      </c>
      <c r="C2724" s="1" t="n">
        <v>46185</v>
      </c>
      <c r="D2724" t="inlineStr">
        <is>
          <t>VÄSTERNORRLANDS LÄN</t>
        </is>
      </c>
      <c r="E2724" t="inlineStr">
        <is>
          <t>SUNDSVALL</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51314-2022</t>
        </is>
      </c>
      <c r="B2725" s="1" t="n">
        <v>44868.950625</v>
      </c>
      <c r="C2725" s="1" t="n">
        <v>46185</v>
      </c>
      <c r="D2725" t="inlineStr">
        <is>
          <t>VÄSTERNORRLANDS LÄN</t>
        </is>
      </c>
      <c r="E2725" t="inlineStr">
        <is>
          <t>SOLLEFTEÅ</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25532-2025</t>
        </is>
      </c>
      <c r="B2726" s="1" t="n">
        <v>45803.4065162037</v>
      </c>
      <c r="C2726" s="1" t="n">
        <v>46185</v>
      </c>
      <c r="D2726" t="inlineStr">
        <is>
          <t>VÄSTERNORRLANDS LÄN</t>
        </is>
      </c>
      <c r="E2726" t="inlineStr">
        <is>
          <t>ÅNGE</t>
        </is>
      </c>
      <c r="F2726" t="inlineStr">
        <is>
          <t>SCA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34524-2024</t>
        </is>
      </c>
      <c r="B2727" s="1" t="n">
        <v>45525.68555555555</v>
      </c>
      <c r="C2727" s="1" t="n">
        <v>46185</v>
      </c>
      <c r="D2727" t="inlineStr">
        <is>
          <t>VÄSTERNORRLANDS LÄN</t>
        </is>
      </c>
      <c r="E2727" t="inlineStr">
        <is>
          <t>ÖRNSKÖLDSVIK</t>
        </is>
      </c>
      <c r="F2727" t="inlineStr">
        <is>
          <t>Holmen skog AB</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25541-2025</t>
        </is>
      </c>
      <c r="B2728" s="1" t="n">
        <v>45803.42711805556</v>
      </c>
      <c r="C2728" s="1" t="n">
        <v>46185</v>
      </c>
      <c r="D2728" t="inlineStr">
        <is>
          <t>VÄSTERNORRLANDS LÄN</t>
        </is>
      </c>
      <c r="E2728" t="inlineStr">
        <is>
          <t>HÄRNÖSAND</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34118-2022</t>
        </is>
      </c>
      <c r="B2729" s="1" t="n">
        <v>44791</v>
      </c>
      <c r="C2729" s="1" t="n">
        <v>46185</v>
      </c>
      <c r="D2729" t="inlineStr">
        <is>
          <t>VÄSTERNORRLANDS LÄN</t>
        </is>
      </c>
      <c r="E2729" t="inlineStr">
        <is>
          <t>SUNDSVALL</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48931-2022</t>
        </is>
      </c>
      <c r="B2730" s="1" t="n">
        <v>44859</v>
      </c>
      <c r="C2730" s="1" t="n">
        <v>46185</v>
      </c>
      <c r="D2730" t="inlineStr">
        <is>
          <t>VÄSTERNORRLANDS LÄN</t>
        </is>
      </c>
      <c r="E2730" t="inlineStr">
        <is>
          <t>SUNDSVALL</t>
        </is>
      </c>
      <c r="F2730" t="inlineStr">
        <is>
          <t>SCA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30307-2023</t>
        </is>
      </c>
      <c r="B2731" s="1" t="n">
        <v>45110.94157407407</v>
      </c>
      <c r="C2731" s="1" t="n">
        <v>46185</v>
      </c>
      <c r="D2731" t="inlineStr">
        <is>
          <t>VÄSTERNORRLANDS LÄN</t>
        </is>
      </c>
      <c r="E2731" t="inlineStr">
        <is>
          <t>SUNDSVALL</t>
        </is>
      </c>
      <c r="F2731" t="inlineStr">
        <is>
          <t>SCA</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25810-2025</t>
        </is>
      </c>
      <c r="B2732" s="1" t="n">
        <v>45804.42083333333</v>
      </c>
      <c r="C2732" s="1" t="n">
        <v>46185</v>
      </c>
      <c r="D2732" t="inlineStr">
        <is>
          <t>VÄSTERNORRLANDS LÄN</t>
        </is>
      </c>
      <c r="E2732" t="inlineStr">
        <is>
          <t>ÅNGE</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58441-2024</t>
        </is>
      </c>
      <c r="B2733" s="1" t="n">
        <v>45635.31184027778</v>
      </c>
      <c r="C2733" s="1" t="n">
        <v>46185</v>
      </c>
      <c r="D2733" t="inlineStr">
        <is>
          <t>VÄSTERNORRLANDS LÄN</t>
        </is>
      </c>
      <c r="E2733" t="inlineStr">
        <is>
          <t>ÖRNSKÖLDSVIK</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31863-2024</t>
        </is>
      </c>
      <c r="B2734" s="1" t="n">
        <v>45509.74121527778</v>
      </c>
      <c r="C2734" s="1" t="n">
        <v>46185</v>
      </c>
      <c r="D2734" t="inlineStr">
        <is>
          <t>VÄSTERNORRLANDS LÄN</t>
        </is>
      </c>
      <c r="E2734" t="inlineStr">
        <is>
          <t>ÅNGE</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53651-2023</t>
        </is>
      </c>
      <c r="B2735" s="1" t="n">
        <v>45230.60815972222</v>
      </c>
      <c r="C2735" s="1" t="n">
        <v>46185</v>
      </c>
      <c r="D2735" t="inlineStr">
        <is>
          <t>VÄSTERNORRLANDS LÄN</t>
        </is>
      </c>
      <c r="E2735" t="inlineStr">
        <is>
          <t>ÅNGE</t>
        </is>
      </c>
      <c r="F2735" t="inlineStr">
        <is>
          <t>Holmen skog AB</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25506-2025</t>
        </is>
      </c>
      <c r="B2736" s="1" t="n">
        <v>45803.35229166667</v>
      </c>
      <c r="C2736" s="1" t="n">
        <v>46185</v>
      </c>
      <c r="D2736" t="inlineStr">
        <is>
          <t>VÄSTERNORRLANDS LÄN</t>
        </is>
      </c>
      <c r="E2736" t="inlineStr">
        <is>
          <t>ÖRNSKÖLDSVIK</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160-2026</t>
        </is>
      </c>
      <c r="B2737" s="1" t="n">
        <v>46024</v>
      </c>
      <c r="C2737" s="1" t="n">
        <v>46185</v>
      </c>
      <c r="D2737" t="inlineStr">
        <is>
          <t>VÄSTERNORRLANDS LÄN</t>
        </is>
      </c>
      <c r="E2737" t="inlineStr">
        <is>
          <t>TIMRÅ</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16-2026</t>
        </is>
      </c>
      <c r="B2738" s="1" t="n">
        <v>46023.65659722222</v>
      </c>
      <c r="C2738" s="1" t="n">
        <v>46185</v>
      </c>
      <c r="D2738" t="inlineStr">
        <is>
          <t>VÄSTERNORRLANDS LÄN</t>
        </is>
      </c>
      <c r="E2738" t="inlineStr">
        <is>
          <t>HÄRNÖSAND</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14-2026</t>
        </is>
      </c>
      <c r="B2739" s="1" t="n">
        <v>46023.63584490741</v>
      </c>
      <c r="C2739" s="1" t="n">
        <v>46185</v>
      </c>
      <c r="D2739" t="inlineStr">
        <is>
          <t>VÄSTERNORRLANDS LÄN</t>
        </is>
      </c>
      <c r="E2739" t="inlineStr">
        <is>
          <t>HÄRNÖSAND</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61175-2024</t>
        </is>
      </c>
      <c r="B2740" s="1" t="n">
        <v>45645.60512731481</v>
      </c>
      <c r="C2740" s="1" t="n">
        <v>46185</v>
      </c>
      <c r="D2740" t="inlineStr">
        <is>
          <t>VÄSTERNORRLANDS LÄN</t>
        </is>
      </c>
      <c r="E2740" t="inlineStr">
        <is>
          <t>KRAMFORS</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7330-2023</t>
        </is>
      </c>
      <c r="B2741" s="1" t="n">
        <v>44970.97920138889</v>
      </c>
      <c r="C2741" s="1" t="n">
        <v>46185</v>
      </c>
      <c r="D2741" t="inlineStr">
        <is>
          <t>VÄSTERNORRLANDS LÄN</t>
        </is>
      </c>
      <c r="E2741" t="inlineStr">
        <is>
          <t>SOLLEFTEÅ</t>
        </is>
      </c>
      <c r="F2741" t="inlineStr">
        <is>
          <t>SCA</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7333-2023</t>
        </is>
      </c>
      <c r="B2742" s="1" t="n">
        <v>44970.97947916666</v>
      </c>
      <c r="C2742" s="1" t="n">
        <v>46185</v>
      </c>
      <c r="D2742" t="inlineStr">
        <is>
          <t>VÄSTERNORRLANDS LÄN</t>
        </is>
      </c>
      <c r="E2742" t="inlineStr">
        <is>
          <t>SOLLEFTEÅ</t>
        </is>
      </c>
      <c r="F2742" t="inlineStr">
        <is>
          <t>SCA</t>
        </is>
      </c>
      <c r="G2742" t="n">
        <v>6.1</v>
      </c>
      <c r="H2742" t="n">
        <v>0</v>
      </c>
      <c r="I2742" t="n">
        <v>0</v>
      </c>
      <c r="J2742" t="n">
        <v>0</v>
      </c>
      <c r="K2742" t="n">
        <v>0</v>
      </c>
      <c r="L2742" t="n">
        <v>0</v>
      </c>
      <c r="M2742" t="n">
        <v>0</v>
      </c>
      <c r="N2742" t="n">
        <v>0</v>
      </c>
      <c r="O2742" t="n">
        <v>0</v>
      </c>
      <c r="P2742" t="n">
        <v>0</v>
      </c>
      <c r="Q2742" t="n">
        <v>0</v>
      </c>
      <c r="R2742" s="2" t="inlineStr"/>
    </row>
    <row r="2743" ht="15" customHeight="1">
      <c r="A2743" t="inlineStr">
        <is>
          <t>A 74-2026</t>
        </is>
      </c>
      <c r="B2743" s="1" t="n">
        <v>46024</v>
      </c>
      <c r="C2743" s="1" t="n">
        <v>46185</v>
      </c>
      <c r="D2743" t="inlineStr">
        <is>
          <t>VÄSTERNORRLANDS LÄN</t>
        </is>
      </c>
      <c r="E2743" t="inlineStr">
        <is>
          <t>KRAMFORS</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78-2026</t>
        </is>
      </c>
      <c r="B2744" s="1" t="n">
        <v>46024.46907407408</v>
      </c>
      <c r="C2744" s="1" t="n">
        <v>46185</v>
      </c>
      <c r="D2744" t="inlineStr">
        <is>
          <t>VÄSTERNORRLANDS LÄN</t>
        </is>
      </c>
      <c r="E2744" t="inlineStr">
        <is>
          <t>HÄRNÖSAND</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56647-2024</t>
        </is>
      </c>
      <c r="B2745" s="1" t="n">
        <v>45625.76469907408</v>
      </c>
      <c r="C2745" s="1" t="n">
        <v>46185</v>
      </c>
      <c r="D2745" t="inlineStr">
        <is>
          <t>VÄSTERNORRLANDS LÄN</t>
        </is>
      </c>
      <c r="E2745" t="inlineStr">
        <is>
          <t>SUNDSVALL</t>
        </is>
      </c>
      <c r="G2745" t="n">
        <v>5.3</v>
      </c>
      <c r="H2745" t="n">
        <v>0</v>
      </c>
      <c r="I2745" t="n">
        <v>0</v>
      </c>
      <c r="J2745" t="n">
        <v>0</v>
      </c>
      <c r="K2745" t="n">
        <v>0</v>
      </c>
      <c r="L2745" t="n">
        <v>0</v>
      </c>
      <c r="M2745" t="n">
        <v>0</v>
      </c>
      <c r="N2745" t="n">
        <v>0</v>
      </c>
      <c r="O2745" t="n">
        <v>0</v>
      </c>
      <c r="P2745" t="n">
        <v>0</v>
      </c>
      <c r="Q2745" t="n">
        <v>0</v>
      </c>
      <c r="R2745" s="2" t="inlineStr"/>
    </row>
    <row r="2746" ht="15" customHeight="1">
      <c r="A2746" t="inlineStr">
        <is>
          <t>A 2118-2025</t>
        </is>
      </c>
      <c r="B2746" s="1" t="n">
        <v>45672</v>
      </c>
      <c r="C2746" s="1" t="n">
        <v>46185</v>
      </c>
      <c r="D2746" t="inlineStr">
        <is>
          <t>VÄSTERNORRLANDS LÄN</t>
        </is>
      </c>
      <c r="E2746" t="inlineStr">
        <is>
          <t>ÖRNSKÖLDSVIK</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31-2026</t>
        </is>
      </c>
      <c r="B2747" s="1" t="n">
        <v>46024.35984953704</v>
      </c>
      <c r="C2747" s="1" t="n">
        <v>46185</v>
      </c>
      <c r="D2747" t="inlineStr">
        <is>
          <t>VÄSTERNORRLANDS LÄN</t>
        </is>
      </c>
      <c r="E2747" t="inlineStr">
        <is>
          <t>ÖRNSKÖLDSVIK</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80-2026</t>
        </is>
      </c>
      <c r="B2748" s="1" t="n">
        <v>46024.46914351852</v>
      </c>
      <c r="C2748" s="1" t="n">
        <v>46185</v>
      </c>
      <c r="D2748" t="inlineStr">
        <is>
          <t>VÄSTERNORRLANDS LÄN</t>
        </is>
      </c>
      <c r="E2748" t="inlineStr">
        <is>
          <t>HÄRNÖSAND</t>
        </is>
      </c>
      <c r="G2748" t="n">
        <v>9.5</v>
      </c>
      <c r="H2748" t="n">
        <v>0</v>
      </c>
      <c r="I2748" t="n">
        <v>0</v>
      </c>
      <c r="J2748" t="n">
        <v>0</v>
      </c>
      <c r="K2748" t="n">
        <v>0</v>
      </c>
      <c r="L2748" t="n">
        <v>0</v>
      </c>
      <c r="M2748" t="n">
        <v>0</v>
      </c>
      <c r="N2748" t="n">
        <v>0</v>
      </c>
      <c r="O2748" t="n">
        <v>0</v>
      </c>
      <c r="P2748" t="n">
        <v>0</v>
      </c>
      <c r="Q2748" t="n">
        <v>0</v>
      </c>
      <c r="R2748" s="2" t="inlineStr"/>
    </row>
    <row r="2749" ht="15" customHeight="1">
      <c r="A2749" t="inlineStr">
        <is>
          <t>A 91-2026</t>
        </is>
      </c>
      <c r="B2749" s="1" t="n">
        <v>46024.48994212963</v>
      </c>
      <c r="C2749" s="1" t="n">
        <v>46185</v>
      </c>
      <c r="D2749" t="inlineStr">
        <is>
          <t>VÄSTERNORRLANDS LÄN</t>
        </is>
      </c>
      <c r="E2749" t="inlineStr">
        <is>
          <t>KRAMFORS</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92-2026</t>
        </is>
      </c>
      <c r="B2750" s="1" t="n">
        <v>46024.48996527777</v>
      </c>
      <c r="C2750" s="1" t="n">
        <v>46185</v>
      </c>
      <c r="D2750" t="inlineStr">
        <is>
          <t>VÄSTERNORRLANDS LÄN</t>
        </is>
      </c>
      <c r="E2750" t="inlineStr">
        <is>
          <t>KRAMFORS</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25495-2025</t>
        </is>
      </c>
      <c r="B2751" s="1" t="n">
        <v>45803.33739583333</v>
      </c>
      <c r="C2751" s="1" t="n">
        <v>46185</v>
      </c>
      <c r="D2751" t="inlineStr">
        <is>
          <t>VÄSTERNORRLANDS LÄN</t>
        </is>
      </c>
      <c r="E2751" t="inlineStr">
        <is>
          <t>ÖRNSKÖLDSVIK</t>
        </is>
      </c>
      <c r="F2751" t="inlineStr">
        <is>
          <t>Holmen skog AB</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63522-2021</t>
        </is>
      </c>
      <c r="B2752" s="1" t="n">
        <v>44508</v>
      </c>
      <c r="C2752" s="1" t="n">
        <v>46185</v>
      </c>
      <c r="D2752" t="inlineStr">
        <is>
          <t>VÄSTERNORRLANDS LÄN</t>
        </is>
      </c>
      <c r="E2752" t="inlineStr">
        <is>
          <t>ÅNGE</t>
        </is>
      </c>
      <c r="F2752" t="inlineStr">
        <is>
          <t>Övriga Aktiebolag</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138-2026</t>
        </is>
      </c>
      <c r="B2753" s="1" t="n">
        <v>46024</v>
      </c>
      <c r="C2753" s="1" t="n">
        <v>46185</v>
      </c>
      <c r="D2753" t="inlineStr">
        <is>
          <t>VÄSTERNORRLANDS LÄN</t>
        </is>
      </c>
      <c r="E2753" t="inlineStr">
        <is>
          <t>SUNDSVALL</t>
        </is>
      </c>
      <c r="G2753" t="n">
        <v>18.4</v>
      </c>
      <c r="H2753" t="n">
        <v>0</v>
      </c>
      <c r="I2753" t="n">
        <v>0</v>
      </c>
      <c r="J2753" t="n">
        <v>0</v>
      </c>
      <c r="K2753" t="n">
        <v>0</v>
      </c>
      <c r="L2753" t="n">
        <v>0</v>
      </c>
      <c r="M2753" t="n">
        <v>0</v>
      </c>
      <c r="N2753" t="n">
        <v>0</v>
      </c>
      <c r="O2753" t="n">
        <v>0</v>
      </c>
      <c r="P2753" t="n">
        <v>0</v>
      </c>
      <c r="Q2753" t="n">
        <v>0</v>
      </c>
      <c r="R2753" s="2" t="inlineStr"/>
    </row>
    <row r="2754" ht="15" customHeight="1">
      <c r="A2754" t="inlineStr">
        <is>
          <t>A 25856-2025</t>
        </is>
      </c>
      <c r="B2754" s="1" t="n">
        <v>45804.46944444445</v>
      </c>
      <c r="C2754" s="1" t="n">
        <v>46185</v>
      </c>
      <c r="D2754" t="inlineStr">
        <is>
          <t>VÄSTERNORRLANDS LÄN</t>
        </is>
      </c>
      <c r="E2754" t="inlineStr">
        <is>
          <t>SOLLEFTEÅ</t>
        </is>
      </c>
      <c r="F2754" t="inlineStr">
        <is>
          <t>SCA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38746-2024</t>
        </is>
      </c>
      <c r="B2755" s="1" t="n">
        <v>45547</v>
      </c>
      <c r="C2755" s="1" t="n">
        <v>46185</v>
      </c>
      <c r="D2755" t="inlineStr">
        <is>
          <t>VÄSTERNORRLANDS LÄN</t>
        </is>
      </c>
      <c r="E2755" t="inlineStr">
        <is>
          <t>ÖRNSKÖLDSVIK</t>
        </is>
      </c>
      <c r="G2755" t="n">
        <v>9.4</v>
      </c>
      <c r="H2755" t="n">
        <v>0</v>
      </c>
      <c r="I2755" t="n">
        <v>0</v>
      </c>
      <c r="J2755" t="n">
        <v>0</v>
      </c>
      <c r="K2755" t="n">
        <v>0</v>
      </c>
      <c r="L2755" t="n">
        <v>0</v>
      </c>
      <c r="M2755" t="n">
        <v>0</v>
      </c>
      <c r="N2755" t="n">
        <v>0</v>
      </c>
      <c r="O2755" t="n">
        <v>0</v>
      </c>
      <c r="P2755" t="n">
        <v>0</v>
      </c>
      <c r="Q2755" t="n">
        <v>0</v>
      </c>
      <c r="R2755" s="2" t="inlineStr"/>
    </row>
    <row r="2756" ht="15" customHeight="1">
      <c r="A2756" t="inlineStr">
        <is>
          <t>A 38330-2025</t>
        </is>
      </c>
      <c r="B2756" s="1" t="n">
        <v>45883.49123842592</v>
      </c>
      <c r="C2756" s="1" t="n">
        <v>46185</v>
      </c>
      <c r="D2756" t="inlineStr">
        <is>
          <t>VÄSTERNORRLANDS LÄN</t>
        </is>
      </c>
      <c r="E2756" t="inlineStr">
        <is>
          <t>SOLLEFTEÅ</t>
        </is>
      </c>
      <c r="F2756" t="inlineStr">
        <is>
          <t>SCA</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38362-2025</t>
        </is>
      </c>
      <c r="B2757" s="1" t="n">
        <v>45883.53739583334</v>
      </c>
      <c r="C2757" s="1" t="n">
        <v>46185</v>
      </c>
      <c r="D2757" t="inlineStr">
        <is>
          <t>VÄSTERNORRLANDS LÄN</t>
        </is>
      </c>
      <c r="E2757" t="inlineStr">
        <is>
          <t>ÖRNSKÖLDSVIK</t>
        </is>
      </c>
      <c r="F2757" t="inlineStr">
        <is>
          <t>Holmen skog AB</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57287-2022</t>
        </is>
      </c>
      <c r="B2758" s="1" t="n">
        <v>44895.95</v>
      </c>
      <c r="C2758" s="1" t="n">
        <v>46185</v>
      </c>
      <c r="D2758" t="inlineStr">
        <is>
          <t>VÄSTERNORRLANDS LÄN</t>
        </is>
      </c>
      <c r="E2758" t="inlineStr">
        <is>
          <t>ÅNGE</t>
        </is>
      </c>
      <c r="F2758" t="inlineStr">
        <is>
          <t>SCA</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57291-2022</t>
        </is>
      </c>
      <c r="B2759" s="1" t="n">
        <v>44895</v>
      </c>
      <c r="C2759" s="1" t="n">
        <v>46185</v>
      </c>
      <c r="D2759" t="inlineStr">
        <is>
          <t>VÄSTERNORRLANDS LÄN</t>
        </is>
      </c>
      <c r="E2759" t="inlineStr">
        <is>
          <t>ÅNGE</t>
        </is>
      </c>
      <c r="F2759" t="inlineStr">
        <is>
          <t>SCA</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25963-2025</t>
        </is>
      </c>
      <c r="B2760" s="1" t="n">
        <v>45804.61568287037</v>
      </c>
      <c r="C2760" s="1" t="n">
        <v>46185</v>
      </c>
      <c r="D2760" t="inlineStr">
        <is>
          <t>VÄSTERNORRLANDS LÄN</t>
        </is>
      </c>
      <c r="E2760" t="inlineStr">
        <is>
          <t>SOLLEFTEÅ</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6680-2024</t>
        </is>
      </c>
      <c r="B2761" s="1" t="n">
        <v>45341</v>
      </c>
      <c r="C2761" s="1" t="n">
        <v>46185</v>
      </c>
      <c r="D2761" t="inlineStr">
        <is>
          <t>VÄSTERNORRLANDS LÄN</t>
        </is>
      </c>
      <c r="E2761" t="inlineStr">
        <is>
          <t>ÅNGE</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6689-2024</t>
        </is>
      </c>
      <c r="B2762" s="1" t="n">
        <v>45341.9259375</v>
      </c>
      <c r="C2762" s="1" t="n">
        <v>46185</v>
      </c>
      <c r="D2762" t="inlineStr">
        <is>
          <t>VÄSTERNORRLANDS LÄN</t>
        </is>
      </c>
      <c r="E2762" t="inlineStr">
        <is>
          <t>ÅNGE</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660-2026</t>
        </is>
      </c>
      <c r="B2763" s="1" t="n">
        <v>46025</v>
      </c>
      <c r="C2763" s="1" t="n">
        <v>46185</v>
      </c>
      <c r="D2763" t="inlineStr">
        <is>
          <t>VÄSTERNORRLANDS LÄN</t>
        </is>
      </c>
      <c r="E2763" t="inlineStr">
        <is>
          <t>ÖRNSKÖLDSVIK</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354-2026</t>
        </is>
      </c>
      <c r="B2764" s="1" t="n">
        <v>46027.63684027778</v>
      </c>
      <c r="C2764" s="1" t="n">
        <v>46185</v>
      </c>
      <c r="D2764" t="inlineStr">
        <is>
          <t>VÄSTERNORRLANDS LÄN</t>
        </is>
      </c>
      <c r="E2764" t="inlineStr">
        <is>
          <t>ÖRNSKÖLDSVIK</t>
        </is>
      </c>
      <c r="F2764" t="inlineStr">
        <is>
          <t>Holmen skog AB</t>
        </is>
      </c>
      <c r="G2764" t="n">
        <v>12.5</v>
      </c>
      <c r="H2764" t="n">
        <v>0</v>
      </c>
      <c r="I2764" t="n">
        <v>0</v>
      </c>
      <c r="J2764" t="n">
        <v>0</v>
      </c>
      <c r="K2764" t="n">
        <v>0</v>
      </c>
      <c r="L2764" t="n">
        <v>0</v>
      </c>
      <c r="M2764" t="n">
        <v>0</v>
      </c>
      <c r="N2764" t="n">
        <v>0</v>
      </c>
      <c r="O2764" t="n">
        <v>0</v>
      </c>
      <c r="P2764" t="n">
        <v>0</v>
      </c>
      <c r="Q2764" t="n">
        <v>0</v>
      </c>
      <c r="R2764" s="2" t="inlineStr"/>
    </row>
    <row r="2765" ht="15" customHeight="1">
      <c r="A2765" t="inlineStr">
        <is>
          <t>A 377-2026</t>
        </is>
      </c>
      <c r="B2765" s="1" t="n">
        <v>46027.72607638889</v>
      </c>
      <c r="C2765" s="1" t="n">
        <v>46185</v>
      </c>
      <c r="D2765" t="inlineStr">
        <is>
          <t>VÄSTERNORRLANDS LÄN</t>
        </is>
      </c>
      <c r="E2765" t="inlineStr">
        <is>
          <t>TIMRÅ</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36877-2024</t>
        </is>
      </c>
      <c r="B2766" s="1" t="n">
        <v>45538.59418981482</v>
      </c>
      <c r="C2766" s="1" t="n">
        <v>46185</v>
      </c>
      <c r="D2766" t="inlineStr">
        <is>
          <t>VÄSTERNORRLANDS LÄN</t>
        </is>
      </c>
      <c r="E2766" t="inlineStr">
        <is>
          <t>ÅNGE</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38938-2025</t>
        </is>
      </c>
      <c r="B2767" s="1" t="n">
        <v>45884</v>
      </c>
      <c r="C2767" s="1" t="n">
        <v>46185</v>
      </c>
      <c r="D2767" t="inlineStr">
        <is>
          <t>VÄSTERNORRLANDS LÄN</t>
        </is>
      </c>
      <c r="E2767" t="inlineStr">
        <is>
          <t>TIMRÅ</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24483-2025</t>
        </is>
      </c>
      <c r="B2768" s="1" t="n">
        <v>45798</v>
      </c>
      <c r="C2768" s="1" t="n">
        <v>46185</v>
      </c>
      <c r="D2768" t="inlineStr">
        <is>
          <t>VÄSTERNORRLANDS LÄN</t>
        </is>
      </c>
      <c r="E2768" t="inlineStr">
        <is>
          <t>ÖRNSKÖLDSVIK</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61937-2024</t>
        </is>
      </c>
      <c r="B2769" s="1" t="n">
        <v>45653</v>
      </c>
      <c r="C2769" s="1" t="n">
        <v>46185</v>
      </c>
      <c r="D2769" t="inlineStr">
        <is>
          <t>VÄSTERNORRLANDS LÄN</t>
        </is>
      </c>
      <c r="E2769" t="inlineStr">
        <is>
          <t>ÖRNSKÖLDSVIK</t>
        </is>
      </c>
      <c r="G2769" t="n">
        <v>22.5</v>
      </c>
      <c r="H2769" t="n">
        <v>0</v>
      </c>
      <c r="I2769" t="n">
        <v>0</v>
      </c>
      <c r="J2769" t="n">
        <v>0</v>
      </c>
      <c r="K2769" t="n">
        <v>0</v>
      </c>
      <c r="L2769" t="n">
        <v>0</v>
      </c>
      <c r="M2769" t="n">
        <v>0</v>
      </c>
      <c r="N2769" t="n">
        <v>0</v>
      </c>
      <c r="O2769" t="n">
        <v>0</v>
      </c>
      <c r="P2769" t="n">
        <v>0</v>
      </c>
      <c r="Q2769" t="n">
        <v>0</v>
      </c>
      <c r="R2769" s="2" t="inlineStr"/>
    </row>
    <row r="2770" ht="15" customHeight="1">
      <c r="A2770" t="inlineStr">
        <is>
          <t>A 29179-2024</t>
        </is>
      </c>
      <c r="B2770" s="1" t="n">
        <v>45482.54008101852</v>
      </c>
      <c r="C2770" s="1" t="n">
        <v>46185</v>
      </c>
      <c r="D2770" t="inlineStr">
        <is>
          <t>VÄSTERNORRLANDS LÄN</t>
        </is>
      </c>
      <c r="E2770" t="inlineStr">
        <is>
          <t>ÖRNSKÖLDSVIK</t>
        </is>
      </c>
      <c r="F2770" t="inlineStr">
        <is>
          <t>Holmen skog AB</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38438-2025</t>
        </is>
      </c>
      <c r="B2771" s="1" t="n">
        <v>45883</v>
      </c>
      <c r="C2771" s="1" t="n">
        <v>46185</v>
      </c>
      <c r="D2771" t="inlineStr">
        <is>
          <t>VÄSTERNORRLANDS LÄN</t>
        </is>
      </c>
      <c r="E2771" t="inlineStr">
        <is>
          <t>ÖRNSKÖLDSVIK</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25855-2025</t>
        </is>
      </c>
      <c r="B2772" s="1" t="n">
        <v>45804.46934027778</v>
      </c>
      <c r="C2772" s="1" t="n">
        <v>46185</v>
      </c>
      <c r="D2772" t="inlineStr">
        <is>
          <t>VÄSTERNORRLANDS LÄN</t>
        </is>
      </c>
      <c r="E2772" t="inlineStr">
        <is>
          <t>SOLLEFTEÅ</t>
        </is>
      </c>
      <c r="F2772" t="inlineStr">
        <is>
          <t>SCA</t>
        </is>
      </c>
      <c r="G2772" t="n">
        <v>8.6</v>
      </c>
      <c r="H2772" t="n">
        <v>0</v>
      </c>
      <c r="I2772" t="n">
        <v>0</v>
      </c>
      <c r="J2772" t="n">
        <v>0</v>
      </c>
      <c r="K2772" t="n">
        <v>0</v>
      </c>
      <c r="L2772" t="n">
        <v>0</v>
      </c>
      <c r="M2772" t="n">
        <v>0</v>
      </c>
      <c r="N2772" t="n">
        <v>0</v>
      </c>
      <c r="O2772" t="n">
        <v>0</v>
      </c>
      <c r="P2772" t="n">
        <v>0</v>
      </c>
      <c r="Q2772" t="n">
        <v>0</v>
      </c>
      <c r="R2772" s="2" t="inlineStr"/>
    </row>
    <row r="2773" ht="15" customHeight="1">
      <c r="A2773" t="inlineStr">
        <is>
          <t>A 25857-2025</t>
        </is>
      </c>
      <c r="B2773" s="1" t="n">
        <v>45804.46956018519</v>
      </c>
      <c r="C2773" s="1" t="n">
        <v>46185</v>
      </c>
      <c r="D2773" t="inlineStr">
        <is>
          <t>VÄSTERNORRLANDS LÄN</t>
        </is>
      </c>
      <c r="E2773" t="inlineStr">
        <is>
          <t>SOLLEFTEÅ</t>
        </is>
      </c>
      <c r="F2773" t="inlineStr">
        <is>
          <t>SCA</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25574-2025</t>
        </is>
      </c>
      <c r="B2774" s="1" t="n">
        <v>45803</v>
      </c>
      <c r="C2774" s="1" t="n">
        <v>46185</v>
      </c>
      <c r="D2774" t="inlineStr">
        <is>
          <t>VÄSTERNORRLANDS LÄN</t>
        </is>
      </c>
      <c r="E2774" t="inlineStr">
        <is>
          <t>KRAMFORS</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38501-2025</t>
        </is>
      </c>
      <c r="B2775" s="1" t="n">
        <v>45884.3789699074</v>
      </c>
      <c r="C2775" s="1" t="n">
        <v>46185</v>
      </c>
      <c r="D2775" t="inlineStr">
        <is>
          <t>VÄSTERNORRLANDS LÄN</t>
        </is>
      </c>
      <c r="E2775" t="inlineStr">
        <is>
          <t>ÖRNSKÖLDSVIK</t>
        </is>
      </c>
      <c r="F2775" t="inlineStr">
        <is>
          <t>Holmen skog AB</t>
        </is>
      </c>
      <c r="G2775" t="n">
        <v>9.699999999999999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58276-2021</t>
        </is>
      </c>
      <c r="B2776" s="1" t="n">
        <v>44487.94453703704</v>
      </c>
      <c r="C2776" s="1" t="n">
        <v>46185</v>
      </c>
      <c r="D2776" t="inlineStr">
        <is>
          <t>VÄSTERNORRLANDS LÄN</t>
        </is>
      </c>
      <c r="E2776" t="inlineStr">
        <is>
          <t>SOLLEFTEÅ</t>
        </is>
      </c>
      <c r="F2776" t="inlineStr">
        <is>
          <t>SCA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44343-2024</t>
        </is>
      </c>
      <c r="B2777" s="1" t="n">
        <v>45573</v>
      </c>
      <c r="C2777" s="1" t="n">
        <v>46185</v>
      </c>
      <c r="D2777" t="inlineStr">
        <is>
          <t>VÄSTERNORRLANDS LÄN</t>
        </is>
      </c>
      <c r="E2777" t="inlineStr">
        <is>
          <t>ÖRNSKÖLDSVIK</t>
        </is>
      </c>
      <c r="G2777" t="n">
        <v>9.1</v>
      </c>
      <c r="H2777" t="n">
        <v>0</v>
      </c>
      <c r="I2777" t="n">
        <v>0</v>
      </c>
      <c r="J2777" t="n">
        <v>0</v>
      </c>
      <c r="K2777" t="n">
        <v>0</v>
      </c>
      <c r="L2777" t="n">
        <v>0</v>
      </c>
      <c r="M2777" t="n">
        <v>0</v>
      </c>
      <c r="N2777" t="n">
        <v>0</v>
      </c>
      <c r="O2777" t="n">
        <v>0</v>
      </c>
      <c r="P2777" t="n">
        <v>0</v>
      </c>
      <c r="Q2777" t="n">
        <v>0</v>
      </c>
      <c r="R2777" s="2" t="inlineStr"/>
    </row>
    <row r="2778" ht="15" customHeight="1">
      <c r="A2778" t="inlineStr">
        <is>
          <t>A 25510-2025</t>
        </is>
      </c>
      <c r="B2778" s="1" t="n">
        <v>45803.35694444444</v>
      </c>
      <c r="C2778" s="1" t="n">
        <v>46185</v>
      </c>
      <c r="D2778" t="inlineStr">
        <is>
          <t>VÄSTERNORRLANDS LÄN</t>
        </is>
      </c>
      <c r="E2778" t="inlineStr">
        <is>
          <t>ÖRNSKÖLDSVIK</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249-2026</t>
        </is>
      </c>
      <c r="B2779" s="1" t="n">
        <v>46027</v>
      </c>
      <c r="C2779" s="1" t="n">
        <v>46185</v>
      </c>
      <c r="D2779" t="inlineStr">
        <is>
          <t>VÄSTERNORRLANDS LÄN</t>
        </is>
      </c>
      <c r="E2779" t="inlineStr">
        <is>
          <t>SUNDSVALL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269-2026</t>
        </is>
      </c>
      <c r="B2780" s="1" t="n">
        <v>46027.45719907407</v>
      </c>
      <c r="C2780" s="1" t="n">
        <v>46185</v>
      </c>
      <c r="D2780" t="inlineStr">
        <is>
          <t>VÄSTERNORRLANDS LÄN</t>
        </is>
      </c>
      <c r="E2780" t="inlineStr">
        <is>
          <t>SUNDSVALL</t>
        </is>
      </c>
      <c r="G2780" t="n">
        <v>9.4</v>
      </c>
      <c r="H2780" t="n">
        <v>0</v>
      </c>
      <c r="I2780" t="n">
        <v>0</v>
      </c>
      <c r="J2780" t="n">
        <v>0</v>
      </c>
      <c r="K2780" t="n">
        <v>0</v>
      </c>
      <c r="L2780" t="n">
        <v>0</v>
      </c>
      <c r="M2780" t="n">
        <v>0</v>
      </c>
      <c r="N2780" t="n">
        <v>0</v>
      </c>
      <c r="O2780" t="n">
        <v>0</v>
      </c>
      <c r="P2780" t="n">
        <v>0</v>
      </c>
      <c r="Q2780" t="n">
        <v>0</v>
      </c>
      <c r="R2780" s="2" t="inlineStr"/>
    </row>
    <row r="2781" ht="15" customHeight="1">
      <c r="A2781" t="inlineStr">
        <is>
          <t>A 35488-2024</t>
        </is>
      </c>
      <c r="B2781" s="1" t="n">
        <v>45531</v>
      </c>
      <c r="C2781" s="1" t="n">
        <v>46185</v>
      </c>
      <c r="D2781" t="inlineStr">
        <is>
          <t>VÄSTERNORRLANDS LÄN</t>
        </is>
      </c>
      <c r="E2781" t="inlineStr">
        <is>
          <t>ÅNGE</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37165-2021</t>
        </is>
      </c>
      <c r="B2782" s="1" t="n">
        <v>44396</v>
      </c>
      <c r="C2782" s="1" t="n">
        <v>46185</v>
      </c>
      <c r="D2782" t="inlineStr">
        <is>
          <t>VÄSTERNORRLANDS LÄN</t>
        </is>
      </c>
      <c r="E2782" t="inlineStr">
        <is>
          <t>TIMRÅ</t>
        </is>
      </c>
      <c r="G2782" t="n">
        <v>6.8</v>
      </c>
      <c r="H2782" t="n">
        <v>0</v>
      </c>
      <c r="I2782" t="n">
        <v>0</v>
      </c>
      <c r="J2782" t="n">
        <v>0</v>
      </c>
      <c r="K2782" t="n">
        <v>0</v>
      </c>
      <c r="L2782" t="n">
        <v>0</v>
      </c>
      <c r="M2782" t="n">
        <v>0</v>
      </c>
      <c r="N2782" t="n">
        <v>0</v>
      </c>
      <c r="O2782" t="n">
        <v>0</v>
      </c>
      <c r="P2782" t="n">
        <v>0</v>
      </c>
      <c r="Q2782" t="n">
        <v>0</v>
      </c>
      <c r="R2782" s="2" t="inlineStr"/>
    </row>
    <row r="2783" ht="15" customHeight="1">
      <c r="A2783" t="inlineStr">
        <is>
          <t>A 232-2026</t>
        </is>
      </c>
      <c r="B2783" s="1" t="n">
        <v>46027.34425925926</v>
      </c>
      <c r="C2783" s="1" t="n">
        <v>46185</v>
      </c>
      <c r="D2783" t="inlineStr">
        <is>
          <t>VÄSTERNORRLANDS LÄN</t>
        </is>
      </c>
      <c r="E2783" t="inlineStr">
        <is>
          <t>ÅNGE</t>
        </is>
      </c>
      <c r="F2783" t="inlineStr">
        <is>
          <t>SCA</t>
        </is>
      </c>
      <c r="G2783" t="n">
        <v>37.7</v>
      </c>
      <c r="H2783" t="n">
        <v>0</v>
      </c>
      <c r="I2783" t="n">
        <v>0</v>
      </c>
      <c r="J2783" t="n">
        <v>0</v>
      </c>
      <c r="K2783" t="n">
        <v>0</v>
      </c>
      <c r="L2783" t="n">
        <v>0</v>
      </c>
      <c r="M2783" t="n">
        <v>0</v>
      </c>
      <c r="N2783" t="n">
        <v>0</v>
      </c>
      <c r="O2783" t="n">
        <v>0</v>
      </c>
      <c r="P2783" t="n">
        <v>0</v>
      </c>
      <c r="Q2783" t="n">
        <v>0</v>
      </c>
      <c r="R2783" s="2" t="inlineStr"/>
    </row>
    <row r="2784" ht="15" customHeight="1">
      <c r="A2784" t="inlineStr">
        <is>
          <t>A 6066-2024</t>
        </is>
      </c>
      <c r="B2784" s="1" t="n">
        <v>45336.88386574074</v>
      </c>
      <c r="C2784" s="1" t="n">
        <v>46185</v>
      </c>
      <c r="D2784" t="inlineStr">
        <is>
          <t>VÄSTERNORRLANDS LÄN</t>
        </is>
      </c>
      <c r="E2784" t="inlineStr">
        <is>
          <t>SOLLEFTEÅ</t>
        </is>
      </c>
      <c r="F2784" t="inlineStr">
        <is>
          <t>Övriga Aktiebolag</t>
        </is>
      </c>
      <c r="G2784" t="n">
        <v>14.8</v>
      </c>
      <c r="H2784" t="n">
        <v>0</v>
      </c>
      <c r="I2784" t="n">
        <v>0</v>
      </c>
      <c r="J2784" t="n">
        <v>0</v>
      </c>
      <c r="K2784" t="n">
        <v>0</v>
      </c>
      <c r="L2784" t="n">
        <v>0</v>
      </c>
      <c r="M2784" t="n">
        <v>0</v>
      </c>
      <c r="N2784" t="n">
        <v>0</v>
      </c>
      <c r="O2784" t="n">
        <v>0</v>
      </c>
      <c r="P2784" t="n">
        <v>0</v>
      </c>
      <c r="Q2784" t="n">
        <v>0</v>
      </c>
      <c r="R2784" s="2" t="inlineStr"/>
    </row>
    <row r="2785" ht="15" customHeight="1">
      <c r="A2785" t="inlineStr">
        <is>
          <t>A 17461-2023</t>
        </is>
      </c>
      <c r="B2785" s="1" t="n">
        <v>45036.33818287037</v>
      </c>
      <c r="C2785" s="1" t="n">
        <v>46185</v>
      </c>
      <c r="D2785" t="inlineStr">
        <is>
          <t>VÄSTERNORRLANDS LÄN</t>
        </is>
      </c>
      <c r="E2785" t="inlineStr">
        <is>
          <t>KRAMFORS</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18461-2025</t>
        </is>
      </c>
      <c r="B2786" s="1" t="n">
        <v>45762</v>
      </c>
      <c r="C2786" s="1" t="n">
        <v>46185</v>
      </c>
      <c r="D2786" t="inlineStr">
        <is>
          <t>VÄSTERNORRLANDS LÄN</t>
        </is>
      </c>
      <c r="E2786" t="inlineStr">
        <is>
          <t>HÄRNÖSAND</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43440-2022</t>
        </is>
      </c>
      <c r="B2787" s="1" t="n">
        <v>44834.95118055555</v>
      </c>
      <c r="C2787" s="1" t="n">
        <v>46185</v>
      </c>
      <c r="D2787" t="inlineStr">
        <is>
          <t>VÄSTERNORRLANDS LÄN</t>
        </is>
      </c>
      <c r="E2787" t="inlineStr">
        <is>
          <t>KRAMFORS</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35593-2024</t>
        </is>
      </c>
      <c r="B2788" s="1" t="n">
        <v>45531</v>
      </c>
      <c r="C2788" s="1" t="n">
        <v>46185</v>
      </c>
      <c r="D2788" t="inlineStr">
        <is>
          <t>VÄSTERNORRLANDS LÄN</t>
        </is>
      </c>
      <c r="E2788" t="inlineStr">
        <is>
          <t>ÅNGE</t>
        </is>
      </c>
      <c r="G2788" t="n">
        <v>17.6</v>
      </c>
      <c r="H2788" t="n">
        <v>0</v>
      </c>
      <c r="I2788" t="n">
        <v>0</v>
      </c>
      <c r="J2788" t="n">
        <v>0</v>
      </c>
      <c r="K2788" t="n">
        <v>0</v>
      </c>
      <c r="L2788" t="n">
        <v>0</v>
      </c>
      <c r="M2788" t="n">
        <v>0</v>
      </c>
      <c r="N2788" t="n">
        <v>0</v>
      </c>
      <c r="O2788" t="n">
        <v>0</v>
      </c>
      <c r="P2788" t="n">
        <v>0</v>
      </c>
      <c r="Q2788" t="n">
        <v>0</v>
      </c>
      <c r="R2788" s="2" t="inlineStr"/>
    </row>
    <row r="2789" ht="15" customHeight="1">
      <c r="A2789" t="inlineStr">
        <is>
          <t>A 47897-2022</t>
        </is>
      </c>
      <c r="B2789" s="1" t="n">
        <v>44855</v>
      </c>
      <c r="C2789" s="1" t="n">
        <v>46185</v>
      </c>
      <c r="D2789" t="inlineStr">
        <is>
          <t>VÄSTERNORRLANDS LÄN</t>
        </is>
      </c>
      <c r="E2789" t="inlineStr">
        <is>
          <t>SUNDSVALL</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27854-2024</t>
        </is>
      </c>
      <c r="B2790" s="1" t="n">
        <v>45475.65396990741</v>
      </c>
      <c r="C2790" s="1" t="n">
        <v>46185</v>
      </c>
      <c r="D2790" t="inlineStr">
        <is>
          <t>VÄSTERNORRLANDS LÄN</t>
        </is>
      </c>
      <c r="E2790" t="inlineStr">
        <is>
          <t>ÖRNSKÖLDSVIK</t>
        </is>
      </c>
      <c r="F2790" t="inlineStr">
        <is>
          <t>Holmen skog AB</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25854-2025</t>
        </is>
      </c>
      <c r="B2791" s="1" t="n">
        <v>45804.46920138889</v>
      </c>
      <c r="C2791" s="1" t="n">
        <v>46185</v>
      </c>
      <c r="D2791" t="inlineStr">
        <is>
          <t>VÄSTERNORRLANDS LÄN</t>
        </is>
      </c>
      <c r="E2791" t="inlineStr">
        <is>
          <t>SOLLEFTEÅ</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25873-2025</t>
        </is>
      </c>
      <c r="B2792" s="1" t="n">
        <v>45804.49041666667</v>
      </c>
      <c r="C2792" s="1" t="n">
        <v>46185</v>
      </c>
      <c r="D2792" t="inlineStr">
        <is>
          <t>VÄSTERNORRLANDS LÄN</t>
        </is>
      </c>
      <c r="E2792" t="inlineStr">
        <is>
          <t>SUNDSVALL</t>
        </is>
      </c>
      <c r="F2792" t="inlineStr">
        <is>
          <t>Naturvårdsverket</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54560-2022</t>
        </is>
      </c>
      <c r="B2793" s="1" t="n">
        <v>44882</v>
      </c>
      <c r="C2793" s="1" t="n">
        <v>46185</v>
      </c>
      <c r="D2793" t="inlineStr">
        <is>
          <t>VÄSTERNORRLANDS LÄN</t>
        </is>
      </c>
      <c r="E2793" t="inlineStr">
        <is>
          <t>SUNDSVALL</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15863-2022</t>
        </is>
      </c>
      <c r="B2794" s="1" t="n">
        <v>44664</v>
      </c>
      <c r="C2794" s="1" t="n">
        <v>46185</v>
      </c>
      <c r="D2794" t="inlineStr">
        <is>
          <t>VÄSTERNORRLANDS LÄN</t>
        </is>
      </c>
      <c r="E2794" t="inlineStr">
        <is>
          <t>ÅNGE</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282-2023</t>
        </is>
      </c>
      <c r="B2795" s="1" t="n">
        <v>44928</v>
      </c>
      <c r="C2795" s="1" t="n">
        <v>46185</v>
      </c>
      <c r="D2795" t="inlineStr">
        <is>
          <t>VÄSTERNORRLANDS LÄN</t>
        </is>
      </c>
      <c r="E2795" t="inlineStr">
        <is>
          <t>SOLLEFTEÅ</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25834-2025</t>
        </is>
      </c>
      <c r="B2796" s="1" t="n">
        <v>45804.44841435185</v>
      </c>
      <c r="C2796" s="1" t="n">
        <v>46185</v>
      </c>
      <c r="D2796" t="inlineStr">
        <is>
          <t>VÄSTERNORRLANDS LÄN</t>
        </is>
      </c>
      <c r="E2796" t="inlineStr">
        <is>
          <t>SUNDSVALL</t>
        </is>
      </c>
      <c r="F2796" t="inlineStr">
        <is>
          <t>Naturvårdsverket</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378-2026</t>
        </is>
      </c>
      <c r="B2797" s="1" t="n">
        <v>46027.72983796296</v>
      </c>
      <c r="C2797" s="1" t="n">
        <v>46185</v>
      </c>
      <c r="D2797" t="inlineStr">
        <is>
          <t>VÄSTERNORRLANDS LÄN</t>
        </is>
      </c>
      <c r="E2797" t="inlineStr">
        <is>
          <t>TIMRÅ</t>
        </is>
      </c>
      <c r="G2797" t="n">
        <v>6.3</v>
      </c>
      <c r="H2797" t="n">
        <v>0</v>
      </c>
      <c r="I2797" t="n">
        <v>0</v>
      </c>
      <c r="J2797" t="n">
        <v>0</v>
      </c>
      <c r="K2797" t="n">
        <v>0</v>
      </c>
      <c r="L2797" t="n">
        <v>0</v>
      </c>
      <c r="M2797" t="n">
        <v>0</v>
      </c>
      <c r="N2797" t="n">
        <v>0</v>
      </c>
      <c r="O2797" t="n">
        <v>0</v>
      </c>
      <c r="P2797" t="n">
        <v>0</v>
      </c>
      <c r="Q2797" t="n">
        <v>0</v>
      </c>
      <c r="R2797" s="2" t="inlineStr"/>
    </row>
    <row r="2798" ht="15" customHeight="1">
      <c r="A2798" t="inlineStr">
        <is>
          <t>A 51967-2022</t>
        </is>
      </c>
      <c r="B2798" s="1" t="n">
        <v>44872.68481481481</v>
      </c>
      <c r="C2798" s="1" t="n">
        <v>46185</v>
      </c>
      <c r="D2798" t="inlineStr">
        <is>
          <t>VÄSTERNORRLANDS LÄN</t>
        </is>
      </c>
      <c r="E2798" t="inlineStr">
        <is>
          <t>ÖRNSKÖLDSVIK</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64412-2023</t>
        </is>
      </c>
      <c r="B2799" s="1" t="n">
        <v>45280</v>
      </c>
      <c r="C2799" s="1" t="n">
        <v>46185</v>
      </c>
      <c r="D2799" t="inlineStr">
        <is>
          <t>VÄSTERNORRLANDS LÄN</t>
        </is>
      </c>
      <c r="E2799" t="inlineStr">
        <is>
          <t>ÖRNSKÖLDSVIK</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23644-2023</t>
        </is>
      </c>
      <c r="B2800" s="1" t="n">
        <v>45072</v>
      </c>
      <c r="C2800" s="1" t="n">
        <v>46185</v>
      </c>
      <c r="D2800" t="inlineStr">
        <is>
          <t>VÄSTERNORRLANDS LÄN</t>
        </is>
      </c>
      <c r="E2800" t="inlineStr">
        <is>
          <t>ÖRNSKÖLDSVIK</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345-2026</t>
        </is>
      </c>
      <c r="B2801" s="1" t="n">
        <v>46027.61515046296</v>
      </c>
      <c r="C2801" s="1" t="n">
        <v>46185</v>
      </c>
      <c r="D2801" t="inlineStr">
        <is>
          <t>VÄSTERNORRLANDS LÄN</t>
        </is>
      </c>
      <c r="E2801" t="inlineStr">
        <is>
          <t>ÅNGE</t>
        </is>
      </c>
      <c r="F2801" t="inlineStr">
        <is>
          <t>SCA</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27468-2024</t>
        </is>
      </c>
      <c r="B2802" s="1" t="n">
        <v>45474</v>
      </c>
      <c r="C2802" s="1" t="n">
        <v>46185</v>
      </c>
      <c r="D2802" t="inlineStr">
        <is>
          <t>VÄSTERNORRLANDS LÄN</t>
        </is>
      </c>
      <c r="E2802" t="inlineStr">
        <is>
          <t>ÅNGE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41589-2024</t>
        </is>
      </c>
      <c r="B2803" s="1" t="n">
        <v>45560.56473379629</v>
      </c>
      <c r="C2803" s="1" t="n">
        <v>46185</v>
      </c>
      <c r="D2803" t="inlineStr">
        <is>
          <t>VÄSTERNORRLANDS LÄN</t>
        </is>
      </c>
      <c r="E2803" t="inlineStr">
        <is>
          <t>ÖRNSKÖLDSVIK</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176-2026</t>
        </is>
      </c>
      <c r="B2804" s="1" t="n">
        <v>46025.37502314815</v>
      </c>
      <c r="C2804" s="1" t="n">
        <v>46185</v>
      </c>
      <c r="D2804" t="inlineStr">
        <is>
          <t>VÄSTERNORRLANDS LÄN</t>
        </is>
      </c>
      <c r="E2804" t="inlineStr">
        <is>
          <t>SUNDSVALL</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26134-2025</t>
        </is>
      </c>
      <c r="B2805" s="1" t="n">
        <v>45805.41204861111</v>
      </c>
      <c r="C2805" s="1" t="n">
        <v>46185</v>
      </c>
      <c r="D2805" t="inlineStr">
        <is>
          <t>VÄSTERNORRLANDS LÄN</t>
        </is>
      </c>
      <c r="E2805" t="inlineStr">
        <is>
          <t>KRAMFORS</t>
        </is>
      </c>
      <c r="G2805" t="n">
        <v>15.3</v>
      </c>
      <c r="H2805" t="n">
        <v>0</v>
      </c>
      <c r="I2805" t="n">
        <v>0</v>
      </c>
      <c r="J2805" t="n">
        <v>0</v>
      </c>
      <c r="K2805" t="n">
        <v>0</v>
      </c>
      <c r="L2805" t="n">
        <v>0</v>
      </c>
      <c r="M2805" t="n">
        <v>0</v>
      </c>
      <c r="N2805" t="n">
        <v>0</v>
      </c>
      <c r="O2805" t="n">
        <v>0</v>
      </c>
      <c r="P2805" t="n">
        <v>0</v>
      </c>
      <c r="Q2805" t="n">
        <v>0</v>
      </c>
      <c r="R2805" s="2" t="inlineStr"/>
    </row>
    <row r="2806" ht="15" customHeight="1">
      <c r="A2806" t="inlineStr">
        <is>
          <t>A 26137-2025</t>
        </is>
      </c>
      <c r="B2806" s="1" t="n">
        <v>45805.41479166667</v>
      </c>
      <c r="C2806" s="1" t="n">
        <v>46185</v>
      </c>
      <c r="D2806" t="inlineStr">
        <is>
          <t>VÄSTERNORRLANDS LÄN</t>
        </is>
      </c>
      <c r="E2806" t="inlineStr">
        <is>
          <t>KRAMFORS</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173-2026</t>
        </is>
      </c>
      <c r="B2807" s="1" t="n">
        <v>46025.37215277777</v>
      </c>
      <c r="C2807" s="1" t="n">
        <v>46185</v>
      </c>
      <c r="D2807" t="inlineStr">
        <is>
          <t>VÄSTERNORRLANDS LÄN</t>
        </is>
      </c>
      <c r="E2807" t="inlineStr">
        <is>
          <t>SUNDSVALL</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45681-2021</t>
        </is>
      </c>
      <c r="B2808" s="1" t="n">
        <v>44441.36515046296</v>
      </c>
      <c r="C2808" s="1" t="n">
        <v>46185</v>
      </c>
      <c r="D2808" t="inlineStr">
        <is>
          <t>VÄSTERNORRLANDS LÄN</t>
        </is>
      </c>
      <c r="E2808" t="inlineStr">
        <is>
          <t>HÄRNÖSAND</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53949-2022</t>
        </is>
      </c>
      <c r="B2809" s="1" t="n">
        <v>44880</v>
      </c>
      <c r="C2809" s="1" t="n">
        <v>46185</v>
      </c>
      <c r="D2809" t="inlineStr">
        <is>
          <t>VÄSTERNORRLANDS LÄN</t>
        </is>
      </c>
      <c r="E2809" t="inlineStr">
        <is>
          <t>SUNDSVALL</t>
        </is>
      </c>
      <c r="F2809" t="inlineStr">
        <is>
          <t>SCA</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53957-2022</t>
        </is>
      </c>
      <c r="B2810" s="1" t="n">
        <v>44880.95756944444</v>
      </c>
      <c r="C2810" s="1" t="n">
        <v>46185</v>
      </c>
      <c r="D2810" t="inlineStr">
        <is>
          <t>VÄSTERNORRLANDS LÄN</t>
        </is>
      </c>
      <c r="E2810" t="inlineStr">
        <is>
          <t>TIMRÅ</t>
        </is>
      </c>
      <c r="F2810" t="inlineStr">
        <is>
          <t>SCA</t>
        </is>
      </c>
      <c r="G2810" t="n">
        <v>6.4</v>
      </c>
      <c r="H2810" t="n">
        <v>0</v>
      </c>
      <c r="I2810" t="n">
        <v>0</v>
      </c>
      <c r="J2810" t="n">
        <v>0</v>
      </c>
      <c r="K2810" t="n">
        <v>0</v>
      </c>
      <c r="L2810" t="n">
        <v>0</v>
      </c>
      <c r="M2810" t="n">
        <v>0</v>
      </c>
      <c r="N2810" t="n">
        <v>0</v>
      </c>
      <c r="O2810" t="n">
        <v>0</v>
      </c>
      <c r="P2810" t="n">
        <v>0</v>
      </c>
      <c r="Q2810" t="n">
        <v>0</v>
      </c>
      <c r="R2810" s="2" t="inlineStr"/>
    </row>
    <row r="2811" ht="15" customHeight="1">
      <c r="A2811" t="inlineStr">
        <is>
          <t>A 309-2026</t>
        </is>
      </c>
      <c r="B2811" s="1" t="n">
        <v>46027</v>
      </c>
      <c r="C2811" s="1" t="n">
        <v>46185</v>
      </c>
      <c r="D2811" t="inlineStr">
        <is>
          <t>VÄSTERNORRLANDS LÄN</t>
        </is>
      </c>
      <c r="E2811" t="inlineStr">
        <is>
          <t>SUNDSVALL</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11286-2025</t>
        </is>
      </c>
      <c r="B2812" s="1" t="n">
        <v>45726</v>
      </c>
      <c r="C2812" s="1" t="n">
        <v>46185</v>
      </c>
      <c r="D2812" t="inlineStr">
        <is>
          <t>VÄSTERNORRLANDS LÄN</t>
        </is>
      </c>
      <c r="E2812" t="inlineStr">
        <is>
          <t>ÖRNSKÖLDSVIK</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26317-2025</t>
        </is>
      </c>
      <c r="B2813" s="1" t="n">
        <v>45805.65710648148</v>
      </c>
      <c r="C2813" s="1" t="n">
        <v>46185</v>
      </c>
      <c r="D2813" t="inlineStr">
        <is>
          <t>VÄSTERNORRLANDS LÄN</t>
        </is>
      </c>
      <c r="E2813" t="inlineStr">
        <is>
          <t>SUNDSVALL</t>
        </is>
      </c>
      <c r="F2813" t="inlineStr">
        <is>
          <t>SCA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30055-2024</t>
        </is>
      </c>
      <c r="B2814" s="1" t="n">
        <v>45488.94767361111</v>
      </c>
      <c r="C2814" s="1" t="n">
        <v>46185</v>
      </c>
      <c r="D2814" t="inlineStr">
        <is>
          <t>VÄSTERNORRLANDS LÄN</t>
        </is>
      </c>
      <c r="E2814" t="inlineStr">
        <is>
          <t>ÅNGE</t>
        </is>
      </c>
      <c r="F2814" t="inlineStr">
        <is>
          <t>SCA</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26161-2025</t>
        </is>
      </c>
      <c r="B2815" s="1" t="n">
        <v>45805.44916666667</v>
      </c>
      <c r="C2815" s="1" t="n">
        <v>46185</v>
      </c>
      <c r="D2815" t="inlineStr">
        <is>
          <t>VÄSTERNORRLANDS LÄN</t>
        </is>
      </c>
      <c r="E2815" t="inlineStr">
        <is>
          <t>HÄRNÖSAND</t>
        </is>
      </c>
      <c r="F2815" t="inlineStr">
        <is>
          <t>SCA</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26174-2025</t>
        </is>
      </c>
      <c r="B2816" s="1" t="n">
        <v>45805.46679398148</v>
      </c>
      <c r="C2816" s="1" t="n">
        <v>46185</v>
      </c>
      <c r="D2816" t="inlineStr">
        <is>
          <t>VÄSTERNORRLANDS LÄN</t>
        </is>
      </c>
      <c r="E2816" t="inlineStr">
        <is>
          <t>HÄRNÖSAND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358-2026</t>
        </is>
      </c>
      <c r="B2817" s="1" t="n">
        <v>46027.65996527778</v>
      </c>
      <c r="C2817" s="1" t="n">
        <v>46185</v>
      </c>
      <c r="D2817" t="inlineStr">
        <is>
          <t>VÄSTERNORRLANDS LÄN</t>
        </is>
      </c>
      <c r="E2817" t="inlineStr">
        <is>
          <t>SOLLEFTEÅ</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20286-2024</t>
        </is>
      </c>
      <c r="B2818" s="1" t="n">
        <v>45435.22626157408</v>
      </c>
      <c r="C2818" s="1" t="n">
        <v>46185</v>
      </c>
      <c r="D2818" t="inlineStr">
        <is>
          <t>VÄSTERNORRLANDS LÄN</t>
        </is>
      </c>
      <c r="E2818" t="inlineStr">
        <is>
          <t>ÖRNSKÖLDSVIK</t>
        </is>
      </c>
      <c r="F2818" t="inlineStr">
        <is>
          <t>Holmen skog AB</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353-2026</t>
        </is>
      </c>
      <c r="B2819" s="1" t="n">
        <v>46027.63585648148</v>
      </c>
      <c r="C2819" s="1" t="n">
        <v>46185</v>
      </c>
      <c r="D2819" t="inlineStr">
        <is>
          <t>VÄSTERNORRLANDS LÄN</t>
        </is>
      </c>
      <c r="E2819" t="inlineStr">
        <is>
          <t>ÅNGE</t>
        </is>
      </c>
      <c r="F2819" t="inlineStr">
        <is>
          <t>SCA</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27709-2024</t>
        </is>
      </c>
      <c r="B2820" s="1" t="n">
        <v>45475</v>
      </c>
      <c r="C2820" s="1" t="n">
        <v>46185</v>
      </c>
      <c r="D2820" t="inlineStr">
        <is>
          <t>VÄSTERNORRLANDS LÄN</t>
        </is>
      </c>
      <c r="E2820" t="inlineStr">
        <is>
          <t>KRAMFORS</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272-2026</t>
        </is>
      </c>
      <c r="B2821" s="1" t="n">
        <v>46027.46248842592</v>
      </c>
      <c r="C2821" s="1" t="n">
        <v>46185</v>
      </c>
      <c r="D2821" t="inlineStr">
        <is>
          <t>VÄSTERNORRLANDS LÄN</t>
        </is>
      </c>
      <c r="E2821" t="inlineStr">
        <is>
          <t>SUNDSVALL</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51029-2021</t>
        </is>
      </c>
      <c r="B2822" s="1" t="n">
        <v>44460.94086805556</v>
      </c>
      <c r="C2822" s="1" t="n">
        <v>46185</v>
      </c>
      <c r="D2822" t="inlineStr">
        <is>
          <t>VÄSTERNORRLANDS LÄN</t>
        </is>
      </c>
      <c r="E2822" t="inlineStr">
        <is>
          <t>SOLLEFTEÅ</t>
        </is>
      </c>
      <c r="F2822" t="inlineStr">
        <is>
          <t>SCA</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26176-2025</t>
        </is>
      </c>
      <c r="B2823" s="1" t="n">
        <v>45805.46865740741</v>
      </c>
      <c r="C2823" s="1" t="n">
        <v>46185</v>
      </c>
      <c r="D2823" t="inlineStr">
        <is>
          <t>VÄSTERNORRLANDS LÄN</t>
        </is>
      </c>
      <c r="E2823" t="inlineStr">
        <is>
          <t>HÄRNÖSAND</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26210-2025</t>
        </is>
      </c>
      <c r="B2824" s="1" t="n">
        <v>45805.53760416667</v>
      </c>
      <c r="C2824" s="1" t="n">
        <v>46185</v>
      </c>
      <c r="D2824" t="inlineStr">
        <is>
          <t>VÄSTERNORRLANDS LÄN</t>
        </is>
      </c>
      <c r="E2824" t="inlineStr">
        <is>
          <t>KRAMFORS</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61102-2021</t>
        </is>
      </c>
      <c r="B2825" s="1" t="n">
        <v>44498</v>
      </c>
      <c r="C2825" s="1" t="n">
        <v>46185</v>
      </c>
      <c r="D2825" t="inlineStr">
        <is>
          <t>VÄSTERNORRLANDS LÄN</t>
        </is>
      </c>
      <c r="E2825" t="inlineStr">
        <is>
          <t>HÄRNÖSAND</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26313-2025</t>
        </is>
      </c>
      <c r="B2826" s="1" t="n">
        <v>45805.65674768519</v>
      </c>
      <c r="C2826" s="1" t="n">
        <v>46185</v>
      </c>
      <c r="D2826" t="inlineStr">
        <is>
          <t>VÄSTERNORRLANDS LÄN</t>
        </is>
      </c>
      <c r="E2826" t="inlineStr">
        <is>
          <t>SUNDSVALL</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47550-2022</t>
        </is>
      </c>
      <c r="B2827" s="1" t="n">
        <v>44853</v>
      </c>
      <c r="C2827" s="1" t="n">
        <v>46185</v>
      </c>
      <c r="D2827" t="inlineStr">
        <is>
          <t>VÄSTERNORRLANDS LÄN</t>
        </is>
      </c>
      <c r="E2827" t="inlineStr">
        <is>
          <t>HÄRNÖSAND</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46970-2022</t>
        </is>
      </c>
      <c r="B2828" s="1" t="n">
        <v>44851.95304398148</v>
      </c>
      <c r="C2828" s="1" t="n">
        <v>46185</v>
      </c>
      <c r="D2828" t="inlineStr">
        <is>
          <t>VÄSTERNORRLANDS LÄN</t>
        </is>
      </c>
      <c r="E2828" t="inlineStr">
        <is>
          <t>SUNDSVALL</t>
        </is>
      </c>
      <c r="F2828" t="inlineStr">
        <is>
          <t>SCA</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63665-2021</t>
        </is>
      </c>
      <c r="B2829" s="1" t="n">
        <v>44508</v>
      </c>
      <c r="C2829" s="1" t="n">
        <v>46185</v>
      </c>
      <c r="D2829" t="inlineStr">
        <is>
          <t>VÄSTERNORRLANDS LÄN</t>
        </is>
      </c>
      <c r="E2829" t="inlineStr">
        <is>
          <t>SUNDSVALL</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26337-2025</t>
        </is>
      </c>
      <c r="B2830" s="1" t="n">
        <v>45805.69826388889</v>
      </c>
      <c r="C2830" s="1" t="n">
        <v>46185</v>
      </c>
      <c r="D2830" t="inlineStr">
        <is>
          <t>VÄSTERNORRLANDS LÄN</t>
        </is>
      </c>
      <c r="E2830" t="inlineStr">
        <is>
          <t>SUNDSVALL</t>
        </is>
      </c>
      <c r="F2830" t="inlineStr">
        <is>
          <t>Naturvårdsverket</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73367-2021</t>
        </is>
      </c>
      <c r="B2831" s="1" t="n">
        <v>44550</v>
      </c>
      <c r="C2831" s="1" t="n">
        <v>46185</v>
      </c>
      <c r="D2831" t="inlineStr">
        <is>
          <t>VÄSTERNORRLANDS LÄN</t>
        </is>
      </c>
      <c r="E2831" t="inlineStr">
        <is>
          <t>SOLLEFTEÅ</t>
        </is>
      </c>
      <c r="G2831" t="n">
        <v>10.8</v>
      </c>
      <c r="H2831" t="n">
        <v>0</v>
      </c>
      <c r="I2831" t="n">
        <v>0</v>
      </c>
      <c r="J2831" t="n">
        <v>0</v>
      </c>
      <c r="K2831" t="n">
        <v>0</v>
      </c>
      <c r="L2831" t="n">
        <v>0</v>
      </c>
      <c r="M2831" t="n">
        <v>0</v>
      </c>
      <c r="N2831" t="n">
        <v>0</v>
      </c>
      <c r="O2831" t="n">
        <v>0</v>
      </c>
      <c r="P2831" t="n">
        <v>0</v>
      </c>
      <c r="Q2831" t="n">
        <v>0</v>
      </c>
      <c r="R2831" s="2" t="inlineStr"/>
    </row>
    <row r="2832" ht="15" customHeight="1">
      <c r="A2832" t="inlineStr">
        <is>
          <t>A 26390-2025</t>
        </is>
      </c>
      <c r="B2832" s="1" t="n">
        <v>45806.5733912037</v>
      </c>
      <c r="C2832" s="1" t="n">
        <v>46185</v>
      </c>
      <c r="D2832" t="inlineStr">
        <is>
          <t>VÄSTERNORRLANDS LÄN</t>
        </is>
      </c>
      <c r="E2832" t="inlineStr">
        <is>
          <t>SUNDSVALL</t>
        </is>
      </c>
      <c r="F2832" t="inlineStr">
        <is>
          <t>SCA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19334-2024</t>
        </is>
      </c>
      <c r="B2833" s="1" t="n">
        <v>45428.97018518519</v>
      </c>
      <c r="C2833" s="1" t="n">
        <v>46185</v>
      </c>
      <c r="D2833" t="inlineStr">
        <is>
          <t>VÄSTERNORRLANDS LÄN</t>
        </is>
      </c>
      <c r="E2833" t="inlineStr">
        <is>
          <t>SUNDSVALL</t>
        </is>
      </c>
      <c r="F2833" t="inlineStr">
        <is>
          <t>SCA</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38581-2025</t>
        </is>
      </c>
      <c r="B2834" s="1" t="n">
        <v>45884.46965277778</v>
      </c>
      <c r="C2834" s="1" t="n">
        <v>46185</v>
      </c>
      <c r="D2834" t="inlineStr">
        <is>
          <t>VÄSTERNORRLANDS LÄN</t>
        </is>
      </c>
      <c r="E2834" t="inlineStr">
        <is>
          <t>SOLLEFTEÅ</t>
        </is>
      </c>
      <c r="F2834" t="inlineStr">
        <is>
          <t>SCA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38596-2025</t>
        </is>
      </c>
      <c r="B2835" s="1" t="n">
        <v>45884.49040509259</v>
      </c>
      <c r="C2835" s="1" t="n">
        <v>46185</v>
      </c>
      <c r="D2835" t="inlineStr">
        <is>
          <t>VÄSTERNORRLANDS LÄN</t>
        </is>
      </c>
      <c r="E2835" t="inlineStr">
        <is>
          <t>SOLLEFTEÅ</t>
        </is>
      </c>
      <c r="F2835" t="inlineStr">
        <is>
          <t>SCA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38598-2025</t>
        </is>
      </c>
      <c r="B2836" s="1" t="n">
        <v>45884.49074074074</v>
      </c>
      <c r="C2836" s="1" t="n">
        <v>46185</v>
      </c>
      <c r="D2836" t="inlineStr">
        <is>
          <t>VÄSTERNORRLANDS LÄN</t>
        </is>
      </c>
      <c r="E2836" t="inlineStr">
        <is>
          <t>SOLLEFTEÅ</t>
        </is>
      </c>
      <c r="F2836" t="inlineStr">
        <is>
          <t>SCA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38606-2025</t>
        </is>
      </c>
      <c r="B2837" s="1" t="n">
        <v>45884.52636574074</v>
      </c>
      <c r="C2837" s="1" t="n">
        <v>46185</v>
      </c>
      <c r="D2837" t="inlineStr">
        <is>
          <t>VÄSTERNORRLANDS LÄN</t>
        </is>
      </c>
      <c r="E2837" t="inlineStr">
        <is>
          <t>ÖRNSKÖLDSVIK</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60424-2024</t>
        </is>
      </c>
      <c r="B2838" s="1" t="n">
        <v>45643</v>
      </c>
      <c r="C2838" s="1" t="n">
        <v>46185</v>
      </c>
      <c r="D2838" t="inlineStr">
        <is>
          <t>VÄSTERNORRLANDS LÄN</t>
        </is>
      </c>
      <c r="E2838" t="inlineStr">
        <is>
          <t>KRAMFORS</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42852-2022</t>
        </is>
      </c>
      <c r="B2839" s="1" t="n">
        <v>44832.67887731481</v>
      </c>
      <c r="C2839" s="1" t="n">
        <v>46185</v>
      </c>
      <c r="D2839" t="inlineStr">
        <is>
          <t>VÄSTERNORRLANDS LÄN</t>
        </is>
      </c>
      <c r="E2839" t="inlineStr">
        <is>
          <t>ÖRNSKÖLDSVIK</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26300-2025</t>
        </is>
      </c>
      <c r="B2840" s="1" t="n">
        <v>45805.6364699074</v>
      </c>
      <c r="C2840" s="1" t="n">
        <v>46185</v>
      </c>
      <c r="D2840" t="inlineStr">
        <is>
          <t>VÄSTERNORRLANDS LÄN</t>
        </is>
      </c>
      <c r="E2840" t="inlineStr">
        <is>
          <t>TIMRÅ</t>
        </is>
      </c>
      <c r="F2840" t="inlineStr">
        <is>
          <t>SCA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26086-2025</t>
        </is>
      </c>
      <c r="B2841" s="1" t="n">
        <v>45805.34465277778</v>
      </c>
      <c r="C2841" s="1" t="n">
        <v>46185</v>
      </c>
      <c r="D2841" t="inlineStr">
        <is>
          <t>VÄSTERNORRLANDS LÄN</t>
        </is>
      </c>
      <c r="E2841" t="inlineStr">
        <is>
          <t>HÄRNÖSAND</t>
        </is>
      </c>
      <c r="F2841" t="inlineStr">
        <is>
          <t>SCA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64649-2021</t>
        </is>
      </c>
      <c r="B2842" s="1" t="n">
        <v>44511.94659722222</v>
      </c>
      <c r="C2842" s="1" t="n">
        <v>46185</v>
      </c>
      <c r="D2842" t="inlineStr">
        <is>
          <t>VÄSTERNORRLANDS LÄN</t>
        </is>
      </c>
      <c r="E2842" t="inlineStr">
        <is>
          <t>SUNDSVALL</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763-2026</t>
        </is>
      </c>
      <c r="B2843" s="1" t="n">
        <v>46026</v>
      </c>
      <c r="C2843" s="1" t="n">
        <v>46185</v>
      </c>
      <c r="D2843" t="inlineStr">
        <is>
          <t>VÄSTERNORRLANDS LÄN</t>
        </is>
      </c>
      <c r="E2843" t="inlineStr">
        <is>
          <t>HÄRNÖSAND</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765-2026</t>
        </is>
      </c>
      <c r="B2844" s="1" t="n">
        <v>46026</v>
      </c>
      <c r="C2844" s="1" t="n">
        <v>46185</v>
      </c>
      <c r="D2844" t="inlineStr">
        <is>
          <t>VÄSTERNORRLANDS LÄN</t>
        </is>
      </c>
      <c r="E2844" t="inlineStr">
        <is>
          <t>HÄRNÖSAND</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599-2026</t>
        </is>
      </c>
      <c r="B2845" s="1" t="n">
        <v>46027</v>
      </c>
      <c r="C2845" s="1" t="n">
        <v>46185</v>
      </c>
      <c r="D2845" t="inlineStr">
        <is>
          <t>VÄSTERNORRLANDS LÄN</t>
        </is>
      </c>
      <c r="E2845" t="inlineStr">
        <is>
          <t>HÄRNÖSAND</t>
        </is>
      </c>
      <c r="G2845" t="n">
        <v>6.1</v>
      </c>
      <c r="H2845" t="n">
        <v>0</v>
      </c>
      <c r="I2845" t="n">
        <v>0</v>
      </c>
      <c r="J2845" t="n">
        <v>0</v>
      </c>
      <c r="K2845" t="n">
        <v>0</v>
      </c>
      <c r="L2845" t="n">
        <v>0</v>
      </c>
      <c r="M2845" t="n">
        <v>0</v>
      </c>
      <c r="N2845" t="n">
        <v>0</v>
      </c>
      <c r="O2845" t="n">
        <v>0</v>
      </c>
      <c r="P2845" t="n">
        <v>0</v>
      </c>
      <c r="Q2845" t="n">
        <v>0</v>
      </c>
      <c r="R2845" s="2" t="inlineStr"/>
    </row>
    <row r="2846" ht="15" customHeight="1">
      <c r="A2846" t="inlineStr">
        <is>
          <t>A 177-2026</t>
        </is>
      </c>
      <c r="B2846" s="1" t="n">
        <v>46025.37813657407</v>
      </c>
      <c r="C2846" s="1" t="n">
        <v>46185</v>
      </c>
      <c r="D2846" t="inlineStr">
        <is>
          <t>VÄSTERNORRLANDS LÄN</t>
        </is>
      </c>
      <c r="E2846" t="inlineStr">
        <is>
          <t>SUNDSVALL</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38624-2025</t>
        </is>
      </c>
      <c r="B2847" s="1" t="n">
        <v>45884.55347222222</v>
      </c>
      <c r="C2847" s="1" t="n">
        <v>46185</v>
      </c>
      <c r="D2847" t="inlineStr">
        <is>
          <t>VÄSTERNORRLANDS LÄN</t>
        </is>
      </c>
      <c r="E2847" t="inlineStr">
        <is>
          <t>TIMRÅ</t>
        </is>
      </c>
      <c r="F2847" t="inlineStr">
        <is>
          <t>SCA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26219-2025</t>
        </is>
      </c>
      <c r="B2848" s="1" t="n">
        <v>45805.55023148148</v>
      </c>
      <c r="C2848" s="1" t="n">
        <v>46185</v>
      </c>
      <c r="D2848" t="inlineStr">
        <is>
          <t>VÄSTERNORRLANDS LÄN</t>
        </is>
      </c>
      <c r="E2848" t="inlineStr">
        <is>
          <t>KRAMFORS</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9385-2022</t>
        </is>
      </c>
      <c r="B2849" s="1" t="n">
        <v>44616.63796296297</v>
      </c>
      <c r="C2849" s="1" t="n">
        <v>46185</v>
      </c>
      <c r="D2849" t="inlineStr">
        <is>
          <t>VÄSTERNORRLANDS LÄN</t>
        </is>
      </c>
      <c r="E2849" t="inlineStr">
        <is>
          <t>SUNDSVALL</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26088-2025</t>
        </is>
      </c>
      <c r="B2850" s="1" t="n">
        <v>45805.34497685185</v>
      </c>
      <c r="C2850" s="1" t="n">
        <v>46185</v>
      </c>
      <c r="D2850" t="inlineStr">
        <is>
          <t>VÄSTERNORRLANDS LÄN</t>
        </is>
      </c>
      <c r="E2850" t="inlineStr">
        <is>
          <t>SOLLEFTEÅ</t>
        </is>
      </c>
      <c r="F2850" t="inlineStr">
        <is>
          <t>SCA</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44258-2021</t>
        </is>
      </c>
      <c r="B2851" s="1" t="n">
        <v>44434</v>
      </c>
      <c r="C2851" s="1" t="n">
        <v>46185</v>
      </c>
      <c r="D2851" t="inlineStr">
        <is>
          <t>VÄSTERNORRLANDS LÄN</t>
        </is>
      </c>
      <c r="E2851" t="inlineStr">
        <is>
          <t>KRAMFORS</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57685-2024</t>
        </is>
      </c>
      <c r="B2852" s="1" t="n">
        <v>45630.64306712963</v>
      </c>
      <c r="C2852" s="1" t="n">
        <v>46185</v>
      </c>
      <c r="D2852" t="inlineStr">
        <is>
          <t>VÄSTERNORRLANDS LÄN</t>
        </is>
      </c>
      <c r="E2852" t="inlineStr">
        <is>
          <t>HÄRNÖSAND</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49593-2024</t>
        </is>
      </c>
      <c r="B2853" s="1" t="n">
        <v>45596.55513888889</v>
      </c>
      <c r="C2853" s="1" t="n">
        <v>46185</v>
      </c>
      <c r="D2853" t="inlineStr">
        <is>
          <t>VÄSTERNORRLANDS LÄN</t>
        </is>
      </c>
      <c r="E2853" t="inlineStr">
        <is>
          <t>ÖRNSKÖLDSVIK</t>
        </is>
      </c>
      <c r="F2853" t="inlineStr">
        <is>
          <t>Holmen skog AB</t>
        </is>
      </c>
      <c r="G2853" t="n">
        <v>9</v>
      </c>
      <c r="H2853" t="n">
        <v>0</v>
      </c>
      <c r="I2853" t="n">
        <v>0</v>
      </c>
      <c r="J2853" t="n">
        <v>0</v>
      </c>
      <c r="K2853" t="n">
        <v>0</v>
      </c>
      <c r="L2853" t="n">
        <v>0</v>
      </c>
      <c r="M2853" t="n">
        <v>0</v>
      </c>
      <c r="N2853" t="n">
        <v>0</v>
      </c>
      <c r="O2853" t="n">
        <v>0</v>
      </c>
      <c r="P2853" t="n">
        <v>0</v>
      </c>
      <c r="Q2853" t="n">
        <v>0</v>
      </c>
      <c r="R2853" s="2" t="inlineStr"/>
    </row>
    <row r="2854" ht="15" customHeight="1">
      <c r="A2854" t="inlineStr">
        <is>
          <t>A 44522-2023</t>
        </is>
      </c>
      <c r="B2854" s="1" t="n">
        <v>45189.47681712963</v>
      </c>
      <c r="C2854" s="1" t="n">
        <v>46185</v>
      </c>
      <c r="D2854" t="inlineStr">
        <is>
          <t>VÄSTERNORRLANDS LÄN</t>
        </is>
      </c>
      <c r="E2854" t="inlineStr">
        <is>
          <t>ÖRNSKÖLDSVIK</t>
        </is>
      </c>
      <c r="G2854" t="n">
        <v>22.6</v>
      </c>
      <c r="H2854" t="n">
        <v>0</v>
      </c>
      <c r="I2854" t="n">
        <v>0</v>
      </c>
      <c r="J2854" t="n">
        <v>0</v>
      </c>
      <c r="K2854" t="n">
        <v>0</v>
      </c>
      <c r="L2854" t="n">
        <v>0</v>
      </c>
      <c r="M2854" t="n">
        <v>0</v>
      </c>
      <c r="N2854" t="n">
        <v>0</v>
      </c>
      <c r="O2854" t="n">
        <v>0</v>
      </c>
      <c r="P2854" t="n">
        <v>0</v>
      </c>
      <c r="Q2854" t="n">
        <v>0</v>
      </c>
      <c r="R2854" s="2" t="inlineStr"/>
    </row>
    <row r="2855" ht="15" customHeight="1">
      <c r="A2855" t="inlineStr">
        <is>
          <t>A 716-2026</t>
        </is>
      </c>
      <c r="B2855" s="1" t="n">
        <v>46029.63026620371</v>
      </c>
      <c r="C2855" s="1" t="n">
        <v>46185</v>
      </c>
      <c r="D2855" t="inlineStr">
        <is>
          <t>VÄSTERNORRLANDS LÄN</t>
        </is>
      </c>
      <c r="E2855" t="inlineStr">
        <is>
          <t>ÖRNSKÖLDSVIK</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57163-2024</t>
        </is>
      </c>
      <c r="B2856" s="1" t="n">
        <v>45629.41179398148</v>
      </c>
      <c r="C2856" s="1" t="n">
        <v>46185</v>
      </c>
      <c r="D2856" t="inlineStr">
        <is>
          <t>VÄSTERNORRLANDS LÄN</t>
        </is>
      </c>
      <c r="E2856" t="inlineStr">
        <is>
          <t>SUNDSVALL</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780-2026</t>
        </is>
      </c>
      <c r="B2857" s="1" t="n">
        <v>46029.78170138889</v>
      </c>
      <c r="C2857" s="1" t="n">
        <v>46185</v>
      </c>
      <c r="D2857" t="inlineStr">
        <is>
          <t>VÄSTERNORRLANDS LÄN</t>
        </is>
      </c>
      <c r="E2857" t="inlineStr">
        <is>
          <t>HÄRNÖSAND</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788-2026</t>
        </is>
      </c>
      <c r="B2858" s="1" t="n">
        <v>46029.83921296296</v>
      </c>
      <c r="C2858" s="1" t="n">
        <v>46185</v>
      </c>
      <c r="D2858" t="inlineStr">
        <is>
          <t>VÄSTERNORRLANDS LÄN</t>
        </is>
      </c>
      <c r="E2858" t="inlineStr">
        <is>
          <t>TIMRÅ</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26334-2025</t>
        </is>
      </c>
      <c r="B2859" s="1" t="n">
        <v>45805.69215277778</v>
      </c>
      <c r="C2859" s="1" t="n">
        <v>46185</v>
      </c>
      <c r="D2859" t="inlineStr">
        <is>
          <t>VÄSTERNORRLANDS LÄN</t>
        </is>
      </c>
      <c r="E2859" t="inlineStr">
        <is>
          <t>ÖRNSKÖLDSVIK</t>
        </is>
      </c>
      <c r="G2859" t="n">
        <v>22.5</v>
      </c>
      <c r="H2859" t="n">
        <v>0</v>
      </c>
      <c r="I2859" t="n">
        <v>0</v>
      </c>
      <c r="J2859" t="n">
        <v>0</v>
      </c>
      <c r="K2859" t="n">
        <v>0</v>
      </c>
      <c r="L2859" t="n">
        <v>0</v>
      </c>
      <c r="M2859" t="n">
        <v>0</v>
      </c>
      <c r="N2859" t="n">
        <v>0</v>
      </c>
      <c r="O2859" t="n">
        <v>0</v>
      </c>
      <c r="P2859" t="n">
        <v>0</v>
      </c>
      <c r="Q2859" t="n">
        <v>0</v>
      </c>
      <c r="R2859" s="2" t="inlineStr"/>
    </row>
    <row r="2860" ht="15" customHeight="1">
      <c r="A2860" t="inlineStr">
        <is>
          <t>A 17002-2023</t>
        </is>
      </c>
      <c r="B2860" s="1" t="n">
        <v>45033</v>
      </c>
      <c r="C2860" s="1" t="n">
        <v>46185</v>
      </c>
      <c r="D2860" t="inlineStr">
        <is>
          <t>VÄSTERNORRLANDS LÄN</t>
        </is>
      </c>
      <c r="E2860" t="inlineStr">
        <is>
          <t>TIMRÅ</t>
        </is>
      </c>
      <c r="F2860" t="inlineStr">
        <is>
          <t>SCA</t>
        </is>
      </c>
      <c r="G2860" t="n">
        <v>12.7</v>
      </c>
      <c r="H2860" t="n">
        <v>0</v>
      </c>
      <c r="I2860" t="n">
        <v>0</v>
      </c>
      <c r="J2860" t="n">
        <v>0</v>
      </c>
      <c r="K2860" t="n">
        <v>0</v>
      </c>
      <c r="L2860" t="n">
        <v>0</v>
      </c>
      <c r="M2860" t="n">
        <v>0</v>
      </c>
      <c r="N2860" t="n">
        <v>0</v>
      </c>
      <c r="O2860" t="n">
        <v>0</v>
      </c>
      <c r="P2860" t="n">
        <v>0</v>
      </c>
      <c r="Q2860" t="n">
        <v>0</v>
      </c>
      <c r="R2860" s="2" t="inlineStr"/>
    </row>
    <row r="2861" ht="15" customHeight="1">
      <c r="A2861" t="inlineStr">
        <is>
          <t>A 772-2026</t>
        </is>
      </c>
      <c r="B2861" s="1" t="n">
        <v>46029.74581018519</v>
      </c>
      <c r="C2861" s="1" t="n">
        <v>46185</v>
      </c>
      <c r="D2861" t="inlineStr">
        <is>
          <t>VÄSTERNORRLANDS LÄN</t>
        </is>
      </c>
      <c r="E2861" t="inlineStr">
        <is>
          <t>HÄRNÖSAND</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26011-2024</t>
        </is>
      </c>
      <c r="B2862" s="1" t="n">
        <v>45467.95828703704</v>
      </c>
      <c r="C2862" s="1" t="n">
        <v>46185</v>
      </c>
      <c r="D2862" t="inlineStr">
        <is>
          <t>VÄSTERNORRLANDS LÄN</t>
        </is>
      </c>
      <c r="E2862" t="inlineStr">
        <is>
          <t>ÅNGE</t>
        </is>
      </c>
      <c r="F2862" t="inlineStr">
        <is>
          <t>SCA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26014-2024</t>
        </is>
      </c>
      <c r="B2863" s="1" t="n">
        <v>45467.95862268518</v>
      </c>
      <c r="C2863" s="1" t="n">
        <v>46185</v>
      </c>
      <c r="D2863" t="inlineStr">
        <is>
          <t>VÄSTERNORRLANDS LÄN</t>
        </is>
      </c>
      <c r="E2863" t="inlineStr">
        <is>
          <t>ÅNGE</t>
        </is>
      </c>
      <c r="F2863" t="inlineStr">
        <is>
          <t>SCA</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26019-2024</t>
        </is>
      </c>
      <c r="B2864" s="1" t="n">
        <v>45467.96015046296</v>
      </c>
      <c r="C2864" s="1" t="n">
        <v>46185</v>
      </c>
      <c r="D2864" t="inlineStr">
        <is>
          <t>VÄSTERNORRLANDS LÄN</t>
        </is>
      </c>
      <c r="E2864" t="inlineStr">
        <is>
          <t>ÅNGE</t>
        </is>
      </c>
      <c r="F2864" t="inlineStr">
        <is>
          <t>SCA</t>
        </is>
      </c>
      <c r="G2864" t="n">
        <v>7.5</v>
      </c>
      <c r="H2864" t="n">
        <v>0</v>
      </c>
      <c r="I2864" t="n">
        <v>0</v>
      </c>
      <c r="J2864" t="n">
        <v>0</v>
      </c>
      <c r="K2864" t="n">
        <v>0</v>
      </c>
      <c r="L2864" t="n">
        <v>0</v>
      </c>
      <c r="M2864" t="n">
        <v>0</v>
      </c>
      <c r="N2864" t="n">
        <v>0</v>
      </c>
      <c r="O2864" t="n">
        <v>0</v>
      </c>
      <c r="P2864" t="n">
        <v>0</v>
      </c>
      <c r="Q2864" t="n">
        <v>0</v>
      </c>
      <c r="R2864" s="2" t="inlineStr"/>
    </row>
    <row r="2865" ht="15" customHeight="1">
      <c r="A2865" t="inlineStr">
        <is>
          <t>A 462-2026</t>
        </is>
      </c>
      <c r="B2865" s="1" t="n">
        <v>46029.38241898148</v>
      </c>
      <c r="C2865" s="1" t="n">
        <v>46185</v>
      </c>
      <c r="D2865" t="inlineStr">
        <is>
          <t>VÄSTERNORRLANDS LÄN</t>
        </is>
      </c>
      <c r="E2865" t="inlineStr">
        <is>
          <t>ÖRNSKÖLDSVIK</t>
        </is>
      </c>
      <c r="F2865" t="inlineStr">
        <is>
          <t>Holmen skog AB</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26655-2025</t>
        </is>
      </c>
      <c r="B2866" s="1" t="n">
        <v>45810.39047453704</v>
      </c>
      <c r="C2866" s="1" t="n">
        <v>46185</v>
      </c>
      <c r="D2866" t="inlineStr">
        <is>
          <t>VÄSTERNORRLANDS LÄN</t>
        </is>
      </c>
      <c r="E2866" t="inlineStr">
        <is>
          <t>ÅNGE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15071-2024</t>
        </is>
      </c>
      <c r="B2867" s="1" t="n">
        <v>45399.59116898148</v>
      </c>
      <c r="C2867" s="1" t="n">
        <v>46185</v>
      </c>
      <c r="D2867" t="inlineStr">
        <is>
          <t>VÄSTERNORRLANDS LÄN</t>
        </is>
      </c>
      <c r="E2867" t="inlineStr">
        <is>
          <t>ÖRNSKÖLDSVIK</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39016-2024</t>
        </is>
      </c>
      <c r="B2868" s="1" t="n">
        <v>45548.44478009259</v>
      </c>
      <c r="C2868" s="1" t="n">
        <v>46185</v>
      </c>
      <c r="D2868" t="inlineStr">
        <is>
          <t>VÄSTERNORRLANDS LÄN</t>
        </is>
      </c>
      <c r="E2868" t="inlineStr">
        <is>
          <t>ÖRNSKÖLDSVIK</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61486-2025</t>
        </is>
      </c>
      <c r="B2869" s="1" t="n">
        <v>46001.63607638889</v>
      </c>
      <c r="C2869" s="1" t="n">
        <v>46185</v>
      </c>
      <c r="D2869" t="inlineStr">
        <is>
          <t>VÄSTERNORRLANDS LÄN</t>
        </is>
      </c>
      <c r="E2869" t="inlineStr">
        <is>
          <t>ÅNGE</t>
        </is>
      </c>
      <c r="F2869" t="inlineStr">
        <is>
          <t>SCA</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544-2026</t>
        </is>
      </c>
      <c r="B2870" s="1" t="n">
        <v>46029</v>
      </c>
      <c r="C2870" s="1" t="n">
        <v>46185</v>
      </c>
      <c r="D2870" t="inlineStr">
        <is>
          <t>VÄSTERNORRLANDS LÄN</t>
        </is>
      </c>
      <c r="E2870" t="inlineStr">
        <is>
          <t>HÄRNÖSAND</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71547-2021</t>
        </is>
      </c>
      <c r="B2871" s="1" t="n">
        <v>44540</v>
      </c>
      <c r="C2871" s="1" t="n">
        <v>46185</v>
      </c>
      <c r="D2871" t="inlineStr">
        <is>
          <t>VÄSTERNORRLANDS LÄN</t>
        </is>
      </c>
      <c r="E2871" t="inlineStr">
        <is>
          <t>ÖRNSKÖLDSVIK</t>
        </is>
      </c>
      <c r="F2871" t="inlineStr">
        <is>
          <t>Holmen skog AB</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773-2026</t>
        </is>
      </c>
      <c r="B2872" s="1" t="n">
        <v>46029</v>
      </c>
      <c r="C2872" s="1" t="n">
        <v>46185</v>
      </c>
      <c r="D2872" t="inlineStr">
        <is>
          <t>VÄSTERNORRLANDS LÄN</t>
        </is>
      </c>
      <c r="E2872" t="inlineStr">
        <is>
          <t>TIMRÅ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774-2026</t>
        </is>
      </c>
      <c r="B2873" s="1" t="n">
        <v>46029.75778935185</v>
      </c>
      <c r="C2873" s="1" t="n">
        <v>46185</v>
      </c>
      <c r="D2873" t="inlineStr">
        <is>
          <t>VÄSTERNORRLANDS LÄN</t>
        </is>
      </c>
      <c r="E2873" t="inlineStr">
        <is>
          <t>HÄRNÖSAND</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776-2026</t>
        </is>
      </c>
      <c r="B2874" s="1" t="n">
        <v>46029.77623842593</v>
      </c>
      <c r="C2874" s="1" t="n">
        <v>46185</v>
      </c>
      <c r="D2874" t="inlineStr">
        <is>
          <t>VÄSTERNORRLANDS LÄN</t>
        </is>
      </c>
      <c r="E2874" t="inlineStr">
        <is>
          <t>HÄRNÖSAND</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70638-2021</t>
        </is>
      </c>
      <c r="B2875" s="1" t="n">
        <v>44536</v>
      </c>
      <c r="C2875" s="1" t="n">
        <v>46185</v>
      </c>
      <c r="D2875" t="inlineStr">
        <is>
          <t>VÄSTERNORRLANDS LÄN</t>
        </is>
      </c>
      <c r="E2875" t="inlineStr">
        <is>
          <t>KRAMFORS</t>
        </is>
      </c>
      <c r="F2875" t="inlineStr">
        <is>
          <t>Kyrkan</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20936-2024</t>
        </is>
      </c>
      <c r="B2876" s="1" t="n">
        <v>45439</v>
      </c>
      <c r="C2876" s="1" t="n">
        <v>46185</v>
      </c>
      <c r="D2876" t="inlineStr">
        <is>
          <t>VÄSTERNORRLANDS LÄN</t>
        </is>
      </c>
      <c r="E2876" t="inlineStr">
        <is>
          <t>TIMRÅ</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8727-2025</t>
        </is>
      </c>
      <c r="B2877" s="1" t="n">
        <v>45712.51872685185</v>
      </c>
      <c r="C2877" s="1" t="n">
        <v>46185</v>
      </c>
      <c r="D2877" t="inlineStr">
        <is>
          <t>VÄSTERNORRLANDS LÄN</t>
        </is>
      </c>
      <c r="E2877" t="inlineStr">
        <is>
          <t>KRAMFORS</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27766-2024</t>
        </is>
      </c>
      <c r="B2878" s="1" t="n">
        <v>45475.51773148148</v>
      </c>
      <c r="C2878" s="1" t="n">
        <v>46185</v>
      </c>
      <c r="D2878" t="inlineStr">
        <is>
          <t>VÄSTERNORRLANDS LÄN</t>
        </is>
      </c>
      <c r="E2878" t="inlineStr">
        <is>
          <t>ÖRNSKÖLDSVIK</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18217-2025</t>
        </is>
      </c>
      <c r="B2879" s="1" t="n">
        <v>45761.71212962963</v>
      </c>
      <c r="C2879" s="1" t="n">
        <v>46185</v>
      </c>
      <c r="D2879" t="inlineStr">
        <is>
          <t>VÄSTERNORRLANDS LÄN</t>
        </is>
      </c>
      <c r="E2879" t="inlineStr">
        <is>
          <t>SUNDSVALL</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723-2026</t>
        </is>
      </c>
      <c r="B2880" s="1" t="n">
        <v>46029.63804398148</v>
      </c>
      <c r="C2880" s="1" t="n">
        <v>46185</v>
      </c>
      <c r="D2880" t="inlineStr">
        <is>
          <t>VÄSTERNORRLANDS LÄN</t>
        </is>
      </c>
      <c r="E2880" t="inlineStr">
        <is>
          <t>ÖRNSKÖLDSVIK</t>
        </is>
      </c>
      <c r="F2880" t="inlineStr">
        <is>
          <t>Holmen skog AB</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40044-2024</t>
        </is>
      </c>
      <c r="B2881" s="1" t="n">
        <v>45553.75064814815</v>
      </c>
      <c r="C2881" s="1" t="n">
        <v>46185</v>
      </c>
      <c r="D2881" t="inlineStr">
        <is>
          <t>VÄSTERNORRLANDS LÄN</t>
        </is>
      </c>
      <c r="E2881" t="inlineStr">
        <is>
          <t>SUNDSVALL</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25973-2022</t>
        </is>
      </c>
      <c r="B2882" s="1" t="n">
        <v>44734</v>
      </c>
      <c r="C2882" s="1" t="n">
        <v>46185</v>
      </c>
      <c r="D2882" t="inlineStr">
        <is>
          <t>VÄSTERNORRLANDS LÄN</t>
        </is>
      </c>
      <c r="E2882" t="inlineStr">
        <is>
          <t>ÅNGE</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19896-2023</t>
        </is>
      </c>
      <c r="B2883" s="1" t="n">
        <v>45054</v>
      </c>
      <c r="C2883" s="1" t="n">
        <v>46185</v>
      </c>
      <c r="D2883" t="inlineStr">
        <is>
          <t>VÄSTERNORRLANDS LÄN</t>
        </is>
      </c>
      <c r="E2883" t="inlineStr">
        <is>
          <t>SUNDSVALL</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58694-2024</t>
        </is>
      </c>
      <c r="B2884" s="1" t="n">
        <v>45635.63575231482</v>
      </c>
      <c r="C2884" s="1" t="n">
        <v>46185</v>
      </c>
      <c r="D2884" t="inlineStr">
        <is>
          <t>VÄSTERNORRLANDS LÄN</t>
        </is>
      </c>
      <c r="E2884" t="inlineStr">
        <is>
          <t>SOLLEFTEÅ</t>
        </is>
      </c>
      <c r="F2884" t="inlineStr">
        <is>
          <t>SCA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26575-2025</t>
        </is>
      </c>
      <c r="B2885" s="1" t="n">
        <v>45807.68700231481</v>
      </c>
      <c r="C2885" s="1" t="n">
        <v>46185</v>
      </c>
      <c r="D2885" t="inlineStr">
        <is>
          <t>VÄSTERNORRLANDS LÄN</t>
        </is>
      </c>
      <c r="E2885" t="inlineStr">
        <is>
          <t>SUNDSVALL</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12267-2025</t>
        </is>
      </c>
      <c r="B2886" s="1" t="n">
        <v>45729</v>
      </c>
      <c r="C2886" s="1" t="n">
        <v>46185</v>
      </c>
      <c r="D2886" t="inlineStr">
        <is>
          <t>VÄSTERNORRLANDS LÄN</t>
        </is>
      </c>
      <c r="E2886" t="inlineStr">
        <is>
          <t>HÄRNÖSAND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1825-2022</t>
        </is>
      </c>
      <c r="B2887" s="1" t="n">
        <v>44574</v>
      </c>
      <c r="C2887" s="1" t="n">
        <v>46185</v>
      </c>
      <c r="D2887" t="inlineStr">
        <is>
          <t>VÄSTERNORRLANDS LÄN</t>
        </is>
      </c>
      <c r="E2887" t="inlineStr">
        <is>
          <t>KRAMFORS</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14808-2025</t>
        </is>
      </c>
      <c r="B2888" s="1" t="n">
        <v>45743.32146990741</v>
      </c>
      <c r="C2888" s="1" t="n">
        <v>46185</v>
      </c>
      <c r="D2888" t="inlineStr">
        <is>
          <t>VÄSTERNORRLANDS LÄN</t>
        </is>
      </c>
      <c r="E2888" t="inlineStr">
        <is>
          <t>ÖRNSKÖLDSVIK</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14889-2022</t>
        </is>
      </c>
      <c r="B2889" s="1" t="n">
        <v>44656</v>
      </c>
      <c r="C2889" s="1" t="n">
        <v>46185</v>
      </c>
      <c r="D2889" t="inlineStr">
        <is>
          <t>VÄSTERNORRLANDS LÄN</t>
        </is>
      </c>
      <c r="E2889" t="inlineStr">
        <is>
          <t>ÅNGE</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38395-2025</t>
        </is>
      </c>
      <c r="B2890" s="1" t="n">
        <v>45883.5769212963</v>
      </c>
      <c r="C2890" s="1" t="n">
        <v>46185</v>
      </c>
      <c r="D2890" t="inlineStr">
        <is>
          <t>VÄSTERNORRLANDS LÄN</t>
        </is>
      </c>
      <c r="E2890" t="inlineStr">
        <is>
          <t>ÖRNSKÖLDSVIK</t>
        </is>
      </c>
      <c r="F2890" t="inlineStr">
        <is>
          <t>Holmen skog AB</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26125-2024</t>
        </is>
      </c>
      <c r="B2891" s="1" t="n">
        <v>45468</v>
      </c>
      <c r="C2891" s="1" t="n">
        <v>46185</v>
      </c>
      <c r="D2891" t="inlineStr">
        <is>
          <t>VÄSTERNORRLANDS LÄN</t>
        </is>
      </c>
      <c r="E2891" t="inlineStr">
        <is>
          <t>KRAMFORS</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37939-2024</t>
        </is>
      </c>
      <c r="B2892" s="1" t="n">
        <v>45544</v>
      </c>
      <c r="C2892" s="1" t="n">
        <v>46185</v>
      </c>
      <c r="D2892" t="inlineStr">
        <is>
          <t>VÄSTERNORRLANDS LÄN</t>
        </is>
      </c>
      <c r="E2892" t="inlineStr">
        <is>
          <t>ÖRNSKÖLDSVIK</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1029-2026</t>
        </is>
      </c>
      <c r="B2893" s="1" t="n">
        <v>46030.61505787037</v>
      </c>
      <c r="C2893" s="1" t="n">
        <v>46185</v>
      </c>
      <c r="D2893" t="inlineStr">
        <is>
          <t>VÄSTERNORRLANDS LÄN</t>
        </is>
      </c>
      <c r="E2893" t="inlineStr">
        <is>
          <t>ÖRNSKÖLDSVIK</t>
        </is>
      </c>
      <c r="F2893" t="inlineStr">
        <is>
          <t>SCA</t>
        </is>
      </c>
      <c r="G2893" t="n">
        <v>10</v>
      </c>
      <c r="H2893" t="n">
        <v>0</v>
      </c>
      <c r="I2893" t="n">
        <v>0</v>
      </c>
      <c r="J2893" t="n">
        <v>0</v>
      </c>
      <c r="K2893" t="n">
        <v>0</v>
      </c>
      <c r="L2893" t="n">
        <v>0</v>
      </c>
      <c r="M2893" t="n">
        <v>0</v>
      </c>
      <c r="N2893" t="n">
        <v>0</v>
      </c>
      <c r="O2893" t="n">
        <v>0</v>
      </c>
      <c r="P2893" t="n">
        <v>0</v>
      </c>
      <c r="Q2893" t="n">
        <v>0</v>
      </c>
      <c r="R2893" s="2" t="inlineStr"/>
    </row>
    <row r="2894" ht="15" customHeight="1">
      <c r="A2894" t="inlineStr">
        <is>
          <t>A 1035-2026</t>
        </is>
      </c>
      <c r="B2894" s="1" t="n">
        <v>46030.61703703704</v>
      </c>
      <c r="C2894" s="1" t="n">
        <v>46185</v>
      </c>
      <c r="D2894" t="inlineStr">
        <is>
          <t>VÄSTERNORRLANDS LÄN</t>
        </is>
      </c>
      <c r="E2894" t="inlineStr">
        <is>
          <t>SUNDSVALL</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26426-2025</t>
        </is>
      </c>
      <c r="B2895" s="1" t="n">
        <v>45807.38574074074</v>
      </c>
      <c r="C2895" s="1" t="n">
        <v>46185</v>
      </c>
      <c r="D2895" t="inlineStr">
        <is>
          <t>VÄSTERNORRLANDS LÄN</t>
        </is>
      </c>
      <c r="E2895" t="inlineStr">
        <is>
          <t>SOLLEFTEÅ</t>
        </is>
      </c>
      <c r="F2895" t="inlineStr">
        <is>
          <t>SCA</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11860-2022</t>
        </is>
      </c>
      <c r="B2896" s="1" t="n">
        <v>44634</v>
      </c>
      <c r="C2896" s="1" t="n">
        <v>46185</v>
      </c>
      <c r="D2896" t="inlineStr">
        <is>
          <t>VÄSTERNORRLANDS LÄN</t>
        </is>
      </c>
      <c r="E2896" t="inlineStr">
        <is>
          <t>KRAMFORS</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2330-2022</t>
        </is>
      </c>
      <c r="B2897" s="1" t="n">
        <v>44578</v>
      </c>
      <c r="C2897" s="1" t="n">
        <v>46185</v>
      </c>
      <c r="D2897" t="inlineStr">
        <is>
          <t>VÄSTERNORRLANDS LÄN</t>
        </is>
      </c>
      <c r="E2897" t="inlineStr">
        <is>
          <t>SUNDSVALL</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45942-2024</t>
        </is>
      </c>
      <c r="B2898" s="1" t="n">
        <v>45580</v>
      </c>
      <c r="C2898" s="1" t="n">
        <v>46185</v>
      </c>
      <c r="D2898" t="inlineStr">
        <is>
          <t>VÄSTERNORRLANDS LÄN</t>
        </is>
      </c>
      <c r="E2898" t="inlineStr">
        <is>
          <t>TIMRÅ</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966-2026</t>
        </is>
      </c>
      <c r="B2899" s="1" t="n">
        <v>46030</v>
      </c>
      <c r="C2899" s="1" t="n">
        <v>46185</v>
      </c>
      <c r="D2899" t="inlineStr">
        <is>
          <t>VÄSTERNORRLANDS LÄN</t>
        </is>
      </c>
      <c r="E2899" t="inlineStr">
        <is>
          <t>HÄRNÖSAND</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1009-2026</t>
        </is>
      </c>
      <c r="B2900" s="1" t="n">
        <v>46030.60008101852</v>
      </c>
      <c r="C2900" s="1" t="n">
        <v>46185</v>
      </c>
      <c r="D2900" t="inlineStr">
        <is>
          <t>VÄSTERNORRLANDS LÄN</t>
        </is>
      </c>
      <c r="E2900" t="inlineStr">
        <is>
          <t>SUNDSVALL</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12951-2025</t>
        </is>
      </c>
      <c r="B2901" s="1" t="n">
        <v>45734.39931712963</v>
      </c>
      <c r="C2901" s="1" t="n">
        <v>46185</v>
      </c>
      <c r="D2901" t="inlineStr">
        <is>
          <t>VÄSTERNORRLANDS LÄN</t>
        </is>
      </c>
      <c r="E2901" t="inlineStr">
        <is>
          <t>KRAMFORS</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13492-2022</t>
        </is>
      </c>
      <c r="B2902" s="1" t="n">
        <v>44646.92120370371</v>
      </c>
      <c r="C2902" s="1" t="n">
        <v>46185</v>
      </c>
      <c r="D2902" t="inlineStr">
        <is>
          <t>VÄSTERNORRLANDS LÄN</t>
        </is>
      </c>
      <c r="E2902" t="inlineStr">
        <is>
          <t>SOLLEFTEÅ</t>
        </is>
      </c>
      <c r="G2902" t="n">
        <v>8.4</v>
      </c>
      <c r="H2902" t="n">
        <v>0</v>
      </c>
      <c r="I2902" t="n">
        <v>0</v>
      </c>
      <c r="J2902" t="n">
        <v>0</v>
      </c>
      <c r="K2902" t="n">
        <v>0</v>
      </c>
      <c r="L2902" t="n">
        <v>0</v>
      </c>
      <c r="M2902" t="n">
        <v>0</v>
      </c>
      <c r="N2902" t="n">
        <v>0</v>
      </c>
      <c r="O2902" t="n">
        <v>0</v>
      </c>
      <c r="P2902" t="n">
        <v>0</v>
      </c>
      <c r="Q2902" t="n">
        <v>0</v>
      </c>
      <c r="R2902" s="2" t="inlineStr"/>
    </row>
    <row r="2903" ht="15" customHeight="1">
      <c r="A2903" t="inlineStr">
        <is>
          <t>A 6228-2023</t>
        </is>
      </c>
      <c r="B2903" s="1" t="n">
        <v>44964</v>
      </c>
      <c r="C2903" s="1" t="n">
        <v>46185</v>
      </c>
      <c r="D2903" t="inlineStr">
        <is>
          <t>VÄSTERNORRLANDS LÄN</t>
        </is>
      </c>
      <c r="E2903" t="inlineStr">
        <is>
          <t>SUNDSVALL</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26835-2025</t>
        </is>
      </c>
      <c r="B2904" s="1" t="n">
        <v>45810.65728009259</v>
      </c>
      <c r="C2904" s="1" t="n">
        <v>46185</v>
      </c>
      <c r="D2904" t="inlineStr">
        <is>
          <t>VÄSTERNORRLANDS LÄN</t>
        </is>
      </c>
      <c r="E2904" t="inlineStr">
        <is>
          <t>SUNDSVALL</t>
        </is>
      </c>
      <c r="F2904" t="inlineStr">
        <is>
          <t>SCA</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26836-2025</t>
        </is>
      </c>
      <c r="B2905" s="1" t="n">
        <v>45810.65738425926</v>
      </c>
      <c r="C2905" s="1" t="n">
        <v>46185</v>
      </c>
      <c r="D2905" t="inlineStr">
        <is>
          <t>VÄSTERNORRLANDS LÄN</t>
        </is>
      </c>
      <c r="E2905" t="inlineStr">
        <is>
          <t>SUNDSVALL</t>
        </is>
      </c>
      <c r="F2905" t="inlineStr">
        <is>
          <t>SCA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42242-2023</t>
        </is>
      </c>
      <c r="B2906" s="1" t="n">
        <v>45180.35025462963</v>
      </c>
      <c r="C2906" s="1" t="n">
        <v>46185</v>
      </c>
      <c r="D2906" t="inlineStr">
        <is>
          <t>VÄSTERNORRLANDS LÄN</t>
        </is>
      </c>
      <c r="E2906" t="inlineStr">
        <is>
          <t>ÅNGE</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58075-2024</t>
        </is>
      </c>
      <c r="B2907" s="1" t="n">
        <v>45632</v>
      </c>
      <c r="C2907" s="1" t="n">
        <v>46185</v>
      </c>
      <c r="D2907" t="inlineStr">
        <is>
          <t>VÄSTERNORRLANDS LÄN</t>
        </is>
      </c>
      <c r="E2907" t="inlineStr">
        <is>
          <t>KRAMFORS</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1467-2024</t>
        </is>
      </c>
      <c r="B2908" s="1" t="n">
        <v>45303</v>
      </c>
      <c r="C2908" s="1" t="n">
        <v>46185</v>
      </c>
      <c r="D2908" t="inlineStr">
        <is>
          <t>VÄSTERNORRLANDS LÄN</t>
        </is>
      </c>
      <c r="E2908" t="inlineStr">
        <is>
          <t>TIMRÅ</t>
        </is>
      </c>
      <c r="F2908" t="inlineStr">
        <is>
          <t>SCA</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35781-2025</t>
        </is>
      </c>
      <c r="B2909" s="1" t="n">
        <v>45860</v>
      </c>
      <c r="C2909" s="1" t="n">
        <v>46185</v>
      </c>
      <c r="D2909" t="inlineStr">
        <is>
          <t>VÄSTERNORRLANDS LÄN</t>
        </is>
      </c>
      <c r="E2909" t="inlineStr">
        <is>
          <t>ÅNGE</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1131-2026</t>
        </is>
      </c>
      <c r="B2910" s="1" t="n">
        <v>46030</v>
      </c>
      <c r="C2910" s="1" t="n">
        <v>46185</v>
      </c>
      <c r="D2910" t="inlineStr">
        <is>
          <t>VÄSTERNORRLANDS LÄN</t>
        </is>
      </c>
      <c r="E2910" t="inlineStr">
        <is>
          <t>KRAMFORS</t>
        </is>
      </c>
      <c r="G2910" t="n">
        <v>5.9</v>
      </c>
      <c r="H2910" t="n">
        <v>0</v>
      </c>
      <c r="I2910" t="n">
        <v>0</v>
      </c>
      <c r="J2910" t="n">
        <v>0</v>
      </c>
      <c r="K2910" t="n">
        <v>0</v>
      </c>
      <c r="L2910" t="n">
        <v>0</v>
      </c>
      <c r="M2910" t="n">
        <v>0</v>
      </c>
      <c r="N2910" t="n">
        <v>0</v>
      </c>
      <c r="O2910" t="n">
        <v>0</v>
      </c>
      <c r="P2910" t="n">
        <v>0</v>
      </c>
      <c r="Q2910" t="n">
        <v>0</v>
      </c>
      <c r="R2910" s="2" t="inlineStr"/>
    </row>
    <row r="2911" ht="15" customHeight="1">
      <c r="A2911" t="inlineStr">
        <is>
          <t>A 163-2024</t>
        </is>
      </c>
      <c r="B2911" s="1" t="n">
        <v>45293</v>
      </c>
      <c r="C2911" s="1" t="n">
        <v>46185</v>
      </c>
      <c r="D2911" t="inlineStr">
        <is>
          <t>VÄSTERNORRLANDS LÄN</t>
        </is>
      </c>
      <c r="E2911" t="inlineStr">
        <is>
          <t>HÄRNÖSAND</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62690-2021</t>
        </is>
      </c>
      <c r="B2912" s="1" t="n">
        <v>44504.32494212963</v>
      </c>
      <c r="C2912" s="1" t="n">
        <v>46185</v>
      </c>
      <c r="D2912" t="inlineStr">
        <is>
          <t>VÄSTERNORRLANDS LÄN</t>
        </is>
      </c>
      <c r="E2912" t="inlineStr">
        <is>
          <t>ÖRNSKÖLDSVIK</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7608-2025</t>
        </is>
      </c>
      <c r="B2913" s="1" t="n">
        <v>45705.67105324074</v>
      </c>
      <c r="C2913" s="1" t="n">
        <v>46185</v>
      </c>
      <c r="D2913" t="inlineStr">
        <is>
          <t>VÄSTERNORRLANDS LÄN</t>
        </is>
      </c>
      <c r="E2913" t="inlineStr">
        <is>
          <t>ÖRNSKÖLDSVIK</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50325-2024</t>
        </is>
      </c>
      <c r="B2914" s="1" t="n">
        <v>45600</v>
      </c>
      <c r="C2914" s="1" t="n">
        <v>46185</v>
      </c>
      <c r="D2914" t="inlineStr">
        <is>
          <t>VÄSTERNORRLANDS LÄN</t>
        </is>
      </c>
      <c r="E2914" t="inlineStr">
        <is>
          <t>SUNDSVALL</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3083-2025</t>
        </is>
      </c>
      <c r="B2915" s="1" t="n">
        <v>45678.64456018519</v>
      </c>
      <c r="C2915" s="1" t="n">
        <v>46185</v>
      </c>
      <c r="D2915" t="inlineStr">
        <is>
          <t>VÄSTERNORRLANDS LÄN</t>
        </is>
      </c>
      <c r="E2915" t="inlineStr">
        <is>
          <t>KRAMFORS</t>
        </is>
      </c>
      <c r="G2915" t="n">
        <v>9.6</v>
      </c>
      <c r="H2915" t="n">
        <v>0</v>
      </c>
      <c r="I2915" t="n">
        <v>0</v>
      </c>
      <c r="J2915" t="n">
        <v>0</v>
      </c>
      <c r="K2915" t="n">
        <v>0</v>
      </c>
      <c r="L2915" t="n">
        <v>0</v>
      </c>
      <c r="M2915" t="n">
        <v>0</v>
      </c>
      <c r="N2915" t="n">
        <v>0</v>
      </c>
      <c r="O2915" t="n">
        <v>0</v>
      </c>
      <c r="P2915" t="n">
        <v>0</v>
      </c>
      <c r="Q2915" t="n">
        <v>0</v>
      </c>
      <c r="R2915" s="2" t="inlineStr"/>
    </row>
    <row r="2916" ht="15" customHeight="1">
      <c r="A2916" t="inlineStr">
        <is>
          <t>A 60817-2024</t>
        </is>
      </c>
      <c r="B2916" s="1" t="n">
        <v>45644</v>
      </c>
      <c r="C2916" s="1" t="n">
        <v>46185</v>
      </c>
      <c r="D2916" t="inlineStr">
        <is>
          <t>VÄSTERNORRLANDS LÄN</t>
        </is>
      </c>
      <c r="E2916" t="inlineStr">
        <is>
          <t>ÅNGE</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45288-2024</t>
        </is>
      </c>
      <c r="B2917" s="1" t="n">
        <v>45576.38902777778</v>
      </c>
      <c r="C2917" s="1" t="n">
        <v>46185</v>
      </c>
      <c r="D2917" t="inlineStr">
        <is>
          <t>VÄSTERNORRLANDS LÄN</t>
        </is>
      </c>
      <c r="E2917" t="inlineStr">
        <is>
          <t>ÖRNSKÖLDSVIK</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57403-2022</t>
        </is>
      </c>
      <c r="B2918" s="1" t="n">
        <v>44889</v>
      </c>
      <c r="C2918" s="1" t="n">
        <v>46185</v>
      </c>
      <c r="D2918" t="inlineStr">
        <is>
          <t>VÄSTERNORRLANDS LÄN</t>
        </is>
      </c>
      <c r="E2918" t="inlineStr">
        <is>
          <t>TIMRÅ</t>
        </is>
      </c>
      <c r="G2918" t="n">
        <v>9.6</v>
      </c>
      <c r="H2918" t="n">
        <v>0</v>
      </c>
      <c r="I2918" t="n">
        <v>0</v>
      </c>
      <c r="J2918" t="n">
        <v>0</v>
      </c>
      <c r="K2918" t="n">
        <v>0</v>
      </c>
      <c r="L2918" t="n">
        <v>0</v>
      </c>
      <c r="M2918" t="n">
        <v>0</v>
      </c>
      <c r="N2918" t="n">
        <v>0</v>
      </c>
      <c r="O2918" t="n">
        <v>0</v>
      </c>
      <c r="P2918" t="n">
        <v>0</v>
      </c>
      <c r="Q2918" t="n">
        <v>0</v>
      </c>
      <c r="R2918" s="2" t="inlineStr"/>
    </row>
    <row r="2919" ht="15" customHeight="1">
      <c r="A2919" t="inlineStr">
        <is>
          <t>A 60170-2022</t>
        </is>
      </c>
      <c r="B2919" s="1" t="n">
        <v>44909</v>
      </c>
      <c r="C2919" s="1" t="n">
        <v>46185</v>
      </c>
      <c r="D2919" t="inlineStr">
        <is>
          <t>VÄSTERNORRLANDS LÄN</t>
        </is>
      </c>
      <c r="E2919" t="inlineStr">
        <is>
          <t>SOLLEFTEÅ</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23225-2024</t>
        </is>
      </c>
      <c r="B2920" s="1" t="n">
        <v>45452.9490162037</v>
      </c>
      <c r="C2920" s="1" t="n">
        <v>46185</v>
      </c>
      <c r="D2920" t="inlineStr">
        <is>
          <t>VÄSTERNORRLANDS LÄN</t>
        </is>
      </c>
      <c r="E2920" t="inlineStr">
        <is>
          <t>ÅNGE</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31453-2022</t>
        </is>
      </c>
      <c r="B2921" s="1" t="n">
        <v>44774.94159722222</v>
      </c>
      <c r="C2921" s="1" t="n">
        <v>46185</v>
      </c>
      <c r="D2921" t="inlineStr">
        <is>
          <t>VÄSTERNORRLANDS LÄN</t>
        </is>
      </c>
      <c r="E2921" t="inlineStr">
        <is>
          <t>SOLLEFTEÅ</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22473-2024</t>
        </is>
      </c>
      <c r="B2922" s="1" t="n">
        <v>45446</v>
      </c>
      <c r="C2922" s="1" t="n">
        <v>46185</v>
      </c>
      <c r="D2922" t="inlineStr">
        <is>
          <t>VÄSTERNORRLANDS LÄN</t>
        </is>
      </c>
      <c r="E2922" t="inlineStr">
        <is>
          <t>SOLLEFTEÅ</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26409-2025</t>
        </is>
      </c>
      <c r="B2923" s="1" t="n">
        <v>45807.344375</v>
      </c>
      <c r="C2923" s="1" t="n">
        <v>46185</v>
      </c>
      <c r="D2923" t="inlineStr">
        <is>
          <t>VÄSTERNORRLANDS LÄN</t>
        </is>
      </c>
      <c r="E2923" t="inlineStr">
        <is>
          <t>SOLLEFTEÅ</t>
        </is>
      </c>
      <c r="F2923" t="inlineStr">
        <is>
          <t>SCA</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26553-2025</t>
        </is>
      </c>
      <c r="B2924" s="1" t="n">
        <v>45807.61503472222</v>
      </c>
      <c r="C2924" s="1" t="n">
        <v>46185</v>
      </c>
      <c r="D2924" t="inlineStr">
        <is>
          <t>VÄSTERNORRLANDS LÄN</t>
        </is>
      </c>
      <c r="E2924" t="inlineStr">
        <is>
          <t>KRAMFORS</t>
        </is>
      </c>
      <c r="F2924" t="inlineStr">
        <is>
          <t>SCA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23513-2023</t>
        </is>
      </c>
      <c r="B2925" s="1" t="n">
        <v>45076</v>
      </c>
      <c r="C2925" s="1" t="n">
        <v>46185</v>
      </c>
      <c r="D2925" t="inlineStr">
        <is>
          <t>VÄSTERNORRLANDS LÄN</t>
        </is>
      </c>
      <c r="E2925" t="inlineStr">
        <is>
          <t>SUNDSVALL</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6419-2024</t>
        </is>
      </c>
      <c r="B2926" s="1" t="n">
        <v>45338.61928240741</v>
      </c>
      <c r="C2926" s="1" t="n">
        <v>46185</v>
      </c>
      <c r="D2926" t="inlineStr">
        <is>
          <t>VÄSTERNORRLANDS LÄN</t>
        </is>
      </c>
      <c r="E2926" t="inlineStr">
        <is>
          <t>ÖRNSKÖLDSVIK</t>
        </is>
      </c>
      <c r="F2926" t="inlineStr">
        <is>
          <t>Holmen skog AB</t>
        </is>
      </c>
      <c r="G2926" t="n">
        <v>1.5</v>
      </c>
      <c r="H2926" t="n">
        <v>0</v>
      </c>
      <c r="I2926" t="n">
        <v>0</v>
      </c>
      <c r="J2926" t="n">
        <v>0</v>
      </c>
      <c r="K2926" t="n">
        <v>0</v>
      </c>
      <c r="L2926" t="n">
        <v>0</v>
      </c>
      <c r="M2926" t="n">
        <v>0</v>
      </c>
      <c r="N2926" t="n">
        <v>0</v>
      </c>
      <c r="O2926" t="n">
        <v>0</v>
      </c>
      <c r="P2926" t="n">
        <v>0</v>
      </c>
      <c r="Q2926" t="n">
        <v>0</v>
      </c>
      <c r="R2926" s="2" t="inlineStr"/>
      <c r="U2926">
        <f>HYPERLINK("https://klasma.github.io/Logging_2284/knärot/A 6419-2024 karta knärot.png", "A 6419-2024")</f>
        <v/>
      </c>
      <c r="V2926">
        <f>HYPERLINK("https://klasma.github.io/Logging_2284/klagomål/A 6419-2024 FSC-klagomål.docx", "A 6419-2024")</f>
        <v/>
      </c>
      <c r="W2926">
        <f>HYPERLINK("https://klasma.github.io/Logging_2284/klagomålsmail/A 6419-2024 FSC-klagomål mail.docx", "A 6419-2024")</f>
        <v/>
      </c>
      <c r="X2926">
        <f>HYPERLINK("https://klasma.github.io/Logging_2284/tillsyn/A 6419-2024 tillsynsbegäran.docx", "A 6419-2024")</f>
        <v/>
      </c>
      <c r="Y2926">
        <f>HYPERLINK("https://klasma.github.io/Logging_2284/tillsynsmail/A 6419-2024 tillsynsbegäran mail.docx", "A 6419-2024")</f>
        <v/>
      </c>
    </row>
    <row r="2927" ht="15" customHeight="1">
      <c r="A2927" t="inlineStr">
        <is>
          <t>A 42275-2021</t>
        </is>
      </c>
      <c r="B2927" s="1" t="n">
        <v>44426</v>
      </c>
      <c r="C2927" s="1" t="n">
        <v>46185</v>
      </c>
      <c r="D2927" t="inlineStr">
        <is>
          <t>VÄSTERNORRLANDS LÄN</t>
        </is>
      </c>
      <c r="E2927" t="inlineStr">
        <is>
          <t>ÖRNSKÖLDSVIK</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703-2026</t>
        </is>
      </c>
      <c r="B2928" s="1" t="n">
        <v>46029.61604166667</v>
      </c>
      <c r="C2928" s="1" t="n">
        <v>46185</v>
      </c>
      <c r="D2928" t="inlineStr">
        <is>
          <t>VÄSTERNORRLANDS LÄN</t>
        </is>
      </c>
      <c r="E2928" t="inlineStr">
        <is>
          <t>ÅNGE</t>
        </is>
      </c>
      <c r="F2928" t="inlineStr">
        <is>
          <t>SCA</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26641-2025</t>
        </is>
      </c>
      <c r="B2929" s="1" t="n">
        <v>45810.36509259259</v>
      </c>
      <c r="C2929" s="1" t="n">
        <v>46185</v>
      </c>
      <c r="D2929" t="inlineStr">
        <is>
          <t>VÄSTERNORRLANDS LÄN</t>
        </is>
      </c>
      <c r="E2929" t="inlineStr">
        <is>
          <t>SOLLEFTEÅ</t>
        </is>
      </c>
      <c r="F2929" t="inlineStr">
        <is>
          <t>SCA</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847-2026</t>
        </is>
      </c>
      <c r="B2930" s="1" t="n">
        <v>46030.38679398148</v>
      </c>
      <c r="C2930" s="1" t="n">
        <v>46185</v>
      </c>
      <c r="D2930" t="inlineStr">
        <is>
          <t>VÄSTERNORRLANDS LÄN</t>
        </is>
      </c>
      <c r="E2930" t="inlineStr">
        <is>
          <t>SUNDSVALL</t>
        </is>
      </c>
      <c r="F2930" t="inlineStr">
        <is>
          <t>SCA</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36790-2023</t>
        </is>
      </c>
      <c r="B2931" s="1" t="n">
        <v>45154.36418981481</v>
      </c>
      <c r="C2931" s="1" t="n">
        <v>46185</v>
      </c>
      <c r="D2931" t="inlineStr">
        <is>
          <t>VÄSTERNORRLANDS LÄN</t>
        </is>
      </c>
      <c r="E2931" t="inlineStr">
        <is>
          <t>ÅNGE</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49531-2023</t>
        </is>
      </c>
      <c r="B2932" s="1" t="n">
        <v>45205</v>
      </c>
      <c r="C2932" s="1" t="n">
        <v>46185</v>
      </c>
      <c r="D2932" t="inlineStr">
        <is>
          <t>VÄSTERNORRLANDS LÄN</t>
        </is>
      </c>
      <c r="E2932" t="inlineStr">
        <is>
          <t>HÄRNÖSAND</t>
        </is>
      </c>
      <c r="G2932" t="n">
        <v>7.9</v>
      </c>
      <c r="H2932" t="n">
        <v>0</v>
      </c>
      <c r="I2932" t="n">
        <v>0</v>
      </c>
      <c r="J2932" t="n">
        <v>0</v>
      </c>
      <c r="K2932" t="n">
        <v>0</v>
      </c>
      <c r="L2932" t="n">
        <v>0</v>
      </c>
      <c r="M2932" t="n">
        <v>0</v>
      </c>
      <c r="N2932" t="n">
        <v>0</v>
      </c>
      <c r="O2932" t="n">
        <v>0</v>
      </c>
      <c r="P2932" t="n">
        <v>0</v>
      </c>
      <c r="Q2932" t="n">
        <v>0</v>
      </c>
      <c r="R2932" s="2" t="inlineStr"/>
    </row>
    <row r="2933" ht="15" customHeight="1">
      <c r="A2933" t="inlineStr">
        <is>
          <t>A 52010-2022</t>
        </is>
      </c>
      <c r="B2933" s="1" t="n">
        <v>44872</v>
      </c>
      <c r="C2933" s="1" t="n">
        <v>46185</v>
      </c>
      <c r="D2933" t="inlineStr">
        <is>
          <t>VÄSTERNORRLANDS LÄN</t>
        </is>
      </c>
      <c r="E2933" t="inlineStr">
        <is>
          <t>TIMRÅ</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41082-2021</t>
        </is>
      </c>
      <c r="B2934" s="1" t="n">
        <v>44422.47804398148</v>
      </c>
      <c r="C2934" s="1" t="n">
        <v>46185</v>
      </c>
      <c r="D2934" t="inlineStr">
        <is>
          <t>VÄSTERNORRLANDS LÄN</t>
        </is>
      </c>
      <c r="E2934" t="inlineStr">
        <is>
          <t>ÖRNSKÖLDSVIK</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41158-2021</t>
        </is>
      </c>
      <c r="B2935" s="1" t="n">
        <v>44424</v>
      </c>
      <c r="C2935" s="1" t="n">
        <v>46185</v>
      </c>
      <c r="D2935" t="inlineStr">
        <is>
          <t>VÄSTERNORRLANDS LÄN</t>
        </is>
      </c>
      <c r="E2935" t="inlineStr">
        <is>
          <t>KRAMFORS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29535-2021</t>
        </is>
      </c>
      <c r="B2936" s="1" t="n">
        <v>44361</v>
      </c>
      <c r="C2936" s="1" t="n">
        <v>46185</v>
      </c>
      <c r="D2936" t="inlineStr">
        <is>
          <t>VÄSTERNORRLANDS LÄN</t>
        </is>
      </c>
      <c r="E2936" t="inlineStr">
        <is>
          <t>SUNDSVALL</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52035-2022</t>
        </is>
      </c>
      <c r="B2937" s="1" t="n">
        <v>44872</v>
      </c>
      <c r="C2937" s="1" t="n">
        <v>46185</v>
      </c>
      <c r="D2937" t="inlineStr">
        <is>
          <t>VÄSTERNORRLANDS LÄN</t>
        </is>
      </c>
      <c r="E2937" t="inlineStr">
        <is>
          <t>SOLLEFTEÅ</t>
        </is>
      </c>
      <c r="F2937" t="inlineStr">
        <is>
          <t>SCA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52065-2022</t>
        </is>
      </c>
      <c r="B2938" s="1" t="n">
        <v>44873.34980324074</v>
      </c>
      <c r="C2938" s="1" t="n">
        <v>46185</v>
      </c>
      <c r="D2938" t="inlineStr">
        <is>
          <t>VÄSTERNORRLANDS LÄN</t>
        </is>
      </c>
      <c r="E2938" t="inlineStr">
        <is>
          <t>ÖRNSKÖLDSVIK</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26733-2025</t>
        </is>
      </c>
      <c r="B2939" s="1" t="n">
        <v>45810.51078703703</v>
      </c>
      <c r="C2939" s="1" t="n">
        <v>46185</v>
      </c>
      <c r="D2939" t="inlineStr">
        <is>
          <t>VÄSTERNORRLANDS LÄN</t>
        </is>
      </c>
      <c r="E2939" t="inlineStr">
        <is>
          <t>SOLLEFTEÅ</t>
        </is>
      </c>
      <c r="F2939" t="inlineStr">
        <is>
          <t>SCA</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57840-2022</t>
        </is>
      </c>
      <c r="B2940" s="1" t="n">
        <v>44897</v>
      </c>
      <c r="C2940" s="1" t="n">
        <v>46185</v>
      </c>
      <c r="D2940" t="inlineStr">
        <is>
          <t>VÄSTERNORRLANDS LÄN</t>
        </is>
      </c>
      <c r="E2940" t="inlineStr">
        <is>
          <t>TIMRÅ</t>
        </is>
      </c>
      <c r="F2940" t="inlineStr">
        <is>
          <t>SCA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48824-2024</t>
        </is>
      </c>
      <c r="B2941" s="1" t="n">
        <v>45593.68525462963</v>
      </c>
      <c r="C2941" s="1" t="n">
        <v>46185</v>
      </c>
      <c r="D2941" t="inlineStr">
        <is>
          <t>VÄSTERNORRLANDS LÄN</t>
        </is>
      </c>
      <c r="E2941" t="inlineStr">
        <is>
          <t>KRAMFORS</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55488-2023</t>
        </is>
      </c>
      <c r="B2942" s="1" t="n">
        <v>45238.54039351852</v>
      </c>
      <c r="C2942" s="1" t="n">
        <v>46185</v>
      </c>
      <c r="D2942" t="inlineStr">
        <is>
          <t>VÄSTERNORRLANDS LÄN</t>
        </is>
      </c>
      <c r="E2942" t="inlineStr">
        <is>
          <t>ÖRNSKÖLDSVIK</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783-2026</t>
        </is>
      </c>
      <c r="B2943" s="1" t="n">
        <v>46029</v>
      </c>
      <c r="C2943" s="1" t="n">
        <v>46185</v>
      </c>
      <c r="D2943" t="inlineStr">
        <is>
          <t>VÄSTERNORRLANDS LÄN</t>
        </is>
      </c>
      <c r="E2943" t="inlineStr">
        <is>
          <t>SUNDSVALL</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530-2026</t>
        </is>
      </c>
      <c r="B2944" s="1" t="n">
        <v>46029.44939814815</v>
      </c>
      <c r="C2944" s="1" t="n">
        <v>46185</v>
      </c>
      <c r="D2944" t="inlineStr">
        <is>
          <t>VÄSTERNORRLANDS LÄN</t>
        </is>
      </c>
      <c r="E2944" t="inlineStr">
        <is>
          <t>HÄRNÖSAND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531-2026</t>
        </is>
      </c>
      <c r="B2945" s="1" t="n">
        <v>46029.450625</v>
      </c>
      <c r="C2945" s="1" t="n">
        <v>46185</v>
      </c>
      <c r="D2945" t="inlineStr">
        <is>
          <t>VÄSTERNORRLANDS LÄN</t>
        </is>
      </c>
      <c r="E2945" t="inlineStr">
        <is>
          <t>KRAMFORS</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38247-2024</t>
        </is>
      </c>
      <c r="B2946" s="1" t="n">
        <v>45545</v>
      </c>
      <c r="C2946" s="1" t="n">
        <v>46185</v>
      </c>
      <c r="D2946" t="inlineStr">
        <is>
          <t>VÄSTERNORRLANDS LÄN</t>
        </is>
      </c>
      <c r="E2946" t="inlineStr">
        <is>
          <t>KRAMFORS</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62003-2024</t>
        </is>
      </c>
      <c r="B2947" s="1" t="n">
        <v>45654.98542824074</v>
      </c>
      <c r="C2947" s="1" t="n">
        <v>46185</v>
      </c>
      <c r="D2947" t="inlineStr">
        <is>
          <t>VÄSTERNORRLANDS LÄN</t>
        </is>
      </c>
      <c r="E2947" t="inlineStr">
        <is>
          <t>KRAMFORS</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61327-2023</t>
        </is>
      </c>
      <c r="B2948" s="1" t="n">
        <v>45264</v>
      </c>
      <c r="C2948" s="1" t="n">
        <v>46185</v>
      </c>
      <c r="D2948" t="inlineStr">
        <is>
          <t>VÄSTERNORRLANDS LÄN</t>
        </is>
      </c>
      <c r="E2948" t="inlineStr">
        <is>
          <t>ÖRNSKÖLDSVIK</t>
        </is>
      </c>
      <c r="F2948" t="inlineStr">
        <is>
          <t>Övriga Aktiebolag</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21776-2023</t>
        </is>
      </c>
      <c r="B2949" s="1" t="n">
        <v>45065.9264699074</v>
      </c>
      <c r="C2949" s="1" t="n">
        <v>46185</v>
      </c>
      <c r="D2949" t="inlineStr">
        <is>
          <t>VÄSTERNORRLANDS LÄN</t>
        </is>
      </c>
      <c r="E2949" t="inlineStr">
        <is>
          <t>SUNDSVALL</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33305-2024</t>
        </is>
      </c>
      <c r="B2950" s="1" t="n">
        <v>45518</v>
      </c>
      <c r="C2950" s="1" t="n">
        <v>46185</v>
      </c>
      <c r="D2950" t="inlineStr">
        <is>
          <t>VÄSTERNORRLANDS LÄN</t>
        </is>
      </c>
      <c r="E2950" t="inlineStr">
        <is>
          <t>ÅNGE</t>
        </is>
      </c>
      <c r="F2950" t="inlineStr">
        <is>
          <t>SCA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33306-2024</t>
        </is>
      </c>
      <c r="B2951" s="1" t="n">
        <v>45518</v>
      </c>
      <c r="C2951" s="1" t="n">
        <v>46185</v>
      </c>
      <c r="D2951" t="inlineStr">
        <is>
          <t>VÄSTERNORRLANDS LÄN</t>
        </is>
      </c>
      <c r="E2951" t="inlineStr">
        <is>
          <t>ÅNGE</t>
        </is>
      </c>
      <c r="F2951" t="inlineStr">
        <is>
          <t>SCA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33191-2024</t>
        </is>
      </c>
      <c r="B2952" s="1" t="n">
        <v>45518</v>
      </c>
      <c r="C2952" s="1" t="n">
        <v>46185</v>
      </c>
      <c r="D2952" t="inlineStr">
        <is>
          <t>VÄSTERNORRLANDS LÄN</t>
        </is>
      </c>
      <c r="E2952" t="inlineStr">
        <is>
          <t>ÖRNSKÖLDSVIK</t>
        </is>
      </c>
      <c r="F2952" t="inlineStr">
        <is>
          <t>Holmen skog AB</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999-2026</t>
        </is>
      </c>
      <c r="B2953" s="1" t="n">
        <v>46030.59460648148</v>
      </c>
      <c r="C2953" s="1" t="n">
        <v>46185</v>
      </c>
      <c r="D2953" t="inlineStr">
        <is>
          <t>VÄSTERNORRLANDS LÄN</t>
        </is>
      </c>
      <c r="E2953" t="inlineStr">
        <is>
          <t>SUNDSVALL</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7258-2024</t>
        </is>
      </c>
      <c r="B2954" s="1" t="n">
        <v>45344.74564814815</v>
      </c>
      <c r="C2954" s="1" t="n">
        <v>46185</v>
      </c>
      <c r="D2954" t="inlineStr">
        <is>
          <t>VÄSTERNORRLANDS LÄN</t>
        </is>
      </c>
      <c r="E2954" t="inlineStr">
        <is>
          <t>SOLLEFTEÅ</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34132-2024</t>
        </is>
      </c>
      <c r="B2955" s="1" t="n">
        <v>45524</v>
      </c>
      <c r="C2955" s="1" t="n">
        <v>46185</v>
      </c>
      <c r="D2955" t="inlineStr">
        <is>
          <t>VÄSTERNORRLANDS LÄN</t>
        </is>
      </c>
      <c r="E2955" t="inlineStr">
        <is>
          <t>ÖRNSKÖLDSVIK</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34152-2024</t>
        </is>
      </c>
      <c r="B2956" s="1" t="n">
        <v>45524.38238425926</v>
      </c>
      <c r="C2956" s="1" t="n">
        <v>46185</v>
      </c>
      <c r="D2956" t="inlineStr">
        <is>
          <t>VÄSTERNORRLANDS LÄN</t>
        </is>
      </c>
      <c r="E2956" t="inlineStr">
        <is>
          <t>ÖRNSKÖLDSVIK</t>
        </is>
      </c>
      <c r="F2956" t="inlineStr">
        <is>
          <t>Holmen skog AB</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26811-2025</t>
        </is>
      </c>
      <c r="B2957" s="1" t="n">
        <v>45810.6196412037</v>
      </c>
      <c r="C2957" s="1" t="n">
        <v>46185</v>
      </c>
      <c r="D2957" t="inlineStr">
        <is>
          <t>VÄSTERNORRLANDS LÄN</t>
        </is>
      </c>
      <c r="E2957" t="inlineStr">
        <is>
          <t>ÖRNSKÖLDSVIK</t>
        </is>
      </c>
      <c r="F2957" t="inlineStr">
        <is>
          <t>Holmen skog AB</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11231-2025</t>
        </is>
      </c>
      <c r="B2958" s="1" t="n">
        <v>45726</v>
      </c>
      <c r="C2958" s="1" t="n">
        <v>46185</v>
      </c>
      <c r="D2958" t="inlineStr">
        <is>
          <t>VÄSTERNORRLANDS LÄN</t>
        </is>
      </c>
      <c r="E2958" t="inlineStr">
        <is>
          <t>KRAMFORS</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36524-2024</t>
        </is>
      </c>
      <c r="B2959" s="1" t="n">
        <v>45537</v>
      </c>
      <c r="C2959" s="1" t="n">
        <v>46185</v>
      </c>
      <c r="D2959" t="inlineStr">
        <is>
          <t>VÄSTERNORRLANDS LÄN</t>
        </is>
      </c>
      <c r="E2959" t="inlineStr">
        <is>
          <t>ÖRNSKÖLDSVIK</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61252-2022</t>
        </is>
      </c>
      <c r="B2960" s="1" t="n">
        <v>44909</v>
      </c>
      <c r="C2960" s="1" t="n">
        <v>46185</v>
      </c>
      <c r="D2960" t="inlineStr">
        <is>
          <t>VÄSTERNORRLANDS LÄN</t>
        </is>
      </c>
      <c r="E2960" t="inlineStr">
        <is>
          <t>KRAMFORS</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26407-2025</t>
        </is>
      </c>
      <c r="B2961" s="1" t="n">
        <v>45807.34410879629</v>
      </c>
      <c r="C2961" s="1" t="n">
        <v>46185</v>
      </c>
      <c r="D2961" t="inlineStr">
        <is>
          <t>VÄSTERNORRLANDS LÄN</t>
        </is>
      </c>
      <c r="E2961" t="inlineStr">
        <is>
          <t>SUNDSVALL</t>
        </is>
      </c>
      <c r="F2961" t="inlineStr">
        <is>
          <t>SCA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36896-2024</t>
        </is>
      </c>
      <c r="B2962" s="1" t="n">
        <v>45538.61974537037</v>
      </c>
      <c r="C2962" s="1" t="n">
        <v>46185</v>
      </c>
      <c r="D2962" t="inlineStr">
        <is>
          <t>VÄSTERNORRLANDS LÄN</t>
        </is>
      </c>
      <c r="E2962" t="inlineStr">
        <is>
          <t>KRAMFORS</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16599-2025</t>
        </is>
      </c>
      <c r="B2963" s="1" t="n">
        <v>45753.51782407407</v>
      </c>
      <c r="C2963" s="1" t="n">
        <v>46185</v>
      </c>
      <c r="D2963" t="inlineStr">
        <is>
          <t>VÄSTERNORRLANDS LÄN</t>
        </is>
      </c>
      <c r="E2963" t="inlineStr">
        <is>
          <t>KRAMFORS</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7535-2023</t>
        </is>
      </c>
      <c r="B2964" s="1" t="n">
        <v>44971</v>
      </c>
      <c r="C2964" s="1" t="n">
        <v>46185</v>
      </c>
      <c r="D2964" t="inlineStr">
        <is>
          <t>VÄSTERNORRLANDS LÄN</t>
        </is>
      </c>
      <c r="E2964" t="inlineStr">
        <is>
          <t>ÅNGE</t>
        </is>
      </c>
      <c r="F2964" t="inlineStr">
        <is>
          <t>SCA</t>
        </is>
      </c>
      <c r="G2964" t="n">
        <v>14.6</v>
      </c>
      <c r="H2964" t="n">
        <v>0</v>
      </c>
      <c r="I2964" t="n">
        <v>0</v>
      </c>
      <c r="J2964" t="n">
        <v>0</v>
      </c>
      <c r="K2964" t="n">
        <v>0</v>
      </c>
      <c r="L2964" t="n">
        <v>0</v>
      </c>
      <c r="M2964" t="n">
        <v>0</v>
      </c>
      <c r="N2964" t="n">
        <v>0</v>
      </c>
      <c r="O2964" t="n">
        <v>0</v>
      </c>
      <c r="P2964" t="n">
        <v>0</v>
      </c>
      <c r="Q2964" t="n">
        <v>0</v>
      </c>
      <c r="R2964" s="2" t="inlineStr"/>
    </row>
    <row r="2965" ht="15" customHeight="1">
      <c r="A2965" t="inlineStr">
        <is>
          <t>A 7574-2023</t>
        </is>
      </c>
      <c r="B2965" s="1" t="n">
        <v>44972</v>
      </c>
      <c r="C2965" s="1" t="n">
        <v>46185</v>
      </c>
      <c r="D2965" t="inlineStr">
        <is>
          <t>VÄSTERNORRLANDS LÄN</t>
        </is>
      </c>
      <c r="E2965" t="inlineStr">
        <is>
          <t>ÖRNSKÖLDSVIK</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41753-2024</t>
        </is>
      </c>
      <c r="B2966" s="1" t="n">
        <v>45561.34413194445</v>
      </c>
      <c r="C2966" s="1" t="n">
        <v>46185</v>
      </c>
      <c r="D2966" t="inlineStr">
        <is>
          <t>VÄSTERNORRLANDS LÄN</t>
        </is>
      </c>
      <c r="E2966" t="inlineStr">
        <is>
          <t>SUNDSVALL</t>
        </is>
      </c>
      <c r="F2966" t="inlineStr">
        <is>
          <t>SCA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27046-2025</t>
        </is>
      </c>
      <c r="B2967" s="1" t="n">
        <v>45811.61524305555</v>
      </c>
      <c r="C2967" s="1" t="n">
        <v>46185</v>
      </c>
      <c r="D2967" t="inlineStr">
        <is>
          <t>VÄSTERNORRLANDS LÄN</t>
        </is>
      </c>
      <c r="E2967" t="inlineStr">
        <is>
          <t>SUNDSVALL</t>
        </is>
      </c>
      <c r="F2967" t="inlineStr">
        <is>
          <t>Naturvårdsverket</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21434-2025</t>
        </is>
      </c>
      <c r="B2968" s="1" t="n">
        <v>45782.51702546296</v>
      </c>
      <c r="C2968" s="1" t="n">
        <v>46185</v>
      </c>
      <c r="D2968" t="inlineStr">
        <is>
          <t>VÄSTERNORRLANDS LÄN</t>
        </is>
      </c>
      <c r="E2968" t="inlineStr">
        <is>
          <t>KRAMFORS</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42214-2024</t>
        </is>
      </c>
      <c r="B2969" s="1" t="n">
        <v>45562</v>
      </c>
      <c r="C2969" s="1" t="n">
        <v>46185</v>
      </c>
      <c r="D2969" t="inlineStr">
        <is>
          <t>VÄSTERNORRLANDS LÄN</t>
        </is>
      </c>
      <c r="E2969" t="inlineStr">
        <is>
          <t>HÄRNÖSAND</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1055-2026</t>
        </is>
      </c>
      <c r="B2970" s="1" t="n">
        <v>46030.63422453704</v>
      </c>
      <c r="C2970" s="1" t="n">
        <v>46185</v>
      </c>
      <c r="D2970" t="inlineStr">
        <is>
          <t>VÄSTERNORRLANDS LÄN</t>
        </is>
      </c>
      <c r="E2970" t="inlineStr">
        <is>
          <t>SUNDSVALL</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61984-2024</t>
        </is>
      </c>
      <c r="B2971" s="1" t="n">
        <v>45653</v>
      </c>
      <c r="C2971" s="1" t="n">
        <v>46185</v>
      </c>
      <c r="D2971" t="inlineStr">
        <is>
          <t>VÄSTERNORRLANDS LÄN</t>
        </is>
      </c>
      <c r="E2971" t="inlineStr">
        <is>
          <t>KRAMFORS</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62357-2022</t>
        </is>
      </c>
      <c r="B2972" s="1" t="n">
        <v>44923.62614583333</v>
      </c>
      <c r="C2972" s="1" t="n">
        <v>46185</v>
      </c>
      <c r="D2972" t="inlineStr">
        <is>
          <t>VÄSTERNORRLANDS LÄN</t>
        </is>
      </c>
      <c r="E2972" t="inlineStr">
        <is>
          <t>ÖRNSKÖLDSVIK</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54799-2024</t>
        </is>
      </c>
      <c r="B2973" s="1" t="n">
        <v>45618.50144675926</v>
      </c>
      <c r="C2973" s="1" t="n">
        <v>46185</v>
      </c>
      <c r="D2973" t="inlineStr">
        <is>
          <t>VÄSTERNORRLANDS LÄN</t>
        </is>
      </c>
      <c r="E2973" t="inlineStr">
        <is>
          <t>SUNDSVALL</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54801-2024</t>
        </is>
      </c>
      <c r="B2974" s="1" t="n">
        <v>45618.50481481481</v>
      </c>
      <c r="C2974" s="1" t="n">
        <v>46185</v>
      </c>
      <c r="D2974" t="inlineStr">
        <is>
          <t>VÄSTERNORRLANDS LÄN</t>
        </is>
      </c>
      <c r="E2974" t="inlineStr">
        <is>
          <t>SUNDSVALL</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4815-2025</t>
        </is>
      </c>
      <c r="B2975" s="1" t="n">
        <v>45688</v>
      </c>
      <c r="C2975" s="1" t="n">
        <v>46185</v>
      </c>
      <c r="D2975" t="inlineStr">
        <is>
          <t>VÄSTERNORRLANDS LÄN</t>
        </is>
      </c>
      <c r="E2975" t="inlineStr">
        <is>
          <t>SUNDSVALL</t>
        </is>
      </c>
      <c r="G2975" t="n">
        <v>6.5</v>
      </c>
      <c r="H2975" t="n">
        <v>0</v>
      </c>
      <c r="I2975" t="n">
        <v>0</v>
      </c>
      <c r="J2975" t="n">
        <v>0</v>
      </c>
      <c r="K2975" t="n">
        <v>0</v>
      </c>
      <c r="L2975" t="n">
        <v>0</v>
      </c>
      <c r="M2975" t="n">
        <v>0</v>
      </c>
      <c r="N2975" t="n">
        <v>0</v>
      </c>
      <c r="O2975" t="n">
        <v>0</v>
      </c>
      <c r="P2975" t="n">
        <v>0</v>
      </c>
      <c r="Q2975" t="n">
        <v>0</v>
      </c>
      <c r="R2975" s="2" t="inlineStr"/>
    </row>
    <row r="2976" ht="15" customHeight="1">
      <c r="A2976" t="inlineStr">
        <is>
          <t>A 27023-2025</t>
        </is>
      </c>
      <c r="B2976" s="1" t="n">
        <v>45811.57342592593</v>
      </c>
      <c r="C2976" s="1" t="n">
        <v>46185</v>
      </c>
      <c r="D2976" t="inlineStr">
        <is>
          <t>VÄSTERNORRLANDS LÄN</t>
        </is>
      </c>
      <c r="E2976" t="inlineStr">
        <is>
          <t>ÅNGE</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4933-2025</t>
        </is>
      </c>
      <c r="B2977" s="1" t="n">
        <v>45688.68486111111</v>
      </c>
      <c r="C2977" s="1" t="n">
        <v>46185</v>
      </c>
      <c r="D2977" t="inlineStr">
        <is>
          <t>VÄSTERNORRLANDS LÄN</t>
        </is>
      </c>
      <c r="E2977" t="inlineStr">
        <is>
          <t>SUNDSVALL</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31662-2024</t>
        </is>
      </c>
      <c r="B2978" s="1" t="n">
        <v>45506.92857638889</v>
      </c>
      <c r="C2978" s="1" t="n">
        <v>46185</v>
      </c>
      <c r="D2978" t="inlineStr">
        <is>
          <t>VÄSTERNORRLANDS LÄN</t>
        </is>
      </c>
      <c r="E2978" t="inlineStr">
        <is>
          <t>SOLLEFTEÅ</t>
        </is>
      </c>
      <c r="G2978" t="n">
        <v>11.7</v>
      </c>
      <c r="H2978" t="n">
        <v>0</v>
      </c>
      <c r="I2978" t="n">
        <v>0</v>
      </c>
      <c r="J2978" t="n">
        <v>0</v>
      </c>
      <c r="K2978" t="n">
        <v>0</v>
      </c>
      <c r="L2978" t="n">
        <v>0</v>
      </c>
      <c r="M2978" t="n">
        <v>0</v>
      </c>
      <c r="N2978" t="n">
        <v>0</v>
      </c>
      <c r="O2978" t="n">
        <v>0</v>
      </c>
      <c r="P2978" t="n">
        <v>0</v>
      </c>
      <c r="Q2978" t="n">
        <v>0</v>
      </c>
      <c r="R2978" s="2" t="inlineStr"/>
    </row>
    <row r="2979" ht="15" customHeight="1">
      <c r="A2979" t="inlineStr">
        <is>
          <t>A 27164-2025</t>
        </is>
      </c>
      <c r="B2979" s="1" t="n">
        <v>45812.34430555555</v>
      </c>
      <c r="C2979" s="1" t="n">
        <v>46185</v>
      </c>
      <c r="D2979" t="inlineStr">
        <is>
          <t>VÄSTERNORRLANDS LÄN</t>
        </is>
      </c>
      <c r="E2979" t="inlineStr">
        <is>
          <t>ÅNGE</t>
        </is>
      </c>
      <c r="F2979" t="inlineStr">
        <is>
          <t>SCA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27295-2025</t>
        </is>
      </c>
      <c r="B2980" s="1" t="n">
        <v>45812</v>
      </c>
      <c r="C2980" s="1" t="n">
        <v>46185</v>
      </c>
      <c r="D2980" t="inlineStr">
        <is>
          <t>VÄSTERNORRLANDS LÄN</t>
        </is>
      </c>
      <c r="E2980" t="inlineStr">
        <is>
          <t>ÖRNSKÖLDSVIK</t>
        </is>
      </c>
      <c r="F2980" t="inlineStr">
        <is>
          <t>Kommuner</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64596-2023</t>
        </is>
      </c>
      <c r="B2981" s="1" t="n">
        <v>45281</v>
      </c>
      <c r="C2981" s="1" t="n">
        <v>46185</v>
      </c>
      <c r="D2981" t="inlineStr">
        <is>
          <t>VÄSTERNORRLANDS LÄN</t>
        </is>
      </c>
      <c r="E2981" t="inlineStr">
        <is>
          <t>KRAMFORS</t>
        </is>
      </c>
      <c r="G2981" t="n">
        <v>7.1</v>
      </c>
      <c r="H2981" t="n">
        <v>0</v>
      </c>
      <c r="I2981" t="n">
        <v>0</v>
      </c>
      <c r="J2981" t="n">
        <v>0</v>
      </c>
      <c r="K2981" t="n">
        <v>0</v>
      </c>
      <c r="L2981" t="n">
        <v>0</v>
      </c>
      <c r="M2981" t="n">
        <v>0</v>
      </c>
      <c r="N2981" t="n">
        <v>0</v>
      </c>
      <c r="O2981" t="n">
        <v>0</v>
      </c>
      <c r="P2981" t="n">
        <v>0</v>
      </c>
      <c r="Q2981" t="n">
        <v>0</v>
      </c>
      <c r="R2981" s="2" t="inlineStr"/>
    </row>
    <row r="2982" ht="15" customHeight="1">
      <c r="A2982" t="inlineStr">
        <is>
          <t>A 37038-2024</t>
        </is>
      </c>
      <c r="B2982" s="1" t="n">
        <v>45539.40881944444</v>
      </c>
      <c r="C2982" s="1" t="n">
        <v>46185</v>
      </c>
      <c r="D2982" t="inlineStr">
        <is>
          <t>VÄSTERNORRLANDS LÄN</t>
        </is>
      </c>
      <c r="E2982" t="inlineStr">
        <is>
          <t>ÅNGE</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26922-2025</t>
        </is>
      </c>
      <c r="B2983" s="1" t="n">
        <v>45811.38631944444</v>
      </c>
      <c r="C2983" s="1" t="n">
        <v>46185</v>
      </c>
      <c r="D2983" t="inlineStr">
        <is>
          <t>VÄSTERNORRLANDS LÄN</t>
        </is>
      </c>
      <c r="E2983" t="inlineStr">
        <is>
          <t>HÄRNÖSAND</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61085-2022</t>
        </is>
      </c>
      <c r="B2984" s="1" t="n">
        <v>44915.39061342592</v>
      </c>
      <c r="C2984" s="1" t="n">
        <v>46185</v>
      </c>
      <c r="D2984" t="inlineStr">
        <is>
          <t>VÄSTERNORRLANDS LÄN</t>
        </is>
      </c>
      <c r="E2984" t="inlineStr">
        <is>
          <t>ÖRNSKÖLDSVIK</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26929-2025</t>
        </is>
      </c>
      <c r="B2985" s="1" t="n">
        <v>45811.39710648148</v>
      </c>
      <c r="C2985" s="1" t="n">
        <v>46185</v>
      </c>
      <c r="D2985" t="inlineStr">
        <is>
          <t>VÄSTERNORRLANDS LÄN</t>
        </is>
      </c>
      <c r="E2985" t="inlineStr">
        <is>
          <t>ÖRNSKÖLDSVIK</t>
        </is>
      </c>
      <c r="F2985" t="inlineStr">
        <is>
          <t>Holmen skog AB</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26950-2025</t>
        </is>
      </c>
      <c r="B2986" s="1" t="n">
        <v>45811.43887731482</v>
      </c>
      <c r="C2986" s="1" t="n">
        <v>46185</v>
      </c>
      <c r="D2986" t="inlineStr">
        <is>
          <t>VÄSTERNORRLANDS LÄN</t>
        </is>
      </c>
      <c r="E2986" t="inlineStr">
        <is>
          <t>ÖRNSKÖLDSVIK</t>
        </is>
      </c>
      <c r="F2986" t="inlineStr">
        <is>
          <t>Holmen skog AB</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61090-2022</t>
        </is>
      </c>
      <c r="B2987" s="1" t="n">
        <v>44915.39385416666</v>
      </c>
      <c r="C2987" s="1" t="n">
        <v>46185</v>
      </c>
      <c r="D2987" t="inlineStr">
        <is>
          <t>VÄSTERNORRLANDS LÄN</t>
        </is>
      </c>
      <c r="E2987" t="inlineStr">
        <is>
          <t>ÖRNSKÖLDSVIK</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56416-2023</t>
        </is>
      </c>
      <c r="B2988" s="1" t="n">
        <v>45237</v>
      </c>
      <c r="C2988" s="1" t="n">
        <v>46185</v>
      </c>
      <c r="D2988" t="inlineStr">
        <is>
          <t>VÄSTERNORRLANDS LÄN</t>
        </is>
      </c>
      <c r="E2988" t="inlineStr">
        <is>
          <t>SOLLEFTEÅ</t>
        </is>
      </c>
      <c r="G2988" t="n">
        <v>11.2</v>
      </c>
      <c r="H2988" t="n">
        <v>0</v>
      </c>
      <c r="I2988" t="n">
        <v>0</v>
      </c>
      <c r="J2988" t="n">
        <v>0</v>
      </c>
      <c r="K2988" t="n">
        <v>0</v>
      </c>
      <c r="L2988" t="n">
        <v>0</v>
      </c>
      <c r="M2988" t="n">
        <v>0</v>
      </c>
      <c r="N2988" t="n">
        <v>0</v>
      </c>
      <c r="O2988" t="n">
        <v>0</v>
      </c>
      <c r="P2988" t="n">
        <v>0</v>
      </c>
      <c r="Q2988" t="n">
        <v>0</v>
      </c>
      <c r="R2988" s="2" t="inlineStr"/>
    </row>
    <row r="2989" ht="15" customHeight="1">
      <c r="A2989" t="inlineStr">
        <is>
          <t>A 26953-2025</t>
        </is>
      </c>
      <c r="B2989" s="1" t="n">
        <v>45811.44856481482</v>
      </c>
      <c r="C2989" s="1" t="n">
        <v>46185</v>
      </c>
      <c r="D2989" t="inlineStr">
        <is>
          <t>VÄSTERNORRLANDS LÄN</t>
        </is>
      </c>
      <c r="E2989" t="inlineStr">
        <is>
          <t>SOLLEFTEÅ</t>
        </is>
      </c>
      <c r="F2989" t="inlineStr">
        <is>
          <t>SCA</t>
        </is>
      </c>
      <c r="G2989" t="n">
        <v>8.300000000000001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27799-2023</t>
        </is>
      </c>
      <c r="B2990" s="1" t="n">
        <v>45098</v>
      </c>
      <c r="C2990" s="1" t="n">
        <v>46185</v>
      </c>
      <c r="D2990" t="inlineStr">
        <is>
          <t>VÄSTERNORRLANDS LÄN</t>
        </is>
      </c>
      <c r="E2990" t="inlineStr">
        <is>
          <t>ÖRNSKÖLDSVIK</t>
        </is>
      </c>
      <c r="F2990" t="inlineStr">
        <is>
          <t>Holmen skog AB</t>
        </is>
      </c>
      <c r="G2990" t="n">
        <v>10.3</v>
      </c>
      <c r="H2990" t="n">
        <v>0</v>
      </c>
      <c r="I2990" t="n">
        <v>0</v>
      </c>
      <c r="J2990" t="n">
        <v>0</v>
      </c>
      <c r="K2990" t="n">
        <v>0</v>
      </c>
      <c r="L2990" t="n">
        <v>0</v>
      </c>
      <c r="M2990" t="n">
        <v>0</v>
      </c>
      <c r="N2990" t="n">
        <v>0</v>
      </c>
      <c r="O2990" t="n">
        <v>0</v>
      </c>
      <c r="P2990" t="n">
        <v>0</v>
      </c>
      <c r="Q2990" t="n">
        <v>0</v>
      </c>
      <c r="R2990" s="2" t="inlineStr"/>
    </row>
    <row r="2991" ht="15" customHeight="1">
      <c r="A2991" t="inlineStr">
        <is>
          <t>A 38306-2025</t>
        </is>
      </c>
      <c r="B2991" s="1" t="n">
        <v>45883.46928240741</v>
      </c>
      <c r="C2991" s="1" t="n">
        <v>46185</v>
      </c>
      <c r="D2991" t="inlineStr">
        <is>
          <t>VÄSTERNORRLANDS LÄN</t>
        </is>
      </c>
      <c r="E2991" t="inlineStr">
        <is>
          <t>TIMRÅ</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26891-2025</t>
        </is>
      </c>
      <c r="B2992" s="1" t="n">
        <v>45811.33006944445</v>
      </c>
      <c r="C2992" s="1" t="n">
        <v>46185</v>
      </c>
      <c r="D2992" t="inlineStr">
        <is>
          <t>VÄSTERNORRLANDS LÄN</t>
        </is>
      </c>
      <c r="E2992" t="inlineStr">
        <is>
          <t>ÖRNSKÖLDSVIK</t>
        </is>
      </c>
      <c r="F2992" t="inlineStr">
        <is>
          <t>Holmen skog AB</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61997-2022</t>
        </is>
      </c>
      <c r="B2993" s="1" t="n">
        <v>44914</v>
      </c>
      <c r="C2993" s="1" t="n">
        <v>46185</v>
      </c>
      <c r="D2993" t="inlineStr">
        <is>
          <t>VÄSTERNORRLANDS LÄN</t>
        </is>
      </c>
      <c r="E2993" t="inlineStr">
        <is>
          <t>SOLLEFTEÅ</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62001-2022</t>
        </is>
      </c>
      <c r="B2994" s="1" t="n">
        <v>44914</v>
      </c>
      <c r="C2994" s="1" t="n">
        <v>46185</v>
      </c>
      <c r="D2994" t="inlineStr">
        <is>
          <t>VÄSTERNORRLANDS LÄN</t>
        </is>
      </c>
      <c r="E2994" t="inlineStr">
        <is>
          <t>ÖRNSKÖLDSVIK</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26917-2025</t>
        </is>
      </c>
      <c r="B2995" s="1" t="n">
        <v>45811.37417824074</v>
      </c>
      <c r="C2995" s="1" t="n">
        <v>46185</v>
      </c>
      <c r="D2995" t="inlineStr">
        <is>
          <t>VÄSTERNORRLANDS LÄN</t>
        </is>
      </c>
      <c r="E2995" t="inlineStr">
        <is>
          <t>ÖRNSKÖLDSVIK</t>
        </is>
      </c>
      <c r="F2995" t="inlineStr">
        <is>
          <t>Holmen skog AB</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26918-2025</t>
        </is>
      </c>
      <c r="B2996" s="1" t="n">
        <v>45811.37457175926</v>
      </c>
      <c r="C2996" s="1" t="n">
        <v>46185</v>
      </c>
      <c r="D2996" t="inlineStr">
        <is>
          <t>VÄSTERNORRLANDS LÄN</t>
        </is>
      </c>
      <c r="E2996" t="inlineStr">
        <is>
          <t>HÄRNÖSAND</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20799-2024</t>
        </is>
      </c>
      <c r="B2997" s="1" t="n">
        <v>45438</v>
      </c>
      <c r="C2997" s="1" t="n">
        <v>46185</v>
      </c>
      <c r="D2997" t="inlineStr">
        <is>
          <t>VÄSTERNORRLANDS LÄN</t>
        </is>
      </c>
      <c r="E2997" t="inlineStr">
        <is>
          <t>SOLLEFTEÅ</t>
        </is>
      </c>
      <c r="F2997" t="inlineStr">
        <is>
          <t>SCA</t>
        </is>
      </c>
      <c r="G2997" t="n">
        <v>0.1</v>
      </c>
      <c r="H2997" t="n">
        <v>0</v>
      </c>
      <c r="I2997" t="n">
        <v>0</v>
      </c>
      <c r="J2997" t="n">
        <v>0</v>
      </c>
      <c r="K2997" t="n">
        <v>0</v>
      </c>
      <c r="L2997" t="n">
        <v>0</v>
      </c>
      <c r="M2997" t="n">
        <v>0</v>
      </c>
      <c r="N2997" t="n">
        <v>0</v>
      </c>
      <c r="O2997" t="n">
        <v>0</v>
      </c>
      <c r="P2997" t="n">
        <v>0</v>
      </c>
      <c r="Q2997" t="n">
        <v>0</v>
      </c>
      <c r="R2997" s="2" t="inlineStr"/>
    </row>
    <row r="2998" ht="15" customHeight="1">
      <c r="A2998" t="inlineStr">
        <is>
          <t>A 26952-2025</t>
        </is>
      </c>
      <c r="B2998" s="1" t="n">
        <v>45811.4484375</v>
      </c>
      <c r="C2998" s="1" t="n">
        <v>46185</v>
      </c>
      <c r="D2998" t="inlineStr">
        <is>
          <t>VÄSTERNORRLANDS LÄN</t>
        </is>
      </c>
      <c r="E2998" t="inlineStr">
        <is>
          <t>SOLLEFTEÅ</t>
        </is>
      </c>
      <c r="F2998" t="inlineStr">
        <is>
          <t>SCA</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33750-2024</t>
        </is>
      </c>
      <c r="B2999" s="1" t="n">
        <v>45520.56475694444</v>
      </c>
      <c r="C2999" s="1" t="n">
        <v>46185</v>
      </c>
      <c r="D2999" t="inlineStr">
        <is>
          <t>VÄSTERNORRLANDS LÄN</t>
        </is>
      </c>
      <c r="E2999" t="inlineStr">
        <is>
          <t>ÅNGE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56015-2024</t>
        </is>
      </c>
      <c r="B3000" s="1" t="n">
        <v>45623.87550925926</v>
      </c>
      <c r="C3000" s="1" t="n">
        <v>46185</v>
      </c>
      <c r="D3000" t="inlineStr">
        <is>
          <t>VÄSTERNORRLANDS LÄN</t>
        </is>
      </c>
      <c r="E3000" t="inlineStr">
        <is>
          <t>SUNDSVALL</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699-2026</t>
        </is>
      </c>
      <c r="B3001" s="1" t="n">
        <v>46029.61538194444</v>
      </c>
      <c r="C3001" s="1" t="n">
        <v>46185</v>
      </c>
      <c r="D3001" t="inlineStr">
        <is>
          <t>VÄSTERNORRLANDS LÄN</t>
        </is>
      </c>
      <c r="E3001" t="inlineStr">
        <is>
          <t>TIMRÅ</t>
        </is>
      </c>
      <c r="F3001" t="inlineStr">
        <is>
          <t>SCA</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738-2026</t>
        </is>
      </c>
      <c r="B3002" s="1" t="n">
        <v>46029.65686342592</v>
      </c>
      <c r="C3002" s="1" t="n">
        <v>46185</v>
      </c>
      <c r="D3002" t="inlineStr">
        <is>
          <t>VÄSTERNORRLANDS LÄN</t>
        </is>
      </c>
      <c r="E3002" t="inlineStr">
        <is>
          <t>SOLLEFTEÅ</t>
        </is>
      </c>
      <c r="F3002" t="inlineStr">
        <is>
          <t>SCA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27096-2025</t>
        </is>
      </c>
      <c r="B3003" s="1" t="n">
        <v>45811.67756944444</v>
      </c>
      <c r="C3003" s="1" t="n">
        <v>46185</v>
      </c>
      <c r="D3003" t="inlineStr">
        <is>
          <t>VÄSTERNORRLANDS LÄN</t>
        </is>
      </c>
      <c r="E3003" t="inlineStr">
        <is>
          <t>SUNDSVALL</t>
        </is>
      </c>
      <c r="F3003" t="inlineStr">
        <is>
          <t>Naturvårdsverket</t>
        </is>
      </c>
      <c r="G3003" t="n">
        <v>7.7</v>
      </c>
      <c r="H3003" t="n">
        <v>0</v>
      </c>
      <c r="I3003" t="n">
        <v>0</v>
      </c>
      <c r="J3003" t="n">
        <v>0</v>
      </c>
      <c r="K3003" t="n">
        <v>0</v>
      </c>
      <c r="L3003" t="n">
        <v>0</v>
      </c>
      <c r="M3003" t="n">
        <v>0</v>
      </c>
      <c r="N3003" t="n">
        <v>0</v>
      </c>
      <c r="O3003" t="n">
        <v>0</v>
      </c>
      <c r="P3003" t="n">
        <v>0</v>
      </c>
      <c r="Q3003" t="n">
        <v>0</v>
      </c>
      <c r="R3003" s="2" t="inlineStr"/>
    </row>
    <row r="3004" ht="15" customHeight="1">
      <c r="A3004" t="inlineStr">
        <is>
          <t>A 27098-2025</t>
        </is>
      </c>
      <c r="B3004" s="1" t="n">
        <v>45811.6778125</v>
      </c>
      <c r="C3004" s="1" t="n">
        <v>46185</v>
      </c>
      <c r="D3004" t="inlineStr">
        <is>
          <t>VÄSTERNORRLANDS LÄN</t>
        </is>
      </c>
      <c r="E3004" t="inlineStr">
        <is>
          <t>TIMRÅ</t>
        </is>
      </c>
      <c r="F3004" t="inlineStr">
        <is>
          <t>SCA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27165-2025</t>
        </is>
      </c>
      <c r="B3005" s="1" t="n">
        <v>45812.34440972222</v>
      </c>
      <c r="C3005" s="1" t="n">
        <v>46185</v>
      </c>
      <c r="D3005" t="inlineStr">
        <is>
          <t>VÄSTERNORRLANDS LÄN</t>
        </is>
      </c>
      <c r="E3005" t="inlineStr">
        <is>
          <t>ÅNGE</t>
        </is>
      </c>
      <c r="F3005" t="inlineStr">
        <is>
          <t>SCA</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27210-2025</t>
        </is>
      </c>
      <c r="B3006" s="1" t="n">
        <v>45812.40680555555</v>
      </c>
      <c r="C3006" s="1" t="n">
        <v>46185</v>
      </c>
      <c r="D3006" t="inlineStr">
        <is>
          <t>VÄSTERNORRLANDS LÄN</t>
        </is>
      </c>
      <c r="E3006" t="inlineStr">
        <is>
          <t>SUNDSVALL</t>
        </is>
      </c>
      <c r="F3006" t="inlineStr">
        <is>
          <t>SCA</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16404-2025</t>
        </is>
      </c>
      <c r="B3007" s="1" t="n">
        <v>45751</v>
      </c>
      <c r="C3007" s="1" t="n">
        <v>46185</v>
      </c>
      <c r="D3007" t="inlineStr">
        <is>
          <t>VÄSTERNORRLANDS LÄN</t>
        </is>
      </c>
      <c r="E3007" t="inlineStr">
        <is>
          <t>SUNDSVALL</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27095-2025</t>
        </is>
      </c>
      <c r="B3008" s="1" t="n">
        <v>45811.67743055556</v>
      </c>
      <c r="C3008" s="1" t="n">
        <v>46185</v>
      </c>
      <c r="D3008" t="inlineStr">
        <is>
          <t>VÄSTERNORRLANDS LÄN</t>
        </is>
      </c>
      <c r="E3008" t="inlineStr">
        <is>
          <t>SUNDSVALL</t>
        </is>
      </c>
      <c r="F3008" t="inlineStr">
        <is>
          <t>Naturvårdsverket</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30060-2024</t>
        </is>
      </c>
      <c r="B3009" s="1" t="n">
        <v>45488.94813657407</v>
      </c>
      <c r="C3009" s="1" t="n">
        <v>46185</v>
      </c>
      <c r="D3009" t="inlineStr">
        <is>
          <t>VÄSTERNORRLANDS LÄN</t>
        </is>
      </c>
      <c r="E3009" t="inlineStr">
        <is>
          <t>SOLLEFTEÅ</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877-2026</t>
        </is>
      </c>
      <c r="B3010" s="1" t="n">
        <v>46030.44267361111</v>
      </c>
      <c r="C3010" s="1" t="n">
        <v>46185</v>
      </c>
      <c r="D3010" t="inlineStr">
        <is>
          <t>VÄSTERNORRLANDS LÄN</t>
        </is>
      </c>
      <c r="E3010" t="inlineStr">
        <is>
          <t>ÖRNSKÖLDSVIK</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23284-2023</t>
        </is>
      </c>
      <c r="B3011" s="1" t="n">
        <v>45075</v>
      </c>
      <c r="C3011" s="1" t="n">
        <v>46185</v>
      </c>
      <c r="D3011" t="inlineStr">
        <is>
          <t>VÄSTERNORRLANDS LÄN</t>
        </is>
      </c>
      <c r="E3011" t="inlineStr">
        <is>
          <t>SUNDSVALL</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23285-2023</t>
        </is>
      </c>
      <c r="B3012" s="1" t="n">
        <v>45075</v>
      </c>
      <c r="C3012" s="1" t="n">
        <v>46185</v>
      </c>
      <c r="D3012" t="inlineStr">
        <is>
          <t>VÄSTERNORRLANDS LÄN</t>
        </is>
      </c>
      <c r="E3012" t="inlineStr">
        <is>
          <t>SOLLEFTEÅ</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5931-2025</t>
        </is>
      </c>
      <c r="B3013" s="1" t="n">
        <v>45695.44827546296</v>
      </c>
      <c r="C3013" s="1" t="n">
        <v>46185</v>
      </c>
      <c r="D3013" t="inlineStr">
        <is>
          <t>VÄSTERNORRLANDS LÄN</t>
        </is>
      </c>
      <c r="E3013" t="inlineStr">
        <is>
          <t>ÅNGE</t>
        </is>
      </c>
      <c r="F3013" t="inlineStr">
        <is>
          <t>SCA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27033-2025</t>
        </is>
      </c>
      <c r="B3014" s="1" t="n">
        <v>45811.5897800926</v>
      </c>
      <c r="C3014" s="1" t="n">
        <v>46185</v>
      </c>
      <c r="D3014" t="inlineStr">
        <is>
          <t>VÄSTERNORRLANDS LÄN</t>
        </is>
      </c>
      <c r="E3014" t="inlineStr">
        <is>
          <t>ÖRNSKÖLDSVIK</t>
        </is>
      </c>
      <c r="F3014" t="inlineStr">
        <is>
          <t>Holmen skog AB</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27026-2025</t>
        </is>
      </c>
      <c r="B3015" s="1" t="n">
        <v>45811.58085648148</v>
      </c>
      <c r="C3015" s="1" t="n">
        <v>46185</v>
      </c>
      <c r="D3015" t="inlineStr">
        <is>
          <t>VÄSTERNORRLANDS LÄN</t>
        </is>
      </c>
      <c r="E3015" t="inlineStr">
        <is>
          <t>ÖRNSKÖLDSVIK</t>
        </is>
      </c>
      <c r="F3015" t="inlineStr">
        <is>
          <t>Holmen skog AB</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49843-2024</t>
        </is>
      </c>
      <c r="B3016" s="1" t="n">
        <v>45597</v>
      </c>
      <c r="C3016" s="1" t="n">
        <v>46185</v>
      </c>
      <c r="D3016" t="inlineStr">
        <is>
          <t>VÄSTERNORRLANDS LÄN</t>
        </is>
      </c>
      <c r="E3016" t="inlineStr">
        <is>
          <t>ÖRNSKÖLDSVIK</t>
        </is>
      </c>
      <c r="F3016" t="inlineStr">
        <is>
          <t>Holmen skog AB</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27272-2025</t>
        </is>
      </c>
      <c r="B3017" s="1" t="n">
        <v>45812.51498842592</v>
      </c>
      <c r="C3017" s="1" t="n">
        <v>46185</v>
      </c>
      <c r="D3017" t="inlineStr">
        <is>
          <t>VÄSTERNORRLANDS LÄN</t>
        </is>
      </c>
      <c r="E3017" t="inlineStr">
        <is>
          <t>HÄRNÖSAND</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27273-2025</t>
        </is>
      </c>
      <c r="B3018" s="1" t="n">
        <v>45812.51732638889</v>
      </c>
      <c r="C3018" s="1" t="n">
        <v>46185</v>
      </c>
      <c r="D3018" t="inlineStr">
        <is>
          <t>VÄSTERNORRLANDS LÄN</t>
        </is>
      </c>
      <c r="E3018" t="inlineStr">
        <is>
          <t>HÄRNÖSAND</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27407-2025</t>
        </is>
      </c>
      <c r="B3019" s="1" t="n">
        <v>45812.74519675926</v>
      </c>
      <c r="C3019" s="1" t="n">
        <v>46185</v>
      </c>
      <c r="D3019" t="inlineStr">
        <is>
          <t>VÄSTERNORRLANDS LÄN</t>
        </is>
      </c>
      <c r="E3019" t="inlineStr">
        <is>
          <t>SOLLEFTEÅ</t>
        </is>
      </c>
      <c r="G3019" t="n">
        <v>23.2</v>
      </c>
      <c r="H3019" t="n">
        <v>0</v>
      </c>
      <c r="I3019" t="n">
        <v>0</v>
      </c>
      <c r="J3019" t="n">
        <v>0</v>
      </c>
      <c r="K3019" t="n">
        <v>0</v>
      </c>
      <c r="L3019" t="n">
        <v>0</v>
      </c>
      <c r="M3019" t="n">
        <v>0</v>
      </c>
      <c r="N3019" t="n">
        <v>0</v>
      </c>
      <c r="O3019" t="n">
        <v>0</v>
      </c>
      <c r="P3019" t="n">
        <v>0</v>
      </c>
      <c r="Q3019" t="n">
        <v>0</v>
      </c>
      <c r="R3019" s="2" t="inlineStr"/>
    </row>
    <row r="3020" ht="15" customHeight="1">
      <c r="A3020" t="inlineStr">
        <is>
          <t>A 69269-2021</t>
        </is>
      </c>
      <c r="B3020" s="1" t="n">
        <v>44531.43854166667</v>
      </c>
      <c r="C3020" s="1" t="n">
        <v>46185</v>
      </c>
      <c r="D3020" t="inlineStr">
        <is>
          <t>VÄSTERNORRLANDS LÄN</t>
        </is>
      </c>
      <c r="E3020" t="inlineStr">
        <is>
          <t>HÄRNÖSAND</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69274-2021</t>
        </is>
      </c>
      <c r="B3021" s="1" t="n">
        <v>44530</v>
      </c>
      <c r="C3021" s="1" t="n">
        <v>46185</v>
      </c>
      <c r="D3021" t="inlineStr">
        <is>
          <t>VÄSTERNORRLANDS LÄN</t>
        </is>
      </c>
      <c r="E3021" t="inlineStr">
        <is>
          <t>TIMRÅ</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69278-2021</t>
        </is>
      </c>
      <c r="B3022" s="1" t="n">
        <v>44531.44428240741</v>
      </c>
      <c r="C3022" s="1" t="n">
        <v>46185</v>
      </c>
      <c r="D3022" t="inlineStr">
        <is>
          <t>VÄSTERNORRLANDS LÄN</t>
        </is>
      </c>
      <c r="E3022" t="inlineStr">
        <is>
          <t>TIMRÅ</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27800-2024</t>
        </is>
      </c>
      <c r="B3023" s="1" t="n">
        <v>45475.5671875</v>
      </c>
      <c r="C3023" s="1" t="n">
        <v>46185</v>
      </c>
      <c r="D3023" t="inlineStr">
        <is>
          <t>VÄSTERNORRLANDS LÄN</t>
        </is>
      </c>
      <c r="E3023" t="inlineStr">
        <is>
          <t>ÖRNSKÖLDSVIK</t>
        </is>
      </c>
      <c r="F3023" t="inlineStr">
        <is>
          <t>Holmen skog AB</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29501-2023</t>
        </is>
      </c>
      <c r="B3024" s="1" t="n">
        <v>45106.59871527777</v>
      </c>
      <c r="C3024" s="1" t="n">
        <v>46185</v>
      </c>
      <c r="D3024" t="inlineStr">
        <is>
          <t>VÄSTERNORRLANDS LÄN</t>
        </is>
      </c>
      <c r="E3024" t="inlineStr">
        <is>
          <t>ÖRNSKÖLDSVIK</t>
        </is>
      </c>
      <c r="F3024" t="inlineStr">
        <is>
          <t>Holmen skog AB</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27401-2025</t>
        </is>
      </c>
      <c r="B3025" s="1" t="n">
        <v>45812.71431712963</v>
      </c>
      <c r="C3025" s="1" t="n">
        <v>46185</v>
      </c>
      <c r="D3025" t="inlineStr">
        <is>
          <t>VÄSTERNORRLANDS LÄN</t>
        </is>
      </c>
      <c r="E3025" t="inlineStr">
        <is>
          <t>ÖRNSKÖLDSVIK</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896-2026</t>
        </is>
      </c>
      <c r="B3026" s="1" t="n">
        <v>46030.46054398148</v>
      </c>
      <c r="C3026" s="1" t="n">
        <v>46185</v>
      </c>
      <c r="D3026" t="inlineStr">
        <is>
          <t>VÄSTERNORRLANDS LÄN</t>
        </is>
      </c>
      <c r="E3026" t="inlineStr">
        <is>
          <t>SOLLEFTEÅ</t>
        </is>
      </c>
      <c r="G3026" t="n">
        <v>7.2</v>
      </c>
      <c r="H3026" t="n">
        <v>0</v>
      </c>
      <c r="I3026" t="n">
        <v>0</v>
      </c>
      <c r="J3026" t="n">
        <v>0</v>
      </c>
      <c r="K3026" t="n">
        <v>0</v>
      </c>
      <c r="L3026" t="n">
        <v>0</v>
      </c>
      <c r="M3026" t="n">
        <v>0</v>
      </c>
      <c r="N3026" t="n">
        <v>0</v>
      </c>
      <c r="O3026" t="n">
        <v>0</v>
      </c>
      <c r="P3026" t="n">
        <v>0</v>
      </c>
      <c r="Q3026" t="n">
        <v>0</v>
      </c>
      <c r="R3026" s="2" t="inlineStr"/>
    </row>
    <row r="3027" ht="15" customHeight="1">
      <c r="A3027" t="inlineStr">
        <is>
          <t>A 627-2026</t>
        </is>
      </c>
      <c r="B3027" s="1" t="n">
        <v>46029.55262731481</v>
      </c>
      <c r="C3027" s="1" t="n">
        <v>46185</v>
      </c>
      <c r="D3027" t="inlineStr">
        <is>
          <t>VÄSTERNORRLANDS LÄN</t>
        </is>
      </c>
      <c r="E3027" t="inlineStr">
        <is>
          <t>ÅNGE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35818-2023</t>
        </is>
      </c>
      <c r="B3028" s="1" t="n">
        <v>45147</v>
      </c>
      <c r="C3028" s="1" t="n">
        <v>46185</v>
      </c>
      <c r="D3028" t="inlineStr">
        <is>
          <t>VÄSTERNORRLANDS LÄN</t>
        </is>
      </c>
      <c r="E3028" t="inlineStr">
        <is>
          <t>SUNDSVALL</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27010-2024</t>
        </is>
      </c>
      <c r="B3029" s="1" t="n">
        <v>45471.40217592593</v>
      </c>
      <c r="C3029" s="1" t="n">
        <v>46185</v>
      </c>
      <c r="D3029" t="inlineStr">
        <is>
          <t>VÄSTERNORRLANDS LÄN</t>
        </is>
      </c>
      <c r="E3029" t="inlineStr">
        <is>
          <t>ÖRNSKÖLDSVIK</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42987-2024</t>
        </is>
      </c>
      <c r="B3030" s="1" t="n">
        <v>45567</v>
      </c>
      <c r="C3030" s="1" t="n">
        <v>46185</v>
      </c>
      <c r="D3030" t="inlineStr">
        <is>
          <t>VÄSTERNORRLANDS LÄN</t>
        </is>
      </c>
      <c r="E3030" t="inlineStr">
        <is>
          <t>SOLLEFTEÅ</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27065-2025</t>
        </is>
      </c>
      <c r="B3031" s="1" t="n">
        <v>45811.63635416667</v>
      </c>
      <c r="C3031" s="1" t="n">
        <v>46185</v>
      </c>
      <c r="D3031" t="inlineStr">
        <is>
          <t>VÄSTERNORRLANDS LÄN</t>
        </is>
      </c>
      <c r="E3031" t="inlineStr">
        <is>
          <t>SUNDSVALL</t>
        </is>
      </c>
      <c r="F3031" t="inlineStr">
        <is>
          <t>Naturvårdsverket</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19548-2024</t>
        </is>
      </c>
      <c r="B3032" s="1" t="n">
        <v>45429.6805787037</v>
      </c>
      <c r="C3032" s="1" t="n">
        <v>46185</v>
      </c>
      <c r="D3032" t="inlineStr">
        <is>
          <t>VÄSTERNORRLANDS LÄN</t>
        </is>
      </c>
      <c r="E3032" t="inlineStr">
        <is>
          <t>ÖRNSKÖLDSVIK</t>
        </is>
      </c>
      <c r="F3032" t="inlineStr">
        <is>
          <t>Holmen skog AB</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38219-2025</t>
        </is>
      </c>
      <c r="B3033" s="1" t="n">
        <v>45883.33505787037</v>
      </c>
      <c r="C3033" s="1" t="n">
        <v>46185</v>
      </c>
      <c r="D3033" t="inlineStr">
        <is>
          <t>VÄSTERNORRLANDS LÄN</t>
        </is>
      </c>
      <c r="E3033" t="inlineStr">
        <is>
          <t>KRAMFORS</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7157-2025</t>
        </is>
      </c>
      <c r="B3034" s="1" t="n">
        <v>45702.38637731481</v>
      </c>
      <c r="C3034" s="1" t="n">
        <v>46185</v>
      </c>
      <c r="D3034" t="inlineStr">
        <is>
          <t>VÄSTERNORRLANDS LÄN</t>
        </is>
      </c>
      <c r="E3034" t="inlineStr">
        <is>
          <t>SOLLEFTEÅ</t>
        </is>
      </c>
      <c r="G3034" t="n">
        <v>12.5</v>
      </c>
      <c r="H3034" t="n">
        <v>0</v>
      </c>
      <c r="I3034" t="n">
        <v>0</v>
      </c>
      <c r="J3034" t="n">
        <v>0</v>
      </c>
      <c r="K3034" t="n">
        <v>0</v>
      </c>
      <c r="L3034" t="n">
        <v>0</v>
      </c>
      <c r="M3034" t="n">
        <v>0</v>
      </c>
      <c r="N3034" t="n">
        <v>0</v>
      </c>
      <c r="O3034" t="n">
        <v>0</v>
      </c>
      <c r="P3034" t="n">
        <v>0</v>
      </c>
      <c r="Q3034" t="n">
        <v>0</v>
      </c>
      <c r="R3034" s="2" t="inlineStr"/>
    </row>
    <row r="3035" ht="15" customHeight="1">
      <c r="A3035" t="inlineStr">
        <is>
          <t>A 59474-2024</t>
        </is>
      </c>
      <c r="B3035" s="1" t="n">
        <v>45638.504375</v>
      </c>
      <c r="C3035" s="1" t="n">
        <v>46185</v>
      </c>
      <c r="D3035" t="inlineStr">
        <is>
          <t>VÄSTERNORRLANDS LÄN</t>
        </is>
      </c>
      <c r="E3035" t="inlineStr">
        <is>
          <t>SOLLEFTEÅ</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1066-2026</t>
        </is>
      </c>
      <c r="B3036" s="1" t="n">
        <v>46030.64322916666</v>
      </c>
      <c r="C3036" s="1" t="n">
        <v>46185</v>
      </c>
      <c r="D3036" t="inlineStr">
        <is>
          <t>VÄSTERNORRLANDS LÄN</t>
        </is>
      </c>
      <c r="E3036" t="inlineStr">
        <is>
          <t>SOLLEFTEÅ</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1136-2026</t>
        </is>
      </c>
      <c r="B3037" s="1" t="n">
        <v>46030</v>
      </c>
      <c r="C3037" s="1" t="n">
        <v>46185</v>
      </c>
      <c r="D3037" t="inlineStr">
        <is>
          <t>VÄSTERNORRLANDS LÄN</t>
        </is>
      </c>
      <c r="E3037" t="inlineStr">
        <is>
          <t>KRAMFORS</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1046-2026</t>
        </is>
      </c>
      <c r="B3038" s="1" t="n">
        <v>46030.62643518519</v>
      </c>
      <c r="C3038" s="1" t="n">
        <v>46185</v>
      </c>
      <c r="D3038" t="inlineStr">
        <is>
          <t>VÄSTERNORRLANDS LÄN</t>
        </is>
      </c>
      <c r="E3038" t="inlineStr">
        <is>
          <t>HÄRNÖSAND</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27099-2025</t>
        </is>
      </c>
      <c r="B3039" s="1" t="n">
        <v>45811.67792824074</v>
      </c>
      <c r="C3039" s="1" t="n">
        <v>46185</v>
      </c>
      <c r="D3039" t="inlineStr">
        <is>
          <t>VÄSTERNORRLANDS LÄN</t>
        </is>
      </c>
      <c r="E3039" t="inlineStr">
        <is>
          <t>SUNDSVALL</t>
        </is>
      </c>
      <c r="F3039" t="inlineStr">
        <is>
          <t>Naturvårdsverket</t>
        </is>
      </c>
      <c r="G3039" t="n">
        <v>9.6</v>
      </c>
      <c r="H3039" t="n">
        <v>0</v>
      </c>
      <c r="I3039" t="n">
        <v>0</v>
      </c>
      <c r="J3039" t="n">
        <v>0</v>
      </c>
      <c r="K3039" t="n">
        <v>0</v>
      </c>
      <c r="L3039" t="n">
        <v>0</v>
      </c>
      <c r="M3039" t="n">
        <v>0</v>
      </c>
      <c r="N3039" t="n">
        <v>0</v>
      </c>
      <c r="O3039" t="n">
        <v>0</v>
      </c>
      <c r="P3039" t="n">
        <v>0</v>
      </c>
      <c r="Q3039" t="n">
        <v>0</v>
      </c>
      <c r="R3039" s="2" t="inlineStr"/>
    </row>
    <row r="3040" ht="15" customHeight="1">
      <c r="A3040" t="inlineStr">
        <is>
          <t>A 27368-2025</t>
        </is>
      </c>
      <c r="B3040" s="1" t="n">
        <v>45812.64645833334</v>
      </c>
      <c r="C3040" s="1" t="n">
        <v>46185</v>
      </c>
      <c r="D3040" t="inlineStr">
        <is>
          <t>VÄSTERNORRLANDS LÄN</t>
        </is>
      </c>
      <c r="E3040" t="inlineStr">
        <is>
          <t>ÖRNSKÖLDSVIK</t>
        </is>
      </c>
      <c r="F3040" t="inlineStr">
        <is>
          <t>Holmen skog AB</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18470-2025</t>
        </is>
      </c>
      <c r="B3041" s="1" t="n">
        <v>45762.74412037037</v>
      </c>
      <c r="C3041" s="1" t="n">
        <v>46185</v>
      </c>
      <c r="D3041" t="inlineStr">
        <is>
          <t>VÄSTERNORRLANDS LÄN</t>
        </is>
      </c>
      <c r="E3041" t="inlineStr">
        <is>
          <t>ÖRNSKÖLDSVIK</t>
        </is>
      </c>
      <c r="F3041" t="inlineStr">
        <is>
          <t>Holmen skog AB</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27660-2025</t>
        </is>
      </c>
      <c r="B3042" s="1" t="n">
        <v>45813.61490740741</v>
      </c>
      <c r="C3042" s="1" t="n">
        <v>46185</v>
      </c>
      <c r="D3042" t="inlineStr">
        <is>
          <t>VÄSTERNORRLANDS LÄN</t>
        </is>
      </c>
      <c r="E3042" t="inlineStr">
        <is>
          <t>SOLLEFTEÅ</t>
        </is>
      </c>
      <c r="F3042" t="inlineStr">
        <is>
          <t>SCA</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29003-2025</t>
        </is>
      </c>
      <c r="B3043" s="1" t="n">
        <v>45821.39233796296</v>
      </c>
      <c r="C3043" s="1" t="n">
        <v>46185</v>
      </c>
      <c r="D3043" t="inlineStr">
        <is>
          <t>VÄSTERNORRLANDS LÄN</t>
        </is>
      </c>
      <c r="E3043" t="inlineStr">
        <is>
          <t>TIMRÅ</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27539-2025</t>
        </is>
      </c>
      <c r="B3044" s="1" t="n">
        <v>45813.46053240741</v>
      </c>
      <c r="C3044" s="1" t="n">
        <v>46185</v>
      </c>
      <c r="D3044" t="inlineStr">
        <is>
          <t>VÄSTERNORRLANDS LÄN</t>
        </is>
      </c>
      <c r="E3044" t="inlineStr">
        <is>
          <t>ÖRNSKÖLDSVIK</t>
        </is>
      </c>
      <c r="F3044" t="inlineStr">
        <is>
          <t>Holmen skog AB</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18621-2024</t>
        </is>
      </c>
      <c r="B3045" s="1" t="n">
        <v>45425</v>
      </c>
      <c r="C3045" s="1" t="n">
        <v>46185</v>
      </c>
      <c r="D3045" t="inlineStr">
        <is>
          <t>VÄSTERNORRLANDS LÄN</t>
        </is>
      </c>
      <c r="E3045" t="inlineStr">
        <is>
          <t>SOLLEFTEÅ</t>
        </is>
      </c>
      <c r="F3045" t="inlineStr">
        <is>
          <t>SCA</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18622-2024</t>
        </is>
      </c>
      <c r="B3046" s="1" t="n">
        <v>45425.96364583333</v>
      </c>
      <c r="C3046" s="1" t="n">
        <v>46185</v>
      </c>
      <c r="D3046" t="inlineStr">
        <is>
          <t>VÄSTERNORRLANDS LÄN</t>
        </is>
      </c>
      <c r="E3046" t="inlineStr">
        <is>
          <t>SOLLEFTEÅ</t>
        </is>
      </c>
      <c r="F3046" t="inlineStr">
        <is>
          <t>SCA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18633-2024</t>
        </is>
      </c>
      <c r="B3047" s="1" t="n">
        <v>45425.96517361111</v>
      </c>
      <c r="C3047" s="1" t="n">
        <v>46185</v>
      </c>
      <c r="D3047" t="inlineStr">
        <is>
          <t>VÄSTERNORRLANDS LÄN</t>
        </is>
      </c>
      <c r="E3047" t="inlineStr">
        <is>
          <t>KRAMFORS</t>
        </is>
      </c>
      <c r="F3047" t="inlineStr">
        <is>
          <t>SCA</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39194-2025</t>
        </is>
      </c>
      <c r="B3048" s="1" t="n">
        <v>45888.67773148148</v>
      </c>
      <c r="C3048" s="1" t="n">
        <v>46185</v>
      </c>
      <c r="D3048" t="inlineStr">
        <is>
          <t>VÄSTERNORRLANDS LÄN</t>
        </is>
      </c>
      <c r="E3048" t="inlineStr">
        <is>
          <t>TIMRÅ</t>
        </is>
      </c>
      <c r="F3048" t="inlineStr">
        <is>
          <t>SCA</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38958-2025</t>
        </is>
      </c>
      <c r="B3049" s="1" t="n">
        <v>45887.67751157407</v>
      </c>
      <c r="C3049" s="1" t="n">
        <v>46185</v>
      </c>
      <c r="D3049" t="inlineStr">
        <is>
          <t>VÄSTERNORRLANDS LÄN</t>
        </is>
      </c>
      <c r="E3049" t="inlineStr">
        <is>
          <t>SOLLEFTEÅ</t>
        </is>
      </c>
      <c r="F3049" t="inlineStr">
        <is>
          <t>SCA</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27606-2025</t>
        </is>
      </c>
      <c r="B3050" s="1" t="n">
        <v>45813.53200231482</v>
      </c>
      <c r="C3050" s="1" t="n">
        <v>46185</v>
      </c>
      <c r="D3050" t="inlineStr">
        <is>
          <t>VÄSTERNORRLANDS LÄN</t>
        </is>
      </c>
      <c r="E3050" t="inlineStr">
        <is>
          <t>ÅNGE</t>
        </is>
      </c>
      <c r="F3050" t="inlineStr">
        <is>
          <t>SCA</t>
        </is>
      </c>
      <c r="G3050" t="n">
        <v>6.3</v>
      </c>
      <c r="H3050" t="n">
        <v>0</v>
      </c>
      <c r="I3050" t="n">
        <v>0</v>
      </c>
      <c r="J3050" t="n">
        <v>0</v>
      </c>
      <c r="K3050" t="n">
        <v>0</v>
      </c>
      <c r="L3050" t="n">
        <v>0</v>
      </c>
      <c r="M3050" t="n">
        <v>0</v>
      </c>
      <c r="N3050" t="n">
        <v>0</v>
      </c>
      <c r="O3050" t="n">
        <v>0</v>
      </c>
      <c r="P3050" t="n">
        <v>0</v>
      </c>
      <c r="Q3050" t="n">
        <v>0</v>
      </c>
      <c r="R3050" s="2" t="inlineStr"/>
    </row>
    <row r="3051" ht="15" customHeight="1">
      <c r="A3051" t="inlineStr">
        <is>
          <t>A 39195-2025</t>
        </is>
      </c>
      <c r="B3051" s="1" t="n">
        <v>45888</v>
      </c>
      <c r="C3051" s="1" t="n">
        <v>46185</v>
      </c>
      <c r="D3051" t="inlineStr">
        <is>
          <t>VÄSTERNORRLANDS LÄN</t>
        </is>
      </c>
      <c r="E3051" t="inlineStr">
        <is>
          <t>SOLLEFTEÅ</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39078-2025</t>
        </is>
      </c>
      <c r="B3052" s="1" t="n">
        <v>45888.47908564815</v>
      </c>
      <c r="C3052" s="1" t="n">
        <v>46185</v>
      </c>
      <c r="D3052" t="inlineStr">
        <is>
          <t>VÄSTERNORRLANDS LÄN</t>
        </is>
      </c>
      <c r="E3052" t="inlineStr">
        <is>
          <t>ÖRNSKÖLDSVIK</t>
        </is>
      </c>
      <c r="F3052" t="inlineStr">
        <is>
          <t>Holmen skog AB</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37947-2023</t>
        </is>
      </c>
      <c r="B3053" s="1" t="n">
        <v>45160.55457175926</v>
      </c>
      <c r="C3053" s="1" t="n">
        <v>46185</v>
      </c>
      <c r="D3053" t="inlineStr">
        <is>
          <t>VÄSTERNORRLANDS LÄN</t>
        </is>
      </c>
      <c r="E3053" t="inlineStr">
        <is>
          <t>ÖRNSKÖLDSVIK</t>
        </is>
      </c>
      <c r="F3053" t="inlineStr">
        <is>
          <t>Holmen skog AB</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33134-2024</t>
        </is>
      </c>
      <c r="B3054" s="1" t="n">
        <v>45518</v>
      </c>
      <c r="C3054" s="1" t="n">
        <v>46185</v>
      </c>
      <c r="D3054" t="inlineStr">
        <is>
          <t>VÄSTERNORRLANDS LÄN</t>
        </is>
      </c>
      <c r="E3054" t="inlineStr">
        <is>
          <t>SOLLEFTEÅ</t>
        </is>
      </c>
      <c r="F3054" t="inlineStr">
        <is>
          <t>Holmen skog AB</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33141-2024</t>
        </is>
      </c>
      <c r="B3055" s="1" t="n">
        <v>45518</v>
      </c>
      <c r="C3055" s="1" t="n">
        <v>46185</v>
      </c>
      <c r="D3055" t="inlineStr">
        <is>
          <t>VÄSTERNORRLANDS LÄN</t>
        </is>
      </c>
      <c r="E3055" t="inlineStr">
        <is>
          <t>SOLLEFTEÅ</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33187-2024</t>
        </is>
      </c>
      <c r="B3056" s="1" t="n">
        <v>45518</v>
      </c>
      <c r="C3056" s="1" t="n">
        <v>46185</v>
      </c>
      <c r="D3056" t="inlineStr">
        <is>
          <t>VÄSTERNORRLANDS LÄN</t>
        </is>
      </c>
      <c r="E3056" t="inlineStr">
        <is>
          <t>ÖRNSKÖLDSVIK</t>
        </is>
      </c>
      <c r="F3056" t="inlineStr">
        <is>
          <t>Holmen skog AB</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27427-2025</t>
        </is>
      </c>
      <c r="B3057" s="1" t="n">
        <v>45813.28706018518</v>
      </c>
      <c r="C3057" s="1" t="n">
        <v>46185</v>
      </c>
      <c r="D3057" t="inlineStr">
        <is>
          <t>VÄSTERNORRLANDS LÄN</t>
        </is>
      </c>
      <c r="E3057" t="inlineStr">
        <is>
          <t>SOLLEFTEÅ</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8115-2024</t>
        </is>
      </c>
      <c r="B3058" s="1" t="n">
        <v>45351</v>
      </c>
      <c r="C3058" s="1" t="n">
        <v>46185</v>
      </c>
      <c r="D3058" t="inlineStr">
        <is>
          <t>VÄSTERNORRLANDS LÄN</t>
        </is>
      </c>
      <c r="E3058" t="inlineStr">
        <is>
          <t>ÖRNSKÖLDSVIK</t>
        </is>
      </c>
      <c r="F3058" t="inlineStr">
        <is>
          <t>Holmen skog AB</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62243-2021</t>
        </is>
      </c>
      <c r="B3059" s="1" t="n">
        <v>44503.32346064815</v>
      </c>
      <c r="C3059" s="1" t="n">
        <v>46185</v>
      </c>
      <c r="D3059" t="inlineStr">
        <is>
          <t>VÄSTERNORRLANDS LÄN</t>
        </is>
      </c>
      <c r="E3059" t="inlineStr">
        <is>
          <t>KRAMFORS</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39070-2025</t>
        </is>
      </c>
      <c r="B3060" s="1" t="n">
        <v>45888.4690162037</v>
      </c>
      <c r="C3060" s="1" t="n">
        <v>46185</v>
      </c>
      <c r="D3060" t="inlineStr">
        <is>
          <t>VÄSTERNORRLANDS LÄN</t>
        </is>
      </c>
      <c r="E3060" t="inlineStr">
        <is>
          <t>HÄRNÖSAND</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23025-2024</t>
        </is>
      </c>
      <c r="B3061" s="1" t="n">
        <v>45450.36578703704</v>
      </c>
      <c r="C3061" s="1" t="n">
        <v>46185</v>
      </c>
      <c r="D3061" t="inlineStr">
        <is>
          <t>VÄSTERNORRLANDS LÄN</t>
        </is>
      </c>
      <c r="E3061" t="inlineStr">
        <is>
          <t>SOLLEFTEÅ</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600-2025</t>
        </is>
      </c>
      <c r="B3062" s="1" t="n">
        <v>45664.59428240741</v>
      </c>
      <c r="C3062" s="1" t="n">
        <v>46185</v>
      </c>
      <c r="D3062" t="inlineStr">
        <is>
          <t>VÄSTERNORRLANDS LÄN</t>
        </is>
      </c>
      <c r="E3062" t="inlineStr">
        <is>
          <t>SOLLEFTEÅ</t>
        </is>
      </c>
      <c r="F3062" t="inlineStr">
        <is>
          <t>SCA</t>
        </is>
      </c>
      <c r="G3062" t="n">
        <v>9.699999999999999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43177-2023</t>
        </is>
      </c>
      <c r="B3063" s="1" t="n">
        <v>45181</v>
      </c>
      <c r="C3063" s="1" t="n">
        <v>46185</v>
      </c>
      <c r="D3063" t="inlineStr">
        <is>
          <t>VÄSTERNORRLANDS LÄN</t>
        </is>
      </c>
      <c r="E3063" t="inlineStr">
        <is>
          <t>SOLLEFTEÅ</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27550-2025</t>
        </is>
      </c>
      <c r="B3064" s="1" t="n">
        <v>45813.47006944445</v>
      </c>
      <c r="C3064" s="1" t="n">
        <v>46185</v>
      </c>
      <c r="D3064" t="inlineStr">
        <is>
          <t>VÄSTERNORRLANDS LÄN</t>
        </is>
      </c>
      <c r="E3064" t="inlineStr">
        <is>
          <t>KRAMFORS</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27694-2025</t>
        </is>
      </c>
      <c r="B3065" s="1" t="n">
        <v>45813</v>
      </c>
      <c r="C3065" s="1" t="n">
        <v>46185</v>
      </c>
      <c r="D3065" t="inlineStr">
        <is>
          <t>VÄSTERNORRLANDS LÄN</t>
        </is>
      </c>
      <c r="E3065" t="inlineStr">
        <is>
          <t>HÄRNÖSAND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658-2026</t>
        </is>
      </c>
      <c r="B3066" s="1" t="n">
        <v>46029.58168981481</v>
      </c>
      <c r="C3066" s="1" t="n">
        <v>46185</v>
      </c>
      <c r="D3066" t="inlineStr">
        <is>
          <t>VÄSTERNORRLANDS LÄN</t>
        </is>
      </c>
      <c r="E3066" t="inlineStr">
        <is>
          <t>SOLLEFTEÅ</t>
        </is>
      </c>
      <c r="G3066" t="n">
        <v>9</v>
      </c>
      <c r="H3066" t="n">
        <v>0</v>
      </c>
      <c r="I3066" t="n">
        <v>0</v>
      </c>
      <c r="J3066" t="n">
        <v>0</v>
      </c>
      <c r="K3066" t="n">
        <v>0</v>
      </c>
      <c r="L3066" t="n">
        <v>0</v>
      </c>
      <c r="M3066" t="n">
        <v>0</v>
      </c>
      <c r="N3066" t="n">
        <v>0</v>
      </c>
      <c r="O3066" t="n">
        <v>0</v>
      </c>
      <c r="P3066" t="n">
        <v>0</v>
      </c>
      <c r="Q3066" t="n">
        <v>0</v>
      </c>
      <c r="R3066" s="2" t="inlineStr"/>
    </row>
    <row r="3067" ht="15" customHeight="1">
      <c r="A3067" t="inlineStr">
        <is>
          <t>A 23690-2025</t>
        </is>
      </c>
      <c r="B3067" s="1" t="n">
        <v>45793.34466435185</v>
      </c>
      <c r="C3067" s="1" t="n">
        <v>46185</v>
      </c>
      <c r="D3067" t="inlineStr">
        <is>
          <t>VÄSTERNORRLANDS LÄN</t>
        </is>
      </c>
      <c r="E3067" t="inlineStr">
        <is>
          <t>SUNDSVALL</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42492-2024</t>
        </is>
      </c>
      <c r="B3068" s="1" t="n">
        <v>45565</v>
      </c>
      <c r="C3068" s="1" t="n">
        <v>46185</v>
      </c>
      <c r="D3068" t="inlineStr">
        <is>
          <t>VÄSTERNORRLANDS LÄN</t>
        </is>
      </c>
      <c r="E3068" t="inlineStr">
        <is>
          <t>ÖRNSKÖLDSVIK</t>
        </is>
      </c>
      <c r="F3068" t="inlineStr">
        <is>
          <t>Holmen skog AB</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23346-2024</t>
        </is>
      </c>
      <c r="B3069" s="1" t="n">
        <v>45453.51660879629</v>
      </c>
      <c r="C3069" s="1" t="n">
        <v>46185</v>
      </c>
      <c r="D3069" t="inlineStr">
        <is>
          <t>VÄSTERNORRLANDS LÄN</t>
        </is>
      </c>
      <c r="E3069" t="inlineStr">
        <is>
          <t>ÖRNSKÖLDSVIK</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60651-2022</t>
        </is>
      </c>
      <c r="B3070" s="1" t="n">
        <v>44911</v>
      </c>
      <c r="C3070" s="1" t="n">
        <v>46185</v>
      </c>
      <c r="D3070" t="inlineStr">
        <is>
          <t>VÄSTERNORRLANDS LÄN</t>
        </is>
      </c>
      <c r="E3070" t="inlineStr">
        <is>
          <t>SUNDSVALL</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38985-2025</t>
        </is>
      </c>
      <c r="B3071" s="1" t="n">
        <v>45888.30136574074</v>
      </c>
      <c r="C3071" s="1" t="n">
        <v>46185</v>
      </c>
      <c r="D3071" t="inlineStr">
        <is>
          <t>VÄSTERNORRLANDS LÄN</t>
        </is>
      </c>
      <c r="E3071" t="inlineStr">
        <is>
          <t>ÖRNSKÖLDSVIK</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38959-2025</t>
        </is>
      </c>
      <c r="B3072" s="1" t="n">
        <v>45887.67769675926</v>
      </c>
      <c r="C3072" s="1" t="n">
        <v>46185</v>
      </c>
      <c r="D3072" t="inlineStr">
        <is>
          <t>VÄSTERNORRLANDS LÄN</t>
        </is>
      </c>
      <c r="E3072" t="inlineStr">
        <is>
          <t>SOLLEFTEÅ</t>
        </is>
      </c>
      <c r="F3072" t="inlineStr">
        <is>
          <t>SCA</t>
        </is>
      </c>
      <c r="G3072" t="n">
        <v>8.699999999999999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27551-2025</t>
        </is>
      </c>
      <c r="B3073" s="1" t="n">
        <v>45813.47011574074</v>
      </c>
      <c r="C3073" s="1" t="n">
        <v>46185</v>
      </c>
      <c r="D3073" t="inlineStr">
        <is>
          <t>VÄSTERNORRLANDS LÄN</t>
        </is>
      </c>
      <c r="E3073" t="inlineStr">
        <is>
          <t>KRAMFORS</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55568-2024</t>
        </is>
      </c>
      <c r="B3074" s="1" t="n">
        <v>45622.54879629629</v>
      </c>
      <c r="C3074" s="1" t="n">
        <v>46185</v>
      </c>
      <c r="D3074" t="inlineStr">
        <is>
          <t>VÄSTERNORRLANDS LÄN</t>
        </is>
      </c>
      <c r="E3074" t="inlineStr">
        <is>
          <t>SUNDSVALL</t>
        </is>
      </c>
      <c r="F3074" t="inlineStr">
        <is>
          <t>Holmen skog AB</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27693-2025</t>
        </is>
      </c>
      <c r="B3075" s="1" t="n">
        <v>45813.65706018519</v>
      </c>
      <c r="C3075" s="1" t="n">
        <v>46185</v>
      </c>
      <c r="D3075" t="inlineStr">
        <is>
          <t>VÄSTERNORRLANDS LÄN</t>
        </is>
      </c>
      <c r="E3075" t="inlineStr">
        <is>
          <t>KRAMFORS</t>
        </is>
      </c>
      <c r="F3075" t="inlineStr">
        <is>
          <t>SCA</t>
        </is>
      </c>
      <c r="G3075" t="n">
        <v>11.2</v>
      </c>
      <c r="H3075" t="n">
        <v>0</v>
      </c>
      <c r="I3075" t="n">
        <v>0</v>
      </c>
      <c r="J3075" t="n">
        <v>0</v>
      </c>
      <c r="K3075" t="n">
        <v>0</v>
      </c>
      <c r="L3075" t="n">
        <v>0</v>
      </c>
      <c r="M3075" t="n">
        <v>0</v>
      </c>
      <c r="N3075" t="n">
        <v>0</v>
      </c>
      <c r="O3075" t="n">
        <v>0</v>
      </c>
      <c r="P3075" t="n">
        <v>0</v>
      </c>
      <c r="Q3075" t="n">
        <v>0</v>
      </c>
      <c r="R3075" s="2" t="inlineStr"/>
    </row>
    <row r="3076" ht="15" customHeight="1">
      <c r="A3076" t="inlineStr">
        <is>
          <t>A 36004-2024</t>
        </is>
      </c>
      <c r="B3076" s="1" t="n">
        <v>45533.54848379629</v>
      </c>
      <c r="C3076" s="1" t="n">
        <v>46185</v>
      </c>
      <c r="D3076" t="inlineStr">
        <is>
          <t>VÄSTERNORRLANDS LÄN</t>
        </is>
      </c>
      <c r="E3076" t="inlineStr">
        <is>
          <t>SOLLEFTEÅ</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39916-2024</t>
        </is>
      </c>
      <c r="B3077" s="1" t="n">
        <v>45553</v>
      </c>
      <c r="C3077" s="1" t="n">
        <v>46185</v>
      </c>
      <c r="D3077" t="inlineStr">
        <is>
          <t>VÄSTERNORRLANDS LÄN</t>
        </is>
      </c>
      <c r="E3077" t="inlineStr">
        <is>
          <t>SUNDSVALL</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4810-2025</t>
        </is>
      </c>
      <c r="B3078" s="1" t="n">
        <v>45688</v>
      </c>
      <c r="C3078" s="1" t="n">
        <v>46185</v>
      </c>
      <c r="D3078" t="inlineStr">
        <is>
          <t>VÄSTERNORRLANDS LÄN</t>
        </is>
      </c>
      <c r="E3078" t="inlineStr">
        <is>
          <t>SUNDSVALL</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39050-2025</t>
        </is>
      </c>
      <c r="B3079" s="1" t="n">
        <v>45888.44716435186</v>
      </c>
      <c r="C3079" s="1" t="n">
        <v>46185</v>
      </c>
      <c r="D3079" t="inlineStr">
        <is>
          <t>VÄSTERNORRLANDS LÄN</t>
        </is>
      </c>
      <c r="E3079" t="inlineStr">
        <is>
          <t>ÖRNSKÖLDSVIK</t>
        </is>
      </c>
      <c r="F3079" t="inlineStr">
        <is>
          <t>Holmen skog AB</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279-2023</t>
        </is>
      </c>
      <c r="B3080" s="1" t="n">
        <v>44928</v>
      </c>
      <c r="C3080" s="1" t="n">
        <v>46185</v>
      </c>
      <c r="D3080" t="inlineStr">
        <is>
          <t>VÄSTERNORRLANDS LÄN</t>
        </is>
      </c>
      <c r="E3080" t="inlineStr">
        <is>
          <t>SOLLEFTEÅ</t>
        </is>
      </c>
      <c r="G3080" t="n">
        <v>9.800000000000001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38982-2025</t>
        </is>
      </c>
      <c r="B3081" s="1" t="n">
        <v>45888.29449074074</v>
      </c>
      <c r="C3081" s="1" t="n">
        <v>46185</v>
      </c>
      <c r="D3081" t="inlineStr">
        <is>
          <t>VÄSTERNORRLANDS LÄN</t>
        </is>
      </c>
      <c r="E3081" t="inlineStr">
        <is>
          <t>ÖRNSKÖLDSVIK</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38983-2025</t>
        </is>
      </c>
      <c r="B3082" s="1" t="n">
        <v>45888.29809027778</v>
      </c>
      <c r="C3082" s="1" t="n">
        <v>46185</v>
      </c>
      <c r="D3082" t="inlineStr">
        <is>
          <t>VÄSTERNORRLANDS LÄN</t>
        </is>
      </c>
      <c r="E3082" t="inlineStr">
        <is>
          <t>ÖRNSKÖLDSVIK</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38989-2025</t>
        </is>
      </c>
      <c r="B3083" s="1" t="n">
        <v>45888.32267361111</v>
      </c>
      <c r="C3083" s="1" t="n">
        <v>46185</v>
      </c>
      <c r="D3083" t="inlineStr">
        <is>
          <t>VÄSTERNORRLANDS LÄN</t>
        </is>
      </c>
      <c r="E3083" t="inlineStr">
        <is>
          <t>KRAMFORS</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287-2023</t>
        </is>
      </c>
      <c r="B3084" s="1" t="n">
        <v>44928</v>
      </c>
      <c r="C3084" s="1" t="n">
        <v>46185</v>
      </c>
      <c r="D3084" t="inlineStr">
        <is>
          <t>VÄSTERNORRLANDS LÄN</t>
        </is>
      </c>
      <c r="E3084" t="inlineStr">
        <is>
          <t>ÖRNSKÖLDSVIK</t>
        </is>
      </c>
      <c r="F3084" t="inlineStr">
        <is>
          <t>SCA</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12617-2025</t>
        </is>
      </c>
      <c r="B3085" s="1" t="n">
        <v>45733.34895833334</v>
      </c>
      <c r="C3085" s="1" t="n">
        <v>46185</v>
      </c>
      <c r="D3085" t="inlineStr">
        <is>
          <t>VÄSTERNORRLANDS LÄN</t>
        </is>
      </c>
      <c r="E3085" t="inlineStr">
        <is>
          <t>SOLLEFTEÅ</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7416-2025</t>
        </is>
      </c>
      <c r="B3086" s="1" t="n">
        <v>45705</v>
      </c>
      <c r="C3086" s="1" t="n">
        <v>46185</v>
      </c>
      <c r="D3086" t="inlineStr">
        <is>
          <t>VÄSTERNORRLANDS LÄN</t>
        </is>
      </c>
      <c r="E3086" t="inlineStr">
        <is>
          <t>SUNDSVALL</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38726-2025</t>
        </is>
      </c>
      <c r="B3087" s="1" t="n">
        <v>45887.31909722222</v>
      </c>
      <c r="C3087" s="1" t="n">
        <v>46185</v>
      </c>
      <c r="D3087" t="inlineStr">
        <is>
          <t>VÄSTERNORRLANDS LÄN</t>
        </is>
      </c>
      <c r="E3087" t="inlineStr">
        <is>
          <t>ÖRNSKÖLDSVIK</t>
        </is>
      </c>
      <c r="G3087" t="n">
        <v>14.4</v>
      </c>
      <c r="H3087" t="n">
        <v>0</v>
      </c>
      <c r="I3087" t="n">
        <v>0</v>
      </c>
      <c r="J3087" t="n">
        <v>0</v>
      </c>
      <c r="K3087" t="n">
        <v>0</v>
      </c>
      <c r="L3087" t="n">
        <v>0</v>
      </c>
      <c r="M3087" t="n">
        <v>0</v>
      </c>
      <c r="N3087" t="n">
        <v>0</v>
      </c>
      <c r="O3087" t="n">
        <v>0</v>
      </c>
      <c r="P3087" t="n">
        <v>0</v>
      </c>
      <c r="Q3087" t="n">
        <v>0</v>
      </c>
      <c r="R3087" s="2" t="inlineStr"/>
    </row>
    <row r="3088" ht="15" customHeight="1">
      <c r="A3088" t="inlineStr">
        <is>
          <t>A 38703-2025</t>
        </is>
      </c>
      <c r="B3088" s="1" t="n">
        <v>45885.34440972222</v>
      </c>
      <c r="C3088" s="1" t="n">
        <v>46185</v>
      </c>
      <c r="D3088" t="inlineStr">
        <is>
          <t>VÄSTERNORRLANDS LÄN</t>
        </is>
      </c>
      <c r="E3088" t="inlineStr">
        <is>
          <t>ÅNGE</t>
        </is>
      </c>
      <c r="F3088" t="inlineStr">
        <is>
          <t>SCA</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15429-2025</t>
        </is>
      </c>
      <c r="B3089" s="1" t="n">
        <v>45747.47</v>
      </c>
      <c r="C3089" s="1" t="n">
        <v>46185</v>
      </c>
      <c r="D3089" t="inlineStr">
        <is>
          <t>VÄSTERNORRLANDS LÄN</t>
        </is>
      </c>
      <c r="E3089" t="inlineStr">
        <is>
          <t>SOLLEFTEÅ</t>
        </is>
      </c>
      <c r="F3089" t="inlineStr">
        <is>
          <t>SCA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19124-2025</t>
        </is>
      </c>
      <c r="B3090" s="1" t="n">
        <v>45768.85393518519</v>
      </c>
      <c r="C3090" s="1" t="n">
        <v>46185</v>
      </c>
      <c r="D3090" t="inlineStr">
        <is>
          <t>VÄSTERNORRLANDS LÄN</t>
        </is>
      </c>
      <c r="E3090" t="inlineStr">
        <is>
          <t>KRAMFORS</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38733-2025</t>
        </is>
      </c>
      <c r="B3091" s="1" t="n">
        <v>45887.36501157407</v>
      </c>
      <c r="C3091" s="1" t="n">
        <v>46185</v>
      </c>
      <c r="D3091" t="inlineStr">
        <is>
          <t>VÄSTERNORRLANDS LÄN</t>
        </is>
      </c>
      <c r="E3091" t="inlineStr">
        <is>
          <t>ÖRNSKÖLDSVIK</t>
        </is>
      </c>
      <c r="F3091" t="inlineStr">
        <is>
          <t>SCA</t>
        </is>
      </c>
      <c r="G3091" t="n">
        <v>12.8</v>
      </c>
      <c r="H3091" t="n">
        <v>0</v>
      </c>
      <c r="I3091" t="n">
        <v>0</v>
      </c>
      <c r="J3091" t="n">
        <v>0</v>
      </c>
      <c r="K3091" t="n">
        <v>0</v>
      </c>
      <c r="L3091" t="n">
        <v>0</v>
      </c>
      <c r="M3091" t="n">
        <v>0</v>
      </c>
      <c r="N3091" t="n">
        <v>0</v>
      </c>
      <c r="O3091" t="n">
        <v>0</v>
      </c>
      <c r="P3091" t="n">
        <v>0</v>
      </c>
      <c r="Q3091" t="n">
        <v>0</v>
      </c>
      <c r="R3091" s="2" t="inlineStr"/>
    </row>
    <row r="3092" ht="15" customHeight="1">
      <c r="A3092" t="inlineStr">
        <is>
          <t>A 38932-2025</t>
        </is>
      </c>
      <c r="B3092" s="1" t="n">
        <v>45887.64050925926</v>
      </c>
      <c r="C3092" s="1" t="n">
        <v>46185</v>
      </c>
      <c r="D3092" t="inlineStr">
        <is>
          <t>VÄSTERNORRLANDS LÄN</t>
        </is>
      </c>
      <c r="E3092" t="inlineStr">
        <is>
          <t>ÖRNSKÖLDSVIK</t>
        </is>
      </c>
      <c r="F3092" t="inlineStr">
        <is>
          <t>Holmen skog AB</t>
        </is>
      </c>
      <c r="G3092" t="n">
        <v>6.8</v>
      </c>
      <c r="H3092" t="n">
        <v>0</v>
      </c>
      <c r="I3092" t="n">
        <v>0</v>
      </c>
      <c r="J3092" t="n">
        <v>0</v>
      </c>
      <c r="K3092" t="n">
        <v>0</v>
      </c>
      <c r="L3092" t="n">
        <v>0</v>
      </c>
      <c r="M3092" t="n">
        <v>0</v>
      </c>
      <c r="N3092" t="n">
        <v>0</v>
      </c>
      <c r="O3092" t="n">
        <v>0</v>
      </c>
      <c r="P3092" t="n">
        <v>0</v>
      </c>
      <c r="Q3092" t="n">
        <v>0</v>
      </c>
      <c r="R3092" s="2" t="inlineStr"/>
    </row>
    <row r="3093" ht="15" customHeight="1">
      <c r="A3093" t="inlineStr">
        <is>
          <t>A 38734-2025</t>
        </is>
      </c>
      <c r="B3093" s="1" t="n">
        <v>45887.36519675926</v>
      </c>
      <c r="C3093" s="1" t="n">
        <v>46185</v>
      </c>
      <c r="D3093" t="inlineStr">
        <is>
          <t>VÄSTERNORRLANDS LÄN</t>
        </is>
      </c>
      <c r="E3093" t="inlineStr">
        <is>
          <t>HÄRNÖSAND</t>
        </is>
      </c>
      <c r="F3093" t="inlineStr">
        <is>
          <t>SCA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38798-2025</t>
        </is>
      </c>
      <c r="B3094" s="1" t="n">
        <v>45887.45840277777</v>
      </c>
      <c r="C3094" s="1" t="n">
        <v>46185</v>
      </c>
      <c r="D3094" t="inlineStr">
        <is>
          <t>VÄSTERNORRLANDS LÄN</t>
        </is>
      </c>
      <c r="E3094" t="inlineStr">
        <is>
          <t>ÖRNSKÖLDSVIK</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38821-2025</t>
        </is>
      </c>
      <c r="B3095" s="1" t="n">
        <v>45887.50471064815</v>
      </c>
      <c r="C3095" s="1" t="n">
        <v>46185</v>
      </c>
      <c r="D3095" t="inlineStr">
        <is>
          <t>VÄSTERNORRLANDS LÄN</t>
        </is>
      </c>
      <c r="E3095" t="inlineStr">
        <is>
          <t>ÖRNSKÖLDSVIK</t>
        </is>
      </c>
      <c r="F3095" t="inlineStr">
        <is>
          <t>Holmen skog AB</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38716-2025</t>
        </is>
      </c>
      <c r="B3096" s="1" t="n">
        <v>45886.51091435185</v>
      </c>
      <c r="C3096" s="1" t="n">
        <v>46185</v>
      </c>
      <c r="D3096" t="inlineStr">
        <is>
          <t>VÄSTERNORRLANDS LÄN</t>
        </is>
      </c>
      <c r="E3096" t="inlineStr">
        <is>
          <t>TIMRÅ</t>
        </is>
      </c>
      <c r="F3096" t="inlineStr">
        <is>
          <t>SCA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20716-2025</t>
        </is>
      </c>
      <c r="B3097" s="1" t="n">
        <v>45776.49026620371</v>
      </c>
      <c r="C3097" s="1" t="n">
        <v>46185</v>
      </c>
      <c r="D3097" t="inlineStr">
        <is>
          <t>VÄSTERNORRLANDS LÄN</t>
        </is>
      </c>
      <c r="E3097" t="inlineStr">
        <is>
          <t>ÅNGE</t>
        </is>
      </c>
      <c r="F3097" t="inlineStr">
        <is>
          <t>SCA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476-2026</t>
        </is>
      </c>
      <c r="B3098" s="1" t="n">
        <v>46029.39678240741</v>
      </c>
      <c r="C3098" s="1" t="n">
        <v>46185</v>
      </c>
      <c r="D3098" t="inlineStr">
        <is>
          <t>VÄSTERNORRLANDS LÄN</t>
        </is>
      </c>
      <c r="E3098" t="inlineStr">
        <is>
          <t>SUNDSVALL</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38884-2025</t>
        </is>
      </c>
      <c r="B3099" s="1" t="n">
        <v>45887.58331018518</v>
      </c>
      <c r="C3099" s="1" t="n">
        <v>46185</v>
      </c>
      <c r="D3099" t="inlineStr">
        <is>
          <t>VÄSTERNORRLANDS LÄN</t>
        </is>
      </c>
      <c r="E3099" t="inlineStr">
        <is>
          <t>ÖRNSKÖLDSVIK</t>
        </is>
      </c>
      <c r="F3099" t="inlineStr">
        <is>
          <t>Holmen skog AB</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6239-2022</t>
        </is>
      </c>
      <c r="B3100" s="1" t="n">
        <v>44599</v>
      </c>
      <c r="C3100" s="1" t="n">
        <v>46185</v>
      </c>
      <c r="D3100" t="inlineStr">
        <is>
          <t>VÄSTERNORRLANDS LÄN</t>
        </is>
      </c>
      <c r="E3100" t="inlineStr">
        <is>
          <t>SUNDSVALL</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38910-2025</t>
        </is>
      </c>
      <c r="B3101" s="1" t="n">
        <v>45887.61509259259</v>
      </c>
      <c r="C3101" s="1" t="n">
        <v>46185</v>
      </c>
      <c r="D3101" t="inlineStr">
        <is>
          <t>VÄSTERNORRLANDS LÄN</t>
        </is>
      </c>
      <c r="E3101" t="inlineStr">
        <is>
          <t>SOLLEFTEÅ</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787-2026</t>
        </is>
      </c>
      <c r="B3102" s="1" t="n">
        <v>46029.83471064815</v>
      </c>
      <c r="C3102" s="1" t="n">
        <v>46185</v>
      </c>
      <c r="D3102" t="inlineStr">
        <is>
          <t>VÄSTERNORRLANDS LÄN</t>
        </is>
      </c>
      <c r="E3102" t="inlineStr">
        <is>
          <t>TIMRÅ</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790-2026</t>
        </is>
      </c>
      <c r="B3103" s="1" t="n">
        <v>46029</v>
      </c>
      <c r="C3103" s="1" t="n">
        <v>46185</v>
      </c>
      <c r="D3103" t="inlineStr">
        <is>
          <t>VÄSTERNORRLANDS LÄN</t>
        </is>
      </c>
      <c r="E3103" t="inlineStr">
        <is>
          <t>SUNDSVALL</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794-2026</t>
        </is>
      </c>
      <c r="B3104" s="1" t="n">
        <v>46029.84521990741</v>
      </c>
      <c r="C3104" s="1" t="n">
        <v>46185</v>
      </c>
      <c r="D3104" t="inlineStr">
        <is>
          <t>VÄSTERNORRLANDS LÄN</t>
        </is>
      </c>
      <c r="E3104" t="inlineStr">
        <is>
          <t>TIMRÅ</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25037-2023</t>
        </is>
      </c>
      <c r="B3105" s="1" t="n">
        <v>45085.92905092592</v>
      </c>
      <c r="C3105" s="1" t="n">
        <v>46185</v>
      </c>
      <c r="D3105" t="inlineStr">
        <is>
          <t>VÄSTERNORRLANDS LÄN</t>
        </is>
      </c>
      <c r="E3105" t="inlineStr">
        <is>
          <t>SUNDSVALL</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47965-2024</t>
        </is>
      </c>
      <c r="B3106" s="1" t="n">
        <v>45589.38638888889</v>
      </c>
      <c r="C3106" s="1" t="n">
        <v>46185</v>
      </c>
      <c r="D3106" t="inlineStr">
        <is>
          <t>VÄSTERNORRLANDS LÄN</t>
        </is>
      </c>
      <c r="E3106" t="inlineStr">
        <is>
          <t>SOLLEFTEÅ</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60916-2022</t>
        </is>
      </c>
      <c r="B3107" s="1" t="n">
        <v>44908</v>
      </c>
      <c r="C3107" s="1" t="n">
        <v>46185</v>
      </c>
      <c r="D3107" t="inlineStr">
        <is>
          <t>VÄSTERNORRLANDS LÄN</t>
        </is>
      </c>
      <c r="E3107" t="inlineStr">
        <is>
          <t>KRAMFORS</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27944-2025</t>
        </is>
      </c>
      <c r="B3108" s="1" t="n">
        <v>45817.51094907407</v>
      </c>
      <c r="C3108" s="1" t="n">
        <v>46185</v>
      </c>
      <c r="D3108" t="inlineStr">
        <is>
          <t>VÄSTERNORRLANDS LÄN</t>
        </is>
      </c>
      <c r="E3108" t="inlineStr">
        <is>
          <t>SUNDSVALL</t>
        </is>
      </c>
      <c r="F3108" t="inlineStr">
        <is>
          <t>Naturvårdsverket</t>
        </is>
      </c>
      <c r="G3108" t="n">
        <v>3.1</v>
      </c>
      <c r="H3108" t="n">
        <v>0</v>
      </c>
      <c r="I3108" t="n">
        <v>0</v>
      </c>
      <c r="J3108" t="n">
        <v>0</v>
      </c>
      <c r="K3108" t="n">
        <v>0</v>
      </c>
      <c r="L3108" t="n">
        <v>0</v>
      </c>
      <c r="M3108" t="n">
        <v>0</v>
      </c>
      <c r="N3108" t="n">
        <v>0</v>
      </c>
      <c r="O3108" t="n">
        <v>0</v>
      </c>
      <c r="P3108" t="n">
        <v>0</v>
      </c>
      <c r="Q3108" t="n">
        <v>0</v>
      </c>
      <c r="R3108" s="2" t="inlineStr"/>
      <c r="U3108">
        <f>HYPERLINK("https://klasma.github.io/Logging_2281/knärot/A 27944-2025 karta knärot.png", "A 27944-2025")</f>
        <v/>
      </c>
      <c r="V3108">
        <f>HYPERLINK("https://klasma.github.io/Logging_2281/klagomål/A 27944-2025 FSC-klagomål.docx", "A 27944-2025")</f>
        <v/>
      </c>
      <c r="W3108">
        <f>HYPERLINK("https://klasma.github.io/Logging_2281/klagomålsmail/A 27944-2025 FSC-klagomål mail.docx", "A 27944-2025")</f>
        <v/>
      </c>
      <c r="X3108">
        <f>HYPERLINK("https://klasma.github.io/Logging_2281/tillsyn/A 27944-2025 tillsynsbegäran.docx", "A 27944-2025")</f>
        <v/>
      </c>
      <c r="Y3108">
        <f>HYPERLINK("https://klasma.github.io/Logging_2281/tillsynsmail/A 27944-2025 tillsynsbegäran mail.docx", "A 27944-2025")</f>
        <v/>
      </c>
    </row>
    <row r="3109" ht="15" customHeight="1">
      <c r="A3109" t="inlineStr">
        <is>
          <t>A 59626-2022</t>
        </is>
      </c>
      <c r="B3109" s="1" t="n">
        <v>44907.92354166666</v>
      </c>
      <c r="C3109" s="1" t="n">
        <v>46185</v>
      </c>
      <c r="D3109" t="inlineStr">
        <is>
          <t>VÄSTERNORRLANDS LÄN</t>
        </is>
      </c>
      <c r="E3109" t="inlineStr">
        <is>
          <t>ÅNGE</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27985-2025</t>
        </is>
      </c>
      <c r="B3110" s="1" t="n">
        <v>45817.57872685185</v>
      </c>
      <c r="C3110" s="1" t="n">
        <v>46185</v>
      </c>
      <c r="D3110" t="inlineStr">
        <is>
          <t>VÄSTERNORRLANDS LÄN</t>
        </is>
      </c>
      <c r="E3110" t="inlineStr">
        <is>
          <t>ÖRNSKÖLDSVIK</t>
        </is>
      </c>
      <c r="F3110" t="inlineStr">
        <is>
          <t>Holmen skog AB</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25243-2025</t>
        </is>
      </c>
      <c r="B3111" s="1" t="n">
        <v>45800.49063657408</v>
      </c>
      <c r="C3111" s="1" t="n">
        <v>46185</v>
      </c>
      <c r="D3111" t="inlineStr">
        <is>
          <t>VÄSTERNORRLANDS LÄN</t>
        </is>
      </c>
      <c r="E3111" t="inlineStr">
        <is>
          <t>SOLLEFTEÅ</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26268-2024</t>
        </is>
      </c>
      <c r="B3112" s="1" t="n">
        <v>45468</v>
      </c>
      <c r="C3112" s="1" t="n">
        <v>46185</v>
      </c>
      <c r="D3112" t="inlineStr">
        <is>
          <t>VÄSTERNORRLANDS LÄN</t>
        </is>
      </c>
      <c r="E3112" t="inlineStr">
        <is>
          <t>ÖRNSKÖLDSVIK</t>
        </is>
      </c>
      <c r="F3112" t="inlineStr">
        <is>
          <t>Holmen skog AB</t>
        </is>
      </c>
      <c r="G3112" t="n">
        <v>7.2</v>
      </c>
      <c r="H3112" t="n">
        <v>0</v>
      </c>
      <c r="I3112" t="n">
        <v>0</v>
      </c>
      <c r="J3112" t="n">
        <v>0</v>
      </c>
      <c r="K3112" t="n">
        <v>0</v>
      </c>
      <c r="L3112" t="n">
        <v>0</v>
      </c>
      <c r="M3112" t="n">
        <v>0</v>
      </c>
      <c r="N3112" t="n">
        <v>0</v>
      </c>
      <c r="O3112" t="n">
        <v>0</v>
      </c>
      <c r="P3112" t="n">
        <v>0</v>
      </c>
      <c r="Q3112" t="n">
        <v>0</v>
      </c>
      <c r="R3112" s="2" t="inlineStr"/>
    </row>
    <row r="3113" ht="15" customHeight="1">
      <c r="A3113" t="inlineStr">
        <is>
          <t>A 11551-2023</t>
        </is>
      </c>
      <c r="B3113" s="1" t="n">
        <v>44993</v>
      </c>
      <c r="C3113" s="1" t="n">
        <v>46185</v>
      </c>
      <c r="D3113" t="inlineStr">
        <is>
          <t>VÄSTERNORRLANDS LÄN</t>
        </is>
      </c>
      <c r="E3113" t="inlineStr">
        <is>
          <t>SOLLEFTEÅ</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38711-2025</t>
        </is>
      </c>
      <c r="B3114" s="1" t="n">
        <v>45886.34450231482</v>
      </c>
      <c r="C3114" s="1" t="n">
        <v>46185</v>
      </c>
      <c r="D3114" t="inlineStr">
        <is>
          <t>VÄSTERNORRLANDS LÄN</t>
        </is>
      </c>
      <c r="E3114" t="inlineStr">
        <is>
          <t>ÅNGE</t>
        </is>
      </c>
      <c r="F3114" t="inlineStr">
        <is>
          <t>SCA</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17096-2025</t>
        </is>
      </c>
      <c r="B3115" s="1" t="n">
        <v>45755.65662037037</v>
      </c>
      <c r="C3115" s="1" t="n">
        <v>46185</v>
      </c>
      <c r="D3115" t="inlineStr">
        <is>
          <t>VÄSTERNORRLANDS LÄN</t>
        </is>
      </c>
      <c r="E3115" t="inlineStr">
        <is>
          <t>SOLLEFTEÅ</t>
        </is>
      </c>
      <c r="F3115" t="inlineStr">
        <is>
          <t>SCA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28138-2025</t>
        </is>
      </c>
      <c r="B3116" s="1" t="n">
        <v>45818.34482638889</v>
      </c>
      <c r="C3116" s="1" t="n">
        <v>46185</v>
      </c>
      <c r="D3116" t="inlineStr">
        <is>
          <t>VÄSTERNORRLANDS LÄN</t>
        </is>
      </c>
      <c r="E3116" t="inlineStr">
        <is>
          <t>TIMRÅ</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28160-2025</t>
        </is>
      </c>
      <c r="B3117" s="1" t="n">
        <v>45818.36568287037</v>
      </c>
      <c r="C3117" s="1" t="n">
        <v>46185</v>
      </c>
      <c r="D3117" t="inlineStr">
        <is>
          <t>VÄSTERNORRLANDS LÄN</t>
        </is>
      </c>
      <c r="E3117" t="inlineStr">
        <is>
          <t>KRAMFORS</t>
        </is>
      </c>
      <c r="F3117" t="inlineStr">
        <is>
          <t>SCA</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10093-2023</t>
        </is>
      </c>
      <c r="B3118" s="1" t="n">
        <v>44985</v>
      </c>
      <c r="C3118" s="1" t="n">
        <v>46185</v>
      </c>
      <c r="D3118" t="inlineStr">
        <is>
          <t>VÄSTERNORRLANDS LÄN</t>
        </is>
      </c>
      <c r="E3118" t="inlineStr">
        <is>
          <t>SOLLEFTEÅ</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10094-2023</t>
        </is>
      </c>
      <c r="B3119" s="1" t="n">
        <v>44985</v>
      </c>
      <c r="C3119" s="1" t="n">
        <v>46185</v>
      </c>
      <c r="D3119" t="inlineStr">
        <is>
          <t>VÄSTERNORRLANDS LÄN</t>
        </is>
      </c>
      <c r="E3119" t="inlineStr">
        <is>
          <t>SOLLEFTEÅ</t>
        </is>
      </c>
      <c r="F3119" t="inlineStr">
        <is>
          <t>SCA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60171-2022</t>
        </is>
      </c>
      <c r="B3120" s="1" t="n">
        <v>44909</v>
      </c>
      <c r="C3120" s="1" t="n">
        <v>46185</v>
      </c>
      <c r="D3120" t="inlineStr">
        <is>
          <t>VÄSTERNORRLANDS LÄN</t>
        </is>
      </c>
      <c r="E3120" t="inlineStr">
        <is>
          <t>SOLLEFTEÅ</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18644-2025</t>
        </is>
      </c>
      <c r="B3121" s="1" t="n">
        <v>45763.57344907407</v>
      </c>
      <c r="C3121" s="1" t="n">
        <v>46185</v>
      </c>
      <c r="D3121" t="inlineStr">
        <is>
          <t>VÄSTERNORRLANDS LÄN</t>
        </is>
      </c>
      <c r="E3121" t="inlineStr">
        <is>
          <t>KRAMFORS</t>
        </is>
      </c>
      <c r="F3121" t="inlineStr">
        <is>
          <t>SCA</t>
        </is>
      </c>
      <c r="G3121" t="n">
        <v>28.7</v>
      </c>
      <c r="H3121" t="n">
        <v>0</v>
      </c>
      <c r="I3121" t="n">
        <v>0</v>
      </c>
      <c r="J3121" t="n">
        <v>0</v>
      </c>
      <c r="K3121" t="n">
        <v>0</v>
      </c>
      <c r="L3121" t="n">
        <v>0</v>
      </c>
      <c r="M3121" t="n">
        <v>0</v>
      </c>
      <c r="N3121" t="n">
        <v>0</v>
      </c>
      <c r="O3121" t="n">
        <v>0</v>
      </c>
      <c r="P3121" t="n">
        <v>0</v>
      </c>
      <c r="Q3121" t="n">
        <v>0</v>
      </c>
      <c r="R3121" s="2" t="inlineStr"/>
    </row>
    <row r="3122" ht="15" customHeight="1">
      <c r="A3122" t="inlineStr">
        <is>
          <t>A 54045-2024</t>
        </is>
      </c>
      <c r="B3122" s="1" t="n">
        <v>45616.44898148148</v>
      </c>
      <c r="C3122" s="1" t="n">
        <v>46185</v>
      </c>
      <c r="D3122" t="inlineStr">
        <is>
          <t>VÄSTERNORRLANDS LÄN</t>
        </is>
      </c>
      <c r="E3122" t="inlineStr">
        <is>
          <t>KRAMFORS</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52718-2022</t>
        </is>
      </c>
      <c r="B3123" s="1" t="n">
        <v>44874</v>
      </c>
      <c r="C3123" s="1" t="n">
        <v>46185</v>
      </c>
      <c r="D3123" t="inlineStr">
        <is>
          <t>VÄSTERNORRLANDS LÄN</t>
        </is>
      </c>
      <c r="E3123" t="inlineStr">
        <is>
          <t>SOLLEFTEÅ</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3234-2024</t>
        </is>
      </c>
      <c r="B3124" s="1" t="n">
        <v>45316.94708333333</v>
      </c>
      <c r="C3124" s="1" t="n">
        <v>46185</v>
      </c>
      <c r="D3124" t="inlineStr">
        <is>
          <t>VÄSTERNORRLANDS LÄN</t>
        </is>
      </c>
      <c r="E3124" t="inlineStr">
        <is>
          <t>SOLLEFTEÅ</t>
        </is>
      </c>
      <c r="F3124" t="inlineStr">
        <is>
          <t>SCA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3236-2024</t>
        </is>
      </c>
      <c r="B3125" s="1" t="n">
        <v>45316.94725694445</v>
      </c>
      <c r="C3125" s="1" t="n">
        <v>46185</v>
      </c>
      <c r="D3125" t="inlineStr">
        <is>
          <t>VÄSTERNORRLANDS LÄN</t>
        </is>
      </c>
      <c r="E3125" t="inlineStr">
        <is>
          <t>SUNDSVALL</t>
        </is>
      </c>
      <c r="F3125" t="inlineStr">
        <is>
          <t>SCA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18103-2025</t>
        </is>
      </c>
      <c r="B3126" s="1" t="n">
        <v>45761.55424768518</v>
      </c>
      <c r="C3126" s="1" t="n">
        <v>46185</v>
      </c>
      <c r="D3126" t="inlineStr">
        <is>
          <t>VÄSTERNORRLANDS LÄN</t>
        </is>
      </c>
      <c r="E3126" t="inlineStr">
        <is>
          <t>HÄRNÖSAND</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3249-2024</t>
        </is>
      </c>
      <c r="B3127" s="1" t="n">
        <v>45316</v>
      </c>
      <c r="C3127" s="1" t="n">
        <v>46185</v>
      </c>
      <c r="D3127" t="inlineStr">
        <is>
          <t>VÄSTERNORRLANDS LÄN</t>
        </is>
      </c>
      <c r="E3127" t="inlineStr">
        <is>
          <t>ÅNGE</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39199-2025</t>
        </is>
      </c>
      <c r="B3128" s="1" t="n">
        <v>45888</v>
      </c>
      <c r="C3128" s="1" t="n">
        <v>46185</v>
      </c>
      <c r="D3128" t="inlineStr">
        <is>
          <t>VÄSTERNORRLANDS LÄN</t>
        </is>
      </c>
      <c r="E3128" t="inlineStr">
        <is>
          <t>ÖRNSKÖLDSVIK</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39236-2025</t>
        </is>
      </c>
      <c r="B3129" s="1" t="n">
        <v>45888</v>
      </c>
      <c r="C3129" s="1" t="n">
        <v>46185</v>
      </c>
      <c r="D3129" t="inlineStr">
        <is>
          <t>VÄSTERNORRLANDS LÄN</t>
        </is>
      </c>
      <c r="E3129" t="inlineStr">
        <is>
          <t>ÖRNSKÖLDSVIK</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64115-2023</t>
        </is>
      </c>
      <c r="B3130" s="1" t="n">
        <v>45279</v>
      </c>
      <c r="C3130" s="1" t="n">
        <v>46185</v>
      </c>
      <c r="D3130" t="inlineStr">
        <is>
          <t>VÄSTERNORRLANDS LÄN</t>
        </is>
      </c>
      <c r="E3130" t="inlineStr">
        <is>
          <t>SOLLEFTEÅ</t>
        </is>
      </c>
      <c r="G3130" t="n">
        <v>16.1</v>
      </c>
      <c r="H3130" t="n">
        <v>0</v>
      </c>
      <c r="I3130" t="n">
        <v>0</v>
      </c>
      <c r="J3130" t="n">
        <v>0</v>
      </c>
      <c r="K3130" t="n">
        <v>0</v>
      </c>
      <c r="L3130" t="n">
        <v>0</v>
      </c>
      <c r="M3130" t="n">
        <v>0</v>
      </c>
      <c r="N3130" t="n">
        <v>0</v>
      </c>
      <c r="O3130" t="n">
        <v>0</v>
      </c>
      <c r="P3130" t="n">
        <v>0</v>
      </c>
      <c r="Q3130" t="n">
        <v>0</v>
      </c>
      <c r="R3130" s="2" t="inlineStr"/>
    </row>
    <row r="3131" ht="15" customHeight="1">
      <c r="A3131" t="inlineStr">
        <is>
          <t>A 26966-2024</t>
        </is>
      </c>
      <c r="B3131" s="1" t="n">
        <v>45471</v>
      </c>
      <c r="C3131" s="1" t="n">
        <v>46185</v>
      </c>
      <c r="D3131" t="inlineStr">
        <is>
          <t>VÄSTERNORRLANDS LÄN</t>
        </is>
      </c>
      <c r="E3131" t="inlineStr">
        <is>
          <t>ÖRNSKÖLDSVIK</t>
        </is>
      </c>
      <c r="F3131" t="inlineStr">
        <is>
          <t>Holmen skog AB</t>
        </is>
      </c>
      <c r="G3131" t="n">
        <v>70.5</v>
      </c>
      <c r="H3131" t="n">
        <v>0</v>
      </c>
      <c r="I3131" t="n">
        <v>0</v>
      </c>
      <c r="J3131" t="n">
        <v>0</v>
      </c>
      <c r="K3131" t="n">
        <v>0</v>
      </c>
      <c r="L3131" t="n">
        <v>0</v>
      </c>
      <c r="M3131" t="n">
        <v>0</v>
      </c>
      <c r="N3131" t="n">
        <v>0</v>
      </c>
      <c r="O3131" t="n">
        <v>0</v>
      </c>
      <c r="P3131" t="n">
        <v>0</v>
      </c>
      <c r="Q3131" t="n">
        <v>0</v>
      </c>
      <c r="R3131" s="2" t="inlineStr"/>
    </row>
    <row r="3132" ht="15" customHeight="1">
      <c r="A3132" t="inlineStr">
        <is>
          <t>A 61445-2022</t>
        </is>
      </c>
      <c r="B3132" s="1" t="n">
        <v>44916.396875</v>
      </c>
      <c r="C3132" s="1" t="n">
        <v>46185</v>
      </c>
      <c r="D3132" t="inlineStr">
        <is>
          <t>VÄSTERNORRLANDS LÄN</t>
        </is>
      </c>
      <c r="E3132" t="inlineStr">
        <is>
          <t>ÖRNSKÖLDSVIK</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28166-2025</t>
        </is>
      </c>
      <c r="B3133" s="1" t="n">
        <v>45818.37241898148</v>
      </c>
      <c r="C3133" s="1" t="n">
        <v>46185</v>
      </c>
      <c r="D3133" t="inlineStr">
        <is>
          <t>VÄSTERNORRLANDS LÄN</t>
        </is>
      </c>
      <c r="E3133" t="inlineStr">
        <is>
          <t>ÖRNSKÖLDSVIK</t>
        </is>
      </c>
      <c r="F3133" t="inlineStr">
        <is>
          <t>Holmen skog AB</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55972-2024</t>
        </is>
      </c>
      <c r="B3134" s="1" t="n">
        <v>45623.65508101852</v>
      </c>
      <c r="C3134" s="1" t="n">
        <v>46185</v>
      </c>
      <c r="D3134" t="inlineStr">
        <is>
          <t>VÄSTERNORRLANDS LÄN</t>
        </is>
      </c>
      <c r="E3134" t="inlineStr">
        <is>
          <t>ÖRNSKÖLDSVIK</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21445-2025</t>
        </is>
      </c>
      <c r="B3135" s="1" t="n">
        <v>45782.54559027778</v>
      </c>
      <c r="C3135" s="1" t="n">
        <v>46185</v>
      </c>
      <c r="D3135" t="inlineStr">
        <is>
          <t>VÄSTERNORRLANDS LÄN</t>
        </is>
      </c>
      <c r="E3135" t="inlineStr">
        <is>
          <t>ÖRNSKÖLDSVIK</t>
        </is>
      </c>
      <c r="F3135" t="inlineStr">
        <is>
          <t>Holmen skog AB</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38926-2025</t>
        </is>
      </c>
      <c r="B3136" s="1" t="n">
        <v>45887.63356481482</v>
      </c>
      <c r="C3136" s="1" t="n">
        <v>46185</v>
      </c>
      <c r="D3136" t="inlineStr">
        <is>
          <t>VÄSTERNORRLANDS LÄN</t>
        </is>
      </c>
      <c r="E3136" t="inlineStr">
        <is>
          <t>HÄRNÖSAND</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35618-2024</t>
        </is>
      </c>
      <c r="B3137" s="1" t="n">
        <v>45531</v>
      </c>
      <c r="C3137" s="1" t="n">
        <v>46185</v>
      </c>
      <c r="D3137" t="inlineStr">
        <is>
          <t>VÄSTERNORRLANDS LÄN</t>
        </is>
      </c>
      <c r="E3137" t="inlineStr">
        <is>
          <t>ÖRNSKÖLDSVIK</t>
        </is>
      </c>
      <c r="G3137" t="n">
        <v>13.1</v>
      </c>
      <c r="H3137" t="n">
        <v>0</v>
      </c>
      <c r="I3137" t="n">
        <v>0</v>
      </c>
      <c r="J3137" t="n">
        <v>0</v>
      </c>
      <c r="K3137" t="n">
        <v>0</v>
      </c>
      <c r="L3137" t="n">
        <v>0</v>
      </c>
      <c r="M3137" t="n">
        <v>0</v>
      </c>
      <c r="N3137" t="n">
        <v>0</v>
      </c>
      <c r="O3137" t="n">
        <v>0</v>
      </c>
      <c r="P3137" t="n">
        <v>0</v>
      </c>
      <c r="Q3137" t="n">
        <v>0</v>
      </c>
      <c r="R3137" s="2" t="inlineStr"/>
    </row>
    <row r="3138" ht="15" customHeight="1">
      <c r="A3138" t="inlineStr">
        <is>
          <t>A 28509-2025</t>
        </is>
      </c>
      <c r="B3138" s="1" t="n">
        <v>45818</v>
      </c>
      <c r="C3138" s="1" t="n">
        <v>46185</v>
      </c>
      <c r="D3138" t="inlineStr">
        <is>
          <t>VÄSTERNORRLANDS LÄN</t>
        </is>
      </c>
      <c r="E3138" t="inlineStr">
        <is>
          <t>ÖRNSKÖLDSVIK</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39200-2025</t>
        </is>
      </c>
      <c r="B3139" s="1" t="n">
        <v>45888.70689814815</v>
      </c>
      <c r="C3139" s="1" t="n">
        <v>46185</v>
      </c>
      <c r="D3139" t="inlineStr">
        <is>
          <t>VÄSTERNORRLANDS LÄN</t>
        </is>
      </c>
      <c r="E3139" t="inlineStr">
        <is>
          <t>ÖRNSKÖLDSVIK</t>
        </is>
      </c>
      <c r="F3139" t="inlineStr">
        <is>
          <t>Holmen skog AB</t>
        </is>
      </c>
      <c r="G3139" t="n">
        <v>9.699999999999999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39525-2025</t>
        </is>
      </c>
      <c r="B3140" s="1" t="n">
        <v>45890.44021990741</v>
      </c>
      <c r="C3140" s="1" t="n">
        <v>46185</v>
      </c>
      <c r="D3140" t="inlineStr">
        <is>
          <t>VÄSTERNORRLANDS LÄN</t>
        </is>
      </c>
      <c r="E3140" t="inlineStr">
        <is>
          <t>ÖRNSKÖLDSVIK</t>
        </is>
      </c>
      <c r="F3140" t="inlineStr">
        <is>
          <t>Holmen skog AB</t>
        </is>
      </c>
      <c r="G3140" t="n">
        <v>20.8</v>
      </c>
      <c r="H3140" t="n">
        <v>0</v>
      </c>
      <c r="I3140" t="n">
        <v>0</v>
      </c>
      <c r="J3140" t="n">
        <v>0</v>
      </c>
      <c r="K3140" t="n">
        <v>0</v>
      </c>
      <c r="L3140" t="n">
        <v>0</v>
      </c>
      <c r="M3140" t="n">
        <v>0</v>
      </c>
      <c r="N3140" t="n">
        <v>0</v>
      </c>
      <c r="O3140" t="n">
        <v>0</v>
      </c>
      <c r="P3140" t="n">
        <v>0</v>
      </c>
      <c r="Q3140" t="n">
        <v>0</v>
      </c>
      <c r="R3140" s="2" t="inlineStr"/>
    </row>
    <row r="3141" ht="15" customHeight="1">
      <c r="A3141" t="inlineStr">
        <is>
          <t>A 27468-2023</t>
        </is>
      </c>
      <c r="B3141" s="1" t="n">
        <v>45097</v>
      </c>
      <c r="C3141" s="1" t="n">
        <v>46185</v>
      </c>
      <c r="D3141" t="inlineStr">
        <is>
          <t>VÄSTERNORRLANDS LÄN</t>
        </is>
      </c>
      <c r="E3141" t="inlineStr">
        <is>
          <t>ÖRNSKÖLDSVIK</t>
        </is>
      </c>
      <c r="F3141" t="inlineStr">
        <is>
          <t>Holmen skog AB</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39579-2025</t>
        </is>
      </c>
      <c r="B3142" s="1" t="n">
        <v>45890.49295138889</v>
      </c>
      <c r="C3142" s="1" t="n">
        <v>46185</v>
      </c>
      <c r="D3142" t="inlineStr">
        <is>
          <t>VÄSTERNORRLANDS LÄN</t>
        </is>
      </c>
      <c r="E3142" t="inlineStr">
        <is>
          <t>KRAMFORS</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27893-2025</t>
        </is>
      </c>
      <c r="B3143" s="1" t="n">
        <v>45817.46428240741</v>
      </c>
      <c r="C3143" s="1" t="n">
        <v>46185</v>
      </c>
      <c r="D3143" t="inlineStr">
        <is>
          <t>VÄSTERNORRLANDS LÄN</t>
        </is>
      </c>
      <c r="E3143" t="inlineStr">
        <is>
          <t>ÖRNSKÖLDSVIK</t>
        </is>
      </c>
      <c r="F3143" t="inlineStr">
        <is>
          <t>Holmen skog AB</t>
        </is>
      </c>
      <c r="G3143" t="n">
        <v>9.300000000000001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39599-2025</t>
        </is>
      </c>
      <c r="B3144" s="1" t="n">
        <v>45890.55060185185</v>
      </c>
      <c r="C3144" s="1" t="n">
        <v>46185</v>
      </c>
      <c r="D3144" t="inlineStr">
        <is>
          <t>VÄSTERNORRLANDS LÄN</t>
        </is>
      </c>
      <c r="E3144" t="inlineStr">
        <is>
          <t>KRAMFORS</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51505-2024</t>
        </is>
      </c>
      <c r="B3145" s="1" t="n">
        <v>45604</v>
      </c>
      <c r="C3145" s="1" t="n">
        <v>46185</v>
      </c>
      <c r="D3145" t="inlineStr">
        <is>
          <t>VÄSTERNORRLANDS LÄN</t>
        </is>
      </c>
      <c r="E3145" t="inlineStr">
        <is>
          <t>SOLLEFTEÅ</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27754-2025</t>
        </is>
      </c>
      <c r="B3146" s="1" t="n">
        <v>45815.69635416667</v>
      </c>
      <c r="C3146" s="1" t="n">
        <v>46185</v>
      </c>
      <c r="D3146" t="inlineStr">
        <is>
          <t>VÄSTERNORRLANDS LÄN</t>
        </is>
      </c>
      <c r="E3146" t="inlineStr">
        <is>
          <t>SUNDSVALL</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39423-2025</t>
        </is>
      </c>
      <c r="B3147" s="1" t="n">
        <v>45889.67226851852</v>
      </c>
      <c r="C3147" s="1" t="n">
        <v>46185</v>
      </c>
      <c r="D3147" t="inlineStr">
        <is>
          <t>VÄSTERNORRLANDS LÄN</t>
        </is>
      </c>
      <c r="E3147" t="inlineStr">
        <is>
          <t>ÖRNSKÖLDSVIK</t>
        </is>
      </c>
      <c r="F3147" t="inlineStr">
        <is>
          <t>Holmen skog AB</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61611-2024</t>
        </is>
      </c>
      <c r="B3148" s="1" t="n">
        <v>45645</v>
      </c>
      <c r="C3148" s="1" t="n">
        <v>46185</v>
      </c>
      <c r="D3148" t="inlineStr">
        <is>
          <t>VÄSTERNORRLANDS LÄN</t>
        </is>
      </c>
      <c r="E3148" t="inlineStr">
        <is>
          <t>SOLLEFTEÅ</t>
        </is>
      </c>
      <c r="G3148" t="n">
        <v>13.9</v>
      </c>
      <c r="H3148" t="n">
        <v>0</v>
      </c>
      <c r="I3148" t="n">
        <v>0</v>
      </c>
      <c r="J3148" t="n">
        <v>0</v>
      </c>
      <c r="K3148" t="n">
        <v>0</v>
      </c>
      <c r="L3148" t="n">
        <v>0</v>
      </c>
      <c r="M3148" t="n">
        <v>0</v>
      </c>
      <c r="N3148" t="n">
        <v>0</v>
      </c>
      <c r="O3148" t="n">
        <v>0</v>
      </c>
      <c r="P3148" t="n">
        <v>0</v>
      </c>
      <c r="Q3148" t="n">
        <v>0</v>
      </c>
      <c r="R3148" s="2" t="inlineStr"/>
    </row>
    <row r="3149" ht="15" customHeight="1">
      <c r="A3149" t="inlineStr">
        <is>
          <t>A 47157-2023</t>
        </is>
      </c>
      <c r="B3149" s="1" t="n">
        <v>45201</v>
      </c>
      <c r="C3149" s="1" t="n">
        <v>46185</v>
      </c>
      <c r="D3149" t="inlineStr">
        <is>
          <t>VÄSTERNORRLANDS LÄN</t>
        </is>
      </c>
      <c r="E3149" t="inlineStr">
        <is>
          <t>SUNDSVALL</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27941-2025</t>
        </is>
      </c>
      <c r="B3150" s="1" t="n">
        <v>45817.50902777778</v>
      </c>
      <c r="C3150" s="1" t="n">
        <v>46185</v>
      </c>
      <c r="D3150" t="inlineStr">
        <is>
          <t>VÄSTERNORRLANDS LÄN</t>
        </is>
      </c>
      <c r="E3150" t="inlineStr">
        <is>
          <t>ÖRNSKÖLDSVIK</t>
        </is>
      </c>
      <c r="F3150" t="inlineStr">
        <is>
          <t>Holmen skog AB</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39568-2025</t>
        </is>
      </c>
      <c r="B3151" s="1" t="n">
        <v>45890.48993055556</v>
      </c>
      <c r="C3151" s="1" t="n">
        <v>46185</v>
      </c>
      <c r="D3151" t="inlineStr">
        <is>
          <t>VÄSTERNORRLANDS LÄN</t>
        </is>
      </c>
      <c r="E3151" t="inlineStr">
        <is>
          <t>SOLLEFTEÅ</t>
        </is>
      </c>
      <c r="F3151" t="inlineStr">
        <is>
          <t>SCA</t>
        </is>
      </c>
      <c r="G3151" t="n">
        <v>14.4</v>
      </c>
      <c r="H3151" t="n">
        <v>0</v>
      </c>
      <c r="I3151" t="n">
        <v>0</v>
      </c>
      <c r="J3151" t="n">
        <v>0</v>
      </c>
      <c r="K3151" t="n">
        <v>0</v>
      </c>
      <c r="L3151" t="n">
        <v>0</v>
      </c>
      <c r="M3151" t="n">
        <v>0</v>
      </c>
      <c r="N3151" t="n">
        <v>0</v>
      </c>
      <c r="O3151" t="n">
        <v>0</v>
      </c>
      <c r="P3151" t="n">
        <v>0</v>
      </c>
      <c r="Q3151" t="n">
        <v>0</v>
      </c>
      <c r="R3151" s="2" t="inlineStr"/>
    </row>
    <row r="3152" ht="15" customHeight="1">
      <c r="A3152" t="inlineStr">
        <is>
          <t>A 9759-2024</t>
        </is>
      </c>
      <c r="B3152" s="1" t="n">
        <v>45362</v>
      </c>
      <c r="C3152" s="1" t="n">
        <v>46185</v>
      </c>
      <c r="D3152" t="inlineStr">
        <is>
          <t>VÄSTERNORRLANDS LÄN</t>
        </is>
      </c>
      <c r="E3152" t="inlineStr">
        <is>
          <t>ÅNGE</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39602-2025</t>
        </is>
      </c>
      <c r="B3153" s="1" t="n">
        <v>45890.55296296296</v>
      </c>
      <c r="C3153" s="1" t="n">
        <v>46185</v>
      </c>
      <c r="D3153" t="inlineStr">
        <is>
          <t>VÄSTERNORRLANDS LÄN</t>
        </is>
      </c>
      <c r="E3153" t="inlineStr">
        <is>
          <t>SOLLEFTEÅ</t>
        </is>
      </c>
      <c r="F3153" t="inlineStr">
        <is>
          <t>SCA</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39577-2025</t>
        </is>
      </c>
      <c r="B3154" s="1" t="n">
        <v>45890.49271990741</v>
      </c>
      <c r="C3154" s="1" t="n">
        <v>46185</v>
      </c>
      <c r="D3154" t="inlineStr">
        <is>
          <t>VÄSTERNORRLANDS LÄN</t>
        </is>
      </c>
      <c r="E3154" t="inlineStr">
        <is>
          <t>KRAMFORS</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516-2025</t>
        </is>
      </c>
      <c r="B3155" s="1" t="n">
        <v>45664.47753472222</v>
      </c>
      <c r="C3155" s="1" t="n">
        <v>46185</v>
      </c>
      <c r="D3155" t="inlineStr">
        <is>
          <t>VÄSTERNORRLANDS LÄN</t>
        </is>
      </c>
      <c r="E3155" t="inlineStr">
        <is>
          <t>KRAMFORS</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8945-2024</t>
        </is>
      </c>
      <c r="B3156" s="1" t="n">
        <v>45357</v>
      </c>
      <c r="C3156" s="1" t="n">
        <v>46185</v>
      </c>
      <c r="D3156" t="inlineStr">
        <is>
          <t>VÄSTERNORRLANDS LÄN</t>
        </is>
      </c>
      <c r="E3156" t="inlineStr">
        <is>
          <t>SUNDSVALL</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39474-2025</t>
        </is>
      </c>
      <c r="B3157" s="1" t="n">
        <v>45890.34435185185</v>
      </c>
      <c r="C3157" s="1" t="n">
        <v>46185</v>
      </c>
      <c r="D3157" t="inlineStr">
        <is>
          <t>VÄSTERNORRLANDS LÄN</t>
        </is>
      </c>
      <c r="E3157" t="inlineStr">
        <is>
          <t>HÄRNÖSAND</t>
        </is>
      </c>
      <c r="F3157" t="inlineStr">
        <is>
          <t>SCA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48441-2023</t>
        </is>
      </c>
      <c r="B3158" s="1" t="n">
        <v>45205</v>
      </c>
      <c r="C3158" s="1" t="n">
        <v>46185</v>
      </c>
      <c r="D3158" t="inlineStr">
        <is>
          <t>VÄSTERNORRLANDS LÄN</t>
        </is>
      </c>
      <c r="E3158" t="inlineStr">
        <is>
          <t>ÖRNSKÖLDSVIK</t>
        </is>
      </c>
      <c r="F3158" t="inlineStr">
        <is>
          <t>SCA</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39214-2025</t>
        </is>
      </c>
      <c r="B3159" s="1" t="n">
        <v>45888.79541666667</v>
      </c>
      <c r="C3159" s="1" t="n">
        <v>46185</v>
      </c>
      <c r="D3159" t="inlineStr">
        <is>
          <t>VÄSTERNORRLANDS LÄN</t>
        </is>
      </c>
      <c r="E3159" t="inlineStr">
        <is>
          <t>ÖRNSKÖLDSVIK</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39667-2025</t>
        </is>
      </c>
      <c r="B3160" s="1" t="n">
        <v>45890.63642361111</v>
      </c>
      <c r="C3160" s="1" t="n">
        <v>46185</v>
      </c>
      <c r="D3160" t="inlineStr">
        <is>
          <t>VÄSTERNORRLANDS LÄN</t>
        </is>
      </c>
      <c r="E3160" t="inlineStr">
        <is>
          <t>HÄRNÖSAND</t>
        </is>
      </c>
      <c r="F3160" t="inlineStr">
        <is>
          <t>SCA</t>
        </is>
      </c>
      <c r="G3160" t="n">
        <v>6.7</v>
      </c>
      <c r="H3160" t="n">
        <v>0</v>
      </c>
      <c r="I3160" t="n">
        <v>0</v>
      </c>
      <c r="J3160" t="n">
        <v>0</v>
      </c>
      <c r="K3160" t="n">
        <v>0</v>
      </c>
      <c r="L3160" t="n">
        <v>0</v>
      </c>
      <c r="M3160" t="n">
        <v>0</v>
      </c>
      <c r="N3160" t="n">
        <v>0</v>
      </c>
      <c r="O3160" t="n">
        <v>0</v>
      </c>
      <c r="P3160" t="n">
        <v>0</v>
      </c>
      <c r="Q3160" t="n">
        <v>0</v>
      </c>
      <c r="R3160" s="2" t="inlineStr"/>
    </row>
    <row r="3161" ht="15" customHeight="1">
      <c r="A3161" t="inlineStr">
        <is>
          <t>A 28142-2025</t>
        </is>
      </c>
      <c r="B3161" s="1" t="n">
        <v>45818.34538194445</v>
      </c>
      <c r="C3161" s="1" t="n">
        <v>46185</v>
      </c>
      <c r="D3161" t="inlineStr">
        <is>
          <t>VÄSTERNORRLANDS LÄN</t>
        </is>
      </c>
      <c r="E3161" t="inlineStr">
        <is>
          <t>SOLLEFTEÅ</t>
        </is>
      </c>
      <c r="F3161" t="inlineStr">
        <is>
          <t>SCA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48529-2023</t>
        </is>
      </c>
      <c r="B3162" s="1" t="n">
        <v>45208.37266203704</v>
      </c>
      <c r="C3162" s="1" t="n">
        <v>46185</v>
      </c>
      <c r="D3162" t="inlineStr">
        <is>
          <t>VÄSTERNORRLANDS LÄN</t>
        </is>
      </c>
      <c r="E3162" t="inlineStr">
        <is>
          <t>ÖRNSKÖLDSVIK</t>
        </is>
      </c>
      <c r="F3162" t="inlineStr">
        <is>
          <t>Holmen skog AB</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28146-2025</t>
        </is>
      </c>
      <c r="B3163" s="1" t="n">
        <v>45818</v>
      </c>
      <c r="C3163" s="1" t="n">
        <v>46185</v>
      </c>
      <c r="D3163" t="inlineStr">
        <is>
          <t>VÄSTERNORRLANDS LÄN</t>
        </is>
      </c>
      <c r="E3163" t="inlineStr">
        <is>
          <t>ÖRNSKÖLDSVIK</t>
        </is>
      </c>
      <c r="F3163" t="inlineStr">
        <is>
          <t>SCA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21188-2025</t>
        </is>
      </c>
      <c r="B3164" s="1" t="n">
        <v>45777</v>
      </c>
      <c r="C3164" s="1" t="n">
        <v>46185</v>
      </c>
      <c r="D3164" t="inlineStr">
        <is>
          <t>VÄSTERNORRLANDS LÄN</t>
        </is>
      </c>
      <c r="E3164" t="inlineStr">
        <is>
          <t>SUNDSVALL</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47614-2023</t>
        </is>
      </c>
      <c r="B3165" s="1" t="n">
        <v>45203.48283564814</v>
      </c>
      <c r="C3165" s="1" t="n">
        <v>46185</v>
      </c>
      <c r="D3165" t="inlineStr">
        <is>
          <t>VÄSTERNORRLANDS LÄN</t>
        </is>
      </c>
      <c r="E3165" t="inlineStr">
        <is>
          <t>ÖRNSKÖLDSVIK</t>
        </is>
      </c>
      <c r="F3165" t="inlineStr">
        <is>
          <t>Holmen skog AB</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11984-2022</t>
        </is>
      </c>
      <c r="B3166" s="1" t="n">
        <v>44635.68171296296</v>
      </c>
      <c r="C3166" s="1" t="n">
        <v>46185</v>
      </c>
      <c r="D3166" t="inlineStr">
        <is>
          <t>VÄSTERNORRLANDS LÄN</t>
        </is>
      </c>
      <c r="E3166" t="inlineStr">
        <is>
          <t>ÖRNSKÖLDSVIK</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39475-2025</t>
        </is>
      </c>
      <c r="B3167" s="1" t="n">
        <v>45890.34447916667</v>
      </c>
      <c r="C3167" s="1" t="n">
        <v>46185</v>
      </c>
      <c r="D3167" t="inlineStr">
        <is>
          <t>VÄSTERNORRLANDS LÄN</t>
        </is>
      </c>
      <c r="E3167" t="inlineStr">
        <is>
          <t>SOLLEFTEÅ</t>
        </is>
      </c>
      <c r="F3167" t="inlineStr">
        <is>
          <t>SCA</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61147-2024</t>
        </is>
      </c>
      <c r="B3168" s="1" t="n">
        <v>45645.5871412037</v>
      </c>
      <c r="C3168" s="1" t="n">
        <v>46185</v>
      </c>
      <c r="D3168" t="inlineStr">
        <is>
          <t>VÄSTERNORRLANDS LÄN</t>
        </is>
      </c>
      <c r="E3168" t="inlineStr">
        <is>
          <t>ÖRNSKÖLDSVIK</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30100-2025</t>
        </is>
      </c>
      <c r="B3169" s="1" t="n">
        <v>45826.67935185185</v>
      </c>
      <c r="C3169" s="1" t="n">
        <v>46185</v>
      </c>
      <c r="D3169" t="inlineStr">
        <is>
          <t>VÄSTERNORRLANDS LÄN</t>
        </is>
      </c>
      <c r="E3169" t="inlineStr">
        <is>
          <t>ÖRNSKÖLDSVIK</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27748-2025</t>
        </is>
      </c>
      <c r="B3170" s="1" t="n">
        <v>45815.67740740741</v>
      </c>
      <c r="C3170" s="1" t="n">
        <v>46185</v>
      </c>
      <c r="D3170" t="inlineStr">
        <is>
          <t>VÄSTERNORRLANDS LÄN</t>
        </is>
      </c>
      <c r="E3170" t="inlineStr">
        <is>
          <t>SOLLEFTEÅ</t>
        </is>
      </c>
      <c r="F3170" t="inlineStr">
        <is>
          <t>SCA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27753-2025</t>
        </is>
      </c>
      <c r="B3171" s="1" t="n">
        <v>45815.69273148148</v>
      </c>
      <c r="C3171" s="1" t="n">
        <v>46185</v>
      </c>
      <c r="D3171" t="inlineStr">
        <is>
          <t>VÄSTERNORRLANDS LÄN</t>
        </is>
      </c>
      <c r="E3171" t="inlineStr">
        <is>
          <t>SUNDSVALL</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39619-2025</t>
        </is>
      </c>
      <c r="B3172" s="1" t="n">
        <v>45890.57347222222</v>
      </c>
      <c r="C3172" s="1" t="n">
        <v>46185</v>
      </c>
      <c r="D3172" t="inlineStr">
        <is>
          <t>VÄSTERNORRLANDS LÄN</t>
        </is>
      </c>
      <c r="E3172" t="inlineStr">
        <is>
          <t>SOLLEFTEÅ</t>
        </is>
      </c>
      <c r="F3172" t="inlineStr">
        <is>
          <t>SCA</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27822-2025</t>
        </is>
      </c>
      <c r="B3173" s="1" t="n">
        <v>45817.34410879629</v>
      </c>
      <c r="C3173" s="1" t="n">
        <v>46185</v>
      </c>
      <c r="D3173" t="inlineStr">
        <is>
          <t>VÄSTERNORRLANDS LÄN</t>
        </is>
      </c>
      <c r="E3173" t="inlineStr">
        <is>
          <t>SOLLEFTEÅ</t>
        </is>
      </c>
      <c r="F3173" t="inlineStr">
        <is>
          <t>SCA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28045-2025</t>
        </is>
      </c>
      <c r="B3174" s="1" t="n">
        <v>45817.6527662037</v>
      </c>
      <c r="C3174" s="1" t="n">
        <v>46185</v>
      </c>
      <c r="D3174" t="inlineStr">
        <is>
          <t>VÄSTERNORRLANDS LÄN</t>
        </is>
      </c>
      <c r="E3174" t="inlineStr">
        <is>
          <t>ÖRNSKÖLDSVIK</t>
        </is>
      </c>
      <c r="F3174" t="inlineStr">
        <is>
          <t>Holmen skog AB</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39650-2025</t>
        </is>
      </c>
      <c r="B3175" s="1" t="n">
        <v>45890.615625</v>
      </c>
      <c r="C3175" s="1" t="n">
        <v>46185</v>
      </c>
      <c r="D3175" t="inlineStr">
        <is>
          <t>VÄSTERNORRLANDS LÄN</t>
        </is>
      </c>
      <c r="E3175" t="inlineStr">
        <is>
          <t>ÖRNSKÖLDSVIK</t>
        </is>
      </c>
      <c r="F3175" t="inlineStr">
        <is>
          <t>Holmen skog AB</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57077-2024</t>
        </is>
      </c>
      <c r="B3176" s="1" t="n">
        <v>45629.35503472222</v>
      </c>
      <c r="C3176" s="1" t="n">
        <v>46185</v>
      </c>
      <c r="D3176" t="inlineStr">
        <is>
          <t>VÄSTERNORRLANDS LÄN</t>
        </is>
      </c>
      <c r="E3176" t="inlineStr">
        <is>
          <t>SUNDSVALL</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60647-2024</t>
        </is>
      </c>
      <c r="B3177" s="1" t="n">
        <v>45644.43476851852</v>
      </c>
      <c r="C3177" s="1" t="n">
        <v>46185</v>
      </c>
      <c r="D3177" t="inlineStr">
        <is>
          <t>VÄSTERNORRLANDS LÄN</t>
        </is>
      </c>
      <c r="E3177" t="inlineStr">
        <is>
          <t>ÖRNSKÖLDSVIK</t>
        </is>
      </c>
      <c r="G3177" t="n">
        <v>6.9</v>
      </c>
      <c r="H3177" t="n">
        <v>0</v>
      </c>
      <c r="I3177" t="n">
        <v>0</v>
      </c>
      <c r="J3177" t="n">
        <v>0</v>
      </c>
      <c r="K3177" t="n">
        <v>0</v>
      </c>
      <c r="L3177" t="n">
        <v>0</v>
      </c>
      <c r="M3177" t="n">
        <v>0</v>
      </c>
      <c r="N3177" t="n">
        <v>0</v>
      </c>
      <c r="O3177" t="n">
        <v>0</v>
      </c>
      <c r="P3177" t="n">
        <v>0</v>
      </c>
      <c r="Q3177" t="n">
        <v>0</v>
      </c>
      <c r="R3177" s="2" t="inlineStr"/>
    </row>
    <row r="3178" ht="15" customHeight="1">
      <c r="A3178" t="inlineStr">
        <is>
          <t>A 39434-2025</t>
        </is>
      </c>
      <c r="B3178" s="1" t="n">
        <v>45889.67811342593</v>
      </c>
      <c r="C3178" s="1" t="n">
        <v>46185</v>
      </c>
      <c r="D3178" t="inlineStr">
        <is>
          <t>VÄSTERNORRLANDS LÄN</t>
        </is>
      </c>
      <c r="E3178" t="inlineStr">
        <is>
          <t>ÅNGE</t>
        </is>
      </c>
      <c r="F3178" t="inlineStr">
        <is>
          <t>SCA</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39470-2025</t>
        </is>
      </c>
      <c r="B3179" s="1" t="n">
        <v>45890.33575231482</v>
      </c>
      <c r="C3179" s="1" t="n">
        <v>46185</v>
      </c>
      <c r="D3179" t="inlineStr">
        <is>
          <t>VÄSTERNORRLANDS LÄN</t>
        </is>
      </c>
      <c r="E3179" t="inlineStr">
        <is>
          <t>ÖRNSKÖLDSVIK</t>
        </is>
      </c>
      <c r="F3179" t="inlineStr">
        <is>
          <t>Holmen skog AB</t>
        </is>
      </c>
      <c r="G3179" t="n">
        <v>11.6</v>
      </c>
      <c r="H3179" t="n">
        <v>0</v>
      </c>
      <c r="I3179" t="n">
        <v>0</v>
      </c>
      <c r="J3179" t="n">
        <v>0</v>
      </c>
      <c r="K3179" t="n">
        <v>0</v>
      </c>
      <c r="L3179" t="n">
        <v>0</v>
      </c>
      <c r="M3179" t="n">
        <v>0</v>
      </c>
      <c r="N3179" t="n">
        <v>0</v>
      </c>
      <c r="O3179" t="n">
        <v>0</v>
      </c>
      <c r="P3179" t="n">
        <v>0</v>
      </c>
      <c r="Q3179" t="n">
        <v>0</v>
      </c>
      <c r="R3179" s="2" t="inlineStr"/>
    </row>
    <row r="3180" ht="15" customHeight="1">
      <c r="A3180" t="inlineStr">
        <is>
          <t>A 39489-2025</t>
        </is>
      </c>
      <c r="B3180" s="1" t="n">
        <v>45890.36534722222</v>
      </c>
      <c r="C3180" s="1" t="n">
        <v>46185</v>
      </c>
      <c r="D3180" t="inlineStr">
        <is>
          <t>VÄSTERNORRLANDS LÄN</t>
        </is>
      </c>
      <c r="E3180" t="inlineStr">
        <is>
          <t>SUNDSVALL</t>
        </is>
      </c>
      <c r="F3180" t="inlineStr">
        <is>
          <t>SCA</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17993-2022</t>
        </is>
      </c>
      <c r="B3181" s="1" t="n">
        <v>44683</v>
      </c>
      <c r="C3181" s="1" t="n">
        <v>46185</v>
      </c>
      <c r="D3181" t="inlineStr">
        <is>
          <t>VÄSTERNORRLANDS LÄN</t>
        </is>
      </c>
      <c r="E3181" t="inlineStr">
        <is>
          <t>SUNDSVALL</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1008-2026</t>
        </is>
      </c>
      <c r="B3182" s="1" t="n">
        <v>46030.59880787037</v>
      </c>
      <c r="C3182" s="1" t="n">
        <v>46185</v>
      </c>
      <c r="D3182" t="inlineStr">
        <is>
          <t>VÄSTERNORRLANDS LÄN</t>
        </is>
      </c>
      <c r="E3182" t="inlineStr">
        <is>
          <t>SUNDSVALL</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49039-2023</t>
        </is>
      </c>
      <c r="B3183" s="1" t="n">
        <v>45209</v>
      </c>
      <c r="C3183" s="1" t="n">
        <v>46185</v>
      </c>
      <c r="D3183" t="inlineStr">
        <is>
          <t>VÄSTERNORRLANDS LÄN</t>
        </is>
      </c>
      <c r="E3183" t="inlineStr">
        <is>
          <t>HÄRNÖSAND</t>
        </is>
      </c>
      <c r="F3183" t="inlineStr">
        <is>
          <t>SCA</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28195-2025</t>
        </is>
      </c>
      <c r="B3184" s="1" t="n">
        <v>45818</v>
      </c>
      <c r="C3184" s="1" t="n">
        <v>46185</v>
      </c>
      <c r="D3184" t="inlineStr">
        <is>
          <t>VÄSTERNORRLANDS LÄN</t>
        </is>
      </c>
      <c r="E3184" t="inlineStr">
        <is>
          <t>SOLLEFTEÅ</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38768-2024</t>
        </is>
      </c>
      <c r="B3185" s="1" t="n">
        <v>45547.44892361111</v>
      </c>
      <c r="C3185" s="1" t="n">
        <v>46185</v>
      </c>
      <c r="D3185" t="inlineStr">
        <is>
          <t>VÄSTERNORRLANDS LÄN</t>
        </is>
      </c>
      <c r="E3185" t="inlineStr">
        <is>
          <t>SOLLEFTEÅ</t>
        </is>
      </c>
      <c r="F3185" t="inlineStr">
        <is>
          <t>SCA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39581-2025</t>
        </is>
      </c>
      <c r="B3186" s="1" t="n">
        <v>45890.49341435185</v>
      </c>
      <c r="C3186" s="1" t="n">
        <v>46185</v>
      </c>
      <c r="D3186" t="inlineStr">
        <is>
          <t>VÄSTERNORRLANDS LÄN</t>
        </is>
      </c>
      <c r="E3186" t="inlineStr">
        <is>
          <t>KRAMFORS</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27823-2025</t>
        </is>
      </c>
      <c r="B3187" s="1" t="n">
        <v>45817.34424768519</v>
      </c>
      <c r="C3187" s="1" t="n">
        <v>46185</v>
      </c>
      <c r="D3187" t="inlineStr">
        <is>
          <t>VÄSTERNORRLANDS LÄN</t>
        </is>
      </c>
      <c r="E3187" t="inlineStr">
        <is>
          <t>SUNDSVALL</t>
        </is>
      </c>
      <c r="F3187" t="inlineStr">
        <is>
          <t>SCA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30456-2024</t>
        </is>
      </c>
      <c r="B3188" s="1" t="n">
        <v>45491.94521990741</v>
      </c>
      <c r="C3188" s="1" t="n">
        <v>46185</v>
      </c>
      <c r="D3188" t="inlineStr">
        <is>
          <t>VÄSTERNORRLANDS LÄN</t>
        </is>
      </c>
      <c r="E3188" t="inlineStr">
        <is>
          <t>KRAMFORS</t>
        </is>
      </c>
      <c r="F3188" t="inlineStr">
        <is>
          <t>SCA</t>
        </is>
      </c>
      <c r="G3188" t="n">
        <v>13.4</v>
      </c>
      <c r="H3188" t="n">
        <v>0</v>
      </c>
      <c r="I3188" t="n">
        <v>0</v>
      </c>
      <c r="J3188" t="n">
        <v>0</v>
      </c>
      <c r="K3188" t="n">
        <v>0</v>
      </c>
      <c r="L3188" t="n">
        <v>0</v>
      </c>
      <c r="M3188" t="n">
        <v>0</v>
      </c>
      <c r="N3188" t="n">
        <v>0</v>
      </c>
      <c r="O3188" t="n">
        <v>0</v>
      </c>
      <c r="P3188" t="n">
        <v>0</v>
      </c>
      <c r="Q3188" t="n">
        <v>0</v>
      </c>
      <c r="R3188" s="2" t="inlineStr"/>
    </row>
    <row r="3189" ht="15" customHeight="1">
      <c r="A3189" t="inlineStr">
        <is>
          <t>A 30460-2024</t>
        </is>
      </c>
      <c r="B3189" s="1" t="n">
        <v>45491.945625</v>
      </c>
      <c r="C3189" s="1" t="n">
        <v>46185</v>
      </c>
      <c r="D3189" t="inlineStr">
        <is>
          <t>VÄSTERNORRLANDS LÄN</t>
        </is>
      </c>
      <c r="E3189" t="inlineStr">
        <is>
          <t>ÖRNSKÖLDSVIK</t>
        </is>
      </c>
      <c r="F3189" t="inlineStr">
        <is>
          <t>SCA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30464-2024</t>
        </is>
      </c>
      <c r="B3190" s="1" t="n">
        <v>45491.94599537037</v>
      </c>
      <c r="C3190" s="1" t="n">
        <v>46185</v>
      </c>
      <c r="D3190" t="inlineStr">
        <is>
          <t>VÄSTERNORRLANDS LÄN</t>
        </is>
      </c>
      <c r="E3190" t="inlineStr">
        <is>
          <t>SOLLEFTEÅ</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30466-2024</t>
        </is>
      </c>
      <c r="B3191" s="1" t="n">
        <v>45491.94641203704</v>
      </c>
      <c r="C3191" s="1" t="n">
        <v>46185</v>
      </c>
      <c r="D3191" t="inlineStr">
        <is>
          <t>VÄSTERNORRLANDS LÄN</t>
        </is>
      </c>
      <c r="E3191" t="inlineStr">
        <is>
          <t>SOLLEFTEÅ</t>
        </is>
      </c>
      <c r="F3191" t="inlineStr">
        <is>
          <t>SCA</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15449-2025</t>
        </is>
      </c>
      <c r="B3192" s="1" t="n">
        <v>45747.48884259259</v>
      </c>
      <c r="C3192" s="1" t="n">
        <v>46185</v>
      </c>
      <c r="D3192" t="inlineStr">
        <is>
          <t>VÄSTERNORRLANDS LÄN</t>
        </is>
      </c>
      <c r="E3192" t="inlineStr">
        <is>
          <t>ÖRNSKÖLDSVIK</t>
        </is>
      </c>
      <c r="F3192" t="inlineStr">
        <is>
          <t>Holmen skog AB</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5457-2023</t>
        </is>
      </c>
      <c r="B3193" s="1" t="n">
        <v>44959.94081018519</v>
      </c>
      <c r="C3193" s="1" t="n">
        <v>46185</v>
      </c>
      <c r="D3193" t="inlineStr">
        <is>
          <t>VÄSTERNORRLANDS LÄN</t>
        </is>
      </c>
      <c r="E3193" t="inlineStr">
        <is>
          <t>KRAMFORS</t>
        </is>
      </c>
      <c r="F3193" t="inlineStr">
        <is>
          <t>SCA</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73564-2021</t>
        </is>
      </c>
      <c r="B3194" s="1" t="n">
        <v>44551.9409375</v>
      </c>
      <c r="C3194" s="1" t="n">
        <v>46185</v>
      </c>
      <c r="D3194" t="inlineStr">
        <is>
          <t>VÄSTERNORRLANDS LÄN</t>
        </is>
      </c>
      <c r="E3194" t="inlineStr">
        <is>
          <t>SOLLEFTEÅ</t>
        </is>
      </c>
      <c r="F3194" t="inlineStr">
        <is>
          <t>SCA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28517-2025</t>
        </is>
      </c>
      <c r="B3195" s="1" t="n">
        <v>45819.48409722222</v>
      </c>
      <c r="C3195" s="1" t="n">
        <v>46185</v>
      </c>
      <c r="D3195" t="inlineStr">
        <is>
          <t>VÄSTERNORRLANDS LÄN</t>
        </is>
      </c>
      <c r="E3195" t="inlineStr">
        <is>
          <t>ÖRNSKÖLDSVIK</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39433-2025</t>
        </is>
      </c>
      <c r="B3196" s="1" t="n">
        <v>45889.67799768518</v>
      </c>
      <c r="C3196" s="1" t="n">
        <v>46185</v>
      </c>
      <c r="D3196" t="inlineStr">
        <is>
          <t>VÄSTERNORRLANDS LÄN</t>
        </is>
      </c>
      <c r="E3196" t="inlineStr">
        <is>
          <t>SOLLEFTEÅ</t>
        </is>
      </c>
      <c r="F3196" t="inlineStr">
        <is>
          <t>SCA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28405-2025</t>
        </is>
      </c>
      <c r="B3197" s="1" t="n">
        <v>45819.34549768519</v>
      </c>
      <c r="C3197" s="1" t="n">
        <v>46185</v>
      </c>
      <c r="D3197" t="inlineStr">
        <is>
          <t>VÄSTERNORRLANDS LÄN</t>
        </is>
      </c>
      <c r="E3197" t="inlineStr">
        <is>
          <t>TIMRÅ</t>
        </is>
      </c>
      <c r="F3197" t="inlineStr">
        <is>
          <t>SCA</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1590-2026</t>
        </is>
      </c>
      <c r="B3198" s="1" t="n">
        <v>46034.44326388889</v>
      </c>
      <c r="C3198" s="1" t="n">
        <v>46185</v>
      </c>
      <c r="D3198" t="inlineStr">
        <is>
          <t>VÄSTERNORRLANDS LÄN</t>
        </is>
      </c>
      <c r="E3198" t="inlineStr">
        <is>
          <t>KRAMFORS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28579-2025</t>
        </is>
      </c>
      <c r="B3199" s="1" t="n">
        <v>45819.57334490741</v>
      </c>
      <c r="C3199" s="1" t="n">
        <v>46185</v>
      </c>
      <c r="D3199" t="inlineStr">
        <is>
          <t>VÄSTERNORRLANDS LÄN</t>
        </is>
      </c>
      <c r="E3199" t="inlineStr">
        <is>
          <t>SOLLEFTEÅ</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28901-2025</t>
        </is>
      </c>
      <c r="B3200" s="1" t="n">
        <v>45820.64157407408</v>
      </c>
      <c r="C3200" s="1" t="n">
        <v>46185</v>
      </c>
      <c r="D3200" t="inlineStr">
        <is>
          <t>VÄSTERNORRLANDS LÄN</t>
        </is>
      </c>
      <c r="E3200" t="inlineStr">
        <is>
          <t>ÖRNSKÖLDSVIK</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1648-2026</t>
        </is>
      </c>
      <c r="B3201" s="1" t="n">
        <v>46034.52064814815</v>
      </c>
      <c r="C3201" s="1" t="n">
        <v>46185</v>
      </c>
      <c r="D3201" t="inlineStr">
        <is>
          <t>VÄSTERNORRLANDS LÄN</t>
        </is>
      </c>
      <c r="E3201" t="inlineStr">
        <is>
          <t>SUNDSVALL</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28388-2025</t>
        </is>
      </c>
      <c r="B3202" s="1" t="n">
        <v>45819.32322916666</v>
      </c>
      <c r="C3202" s="1" t="n">
        <v>46185</v>
      </c>
      <c r="D3202" t="inlineStr">
        <is>
          <t>VÄSTERNORRLANDS LÄN</t>
        </is>
      </c>
      <c r="E3202" t="inlineStr">
        <is>
          <t>HÄRNÖSAND</t>
        </is>
      </c>
      <c r="G3202" t="n">
        <v>10.7</v>
      </c>
      <c r="H3202" t="n">
        <v>0</v>
      </c>
      <c r="I3202" t="n">
        <v>0</v>
      </c>
      <c r="J3202" t="n">
        <v>0</v>
      </c>
      <c r="K3202" t="n">
        <v>0</v>
      </c>
      <c r="L3202" t="n">
        <v>0</v>
      </c>
      <c r="M3202" t="n">
        <v>0</v>
      </c>
      <c r="N3202" t="n">
        <v>0</v>
      </c>
      <c r="O3202" t="n">
        <v>0</v>
      </c>
      <c r="P3202" t="n">
        <v>0</v>
      </c>
      <c r="Q3202" t="n">
        <v>0</v>
      </c>
      <c r="R3202" s="2" t="inlineStr"/>
    </row>
    <row r="3203" ht="15" customHeight="1">
      <c r="A3203" t="inlineStr">
        <is>
          <t>A 28423-2025</t>
        </is>
      </c>
      <c r="B3203" s="1" t="n">
        <v>45819.36415509259</v>
      </c>
      <c r="C3203" s="1" t="n">
        <v>46185</v>
      </c>
      <c r="D3203" t="inlineStr">
        <is>
          <t>VÄSTERNORRLANDS LÄN</t>
        </is>
      </c>
      <c r="E3203" t="inlineStr">
        <is>
          <t>KRAMFORS</t>
        </is>
      </c>
      <c r="G3203" t="n">
        <v>9.5</v>
      </c>
      <c r="H3203" t="n">
        <v>0</v>
      </c>
      <c r="I3203" t="n">
        <v>0</v>
      </c>
      <c r="J3203" t="n">
        <v>0</v>
      </c>
      <c r="K3203" t="n">
        <v>0</v>
      </c>
      <c r="L3203" t="n">
        <v>0</v>
      </c>
      <c r="M3203" t="n">
        <v>0</v>
      </c>
      <c r="N3203" t="n">
        <v>0</v>
      </c>
      <c r="O3203" t="n">
        <v>0</v>
      </c>
      <c r="P3203" t="n">
        <v>0</v>
      </c>
      <c r="Q3203" t="n">
        <v>0</v>
      </c>
      <c r="R3203" s="2" t="inlineStr"/>
    </row>
    <row r="3204" ht="15" customHeight="1">
      <c r="A3204" t="inlineStr">
        <is>
          <t>A 15196-2024</t>
        </is>
      </c>
      <c r="B3204" s="1" t="n">
        <v>45400</v>
      </c>
      <c r="C3204" s="1" t="n">
        <v>46185</v>
      </c>
      <c r="D3204" t="inlineStr">
        <is>
          <t>VÄSTERNORRLANDS LÄN</t>
        </is>
      </c>
      <c r="E3204" t="inlineStr">
        <is>
          <t>ÖRNSKÖLDSVIK</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56170-2022</t>
        </is>
      </c>
      <c r="B3205" s="1" t="n">
        <v>44889</v>
      </c>
      <c r="C3205" s="1" t="n">
        <v>46185</v>
      </c>
      <c r="D3205" t="inlineStr">
        <is>
          <t>VÄSTERNORRLANDS LÄN</t>
        </is>
      </c>
      <c r="E3205" t="inlineStr">
        <is>
          <t>TIMRÅ</t>
        </is>
      </c>
      <c r="F3205" t="inlineStr">
        <is>
          <t>SCA</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52002-2022</t>
        </is>
      </c>
      <c r="B3206" s="1" t="n">
        <v>44872</v>
      </c>
      <c r="C3206" s="1" t="n">
        <v>46185</v>
      </c>
      <c r="D3206" t="inlineStr">
        <is>
          <t>VÄSTERNORRLANDS LÄN</t>
        </is>
      </c>
      <c r="E3206" t="inlineStr">
        <is>
          <t>KRAMFORS</t>
        </is>
      </c>
      <c r="G3206" t="n">
        <v>7.7</v>
      </c>
      <c r="H3206" t="n">
        <v>0</v>
      </c>
      <c r="I3206" t="n">
        <v>0</v>
      </c>
      <c r="J3206" t="n">
        <v>0</v>
      </c>
      <c r="K3206" t="n">
        <v>0</v>
      </c>
      <c r="L3206" t="n">
        <v>0</v>
      </c>
      <c r="M3206" t="n">
        <v>0</v>
      </c>
      <c r="N3206" t="n">
        <v>0</v>
      </c>
      <c r="O3206" t="n">
        <v>0</v>
      </c>
      <c r="P3206" t="n">
        <v>0</v>
      </c>
      <c r="Q3206" t="n">
        <v>0</v>
      </c>
      <c r="R3206" s="2" t="inlineStr"/>
    </row>
    <row r="3207" ht="15" customHeight="1">
      <c r="A3207" t="inlineStr">
        <is>
          <t>A 28686-2025</t>
        </is>
      </c>
      <c r="B3207" s="1" t="n">
        <v>45819</v>
      </c>
      <c r="C3207" s="1" t="n">
        <v>46185</v>
      </c>
      <c r="D3207" t="inlineStr">
        <is>
          <t>VÄSTERNORRLANDS LÄN</t>
        </is>
      </c>
      <c r="E3207" t="inlineStr">
        <is>
          <t>SOLLEFTEÅ</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16055-2024</t>
        </is>
      </c>
      <c r="B3208" s="1" t="n">
        <v>45406</v>
      </c>
      <c r="C3208" s="1" t="n">
        <v>46185</v>
      </c>
      <c r="D3208" t="inlineStr">
        <is>
          <t>VÄSTERNORRLANDS LÄN</t>
        </is>
      </c>
      <c r="E3208" t="inlineStr">
        <is>
          <t>TIMRÅ</t>
        </is>
      </c>
      <c r="F3208" t="inlineStr">
        <is>
          <t>SCA</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28709-2025</t>
        </is>
      </c>
      <c r="B3209" s="1" t="n">
        <v>45820.31811342593</v>
      </c>
      <c r="C3209" s="1" t="n">
        <v>46185</v>
      </c>
      <c r="D3209" t="inlineStr">
        <is>
          <t>VÄSTERNORRLANDS LÄN</t>
        </is>
      </c>
      <c r="E3209" t="inlineStr">
        <is>
          <t>KRAMFORS</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40175-2025</t>
        </is>
      </c>
      <c r="B3210" s="1" t="n">
        <v>45894.63609953703</v>
      </c>
      <c r="C3210" s="1" t="n">
        <v>46185</v>
      </c>
      <c r="D3210" t="inlineStr">
        <is>
          <t>VÄSTERNORRLANDS LÄN</t>
        </is>
      </c>
      <c r="E3210" t="inlineStr">
        <is>
          <t>SOLLEFTEÅ</t>
        </is>
      </c>
      <c r="F3210" t="inlineStr">
        <is>
          <t>SCA</t>
        </is>
      </c>
      <c r="G3210" t="n">
        <v>21.2</v>
      </c>
      <c r="H3210" t="n">
        <v>0</v>
      </c>
      <c r="I3210" t="n">
        <v>0</v>
      </c>
      <c r="J3210" t="n">
        <v>0</v>
      </c>
      <c r="K3210" t="n">
        <v>0</v>
      </c>
      <c r="L3210" t="n">
        <v>0</v>
      </c>
      <c r="M3210" t="n">
        <v>0</v>
      </c>
      <c r="N3210" t="n">
        <v>0</v>
      </c>
      <c r="O3210" t="n">
        <v>0</v>
      </c>
      <c r="P3210" t="n">
        <v>0</v>
      </c>
      <c r="Q3210" t="n">
        <v>0</v>
      </c>
      <c r="R3210" s="2" t="inlineStr"/>
    </row>
    <row r="3211" ht="15" customHeight="1">
      <c r="A3211" t="inlineStr">
        <is>
          <t>A 40205-2025</t>
        </is>
      </c>
      <c r="B3211" s="1" t="n">
        <v>45894.67706018518</v>
      </c>
      <c r="C3211" s="1" t="n">
        <v>46185</v>
      </c>
      <c r="D3211" t="inlineStr">
        <is>
          <t>VÄSTERNORRLANDS LÄN</t>
        </is>
      </c>
      <c r="E3211" t="inlineStr">
        <is>
          <t>ÖRNSKÖLDSVIK</t>
        </is>
      </c>
      <c r="F3211" t="inlineStr">
        <is>
          <t>Holmen skog AB</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28743-2025</t>
        </is>
      </c>
      <c r="B3212" s="1" t="n">
        <v>45820.38586805556</v>
      </c>
      <c r="C3212" s="1" t="n">
        <v>46185</v>
      </c>
      <c r="D3212" t="inlineStr">
        <is>
          <t>VÄSTERNORRLANDS LÄN</t>
        </is>
      </c>
      <c r="E3212" t="inlineStr">
        <is>
          <t>SOLLEFTEÅ</t>
        </is>
      </c>
      <c r="F3212" t="inlineStr">
        <is>
          <t>SCA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28788-2025</t>
        </is>
      </c>
      <c r="B3213" s="1" t="n">
        <v>45820.46898148148</v>
      </c>
      <c r="C3213" s="1" t="n">
        <v>46185</v>
      </c>
      <c r="D3213" t="inlineStr">
        <is>
          <t>VÄSTERNORRLANDS LÄN</t>
        </is>
      </c>
      <c r="E3213" t="inlineStr">
        <is>
          <t>ÖRNSKÖLDSVIK</t>
        </is>
      </c>
      <c r="F3213" t="inlineStr">
        <is>
          <t>Holmen skog AB</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28715-2025</t>
        </is>
      </c>
      <c r="B3214" s="1" t="n">
        <v>45820</v>
      </c>
      <c r="C3214" s="1" t="n">
        <v>46185</v>
      </c>
      <c r="D3214" t="inlineStr">
        <is>
          <t>VÄSTERNORRLANDS LÄN</t>
        </is>
      </c>
      <c r="E3214" t="inlineStr">
        <is>
          <t>SOLLEFTEÅ</t>
        </is>
      </c>
      <c r="F3214" t="inlineStr">
        <is>
          <t>SCA</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30894-2024</t>
        </is>
      </c>
      <c r="B3215" s="1" t="n">
        <v>45498.44967592593</v>
      </c>
      <c r="C3215" s="1" t="n">
        <v>46185</v>
      </c>
      <c r="D3215" t="inlineStr">
        <is>
          <t>VÄSTERNORRLANDS LÄN</t>
        </is>
      </c>
      <c r="E3215" t="inlineStr">
        <is>
          <t>ÖRNSKÖLDSVIK</t>
        </is>
      </c>
      <c r="F3215" t="inlineStr">
        <is>
          <t>Holmen skog AB</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39758-2025</t>
        </is>
      </c>
      <c r="B3216" s="1" t="n">
        <v>45891.43140046296</v>
      </c>
      <c r="C3216" s="1" t="n">
        <v>46185</v>
      </c>
      <c r="D3216" t="inlineStr">
        <is>
          <t>VÄSTERNORRLANDS LÄN</t>
        </is>
      </c>
      <c r="E3216" t="inlineStr">
        <is>
          <t>SUNDSVALL</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19463-2025</t>
        </is>
      </c>
      <c r="B3217" s="1" t="n">
        <v>45770</v>
      </c>
      <c r="C3217" s="1" t="n">
        <v>46185</v>
      </c>
      <c r="D3217" t="inlineStr">
        <is>
          <t>VÄSTERNORRLANDS LÄN</t>
        </is>
      </c>
      <c r="E3217" t="inlineStr">
        <is>
          <t>KRAMFORS</t>
        </is>
      </c>
      <c r="F3217" t="inlineStr">
        <is>
          <t>SCA</t>
        </is>
      </c>
      <c r="G3217" t="n">
        <v>17.1</v>
      </c>
      <c r="H3217" t="n">
        <v>0</v>
      </c>
      <c r="I3217" t="n">
        <v>0</v>
      </c>
      <c r="J3217" t="n">
        <v>0</v>
      </c>
      <c r="K3217" t="n">
        <v>0</v>
      </c>
      <c r="L3217" t="n">
        <v>0</v>
      </c>
      <c r="M3217" t="n">
        <v>0</v>
      </c>
      <c r="N3217" t="n">
        <v>0</v>
      </c>
      <c r="O3217" t="n">
        <v>0</v>
      </c>
      <c r="P3217" t="n">
        <v>0</v>
      </c>
      <c r="Q3217" t="n">
        <v>0</v>
      </c>
      <c r="R3217" s="2" t="inlineStr"/>
    </row>
    <row r="3218" ht="15" customHeight="1">
      <c r="A3218" t="inlineStr">
        <is>
          <t>A 18187-2024</t>
        </is>
      </c>
      <c r="B3218" s="1" t="n">
        <v>45420</v>
      </c>
      <c r="C3218" s="1" t="n">
        <v>46185</v>
      </c>
      <c r="D3218" t="inlineStr">
        <is>
          <t>VÄSTERNORRLANDS LÄN</t>
        </is>
      </c>
      <c r="E3218" t="inlineStr">
        <is>
          <t>KRAMFORS</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40192-2025</t>
        </is>
      </c>
      <c r="B3219" s="1" t="n">
        <v>45894.65702546296</v>
      </c>
      <c r="C3219" s="1" t="n">
        <v>46185</v>
      </c>
      <c r="D3219" t="inlineStr">
        <is>
          <t>VÄSTERNORRLANDS LÄN</t>
        </is>
      </c>
      <c r="E3219" t="inlineStr">
        <is>
          <t>TIMRÅ</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39771-2025</t>
        </is>
      </c>
      <c r="B3220" s="1" t="n">
        <v>45891.45181712963</v>
      </c>
      <c r="C3220" s="1" t="n">
        <v>46185</v>
      </c>
      <c r="D3220" t="inlineStr">
        <is>
          <t>VÄSTERNORRLANDS LÄN</t>
        </is>
      </c>
      <c r="E3220" t="inlineStr">
        <is>
          <t>SUNDSVALL</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40174-2025</t>
        </is>
      </c>
      <c r="B3221" s="1" t="n">
        <v>45894.63587962963</v>
      </c>
      <c r="C3221" s="1" t="n">
        <v>46185</v>
      </c>
      <c r="D3221" t="inlineStr">
        <is>
          <t>VÄSTERNORRLANDS LÄN</t>
        </is>
      </c>
      <c r="E3221" t="inlineStr">
        <is>
          <t>SOLLEFTEÅ</t>
        </is>
      </c>
      <c r="F3221" t="inlineStr">
        <is>
          <t>SCA</t>
        </is>
      </c>
      <c r="G3221" t="n">
        <v>9.6</v>
      </c>
      <c r="H3221" t="n">
        <v>0</v>
      </c>
      <c r="I3221" t="n">
        <v>0</v>
      </c>
      <c r="J3221" t="n">
        <v>0</v>
      </c>
      <c r="K3221" t="n">
        <v>0</v>
      </c>
      <c r="L3221" t="n">
        <v>0</v>
      </c>
      <c r="M3221" t="n">
        <v>0</v>
      </c>
      <c r="N3221" t="n">
        <v>0</v>
      </c>
      <c r="O3221" t="n">
        <v>0</v>
      </c>
      <c r="P3221" t="n">
        <v>0</v>
      </c>
      <c r="Q3221" t="n">
        <v>0</v>
      </c>
      <c r="R3221" s="2" t="inlineStr"/>
    </row>
    <row r="3222" ht="15" customHeight="1">
      <c r="A3222" t="inlineStr">
        <is>
          <t>A 40178-2025</t>
        </is>
      </c>
      <c r="B3222" s="1" t="n">
        <v>45894.6366087963</v>
      </c>
      <c r="C3222" s="1" t="n">
        <v>46185</v>
      </c>
      <c r="D3222" t="inlineStr">
        <is>
          <t>VÄSTERNORRLANDS LÄN</t>
        </is>
      </c>
      <c r="E3222" t="inlineStr">
        <is>
          <t>SUNDSVALL</t>
        </is>
      </c>
      <c r="F3222" t="inlineStr">
        <is>
          <t>Naturvårdsverket</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40049-2025</t>
        </is>
      </c>
      <c r="B3223" s="1" t="n">
        <v>45894</v>
      </c>
      <c r="C3223" s="1" t="n">
        <v>46185</v>
      </c>
      <c r="D3223" t="inlineStr">
        <is>
          <t>VÄSTERNORRLANDS LÄN</t>
        </is>
      </c>
      <c r="E3223" t="inlineStr">
        <is>
          <t>SOLLEFTEÅ</t>
        </is>
      </c>
      <c r="F3223" t="inlineStr">
        <is>
          <t>SCA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28674-2025</t>
        </is>
      </c>
      <c r="B3224" s="1" t="n">
        <v>45819.67739583334</v>
      </c>
      <c r="C3224" s="1" t="n">
        <v>46185</v>
      </c>
      <c r="D3224" t="inlineStr">
        <is>
          <t>VÄSTERNORRLANDS LÄN</t>
        </is>
      </c>
      <c r="E3224" t="inlineStr">
        <is>
          <t>TIMRÅ</t>
        </is>
      </c>
      <c r="F3224" t="inlineStr">
        <is>
          <t>SCA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42953-2024</t>
        </is>
      </c>
      <c r="B3225" s="1" t="n">
        <v>45567</v>
      </c>
      <c r="C3225" s="1" t="n">
        <v>46185</v>
      </c>
      <c r="D3225" t="inlineStr">
        <is>
          <t>VÄSTERNORRLANDS LÄN</t>
        </is>
      </c>
      <c r="E3225" t="inlineStr">
        <is>
          <t>ÅNGE</t>
        </is>
      </c>
      <c r="F3225" t="inlineStr">
        <is>
          <t>SCA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42968-2024</t>
        </is>
      </c>
      <c r="B3226" s="1" t="n">
        <v>45567</v>
      </c>
      <c r="C3226" s="1" t="n">
        <v>46185</v>
      </c>
      <c r="D3226" t="inlineStr">
        <is>
          <t>VÄSTERNORRLANDS LÄN</t>
        </is>
      </c>
      <c r="E3226" t="inlineStr">
        <is>
          <t>ÅNGE</t>
        </is>
      </c>
      <c r="F3226" t="inlineStr">
        <is>
          <t>SCA</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27696-2025</t>
        </is>
      </c>
      <c r="B3227" s="1" t="n">
        <v>45813</v>
      </c>
      <c r="C3227" s="1" t="n">
        <v>46185</v>
      </c>
      <c r="D3227" t="inlineStr">
        <is>
          <t>VÄSTERNORRLANDS LÄN</t>
        </is>
      </c>
      <c r="E3227" t="inlineStr">
        <is>
          <t>TIMRÅ</t>
        </is>
      </c>
      <c r="G3227" t="n">
        <v>6.3</v>
      </c>
      <c r="H3227" t="n">
        <v>0</v>
      </c>
      <c r="I3227" t="n">
        <v>0</v>
      </c>
      <c r="J3227" t="n">
        <v>0</v>
      </c>
      <c r="K3227" t="n">
        <v>0</v>
      </c>
      <c r="L3227" t="n">
        <v>0</v>
      </c>
      <c r="M3227" t="n">
        <v>0</v>
      </c>
      <c r="N3227" t="n">
        <v>0</v>
      </c>
      <c r="O3227" t="n">
        <v>0</v>
      </c>
      <c r="P3227" t="n">
        <v>0</v>
      </c>
      <c r="Q3227" t="n">
        <v>0</v>
      </c>
      <c r="R3227" s="2" t="inlineStr"/>
    </row>
    <row r="3228" ht="15" customHeight="1">
      <c r="A3228" t="inlineStr">
        <is>
          <t>A 55937-2022</t>
        </is>
      </c>
      <c r="B3228" s="1" t="n">
        <v>44889.37806712963</v>
      </c>
      <c r="C3228" s="1" t="n">
        <v>46185</v>
      </c>
      <c r="D3228" t="inlineStr">
        <is>
          <t>VÄSTERNORRLANDS LÄN</t>
        </is>
      </c>
      <c r="E3228" t="inlineStr">
        <is>
          <t>ÖRNSKÖLDSVIK</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38973-2025</t>
        </is>
      </c>
      <c r="B3229" s="1" t="n">
        <v>45887</v>
      </c>
      <c r="C3229" s="1" t="n">
        <v>46185</v>
      </c>
      <c r="D3229" t="inlineStr">
        <is>
          <t>VÄSTERNORRLANDS LÄN</t>
        </is>
      </c>
      <c r="E3229" t="inlineStr">
        <is>
          <t>SOLLEFTEÅ</t>
        </is>
      </c>
      <c r="F3229" t="inlineStr">
        <is>
          <t>SCA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40211-2024</t>
        </is>
      </c>
      <c r="B3230" s="1" t="n">
        <v>45554.59435185185</v>
      </c>
      <c r="C3230" s="1" t="n">
        <v>46185</v>
      </c>
      <c r="D3230" t="inlineStr">
        <is>
          <t>VÄSTERNORRLANDS LÄN</t>
        </is>
      </c>
      <c r="E3230" t="inlineStr">
        <is>
          <t>SOLLEFTEÅ</t>
        </is>
      </c>
      <c r="F3230" t="inlineStr">
        <is>
          <t>SCA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43664-2023</t>
        </is>
      </c>
      <c r="B3231" s="1" t="n">
        <v>45187.36067129629</v>
      </c>
      <c r="C3231" s="1" t="n">
        <v>46185</v>
      </c>
      <c r="D3231" t="inlineStr">
        <is>
          <t>VÄSTERNORRLANDS LÄN</t>
        </is>
      </c>
      <c r="E3231" t="inlineStr">
        <is>
          <t>ÖRNSKÖLDSVIK</t>
        </is>
      </c>
      <c r="F3231" t="inlineStr">
        <is>
          <t>Holmen skog AB</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15872-2024</t>
        </is>
      </c>
      <c r="B3232" s="1" t="n">
        <v>45405</v>
      </c>
      <c r="C3232" s="1" t="n">
        <v>46185</v>
      </c>
      <c r="D3232" t="inlineStr">
        <is>
          <t>VÄSTERNORRLANDS LÄN</t>
        </is>
      </c>
      <c r="E3232" t="inlineStr">
        <is>
          <t>SOLLEFTEÅ</t>
        </is>
      </c>
      <c r="G3232" t="n">
        <v>7.1</v>
      </c>
      <c r="H3232" t="n">
        <v>0</v>
      </c>
      <c r="I3232" t="n">
        <v>0</v>
      </c>
      <c r="J3232" t="n">
        <v>0</v>
      </c>
      <c r="K3232" t="n">
        <v>0</v>
      </c>
      <c r="L3232" t="n">
        <v>0</v>
      </c>
      <c r="M3232" t="n">
        <v>0</v>
      </c>
      <c r="N3232" t="n">
        <v>0</v>
      </c>
      <c r="O3232" t="n">
        <v>0</v>
      </c>
      <c r="P3232" t="n">
        <v>0</v>
      </c>
      <c r="Q3232" t="n">
        <v>0</v>
      </c>
      <c r="R3232" s="2" t="inlineStr"/>
    </row>
    <row r="3233" ht="15" customHeight="1">
      <c r="A3233" t="inlineStr">
        <is>
          <t>A 28799-2025</t>
        </is>
      </c>
      <c r="B3233" s="1" t="n">
        <v>45820.48527777778</v>
      </c>
      <c r="C3233" s="1" t="n">
        <v>46185</v>
      </c>
      <c r="D3233" t="inlineStr">
        <is>
          <t>VÄSTERNORRLANDS LÄN</t>
        </is>
      </c>
      <c r="E3233" t="inlineStr">
        <is>
          <t>ÖRNSKÖLDSVIK</t>
        </is>
      </c>
      <c r="F3233" t="inlineStr">
        <is>
          <t>Holmen skog AB</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21997-2023</t>
        </is>
      </c>
      <c r="B3234" s="1" t="n">
        <v>45068</v>
      </c>
      <c r="C3234" s="1" t="n">
        <v>46185</v>
      </c>
      <c r="D3234" t="inlineStr">
        <is>
          <t>VÄSTERNORRLANDS LÄN</t>
        </is>
      </c>
      <c r="E3234" t="inlineStr">
        <is>
          <t>SUNDSVALL</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59073-2022</t>
        </is>
      </c>
      <c r="B3235" s="1" t="n">
        <v>44897</v>
      </c>
      <c r="C3235" s="1" t="n">
        <v>46185</v>
      </c>
      <c r="D3235" t="inlineStr">
        <is>
          <t>VÄSTERNORRLANDS LÄN</t>
        </is>
      </c>
      <c r="E3235" t="inlineStr">
        <is>
          <t>HÄRNÖSAND</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2410-2025</t>
        </is>
      </c>
      <c r="B3236" s="1" t="n">
        <v>45674.36216435185</v>
      </c>
      <c r="C3236" s="1" t="n">
        <v>46185</v>
      </c>
      <c r="D3236" t="inlineStr">
        <is>
          <t>VÄSTERNORRLANDS LÄN</t>
        </is>
      </c>
      <c r="E3236" t="inlineStr">
        <is>
          <t>KRAMFORS</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28883-2025</t>
        </is>
      </c>
      <c r="B3237" s="1" t="n">
        <v>45820.62614583333</v>
      </c>
      <c r="C3237" s="1" t="n">
        <v>46185</v>
      </c>
      <c r="D3237" t="inlineStr">
        <is>
          <t>VÄSTERNORRLANDS LÄN</t>
        </is>
      </c>
      <c r="E3237" t="inlineStr">
        <is>
          <t>ÖRNSKÖLDSVIK</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40014-2025</t>
        </is>
      </c>
      <c r="B3238" s="1" t="n">
        <v>45894</v>
      </c>
      <c r="C3238" s="1" t="n">
        <v>46185</v>
      </c>
      <c r="D3238" t="inlineStr">
        <is>
          <t>VÄSTERNORRLANDS LÄN</t>
        </is>
      </c>
      <c r="E3238" t="inlineStr">
        <is>
          <t>SOLLEFTEÅ</t>
        </is>
      </c>
      <c r="F3238" t="inlineStr">
        <is>
          <t>SCA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28389-2025</t>
        </is>
      </c>
      <c r="B3239" s="1" t="n">
        <v>45819.3259837963</v>
      </c>
      <c r="C3239" s="1" t="n">
        <v>46185</v>
      </c>
      <c r="D3239" t="inlineStr">
        <is>
          <t>VÄSTERNORRLANDS LÄN</t>
        </is>
      </c>
      <c r="E3239" t="inlineStr">
        <is>
          <t>HÄRNÖSAND</t>
        </is>
      </c>
      <c r="G3239" t="n">
        <v>9.300000000000001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40048-2025</t>
        </is>
      </c>
      <c r="B3240" s="1" t="n">
        <v>45894.40679398148</v>
      </c>
      <c r="C3240" s="1" t="n">
        <v>46185</v>
      </c>
      <c r="D3240" t="inlineStr">
        <is>
          <t>VÄSTERNORRLANDS LÄN</t>
        </is>
      </c>
      <c r="E3240" t="inlineStr">
        <is>
          <t>SOLLEFTEÅ</t>
        </is>
      </c>
      <c r="F3240" t="inlineStr">
        <is>
          <t>SCA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39935-2025</t>
        </is>
      </c>
      <c r="B3241" s="1" t="n">
        <v>45891</v>
      </c>
      <c r="C3241" s="1" t="n">
        <v>46185</v>
      </c>
      <c r="D3241" t="inlineStr">
        <is>
          <t>VÄSTERNORRLANDS LÄN</t>
        </is>
      </c>
      <c r="E3241" t="inlineStr">
        <is>
          <t>SOLLEFTEÅ</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39714-2025</t>
        </is>
      </c>
      <c r="B3242" s="1" t="n">
        <v>45890.95637731482</v>
      </c>
      <c r="C3242" s="1" t="n">
        <v>46185</v>
      </c>
      <c r="D3242" t="inlineStr">
        <is>
          <t>VÄSTERNORRLANDS LÄN</t>
        </is>
      </c>
      <c r="E3242" t="inlineStr">
        <is>
          <t>KRAMFORS</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28707-2025</t>
        </is>
      </c>
      <c r="B3243" s="1" t="n">
        <v>45820.31575231482</v>
      </c>
      <c r="C3243" s="1" t="n">
        <v>46185</v>
      </c>
      <c r="D3243" t="inlineStr">
        <is>
          <t>VÄSTERNORRLANDS LÄN</t>
        </is>
      </c>
      <c r="E3243" t="inlineStr">
        <is>
          <t>ÖRNSKÖLDSVIK</t>
        </is>
      </c>
      <c r="F3243" t="inlineStr">
        <is>
          <t>Holmen skog AB</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28717-2025</t>
        </is>
      </c>
      <c r="B3244" s="1" t="n">
        <v>45820</v>
      </c>
      <c r="C3244" s="1" t="n">
        <v>46185</v>
      </c>
      <c r="D3244" t="inlineStr">
        <is>
          <t>VÄSTERNORRLANDS LÄN</t>
        </is>
      </c>
      <c r="E3244" t="inlineStr">
        <is>
          <t>ÅNGE</t>
        </is>
      </c>
      <c r="F3244" t="inlineStr">
        <is>
          <t>SCA</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39918-2025</t>
        </is>
      </c>
      <c r="B3245" s="1" t="n">
        <v>45891.66212962963</v>
      </c>
      <c r="C3245" s="1" t="n">
        <v>46185</v>
      </c>
      <c r="D3245" t="inlineStr">
        <is>
          <t>VÄSTERNORRLANDS LÄN</t>
        </is>
      </c>
      <c r="E3245" t="inlineStr">
        <is>
          <t>ÖRNSKÖLDSVIK</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1375-2026</t>
        </is>
      </c>
      <c r="B3246" s="1" t="n">
        <v>46031.61520833334</v>
      </c>
      <c r="C3246" s="1" t="n">
        <v>46185</v>
      </c>
      <c r="D3246" t="inlineStr">
        <is>
          <t>VÄSTERNORRLANDS LÄN</t>
        </is>
      </c>
      <c r="E3246" t="inlineStr">
        <is>
          <t>ÅNGE</t>
        </is>
      </c>
      <c r="F3246" t="inlineStr">
        <is>
          <t>SCA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2880-2025</t>
        </is>
      </c>
      <c r="B3247" s="1" t="n">
        <v>45677</v>
      </c>
      <c r="C3247" s="1" t="n">
        <v>46185</v>
      </c>
      <c r="D3247" t="inlineStr">
        <is>
          <t>VÄSTERNORRLANDS LÄN</t>
        </is>
      </c>
      <c r="E3247" t="inlineStr">
        <is>
          <t>SUNDSVALL</t>
        </is>
      </c>
      <c r="F3247" t="inlineStr">
        <is>
          <t>SCA</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40009-2025</t>
        </is>
      </c>
      <c r="B3248" s="1" t="n">
        <v>45894.34446759259</v>
      </c>
      <c r="C3248" s="1" t="n">
        <v>46185</v>
      </c>
      <c r="D3248" t="inlineStr">
        <is>
          <t>VÄSTERNORRLANDS LÄN</t>
        </is>
      </c>
      <c r="E3248" t="inlineStr">
        <is>
          <t>SOLLEFTEÅ</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40061-2025</t>
        </is>
      </c>
      <c r="B3249" s="1" t="n">
        <v>45894.42767361111</v>
      </c>
      <c r="C3249" s="1" t="n">
        <v>46185</v>
      </c>
      <c r="D3249" t="inlineStr">
        <is>
          <t>VÄSTERNORRLANDS LÄN</t>
        </is>
      </c>
      <c r="E3249" t="inlineStr">
        <is>
          <t>SUNDSVALL</t>
        </is>
      </c>
      <c r="F3249" t="inlineStr">
        <is>
          <t>Naturvårdsverket</t>
        </is>
      </c>
      <c r="G3249" t="n">
        <v>7.5</v>
      </c>
      <c r="H3249" t="n">
        <v>0</v>
      </c>
      <c r="I3249" t="n">
        <v>0</v>
      </c>
      <c r="J3249" t="n">
        <v>0</v>
      </c>
      <c r="K3249" t="n">
        <v>0</v>
      </c>
      <c r="L3249" t="n">
        <v>0</v>
      </c>
      <c r="M3249" t="n">
        <v>0</v>
      </c>
      <c r="N3249" t="n">
        <v>0</v>
      </c>
      <c r="O3249" t="n">
        <v>0</v>
      </c>
      <c r="P3249" t="n">
        <v>0</v>
      </c>
      <c r="Q3249" t="n">
        <v>0</v>
      </c>
      <c r="R3249" s="2" t="inlineStr"/>
    </row>
    <row r="3250" ht="15" customHeight="1">
      <c r="A3250" t="inlineStr">
        <is>
          <t>A 52368-2024</t>
        </is>
      </c>
      <c r="B3250" s="1" t="n">
        <v>45608</v>
      </c>
      <c r="C3250" s="1" t="n">
        <v>46185</v>
      </c>
      <c r="D3250" t="inlineStr">
        <is>
          <t>VÄSTERNORRLANDS LÄN</t>
        </is>
      </c>
      <c r="E3250" t="inlineStr">
        <is>
          <t>SUNDSVALL</t>
        </is>
      </c>
      <c r="G3250" t="n">
        <v>9.199999999999999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36487-2024</t>
        </is>
      </c>
      <c r="B3251" s="1" t="n">
        <v>45537.3865625</v>
      </c>
      <c r="C3251" s="1" t="n">
        <v>46185</v>
      </c>
      <c r="D3251" t="inlineStr">
        <is>
          <t>VÄSTERNORRLANDS LÄN</t>
        </is>
      </c>
      <c r="E3251" t="inlineStr">
        <is>
          <t>ÖRNSKÖLDSVIK</t>
        </is>
      </c>
      <c r="G3251" t="n">
        <v>5.4</v>
      </c>
      <c r="H3251" t="n">
        <v>0</v>
      </c>
      <c r="I3251" t="n">
        <v>0</v>
      </c>
      <c r="J3251" t="n">
        <v>0</v>
      </c>
      <c r="K3251" t="n">
        <v>0</v>
      </c>
      <c r="L3251" t="n">
        <v>0</v>
      </c>
      <c r="M3251" t="n">
        <v>0</v>
      </c>
      <c r="N3251" t="n">
        <v>0</v>
      </c>
      <c r="O3251" t="n">
        <v>0</v>
      </c>
      <c r="P3251" t="n">
        <v>0</v>
      </c>
      <c r="Q3251" t="n">
        <v>0</v>
      </c>
      <c r="R3251" s="2" t="inlineStr"/>
    </row>
    <row r="3252" ht="15" customHeight="1">
      <c r="A3252" t="inlineStr">
        <is>
          <t>A 54000-2024</t>
        </is>
      </c>
      <c r="B3252" s="1" t="n">
        <v>45616.36349537037</v>
      </c>
      <c r="C3252" s="1" t="n">
        <v>46185</v>
      </c>
      <c r="D3252" t="inlineStr">
        <is>
          <t>VÄSTERNORRLANDS LÄN</t>
        </is>
      </c>
      <c r="E3252" t="inlineStr">
        <is>
          <t>ÖRNSKÖLDSVIK</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39775-2025</t>
        </is>
      </c>
      <c r="B3253" s="1" t="n">
        <v>45891.46113425926</v>
      </c>
      <c r="C3253" s="1" t="n">
        <v>46185</v>
      </c>
      <c r="D3253" t="inlineStr">
        <is>
          <t>VÄSTERNORRLANDS LÄN</t>
        </is>
      </c>
      <c r="E3253" t="inlineStr">
        <is>
          <t>SUNDSVALL</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29233-2025</t>
        </is>
      </c>
      <c r="B3254" s="1" t="n">
        <v>45824.3446412037</v>
      </c>
      <c r="C3254" s="1" t="n">
        <v>46185</v>
      </c>
      <c r="D3254" t="inlineStr">
        <is>
          <t>VÄSTERNORRLANDS LÄN</t>
        </is>
      </c>
      <c r="E3254" t="inlineStr">
        <is>
          <t>HÄRNÖSAND</t>
        </is>
      </c>
      <c r="F3254" t="inlineStr">
        <is>
          <t>SCA</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28995-2025</t>
        </is>
      </c>
      <c r="B3255" s="1" t="n">
        <v>45821.38596064815</v>
      </c>
      <c r="C3255" s="1" t="n">
        <v>46185</v>
      </c>
      <c r="D3255" t="inlineStr">
        <is>
          <t>VÄSTERNORRLANDS LÄN</t>
        </is>
      </c>
      <c r="E3255" t="inlineStr">
        <is>
          <t>SOLLEFTEÅ</t>
        </is>
      </c>
      <c r="F3255" t="inlineStr">
        <is>
          <t>SCA</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28998-2025</t>
        </is>
      </c>
      <c r="B3256" s="1" t="n">
        <v>45821.38626157407</v>
      </c>
      <c r="C3256" s="1" t="n">
        <v>46185</v>
      </c>
      <c r="D3256" t="inlineStr">
        <is>
          <t>VÄSTERNORRLANDS LÄN</t>
        </is>
      </c>
      <c r="E3256" t="inlineStr">
        <is>
          <t>SOLLEFTEÅ</t>
        </is>
      </c>
      <c r="F3256" t="inlineStr">
        <is>
          <t>SCA</t>
        </is>
      </c>
      <c r="G3256" t="n">
        <v>14.2</v>
      </c>
      <c r="H3256" t="n">
        <v>0</v>
      </c>
      <c r="I3256" t="n">
        <v>0</v>
      </c>
      <c r="J3256" t="n">
        <v>0</v>
      </c>
      <c r="K3256" t="n">
        <v>0</v>
      </c>
      <c r="L3256" t="n">
        <v>0</v>
      </c>
      <c r="M3256" t="n">
        <v>0</v>
      </c>
      <c r="N3256" t="n">
        <v>0</v>
      </c>
      <c r="O3256" t="n">
        <v>0</v>
      </c>
      <c r="P3256" t="n">
        <v>0</v>
      </c>
      <c r="Q3256" t="n">
        <v>0</v>
      </c>
      <c r="R3256" s="2" t="inlineStr"/>
    </row>
    <row r="3257" ht="15" customHeight="1">
      <c r="A3257" t="inlineStr">
        <is>
          <t>A 24360-2023</t>
        </is>
      </c>
      <c r="B3257" s="1" t="n">
        <v>45082</v>
      </c>
      <c r="C3257" s="1" t="n">
        <v>46185</v>
      </c>
      <c r="D3257" t="inlineStr">
        <is>
          <t>VÄSTERNORRLANDS LÄN</t>
        </is>
      </c>
      <c r="E3257" t="inlineStr">
        <is>
          <t>SUNDSVALL</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40008-2025</t>
        </is>
      </c>
      <c r="B3258" s="1" t="n">
        <v>45894.34431712963</v>
      </c>
      <c r="C3258" s="1" t="n">
        <v>46185</v>
      </c>
      <c r="D3258" t="inlineStr">
        <is>
          <t>VÄSTERNORRLANDS LÄN</t>
        </is>
      </c>
      <c r="E3258" t="inlineStr">
        <is>
          <t>SOLLEFTEÅ</t>
        </is>
      </c>
      <c r="F3258" t="inlineStr">
        <is>
          <t>SCA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40716-2024</t>
        </is>
      </c>
      <c r="B3259" s="1" t="n">
        <v>45558.43896990741</v>
      </c>
      <c r="C3259" s="1" t="n">
        <v>46185</v>
      </c>
      <c r="D3259" t="inlineStr">
        <is>
          <t>VÄSTERNORRLANDS LÄN</t>
        </is>
      </c>
      <c r="E3259" t="inlineStr">
        <is>
          <t>HÄRNÖSAND</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29190-2025</t>
        </is>
      </c>
      <c r="B3260" s="1" t="n">
        <v>45822.42746527777</v>
      </c>
      <c r="C3260" s="1" t="n">
        <v>46185</v>
      </c>
      <c r="D3260" t="inlineStr">
        <is>
          <t>VÄSTERNORRLANDS LÄN</t>
        </is>
      </c>
      <c r="E3260" t="inlineStr">
        <is>
          <t>TIMRÅ</t>
        </is>
      </c>
      <c r="F3260" t="inlineStr">
        <is>
          <t>SCA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39765-2025</t>
        </is>
      </c>
      <c r="B3261" s="1" t="n">
        <v>45891.44422453704</v>
      </c>
      <c r="C3261" s="1" t="n">
        <v>46185</v>
      </c>
      <c r="D3261" t="inlineStr">
        <is>
          <t>VÄSTERNORRLANDS LÄN</t>
        </is>
      </c>
      <c r="E3261" t="inlineStr">
        <is>
          <t>SUNDSVALL</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39876-2025</t>
        </is>
      </c>
      <c r="B3262" s="1" t="n">
        <v>45891.61520833334</v>
      </c>
      <c r="C3262" s="1" t="n">
        <v>46185</v>
      </c>
      <c r="D3262" t="inlineStr">
        <is>
          <t>VÄSTERNORRLANDS LÄN</t>
        </is>
      </c>
      <c r="E3262" t="inlineStr">
        <is>
          <t>HÄRNÖSAND</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39757-2025</t>
        </is>
      </c>
      <c r="B3263" s="1" t="n">
        <v>45891.42677083334</v>
      </c>
      <c r="C3263" s="1" t="n">
        <v>46185</v>
      </c>
      <c r="D3263" t="inlineStr">
        <is>
          <t>VÄSTERNORRLANDS LÄN</t>
        </is>
      </c>
      <c r="E3263" t="inlineStr">
        <is>
          <t>SUNDSVALL</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39761-2025</t>
        </is>
      </c>
      <c r="B3264" s="1" t="n">
        <v>45891.43866898148</v>
      </c>
      <c r="C3264" s="1" t="n">
        <v>46185</v>
      </c>
      <c r="D3264" t="inlineStr">
        <is>
          <t>VÄSTERNORRLANDS LÄN</t>
        </is>
      </c>
      <c r="E3264" t="inlineStr">
        <is>
          <t>SUNDSVALL</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59038-2022</t>
        </is>
      </c>
      <c r="B3265" s="1" t="n">
        <v>44903.9496412037</v>
      </c>
      <c r="C3265" s="1" t="n">
        <v>46185</v>
      </c>
      <c r="D3265" t="inlineStr">
        <is>
          <t>VÄSTERNORRLANDS LÄN</t>
        </is>
      </c>
      <c r="E3265" t="inlineStr">
        <is>
          <t>SOLLEFTEÅ</t>
        </is>
      </c>
      <c r="F3265" t="inlineStr">
        <is>
          <t>SCA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40121-2025</t>
        </is>
      </c>
      <c r="B3266" s="1" t="n">
        <v>45894.52737268519</v>
      </c>
      <c r="C3266" s="1" t="n">
        <v>46185</v>
      </c>
      <c r="D3266" t="inlineStr">
        <is>
          <t>VÄSTERNORRLANDS LÄN</t>
        </is>
      </c>
      <c r="E3266" t="inlineStr">
        <is>
          <t>ÖRNSKÖLDSVIK</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38972-2025</t>
        </is>
      </c>
      <c r="B3267" s="1" t="n">
        <v>45887</v>
      </c>
      <c r="C3267" s="1" t="n">
        <v>46185</v>
      </c>
      <c r="D3267" t="inlineStr">
        <is>
          <t>VÄSTERNORRLANDS LÄN</t>
        </is>
      </c>
      <c r="E3267" t="inlineStr">
        <is>
          <t>SOLLEFTEÅ</t>
        </is>
      </c>
      <c r="F3267" t="inlineStr">
        <is>
          <t>SCA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40037-2025</t>
        </is>
      </c>
      <c r="B3268" s="1" t="n">
        <v>45894.39153935185</v>
      </c>
      <c r="C3268" s="1" t="n">
        <v>46185</v>
      </c>
      <c r="D3268" t="inlineStr">
        <is>
          <t>VÄSTERNORRLANDS LÄN</t>
        </is>
      </c>
      <c r="E3268" t="inlineStr">
        <is>
          <t>ÖRNSKÖLDSVIK</t>
        </is>
      </c>
      <c r="F3268" t="inlineStr">
        <is>
          <t>Holmen skog AB</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13234-2024</t>
        </is>
      </c>
      <c r="B3269" s="1" t="n">
        <v>45386</v>
      </c>
      <c r="C3269" s="1" t="n">
        <v>46185</v>
      </c>
      <c r="D3269" t="inlineStr">
        <is>
          <t>VÄSTERNORRLANDS LÄN</t>
        </is>
      </c>
      <c r="E3269" t="inlineStr">
        <is>
          <t>SUNDSVALL</t>
        </is>
      </c>
      <c r="F3269" t="inlineStr">
        <is>
          <t>Kommuner</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69820-2021</t>
        </is>
      </c>
      <c r="B3270" s="1" t="n">
        <v>44532</v>
      </c>
      <c r="C3270" s="1" t="n">
        <v>46185</v>
      </c>
      <c r="D3270" t="inlineStr">
        <is>
          <t>VÄSTERNORRLANDS LÄN</t>
        </is>
      </c>
      <c r="E3270" t="inlineStr">
        <is>
          <t>ÖRNSKÖLDSVIK</t>
        </is>
      </c>
      <c r="F3270" t="inlineStr">
        <is>
          <t>Holmen skog AB</t>
        </is>
      </c>
      <c r="G3270" t="n">
        <v>11.5</v>
      </c>
      <c r="H3270" t="n">
        <v>0</v>
      </c>
      <c r="I3270" t="n">
        <v>0</v>
      </c>
      <c r="J3270" t="n">
        <v>0</v>
      </c>
      <c r="K3270" t="n">
        <v>0</v>
      </c>
      <c r="L3270" t="n">
        <v>0</v>
      </c>
      <c r="M3270" t="n">
        <v>0</v>
      </c>
      <c r="N3270" t="n">
        <v>0</v>
      </c>
      <c r="O3270" t="n">
        <v>0</v>
      </c>
      <c r="P3270" t="n">
        <v>0</v>
      </c>
      <c r="Q3270" t="n">
        <v>0</v>
      </c>
      <c r="R3270" s="2" t="inlineStr"/>
    </row>
    <row r="3271" ht="15" customHeight="1">
      <c r="A3271" t="inlineStr">
        <is>
          <t>A 29039-2025</t>
        </is>
      </c>
      <c r="B3271" s="1" t="n">
        <v>45821.44844907407</v>
      </c>
      <c r="C3271" s="1" t="n">
        <v>46185</v>
      </c>
      <c r="D3271" t="inlineStr">
        <is>
          <t>VÄSTERNORRLANDS LÄN</t>
        </is>
      </c>
      <c r="E3271" t="inlineStr">
        <is>
          <t>SOLLEFTEÅ</t>
        </is>
      </c>
      <c r="F3271" t="inlineStr">
        <is>
          <t>SCA</t>
        </is>
      </c>
      <c r="G3271" t="n">
        <v>5.6</v>
      </c>
      <c r="H3271" t="n">
        <v>0</v>
      </c>
      <c r="I3271" t="n">
        <v>0</v>
      </c>
      <c r="J3271" t="n">
        <v>0</v>
      </c>
      <c r="K3271" t="n">
        <v>0</v>
      </c>
      <c r="L3271" t="n">
        <v>0</v>
      </c>
      <c r="M3271" t="n">
        <v>0</v>
      </c>
      <c r="N3271" t="n">
        <v>0</v>
      </c>
      <c r="O3271" t="n">
        <v>0</v>
      </c>
      <c r="P3271" t="n">
        <v>0</v>
      </c>
      <c r="Q3271" t="n">
        <v>0</v>
      </c>
      <c r="R3271" s="2" t="inlineStr"/>
    </row>
    <row r="3272" ht="15" customHeight="1">
      <c r="A3272" t="inlineStr">
        <is>
          <t>A 39760-2025</t>
        </is>
      </c>
      <c r="B3272" s="1" t="n">
        <v>45891.43445601852</v>
      </c>
      <c r="C3272" s="1" t="n">
        <v>46185</v>
      </c>
      <c r="D3272" t="inlineStr">
        <is>
          <t>VÄSTERNORRLANDS LÄN</t>
        </is>
      </c>
      <c r="E3272" t="inlineStr">
        <is>
          <t>SUNDSVALL</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39763-2025</t>
        </is>
      </c>
      <c r="B3273" s="1" t="n">
        <v>45891.44114583333</v>
      </c>
      <c r="C3273" s="1" t="n">
        <v>46185</v>
      </c>
      <c r="D3273" t="inlineStr">
        <is>
          <t>VÄSTERNORRLANDS LÄN</t>
        </is>
      </c>
      <c r="E3273" t="inlineStr">
        <is>
          <t>SUNDSVALL</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34560-2024</t>
        </is>
      </c>
      <c r="B3274" s="1" t="n">
        <v>45526.31116898148</v>
      </c>
      <c r="C3274" s="1" t="n">
        <v>46185</v>
      </c>
      <c r="D3274" t="inlineStr">
        <is>
          <t>VÄSTERNORRLANDS LÄN</t>
        </is>
      </c>
      <c r="E3274" t="inlineStr">
        <is>
          <t>SOLLEFTEÅ</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29291-2025</t>
        </is>
      </c>
      <c r="B3275" s="1" t="n">
        <v>45824.4409837963</v>
      </c>
      <c r="C3275" s="1" t="n">
        <v>46185</v>
      </c>
      <c r="D3275" t="inlineStr">
        <is>
          <t>VÄSTERNORRLANDS LÄN</t>
        </is>
      </c>
      <c r="E3275" t="inlineStr">
        <is>
          <t>ÖRNSKÖLDSVIK</t>
        </is>
      </c>
      <c r="F3275" t="inlineStr">
        <is>
          <t>Holmen skog AB</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5949-2023</t>
        </is>
      </c>
      <c r="B3276" s="1" t="n">
        <v>44963</v>
      </c>
      <c r="C3276" s="1" t="n">
        <v>46185</v>
      </c>
      <c r="D3276" t="inlineStr">
        <is>
          <t>VÄSTERNORRLANDS LÄN</t>
        </is>
      </c>
      <c r="E3276" t="inlineStr">
        <is>
          <t>SUNDSVALL</t>
        </is>
      </c>
      <c r="F3276" t="inlineStr">
        <is>
          <t>SCA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29405-2025</t>
        </is>
      </c>
      <c r="B3277" s="1" t="n">
        <v>45824.61528935185</v>
      </c>
      <c r="C3277" s="1" t="n">
        <v>46185</v>
      </c>
      <c r="D3277" t="inlineStr">
        <is>
          <t>VÄSTERNORRLANDS LÄN</t>
        </is>
      </c>
      <c r="E3277" t="inlineStr">
        <is>
          <t>ÖRNSKÖLDSVIK</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33004-2024</t>
        </is>
      </c>
      <c r="B3278" s="1" t="n">
        <v>45517</v>
      </c>
      <c r="C3278" s="1" t="n">
        <v>46185</v>
      </c>
      <c r="D3278" t="inlineStr">
        <is>
          <t>VÄSTERNORRLANDS LÄN</t>
        </is>
      </c>
      <c r="E3278" t="inlineStr">
        <is>
          <t>SUNDSVALL</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33042-2024</t>
        </is>
      </c>
      <c r="B3279" s="1" t="n">
        <v>45517.61229166666</v>
      </c>
      <c r="C3279" s="1" t="n">
        <v>46185</v>
      </c>
      <c r="D3279" t="inlineStr">
        <is>
          <t>VÄSTERNORRLANDS LÄN</t>
        </is>
      </c>
      <c r="E3279" t="inlineStr">
        <is>
          <t>SUNDSVALL</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29414-2025</t>
        </is>
      </c>
      <c r="B3280" s="1" t="n">
        <v>45824.62671296296</v>
      </c>
      <c r="C3280" s="1" t="n">
        <v>46185</v>
      </c>
      <c r="D3280" t="inlineStr">
        <is>
          <t>VÄSTERNORRLANDS LÄN</t>
        </is>
      </c>
      <c r="E3280" t="inlineStr">
        <is>
          <t>ÖRNSKÖLDSVIK</t>
        </is>
      </c>
      <c r="F3280" t="inlineStr">
        <is>
          <t>Holmen skog AB</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29480-2025</t>
        </is>
      </c>
      <c r="B3281" s="1" t="n">
        <v>45824.71908564815</v>
      </c>
      <c r="C3281" s="1" t="n">
        <v>46185</v>
      </c>
      <c r="D3281" t="inlineStr">
        <is>
          <t>VÄSTERNORRLANDS LÄN</t>
        </is>
      </c>
      <c r="E3281" t="inlineStr">
        <is>
          <t>TIMRÅ</t>
        </is>
      </c>
      <c r="F3281" t="inlineStr">
        <is>
          <t>SCA</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29053-2025</t>
        </is>
      </c>
      <c r="B3282" s="1" t="n">
        <v>45821</v>
      </c>
      <c r="C3282" s="1" t="n">
        <v>46185</v>
      </c>
      <c r="D3282" t="inlineStr">
        <is>
          <t>VÄSTERNORRLANDS LÄN</t>
        </is>
      </c>
      <c r="E3282" t="inlineStr">
        <is>
          <t>ÖRNSKÖLDSVIK</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29268-2025</t>
        </is>
      </c>
      <c r="B3283" s="1" t="n">
        <v>45824.4028125</v>
      </c>
      <c r="C3283" s="1" t="n">
        <v>46185</v>
      </c>
      <c r="D3283" t="inlineStr">
        <is>
          <t>VÄSTERNORRLANDS LÄN</t>
        </is>
      </c>
      <c r="E3283" t="inlineStr">
        <is>
          <t>ÖRNSKÖLDSVIK</t>
        </is>
      </c>
      <c r="F3283" t="inlineStr">
        <is>
          <t>Holmen skog AB</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34296-2024</t>
        </is>
      </c>
      <c r="B3284" s="1" t="n">
        <v>45524</v>
      </c>
      <c r="C3284" s="1" t="n">
        <v>46185</v>
      </c>
      <c r="D3284" t="inlineStr">
        <is>
          <t>VÄSTERNORRLANDS LÄN</t>
        </is>
      </c>
      <c r="E3284" t="inlineStr">
        <is>
          <t>SUNDSVALL</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29058-2025</t>
        </is>
      </c>
      <c r="B3285" s="1" t="n">
        <v>45821.48121527778</v>
      </c>
      <c r="C3285" s="1" t="n">
        <v>46185</v>
      </c>
      <c r="D3285" t="inlineStr">
        <is>
          <t>VÄSTERNORRLANDS LÄN</t>
        </is>
      </c>
      <c r="E3285" t="inlineStr">
        <is>
          <t>ÖRNSKÖLDSVIK</t>
        </is>
      </c>
      <c r="F3285" t="inlineStr">
        <is>
          <t>Holmen skog AB</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40465-2025</t>
        </is>
      </c>
      <c r="B3286" s="1" t="n">
        <v>45895.65664351852</v>
      </c>
      <c r="C3286" s="1" t="n">
        <v>46185</v>
      </c>
      <c r="D3286" t="inlineStr">
        <is>
          <t>VÄSTERNORRLANDS LÄN</t>
        </is>
      </c>
      <c r="E3286" t="inlineStr">
        <is>
          <t>SUNDSVALL</t>
        </is>
      </c>
      <c r="F3286" t="inlineStr">
        <is>
          <t>Naturvårdsverket</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24505-2025</t>
        </is>
      </c>
      <c r="B3287" s="1" t="n">
        <v>45798</v>
      </c>
      <c r="C3287" s="1" t="n">
        <v>46185</v>
      </c>
      <c r="D3287" t="inlineStr">
        <is>
          <t>VÄSTERNORRLANDS LÄN</t>
        </is>
      </c>
      <c r="E3287" t="inlineStr">
        <is>
          <t>ÖRNSKÖLDSVIK</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40665-2025</t>
        </is>
      </c>
      <c r="B3288" s="1" t="n">
        <v>45896.65663194445</v>
      </c>
      <c r="C3288" s="1" t="n">
        <v>46185</v>
      </c>
      <c r="D3288" t="inlineStr">
        <is>
          <t>VÄSTERNORRLANDS LÄN</t>
        </is>
      </c>
      <c r="E3288" t="inlineStr">
        <is>
          <t>ÅNGE</t>
        </is>
      </c>
      <c r="F3288" t="inlineStr">
        <is>
          <t>SCA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29153-2025</t>
        </is>
      </c>
      <c r="B3289" s="1" t="n">
        <v>45821.63574074074</v>
      </c>
      <c r="C3289" s="1" t="n">
        <v>46185</v>
      </c>
      <c r="D3289" t="inlineStr">
        <is>
          <t>VÄSTERNORRLANDS LÄN</t>
        </is>
      </c>
      <c r="E3289" t="inlineStr">
        <is>
          <t>ÅNGE</t>
        </is>
      </c>
      <c r="F3289" t="inlineStr">
        <is>
          <t>SCA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29223-2025</t>
        </is>
      </c>
      <c r="B3290" s="1" t="n">
        <v>45824.33246527778</v>
      </c>
      <c r="C3290" s="1" t="n">
        <v>46185</v>
      </c>
      <c r="D3290" t="inlineStr">
        <is>
          <t>VÄSTERNORRLANDS LÄN</t>
        </is>
      </c>
      <c r="E3290" t="inlineStr">
        <is>
          <t>ÖRNSKÖLDSVIK</t>
        </is>
      </c>
      <c r="F3290" t="inlineStr">
        <is>
          <t>Holmen skog AB</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29231-2025</t>
        </is>
      </c>
      <c r="B3291" s="1" t="n">
        <v>45824.34424768519</v>
      </c>
      <c r="C3291" s="1" t="n">
        <v>46185</v>
      </c>
      <c r="D3291" t="inlineStr">
        <is>
          <t>VÄSTERNORRLANDS LÄN</t>
        </is>
      </c>
      <c r="E3291" t="inlineStr">
        <is>
          <t>SUNDSVALL</t>
        </is>
      </c>
      <c r="F3291" t="inlineStr">
        <is>
          <t>Naturvårdsverket</t>
        </is>
      </c>
      <c r="G3291" t="n">
        <v>6.1</v>
      </c>
      <c r="H3291" t="n">
        <v>0</v>
      </c>
      <c r="I3291" t="n">
        <v>0</v>
      </c>
      <c r="J3291" t="n">
        <v>0</v>
      </c>
      <c r="K3291" t="n">
        <v>0</v>
      </c>
      <c r="L3291" t="n">
        <v>0</v>
      </c>
      <c r="M3291" t="n">
        <v>0</v>
      </c>
      <c r="N3291" t="n">
        <v>0</v>
      </c>
      <c r="O3291" t="n">
        <v>0</v>
      </c>
      <c r="P3291" t="n">
        <v>0</v>
      </c>
      <c r="Q3291" t="n">
        <v>0</v>
      </c>
      <c r="R3291" s="2" t="inlineStr"/>
    </row>
    <row r="3292" ht="15" customHeight="1">
      <c r="A3292" t="inlineStr">
        <is>
          <t>A 5145-2023</t>
        </is>
      </c>
      <c r="B3292" s="1" t="n">
        <v>44958</v>
      </c>
      <c r="C3292" s="1" t="n">
        <v>46185</v>
      </c>
      <c r="D3292" t="inlineStr">
        <is>
          <t>VÄSTERNORRLANDS LÄN</t>
        </is>
      </c>
      <c r="E3292" t="inlineStr">
        <is>
          <t>KRAMFORS</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5151-2023</t>
        </is>
      </c>
      <c r="B3293" s="1" t="n">
        <v>44958</v>
      </c>
      <c r="C3293" s="1" t="n">
        <v>46185</v>
      </c>
      <c r="D3293" t="inlineStr">
        <is>
          <t>VÄSTERNORRLANDS LÄN</t>
        </is>
      </c>
      <c r="E3293" t="inlineStr">
        <is>
          <t>KRAMFORS</t>
        </is>
      </c>
      <c r="G3293" t="n">
        <v>11.3</v>
      </c>
      <c r="H3293" t="n">
        <v>0</v>
      </c>
      <c r="I3293" t="n">
        <v>0</v>
      </c>
      <c r="J3293" t="n">
        <v>0</v>
      </c>
      <c r="K3293" t="n">
        <v>0</v>
      </c>
      <c r="L3293" t="n">
        <v>0</v>
      </c>
      <c r="M3293" t="n">
        <v>0</v>
      </c>
      <c r="N3293" t="n">
        <v>0</v>
      </c>
      <c r="O3293" t="n">
        <v>0</v>
      </c>
      <c r="P3293" t="n">
        <v>0</v>
      </c>
      <c r="Q3293" t="n">
        <v>0</v>
      </c>
      <c r="R3293" s="2" t="inlineStr"/>
    </row>
    <row r="3294" ht="15" customHeight="1">
      <c r="A3294" t="inlineStr">
        <is>
          <t>A 4050-2022</t>
        </is>
      </c>
      <c r="B3294" s="1" t="n">
        <v>44588</v>
      </c>
      <c r="C3294" s="1" t="n">
        <v>46185</v>
      </c>
      <c r="D3294" t="inlineStr">
        <is>
          <t>VÄSTERNORRLANDS LÄN</t>
        </is>
      </c>
      <c r="E3294" t="inlineStr">
        <is>
          <t>ÖRNSKÖLDSVIK</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34388-2024</t>
        </is>
      </c>
      <c r="B3295" s="1" t="n">
        <v>45525</v>
      </c>
      <c r="C3295" s="1" t="n">
        <v>46185</v>
      </c>
      <c r="D3295" t="inlineStr">
        <is>
          <t>VÄSTERNORRLANDS LÄN</t>
        </is>
      </c>
      <c r="E3295" t="inlineStr">
        <is>
          <t>SOLLEFTEÅ</t>
        </is>
      </c>
      <c r="F3295" t="inlineStr">
        <is>
          <t>SCA</t>
        </is>
      </c>
      <c r="G3295" t="n">
        <v>6.1</v>
      </c>
      <c r="H3295" t="n">
        <v>0</v>
      </c>
      <c r="I3295" t="n">
        <v>0</v>
      </c>
      <c r="J3295" t="n">
        <v>0</v>
      </c>
      <c r="K3295" t="n">
        <v>0</v>
      </c>
      <c r="L3295" t="n">
        <v>0</v>
      </c>
      <c r="M3295" t="n">
        <v>0</v>
      </c>
      <c r="N3295" t="n">
        <v>0</v>
      </c>
      <c r="O3295" t="n">
        <v>0</v>
      </c>
      <c r="P3295" t="n">
        <v>0</v>
      </c>
      <c r="Q3295" t="n">
        <v>0</v>
      </c>
      <c r="R3295" s="2" t="inlineStr"/>
    </row>
    <row r="3296" ht="15" customHeight="1">
      <c r="A3296" t="inlineStr">
        <is>
          <t>A 8230-2024</t>
        </is>
      </c>
      <c r="B3296" s="1" t="n">
        <v>45351.92850694444</v>
      </c>
      <c r="C3296" s="1" t="n">
        <v>46185</v>
      </c>
      <c r="D3296" t="inlineStr">
        <is>
          <t>VÄSTERNORRLANDS LÄN</t>
        </is>
      </c>
      <c r="E3296" t="inlineStr">
        <is>
          <t>SUNDSVALL</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40565-2025</t>
        </is>
      </c>
      <c r="B3297" s="1" t="n">
        <v>45896.46916666667</v>
      </c>
      <c r="C3297" s="1" t="n">
        <v>46185</v>
      </c>
      <c r="D3297" t="inlineStr">
        <is>
          <t>VÄSTERNORRLANDS LÄN</t>
        </is>
      </c>
      <c r="E3297" t="inlineStr">
        <is>
          <t>SUNDSVALL</t>
        </is>
      </c>
      <c r="F3297" t="inlineStr">
        <is>
          <t>SCA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1689-2023</t>
        </is>
      </c>
      <c r="B3298" s="1" t="n">
        <v>44936</v>
      </c>
      <c r="C3298" s="1" t="n">
        <v>46185</v>
      </c>
      <c r="D3298" t="inlineStr">
        <is>
          <t>VÄSTERNORRLANDS LÄN</t>
        </is>
      </c>
      <c r="E3298" t="inlineStr">
        <is>
          <t>ÖRNSKÖLDSVIK</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40252-2025</t>
        </is>
      </c>
      <c r="B3299" s="1" t="n">
        <v>45895.32119212963</v>
      </c>
      <c r="C3299" s="1" t="n">
        <v>46185</v>
      </c>
      <c r="D3299" t="inlineStr">
        <is>
          <t>VÄSTERNORRLANDS LÄN</t>
        </is>
      </c>
      <c r="E3299" t="inlineStr">
        <is>
          <t>ÖRNSKÖLDSVIK</t>
        </is>
      </c>
      <c r="F3299" t="inlineStr">
        <is>
          <t>Holmen skog AB</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28994-2025</t>
        </is>
      </c>
      <c r="B3300" s="1" t="n">
        <v>45821.38587962963</v>
      </c>
      <c r="C3300" s="1" t="n">
        <v>46185</v>
      </c>
      <c r="D3300" t="inlineStr">
        <is>
          <t>VÄSTERNORRLANDS LÄN</t>
        </is>
      </c>
      <c r="E3300" t="inlineStr">
        <is>
          <t>SOLLEFTEÅ</t>
        </is>
      </c>
      <c r="F3300" t="inlineStr">
        <is>
          <t>SCA</t>
        </is>
      </c>
      <c r="G3300" t="n">
        <v>10.8</v>
      </c>
      <c r="H3300" t="n">
        <v>0</v>
      </c>
      <c r="I3300" t="n">
        <v>0</v>
      </c>
      <c r="J3300" t="n">
        <v>0</v>
      </c>
      <c r="K3300" t="n">
        <v>0</v>
      </c>
      <c r="L3300" t="n">
        <v>0</v>
      </c>
      <c r="M3300" t="n">
        <v>0</v>
      </c>
      <c r="N3300" t="n">
        <v>0</v>
      </c>
      <c r="O3300" t="n">
        <v>0</v>
      </c>
      <c r="P3300" t="n">
        <v>0</v>
      </c>
      <c r="Q3300" t="n">
        <v>0</v>
      </c>
      <c r="R3300" s="2" t="inlineStr"/>
    </row>
    <row r="3301" ht="15" customHeight="1">
      <c r="A3301" t="inlineStr">
        <is>
          <t>A 29006-2025</t>
        </is>
      </c>
      <c r="B3301" s="1" t="n">
        <v>45821.39673611111</v>
      </c>
      <c r="C3301" s="1" t="n">
        <v>46185</v>
      </c>
      <c r="D3301" t="inlineStr">
        <is>
          <t>VÄSTERNORRLANDS LÄN</t>
        </is>
      </c>
      <c r="E3301" t="inlineStr">
        <is>
          <t>ÖRNSKÖLDSVIK</t>
        </is>
      </c>
      <c r="F3301" t="inlineStr">
        <is>
          <t>Holmen skog AB</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40478-2025</t>
        </is>
      </c>
      <c r="B3302" s="1" t="n">
        <v>45895.71155092592</v>
      </c>
      <c r="C3302" s="1" t="n">
        <v>46185</v>
      </c>
      <c r="D3302" t="inlineStr">
        <is>
          <t>VÄSTERNORRLANDS LÄN</t>
        </is>
      </c>
      <c r="E3302" t="inlineStr">
        <is>
          <t>ÖRNSKÖLDSVIK</t>
        </is>
      </c>
      <c r="F3302" t="inlineStr">
        <is>
          <t>Holmen skog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40484-2025</t>
        </is>
      </c>
      <c r="B3303" s="1" t="n">
        <v>45895</v>
      </c>
      <c r="C3303" s="1" t="n">
        <v>46185</v>
      </c>
      <c r="D3303" t="inlineStr">
        <is>
          <t>VÄSTERNORRLANDS LÄN</t>
        </is>
      </c>
      <c r="E3303" t="inlineStr">
        <is>
          <t>TIMRÅ</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40379-2025</t>
        </is>
      </c>
      <c r="B3304" s="1" t="n">
        <v>45895.53292824074</v>
      </c>
      <c r="C3304" s="1" t="n">
        <v>46185</v>
      </c>
      <c r="D3304" t="inlineStr">
        <is>
          <t>VÄSTERNORRLANDS LÄN</t>
        </is>
      </c>
      <c r="E3304" t="inlineStr">
        <is>
          <t>KRAMFORS</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40451-2025</t>
        </is>
      </c>
      <c r="B3305" s="1" t="n">
        <v>45895.6360300926</v>
      </c>
      <c r="C3305" s="1" t="n">
        <v>46185</v>
      </c>
      <c r="D3305" t="inlineStr">
        <is>
          <t>VÄSTERNORRLANDS LÄN</t>
        </is>
      </c>
      <c r="E3305" t="inlineStr">
        <is>
          <t>SUNDSVALL</t>
        </is>
      </c>
      <c r="F3305" t="inlineStr">
        <is>
          <t>Naturvårdsverket</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33241-2024</t>
        </is>
      </c>
      <c r="B3306" s="1" t="n">
        <v>45518.60484953703</v>
      </c>
      <c r="C3306" s="1" t="n">
        <v>46185</v>
      </c>
      <c r="D3306" t="inlineStr">
        <is>
          <t>VÄSTERNORRLANDS LÄN</t>
        </is>
      </c>
      <c r="E3306" t="inlineStr">
        <is>
          <t>SOLLEFTEÅ</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33296-2024</t>
        </is>
      </c>
      <c r="B3307" s="1" t="n">
        <v>45518</v>
      </c>
      <c r="C3307" s="1" t="n">
        <v>46185</v>
      </c>
      <c r="D3307" t="inlineStr">
        <is>
          <t>VÄSTERNORRLANDS LÄN</t>
        </is>
      </c>
      <c r="E3307" t="inlineStr">
        <is>
          <t>KRAMFORS</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28993-2025</t>
        </is>
      </c>
      <c r="B3308" s="1" t="n">
        <v>45821.38574074074</v>
      </c>
      <c r="C3308" s="1" t="n">
        <v>46185</v>
      </c>
      <c r="D3308" t="inlineStr">
        <is>
          <t>VÄSTERNORRLANDS LÄN</t>
        </is>
      </c>
      <c r="E3308" t="inlineStr">
        <is>
          <t>SOLLEFTEÅ</t>
        </is>
      </c>
      <c r="F3308" t="inlineStr">
        <is>
          <t>SCA</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29142-2025</t>
        </is>
      </c>
      <c r="B3309" s="1" t="n">
        <v>45821.61518518518</v>
      </c>
      <c r="C3309" s="1" t="n">
        <v>46185</v>
      </c>
      <c r="D3309" t="inlineStr">
        <is>
          <t>VÄSTERNORRLANDS LÄN</t>
        </is>
      </c>
      <c r="E3309" t="inlineStr">
        <is>
          <t>SOLLEFTEÅ</t>
        </is>
      </c>
      <c r="F3309" t="inlineStr">
        <is>
          <t>SCA</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29191-2025</t>
        </is>
      </c>
      <c r="B3310" s="1" t="n">
        <v>45822.42765046296</v>
      </c>
      <c r="C3310" s="1" t="n">
        <v>46185</v>
      </c>
      <c r="D3310" t="inlineStr">
        <is>
          <t>VÄSTERNORRLANDS LÄN</t>
        </is>
      </c>
      <c r="E3310" t="inlineStr">
        <is>
          <t>TIMRÅ</t>
        </is>
      </c>
      <c r="F3310" t="inlineStr">
        <is>
          <t>SCA</t>
        </is>
      </c>
      <c r="G3310" t="n">
        <v>17.5</v>
      </c>
      <c r="H3310" t="n">
        <v>0</v>
      </c>
      <c r="I3310" t="n">
        <v>0</v>
      </c>
      <c r="J3310" t="n">
        <v>0</v>
      </c>
      <c r="K3310" t="n">
        <v>0</v>
      </c>
      <c r="L3310" t="n">
        <v>0</v>
      </c>
      <c r="M3310" t="n">
        <v>0</v>
      </c>
      <c r="N3310" t="n">
        <v>0</v>
      </c>
      <c r="O3310" t="n">
        <v>0</v>
      </c>
      <c r="P3310" t="n">
        <v>0</v>
      </c>
      <c r="Q3310" t="n">
        <v>0</v>
      </c>
      <c r="R3310" s="2" t="inlineStr"/>
    </row>
    <row r="3311" ht="15" customHeight="1">
      <c r="A3311" t="inlineStr">
        <is>
          <t>A 40492-2025</t>
        </is>
      </c>
      <c r="B3311" s="1" t="n">
        <v>45896</v>
      </c>
      <c r="C3311" s="1" t="n">
        <v>46185</v>
      </c>
      <c r="D3311" t="inlineStr">
        <is>
          <t>VÄSTERNORRLANDS LÄN</t>
        </is>
      </c>
      <c r="E3311" t="inlineStr">
        <is>
          <t>SOLLEFTEÅ</t>
        </is>
      </c>
      <c r="F3311" t="inlineStr">
        <is>
          <t>Holmen skog AB</t>
        </is>
      </c>
      <c r="G3311" t="n">
        <v>7.8</v>
      </c>
      <c r="H3311" t="n">
        <v>0</v>
      </c>
      <c r="I3311" t="n">
        <v>0</v>
      </c>
      <c r="J3311" t="n">
        <v>0</v>
      </c>
      <c r="K3311" t="n">
        <v>0</v>
      </c>
      <c r="L3311" t="n">
        <v>0</v>
      </c>
      <c r="M3311" t="n">
        <v>0</v>
      </c>
      <c r="N3311" t="n">
        <v>0</v>
      </c>
      <c r="O3311" t="n">
        <v>0</v>
      </c>
      <c r="P3311" t="n">
        <v>0</v>
      </c>
      <c r="Q3311" t="n">
        <v>0</v>
      </c>
      <c r="R3311" s="2" t="inlineStr"/>
    </row>
    <row r="3312" ht="15" customHeight="1">
      <c r="A3312" t="inlineStr">
        <is>
          <t>A 50226-2023</t>
        </is>
      </c>
      <c r="B3312" s="1" t="n">
        <v>45215.94767361111</v>
      </c>
      <c r="C3312" s="1" t="n">
        <v>46185</v>
      </c>
      <c r="D3312" t="inlineStr">
        <is>
          <t>VÄSTERNORRLANDS LÄN</t>
        </is>
      </c>
      <c r="E3312" t="inlineStr">
        <is>
          <t>SOLLEFTEÅ</t>
        </is>
      </c>
      <c r="F3312" t="inlineStr">
        <is>
          <t>SCA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41478-2022</t>
        </is>
      </c>
      <c r="B3313" s="1" t="n">
        <v>44826.94892361111</v>
      </c>
      <c r="C3313" s="1" t="n">
        <v>46185</v>
      </c>
      <c r="D3313" t="inlineStr">
        <is>
          <t>VÄSTERNORRLANDS LÄN</t>
        </is>
      </c>
      <c r="E3313" t="inlineStr">
        <is>
          <t>SOLLEFTEÅ</t>
        </is>
      </c>
      <c r="F3313" t="inlineStr">
        <is>
          <t>SCA</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29044-2025</t>
        </is>
      </c>
      <c r="B3314" s="1" t="n">
        <v>45821.45762731481</v>
      </c>
      <c r="C3314" s="1" t="n">
        <v>46185</v>
      </c>
      <c r="D3314" t="inlineStr">
        <is>
          <t>VÄSTERNORRLANDS LÄN</t>
        </is>
      </c>
      <c r="E3314" t="inlineStr">
        <is>
          <t>ÖRNSKÖLDSVIK</t>
        </is>
      </c>
      <c r="F3314" t="inlineStr">
        <is>
          <t>Holmen skog AB</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29050-2025</t>
        </is>
      </c>
      <c r="B3315" s="1" t="n">
        <v>45821.46311342593</v>
      </c>
      <c r="C3315" s="1" t="n">
        <v>46185</v>
      </c>
      <c r="D3315" t="inlineStr">
        <is>
          <t>VÄSTERNORRLANDS LÄN</t>
        </is>
      </c>
      <c r="E3315" t="inlineStr">
        <is>
          <t>ÖRNSKÖLDSVIK</t>
        </is>
      </c>
      <c r="F3315" t="inlineStr">
        <is>
          <t>Holmen skog AB</t>
        </is>
      </c>
      <c r="G3315" t="n">
        <v>8.1</v>
      </c>
      <c r="H3315" t="n">
        <v>0</v>
      </c>
      <c r="I3315" t="n">
        <v>0</v>
      </c>
      <c r="J3315" t="n">
        <v>0</v>
      </c>
      <c r="K3315" t="n">
        <v>0</v>
      </c>
      <c r="L3315" t="n">
        <v>0</v>
      </c>
      <c r="M3315" t="n">
        <v>0</v>
      </c>
      <c r="N3315" t="n">
        <v>0</v>
      </c>
      <c r="O3315" t="n">
        <v>0</v>
      </c>
      <c r="P3315" t="n">
        <v>0</v>
      </c>
      <c r="Q3315" t="n">
        <v>0</v>
      </c>
      <c r="R3315" s="2" t="inlineStr"/>
    </row>
    <row r="3316" ht="15" customHeight="1">
      <c r="A3316" t="inlineStr">
        <is>
          <t>A 40259-2025</t>
        </is>
      </c>
      <c r="B3316" s="1" t="n">
        <v>45895.33097222223</v>
      </c>
      <c r="C3316" s="1" t="n">
        <v>46185</v>
      </c>
      <c r="D3316" t="inlineStr">
        <is>
          <t>VÄSTERNORRLANDS LÄN</t>
        </is>
      </c>
      <c r="E3316" t="inlineStr">
        <is>
          <t>ÖRNSKÖLDSVIK</t>
        </is>
      </c>
      <c r="F3316" t="inlineStr">
        <is>
          <t>Holmen skog AB</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5637-2023</t>
        </is>
      </c>
      <c r="B3317" s="1" t="n">
        <v>44960.59162037037</v>
      </c>
      <c r="C3317" s="1" t="n">
        <v>46185</v>
      </c>
      <c r="D3317" t="inlineStr">
        <is>
          <t>VÄSTERNORRLANDS LÄN</t>
        </is>
      </c>
      <c r="E3317" t="inlineStr">
        <is>
          <t>ÖRNSKÖLDSVIK</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57838-2022</t>
        </is>
      </c>
      <c r="B3318" s="1" t="n">
        <v>44897</v>
      </c>
      <c r="C3318" s="1" t="n">
        <v>46185</v>
      </c>
      <c r="D3318" t="inlineStr">
        <is>
          <t>VÄSTERNORRLANDS LÄN</t>
        </is>
      </c>
      <c r="E3318" t="inlineStr">
        <is>
          <t>SUNDSVALL</t>
        </is>
      </c>
      <c r="F3318" t="inlineStr">
        <is>
          <t>SCA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40516-2025</t>
        </is>
      </c>
      <c r="B3319" s="1" t="n">
        <v>45896.36337962963</v>
      </c>
      <c r="C3319" s="1" t="n">
        <v>46185</v>
      </c>
      <c r="D3319" t="inlineStr">
        <is>
          <t>VÄSTERNORRLANDS LÄN</t>
        </is>
      </c>
      <c r="E3319" t="inlineStr">
        <is>
          <t>ÖRNSKÖLDSVIK</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40304-2025</t>
        </is>
      </c>
      <c r="B3320" s="1" t="n">
        <v>45895.40690972222</v>
      </c>
      <c r="C3320" s="1" t="n">
        <v>46185</v>
      </c>
      <c r="D3320" t="inlineStr">
        <is>
          <t>VÄSTERNORRLANDS LÄN</t>
        </is>
      </c>
      <c r="E3320" t="inlineStr">
        <is>
          <t>SOLLEFTEÅ</t>
        </is>
      </c>
      <c r="F3320" t="inlineStr">
        <is>
          <t>SCA</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29796-2025</t>
        </is>
      </c>
      <c r="B3321" s="1" t="n">
        <v>45825.67310185185</v>
      </c>
      <c r="C3321" s="1" t="n">
        <v>46185</v>
      </c>
      <c r="D3321" t="inlineStr">
        <is>
          <t>VÄSTERNORRLANDS LÄN</t>
        </is>
      </c>
      <c r="E3321" t="inlineStr">
        <is>
          <t>ÖRNSKÖLDSVIK</t>
        </is>
      </c>
      <c r="F3321" t="inlineStr">
        <is>
          <t>Holmen skog AB</t>
        </is>
      </c>
      <c r="G3321" t="n">
        <v>6.7</v>
      </c>
      <c r="H3321" t="n">
        <v>0</v>
      </c>
      <c r="I3321" t="n">
        <v>0</v>
      </c>
      <c r="J3321" t="n">
        <v>0</v>
      </c>
      <c r="K3321" t="n">
        <v>0</v>
      </c>
      <c r="L3321" t="n">
        <v>0</v>
      </c>
      <c r="M3321" t="n">
        <v>0</v>
      </c>
      <c r="N3321" t="n">
        <v>0</v>
      </c>
      <c r="O3321" t="n">
        <v>0</v>
      </c>
      <c r="P3321" t="n">
        <v>0</v>
      </c>
      <c r="Q3321" t="n">
        <v>0</v>
      </c>
      <c r="R3321" s="2" t="inlineStr"/>
    </row>
    <row r="3322" ht="15" customHeight="1">
      <c r="A3322" t="inlineStr">
        <is>
          <t>A 21010-2023</t>
        </is>
      </c>
      <c r="B3322" s="1" t="n">
        <v>45061</v>
      </c>
      <c r="C3322" s="1" t="n">
        <v>46185</v>
      </c>
      <c r="D3322" t="inlineStr">
        <is>
          <t>VÄSTERNORRLANDS LÄN</t>
        </is>
      </c>
      <c r="E3322" t="inlineStr">
        <is>
          <t>SUNDSVALL</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30235-2025</t>
        </is>
      </c>
      <c r="B3323" s="1" t="n">
        <v>45826</v>
      </c>
      <c r="C3323" s="1" t="n">
        <v>46185</v>
      </c>
      <c r="D3323" t="inlineStr">
        <is>
          <t>VÄSTERNORRLANDS LÄN</t>
        </is>
      </c>
      <c r="E3323" t="inlineStr">
        <is>
          <t>ÖRNSKÖLDSVIK</t>
        </is>
      </c>
      <c r="G3323" t="n">
        <v>13.7</v>
      </c>
      <c r="H3323" t="n">
        <v>0</v>
      </c>
      <c r="I3323" t="n">
        <v>0</v>
      </c>
      <c r="J3323" t="n">
        <v>0</v>
      </c>
      <c r="K3323" t="n">
        <v>0</v>
      </c>
      <c r="L3323" t="n">
        <v>0</v>
      </c>
      <c r="M3323" t="n">
        <v>0</v>
      </c>
      <c r="N3323" t="n">
        <v>0</v>
      </c>
      <c r="O3323" t="n">
        <v>0</v>
      </c>
      <c r="P3323" t="n">
        <v>0</v>
      </c>
      <c r="Q3323" t="n">
        <v>0</v>
      </c>
      <c r="R3323" s="2" t="inlineStr"/>
    </row>
    <row r="3324" ht="15" customHeight="1">
      <c r="A3324" t="inlineStr">
        <is>
          <t>A 29862-2025</t>
        </is>
      </c>
      <c r="B3324" s="1" t="n">
        <v>45826.3465625</v>
      </c>
      <c r="C3324" s="1" t="n">
        <v>46185</v>
      </c>
      <c r="D3324" t="inlineStr">
        <is>
          <t>VÄSTERNORRLANDS LÄN</t>
        </is>
      </c>
      <c r="E3324" t="inlineStr">
        <is>
          <t>ÅNGE</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29882-2025</t>
        </is>
      </c>
      <c r="B3325" s="1" t="n">
        <v>45826.36548611111</v>
      </c>
      <c r="C3325" s="1" t="n">
        <v>46185</v>
      </c>
      <c r="D3325" t="inlineStr">
        <is>
          <t>VÄSTERNORRLANDS LÄN</t>
        </is>
      </c>
      <c r="E3325" t="inlineStr">
        <is>
          <t>ÅNGE</t>
        </is>
      </c>
      <c r="F3325" t="inlineStr">
        <is>
          <t>SCA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40655-2025</t>
        </is>
      </c>
      <c r="B3326" s="1" t="n">
        <v>45896.63645833333</v>
      </c>
      <c r="C3326" s="1" t="n">
        <v>46185</v>
      </c>
      <c r="D3326" t="inlineStr">
        <is>
          <t>VÄSTERNORRLANDS LÄN</t>
        </is>
      </c>
      <c r="E3326" t="inlineStr">
        <is>
          <t>SUNDSVALL</t>
        </is>
      </c>
      <c r="F3326" t="inlineStr">
        <is>
          <t>Naturvårdsverket</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40651-2025</t>
        </is>
      </c>
      <c r="B3327" s="1" t="n">
        <v>45896.63585648148</v>
      </c>
      <c r="C3327" s="1" t="n">
        <v>46185</v>
      </c>
      <c r="D3327" t="inlineStr">
        <is>
          <t>VÄSTERNORRLANDS LÄN</t>
        </is>
      </c>
      <c r="E3327" t="inlineStr">
        <is>
          <t>SOLLEFTEÅ</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40652-2025</t>
        </is>
      </c>
      <c r="B3328" s="1" t="n">
        <v>45896.6360300926</v>
      </c>
      <c r="C3328" s="1" t="n">
        <v>46185</v>
      </c>
      <c r="D3328" t="inlineStr">
        <is>
          <t>VÄSTERNORRLANDS LÄN</t>
        </is>
      </c>
      <c r="E3328" t="inlineStr">
        <is>
          <t>ÖRNSKÖLDSVIK</t>
        </is>
      </c>
      <c r="F3328" t="inlineStr">
        <is>
          <t>SCA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2277-2026</t>
        </is>
      </c>
      <c r="B3329" s="1" t="n">
        <v>46034</v>
      </c>
      <c r="C3329" s="1" t="n">
        <v>46185</v>
      </c>
      <c r="D3329" t="inlineStr">
        <is>
          <t>VÄSTERNORRLANDS LÄN</t>
        </is>
      </c>
      <c r="E3329" t="inlineStr">
        <is>
          <t>SUNDSVALL</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2283-2026</t>
        </is>
      </c>
      <c r="B3330" s="1" t="n">
        <v>46034</v>
      </c>
      <c r="C3330" s="1" t="n">
        <v>46185</v>
      </c>
      <c r="D3330" t="inlineStr">
        <is>
          <t>VÄSTERNORRLANDS LÄN</t>
        </is>
      </c>
      <c r="E3330" t="inlineStr">
        <is>
          <t>SUNDSVALL</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41305-2025</t>
        </is>
      </c>
      <c r="B3331" s="1" t="n">
        <v>45898.69850694444</v>
      </c>
      <c r="C3331" s="1" t="n">
        <v>46185</v>
      </c>
      <c r="D3331" t="inlineStr">
        <is>
          <t>VÄSTERNORRLANDS LÄN</t>
        </is>
      </c>
      <c r="E3331" t="inlineStr">
        <is>
          <t>SOLLEFTEÅ</t>
        </is>
      </c>
      <c r="F3331" t="inlineStr">
        <is>
          <t>SCA</t>
        </is>
      </c>
      <c r="G3331" t="n">
        <v>6.3</v>
      </c>
      <c r="H3331" t="n">
        <v>0</v>
      </c>
      <c r="I3331" t="n">
        <v>0</v>
      </c>
      <c r="J3331" t="n">
        <v>0</v>
      </c>
      <c r="K3331" t="n">
        <v>0</v>
      </c>
      <c r="L3331" t="n">
        <v>0</v>
      </c>
      <c r="M3331" t="n">
        <v>0</v>
      </c>
      <c r="N3331" t="n">
        <v>0</v>
      </c>
      <c r="O3331" t="n">
        <v>0</v>
      </c>
      <c r="P3331" t="n">
        <v>0</v>
      </c>
      <c r="Q3331" t="n">
        <v>0</v>
      </c>
      <c r="R3331" s="2" t="inlineStr"/>
    </row>
    <row r="3332" ht="15" customHeight="1">
      <c r="A3332" t="inlineStr">
        <is>
          <t>A 41033-2025</t>
        </is>
      </c>
      <c r="B3332" s="1" t="n">
        <v>45898.37877314815</v>
      </c>
      <c r="C3332" s="1" t="n">
        <v>46185</v>
      </c>
      <c r="D3332" t="inlineStr">
        <is>
          <t>VÄSTERNORRLANDS LÄN</t>
        </is>
      </c>
      <c r="E3332" t="inlineStr">
        <is>
          <t>KRAMFORS</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40957-2025</t>
        </is>
      </c>
      <c r="B3333" s="1" t="n">
        <v>45897.67841435185</v>
      </c>
      <c r="C3333" s="1" t="n">
        <v>46185</v>
      </c>
      <c r="D3333" t="inlineStr">
        <is>
          <t>VÄSTERNORRLANDS LÄN</t>
        </is>
      </c>
      <c r="E3333" t="inlineStr">
        <is>
          <t>SUNDSVALL</t>
        </is>
      </c>
      <c r="F3333" t="inlineStr">
        <is>
          <t>Naturvårdsverket</t>
        </is>
      </c>
      <c r="G3333" t="n">
        <v>8.5</v>
      </c>
      <c r="H3333" t="n">
        <v>0</v>
      </c>
      <c r="I3333" t="n">
        <v>0</v>
      </c>
      <c r="J3333" t="n">
        <v>0</v>
      </c>
      <c r="K3333" t="n">
        <v>0</v>
      </c>
      <c r="L3333" t="n">
        <v>0</v>
      </c>
      <c r="M3333" t="n">
        <v>0</v>
      </c>
      <c r="N3333" t="n">
        <v>0</v>
      </c>
      <c r="O3333" t="n">
        <v>0</v>
      </c>
      <c r="P3333" t="n">
        <v>0</v>
      </c>
      <c r="Q3333" t="n">
        <v>0</v>
      </c>
      <c r="R3333" s="2" t="inlineStr"/>
    </row>
    <row r="3334" ht="15" customHeight="1">
      <c r="A3334" t="inlineStr">
        <is>
          <t>A 41014-2025</t>
        </is>
      </c>
      <c r="B3334" s="1" t="n">
        <v>45898.35866898148</v>
      </c>
      <c r="C3334" s="1" t="n">
        <v>46185</v>
      </c>
      <c r="D3334" t="inlineStr">
        <is>
          <t>VÄSTERNORRLANDS LÄN</t>
        </is>
      </c>
      <c r="E3334" t="inlineStr">
        <is>
          <t>SUNDSVALL</t>
        </is>
      </c>
      <c r="F3334" t="inlineStr">
        <is>
          <t>Holmen skog AB</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1270-2026</t>
        </is>
      </c>
      <c r="B3335" s="1" t="n">
        <v>46031.46538194444</v>
      </c>
      <c r="C3335" s="1" t="n">
        <v>46185</v>
      </c>
      <c r="D3335" t="inlineStr">
        <is>
          <t>VÄSTERNORRLANDS LÄN</t>
        </is>
      </c>
      <c r="E3335" t="inlineStr">
        <is>
          <t>ÅNGE</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54841-2024</t>
        </is>
      </c>
      <c r="B3336" s="1" t="n">
        <v>45618</v>
      </c>
      <c r="C3336" s="1" t="n">
        <v>46185</v>
      </c>
      <c r="D3336" t="inlineStr">
        <is>
          <t>VÄSTERNORRLANDS LÄN</t>
        </is>
      </c>
      <c r="E3336" t="inlineStr">
        <is>
          <t>ÖRNSKÖLDSVIK</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49629-2024</t>
        </is>
      </c>
      <c r="B3337" s="1" t="n">
        <v>45596</v>
      </c>
      <c r="C3337" s="1" t="n">
        <v>46185</v>
      </c>
      <c r="D3337" t="inlineStr">
        <is>
          <t>VÄSTERNORRLANDS LÄN</t>
        </is>
      </c>
      <c r="E3337" t="inlineStr">
        <is>
          <t>SOLLEFTEÅ</t>
        </is>
      </c>
      <c r="F3337" t="inlineStr">
        <is>
          <t>SCA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40811-2025</t>
        </is>
      </c>
      <c r="B3338" s="1" t="n">
        <v>45897</v>
      </c>
      <c r="C3338" s="1" t="n">
        <v>46185</v>
      </c>
      <c r="D3338" t="inlineStr">
        <is>
          <t>VÄSTERNORRLANDS LÄN</t>
        </is>
      </c>
      <c r="E3338" t="inlineStr">
        <is>
          <t>SUNDSVALL</t>
        </is>
      </c>
      <c r="F3338" t="inlineStr">
        <is>
          <t>SCA</t>
        </is>
      </c>
      <c r="G3338" t="n">
        <v>9.1</v>
      </c>
      <c r="H3338" t="n">
        <v>0</v>
      </c>
      <c r="I3338" t="n">
        <v>0</v>
      </c>
      <c r="J3338" t="n">
        <v>0</v>
      </c>
      <c r="K3338" t="n">
        <v>0</v>
      </c>
      <c r="L3338" t="n">
        <v>0</v>
      </c>
      <c r="M3338" t="n">
        <v>0</v>
      </c>
      <c r="N3338" t="n">
        <v>0</v>
      </c>
      <c r="O3338" t="n">
        <v>0</v>
      </c>
      <c r="P3338" t="n">
        <v>0</v>
      </c>
      <c r="Q3338" t="n">
        <v>0</v>
      </c>
      <c r="R3338" s="2" t="inlineStr"/>
    </row>
    <row r="3339" ht="15" customHeight="1">
      <c r="A3339" t="inlineStr">
        <is>
          <t>A 29567-2025</t>
        </is>
      </c>
      <c r="B3339" s="1" t="n">
        <v>45825.36577546296</v>
      </c>
      <c r="C3339" s="1" t="n">
        <v>46185</v>
      </c>
      <c r="D3339" t="inlineStr">
        <is>
          <t>VÄSTERNORRLANDS LÄN</t>
        </is>
      </c>
      <c r="E3339" t="inlineStr">
        <is>
          <t>KRAMFORS</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29923-2025</t>
        </is>
      </c>
      <c r="B3340" s="1" t="n">
        <v>45826.42758101852</v>
      </c>
      <c r="C3340" s="1" t="n">
        <v>46185</v>
      </c>
      <c r="D3340" t="inlineStr">
        <is>
          <t>VÄSTERNORRLANDS LÄN</t>
        </is>
      </c>
      <c r="E3340" t="inlineStr">
        <is>
          <t>SUNDSVALL</t>
        </is>
      </c>
      <c r="F3340" t="inlineStr">
        <is>
          <t>Naturvårdsverket</t>
        </is>
      </c>
      <c r="G3340" t="n">
        <v>16.6</v>
      </c>
      <c r="H3340" t="n">
        <v>0</v>
      </c>
      <c r="I3340" t="n">
        <v>0</v>
      </c>
      <c r="J3340" t="n">
        <v>0</v>
      </c>
      <c r="K3340" t="n">
        <v>0</v>
      </c>
      <c r="L3340" t="n">
        <v>0</v>
      </c>
      <c r="M3340" t="n">
        <v>0</v>
      </c>
      <c r="N3340" t="n">
        <v>0</v>
      </c>
      <c r="O3340" t="n">
        <v>0</v>
      </c>
      <c r="P3340" t="n">
        <v>0</v>
      </c>
      <c r="Q3340" t="n">
        <v>0</v>
      </c>
      <c r="R3340" s="2" t="inlineStr"/>
    </row>
    <row r="3341" ht="15" customHeight="1">
      <c r="A3341" t="inlineStr">
        <is>
          <t>A 42100-2023</t>
        </is>
      </c>
      <c r="B3341" s="1" t="n">
        <v>45174</v>
      </c>
      <c r="C3341" s="1" t="n">
        <v>46185</v>
      </c>
      <c r="D3341" t="inlineStr">
        <is>
          <t>VÄSTERNORRLANDS LÄN</t>
        </is>
      </c>
      <c r="E3341" t="inlineStr">
        <is>
          <t>ÅNGE</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29762-2025</t>
        </is>
      </c>
      <c r="B3342" s="1" t="n">
        <v>45825.61826388889</v>
      </c>
      <c r="C3342" s="1" t="n">
        <v>46185</v>
      </c>
      <c r="D3342" t="inlineStr">
        <is>
          <t>VÄSTERNORRLANDS LÄN</t>
        </is>
      </c>
      <c r="E3342" t="inlineStr">
        <is>
          <t>SOLLEFTEÅ</t>
        </is>
      </c>
      <c r="F3342" t="inlineStr">
        <is>
          <t>SCA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29838-2025</t>
        </is>
      </c>
      <c r="B3343" s="1" t="n">
        <v>45826.27421296296</v>
      </c>
      <c r="C3343" s="1" t="n">
        <v>46185</v>
      </c>
      <c r="D3343" t="inlineStr">
        <is>
          <t>VÄSTERNORRLANDS LÄN</t>
        </is>
      </c>
      <c r="E3343" t="inlineStr">
        <is>
          <t>ÖRNSKÖLDSVIK</t>
        </is>
      </c>
      <c r="F3343" t="inlineStr">
        <is>
          <t>Holmen skog AB</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29973-2025</t>
        </is>
      </c>
      <c r="B3344" s="1" t="n">
        <v>45826.49049768518</v>
      </c>
      <c r="C3344" s="1" t="n">
        <v>46185</v>
      </c>
      <c r="D3344" t="inlineStr">
        <is>
          <t>VÄSTERNORRLANDS LÄN</t>
        </is>
      </c>
      <c r="E3344" t="inlineStr">
        <is>
          <t>SUNDSVALL</t>
        </is>
      </c>
      <c r="F3344" t="inlineStr">
        <is>
          <t>Naturvårdsverket</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30073-2025</t>
        </is>
      </c>
      <c r="B3345" s="1" t="n">
        <v>45826.63643518519</v>
      </c>
      <c r="C3345" s="1" t="n">
        <v>46185</v>
      </c>
      <c r="D3345" t="inlineStr">
        <is>
          <t>VÄSTERNORRLANDS LÄN</t>
        </is>
      </c>
      <c r="E3345" t="inlineStr">
        <is>
          <t>SOLLEFTEÅ</t>
        </is>
      </c>
      <c r="F3345" t="inlineStr">
        <is>
          <t>SCA</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30018-2025</t>
        </is>
      </c>
      <c r="B3346" s="1" t="n">
        <v>45826.55332175926</v>
      </c>
      <c r="C3346" s="1" t="n">
        <v>46185</v>
      </c>
      <c r="D3346" t="inlineStr">
        <is>
          <t>VÄSTERNORRLANDS LÄN</t>
        </is>
      </c>
      <c r="E3346" t="inlineStr">
        <is>
          <t>SOLLEFTEÅ</t>
        </is>
      </c>
      <c r="F3346" t="inlineStr">
        <is>
          <t>SCA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30020-2025</t>
        </is>
      </c>
      <c r="B3347" s="1" t="n">
        <v>45826.55337962963</v>
      </c>
      <c r="C3347" s="1" t="n">
        <v>46185</v>
      </c>
      <c r="D3347" t="inlineStr">
        <is>
          <t>VÄSTERNORRLANDS LÄN</t>
        </is>
      </c>
      <c r="E3347" t="inlineStr">
        <is>
          <t>SOLLEFTEÅ</t>
        </is>
      </c>
      <c r="F3347" t="inlineStr">
        <is>
          <t>SCA</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29540-2025</t>
        </is>
      </c>
      <c r="B3348" s="1" t="n">
        <v>45825.34538194445</v>
      </c>
      <c r="C3348" s="1" t="n">
        <v>46185</v>
      </c>
      <c r="D3348" t="inlineStr">
        <is>
          <t>VÄSTERNORRLANDS LÄN</t>
        </is>
      </c>
      <c r="E3348" t="inlineStr">
        <is>
          <t>HÄRNÖSAND</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29542-2025</t>
        </is>
      </c>
      <c r="B3349" s="1" t="n">
        <v>45825.34542824074</v>
      </c>
      <c r="C3349" s="1" t="n">
        <v>46185</v>
      </c>
      <c r="D3349" t="inlineStr">
        <is>
          <t>VÄSTERNORRLANDS LÄN</t>
        </is>
      </c>
      <c r="E3349" t="inlineStr">
        <is>
          <t>HÄRNÖSAND</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29548-2025</t>
        </is>
      </c>
      <c r="B3350" s="1" t="n">
        <v>45825.34561342592</v>
      </c>
      <c r="C3350" s="1" t="n">
        <v>46185</v>
      </c>
      <c r="D3350" t="inlineStr">
        <is>
          <t>VÄSTERNORRLANDS LÄN</t>
        </is>
      </c>
      <c r="E3350" t="inlineStr">
        <is>
          <t>HÄRNÖSAND</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29549-2025</t>
        </is>
      </c>
      <c r="B3351" s="1" t="n">
        <v>45825.34568287037</v>
      </c>
      <c r="C3351" s="1" t="n">
        <v>46185</v>
      </c>
      <c r="D3351" t="inlineStr">
        <is>
          <t>VÄSTERNORRLANDS LÄN</t>
        </is>
      </c>
      <c r="E3351" t="inlineStr">
        <is>
          <t>HÄRNÖSAND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29550-2025</t>
        </is>
      </c>
      <c r="B3352" s="1" t="n">
        <v>45825.34569444445</v>
      </c>
      <c r="C3352" s="1" t="n">
        <v>46185</v>
      </c>
      <c r="D3352" t="inlineStr">
        <is>
          <t>VÄSTERNORRLANDS LÄN</t>
        </is>
      </c>
      <c r="E3352" t="inlineStr">
        <is>
          <t>HÄRNÖSAND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29551-2025</t>
        </is>
      </c>
      <c r="B3353" s="1" t="n">
        <v>45825.34574074074</v>
      </c>
      <c r="C3353" s="1" t="n">
        <v>46185</v>
      </c>
      <c r="D3353" t="inlineStr">
        <is>
          <t>VÄSTERNORRLANDS LÄN</t>
        </is>
      </c>
      <c r="E3353" t="inlineStr">
        <is>
          <t>KRAMFORS</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40719-2025</t>
        </is>
      </c>
      <c r="B3354" s="1" t="n">
        <v>45897.34493055556</v>
      </c>
      <c r="C3354" s="1" t="n">
        <v>46185</v>
      </c>
      <c r="D3354" t="inlineStr">
        <is>
          <t>VÄSTERNORRLANDS LÄN</t>
        </is>
      </c>
      <c r="E3354" t="inlineStr">
        <is>
          <t>SUNDSVALL</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40722-2025</t>
        </is>
      </c>
      <c r="B3355" s="1" t="n">
        <v>45897.345</v>
      </c>
      <c r="C3355" s="1" t="n">
        <v>46185</v>
      </c>
      <c r="D3355" t="inlineStr">
        <is>
          <t>VÄSTERNORRLANDS LÄN</t>
        </is>
      </c>
      <c r="E3355" t="inlineStr">
        <is>
          <t>SUNDSVALL</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29955-2025</t>
        </is>
      </c>
      <c r="B3356" s="1" t="n">
        <v>45826.47030092592</v>
      </c>
      <c r="C3356" s="1" t="n">
        <v>46185</v>
      </c>
      <c r="D3356" t="inlineStr">
        <is>
          <t>VÄSTERNORRLANDS LÄN</t>
        </is>
      </c>
      <c r="E3356" t="inlineStr">
        <is>
          <t>SUNDSVALL</t>
        </is>
      </c>
      <c r="F3356" t="inlineStr">
        <is>
          <t>Naturvårdsverket</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1256-2026</t>
        </is>
      </c>
      <c r="B3357" s="1" t="n">
        <v>46031.44105324074</v>
      </c>
      <c r="C3357" s="1" t="n">
        <v>46185</v>
      </c>
      <c r="D3357" t="inlineStr">
        <is>
          <t>VÄSTERNORRLANDS LÄN</t>
        </is>
      </c>
      <c r="E3357" t="inlineStr">
        <is>
          <t>ÖRNSKÖLDSVIK</t>
        </is>
      </c>
      <c r="F3357" t="inlineStr">
        <is>
          <t>Holmen skog AB</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29990-2025</t>
        </is>
      </c>
      <c r="B3358" s="1" t="n">
        <v>45826.50177083333</v>
      </c>
      <c r="C3358" s="1" t="n">
        <v>46185</v>
      </c>
      <c r="D3358" t="inlineStr">
        <is>
          <t>VÄSTERNORRLANDS LÄN</t>
        </is>
      </c>
      <c r="E3358" t="inlineStr">
        <is>
          <t>KRAMFORS</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29954-2025</t>
        </is>
      </c>
      <c r="B3359" s="1" t="n">
        <v>45826.47004629629</v>
      </c>
      <c r="C3359" s="1" t="n">
        <v>46185</v>
      </c>
      <c r="D3359" t="inlineStr">
        <is>
          <t>VÄSTERNORRLANDS LÄN</t>
        </is>
      </c>
      <c r="E3359" t="inlineStr">
        <is>
          <t>SUNDSVALL</t>
        </is>
      </c>
      <c r="F3359" t="inlineStr">
        <is>
          <t>Naturvårdsverket</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29970-2025</t>
        </is>
      </c>
      <c r="B3360" s="1" t="n">
        <v>45826.49003472222</v>
      </c>
      <c r="C3360" s="1" t="n">
        <v>46185</v>
      </c>
      <c r="D3360" t="inlineStr">
        <is>
          <t>VÄSTERNORRLANDS LÄN</t>
        </is>
      </c>
      <c r="E3360" t="inlineStr">
        <is>
          <t>SUNDSVALL</t>
        </is>
      </c>
      <c r="F3360" t="inlineStr">
        <is>
          <t>Naturvårdsverket</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29552-2025</t>
        </is>
      </c>
      <c r="B3361" s="1" t="n">
        <v>45825.34577546296</v>
      </c>
      <c r="C3361" s="1" t="n">
        <v>46185</v>
      </c>
      <c r="D3361" t="inlineStr">
        <is>
          <t>VÄSTERNORRLANDS LÄN</t>
        </is>
      </c>
      <c r="E3361" t="inlineStr">
        <is>
          <t>KRAMFORS</t>
        </is>
      </c>
      <c r="G3361" t="n">
        <v>5.4</v>
      </c>
      <c r="H3361" t="n">
        <v>0</v>
      </c>
      <c r="I3361" t="n">
        <v>0</v>
      </c>
      <c r="J3361" t="n">
        <v>0</v>
      </c>
      <c r="K3361" t="n">
        <v>0</v>
      </c>
      <c r="L3361" t="n">
        <v>0</v>
      </c>
      <c r="M3361" t="n">
        <v>0</v>
      </c>
      <c r="N3361" t="n">
        <v>0</v>
      </c>
      <c r="O3361" t="n">
        <v>0</v>
      </c>
      <c r="P3361" t="n">
        <v>0</v>
      </c>
      <c r="Q3361" t="n">
        <v>0</v>
      </c>
      <c r="R3361" s="2" t="inlineStr"/>
    </row>
    <row r="3362" ht="15" customHeight="1">
      <c r="A3362" t="inlineStr">
        <is>
          <t>A 29603-2025</t>
        </is>
      </c>
      <c r="B3362" s="1" t="n">
        <v>45825.41664351852</v>
      </c>
      <c r="C3362" s="1" t="n">
        <v>46185</v>
      </c>
      <c r="D3362" t="inlineStr">
        <is>
          <t>VÄSTERNORRLANDS LÄN</t>
        </is>
      </c>
      <c r="E3362" t="inlineStr">
        <is>
          <t>KRAMFORS</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29609-2025</t>
        </is>
      </c>
      <c r="B3363" s="1" t="n">
        <v>45825.42101851852</v>
      </c>
      <c r="C3363" s="1" t="n">
        <v>46185</v>
      </c>
      <c r="D3363" t="inlineStr">
        <is>
          <t>VÄSTERNORRLANDS LÄN</t>
        </is>
      </c>
      <c r="E3363" t="inlineStr">
        <is>
          <t>KRAMFORS</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41103-2025</t>
        </is>
      </c>
      <c r="B3364" s="1" t="n">
        <v>45898.45410879629</v>
      </c>
      <c r="C3364" s="1" t="n">
        <v>46185</v>
      </c>
      <c r="D3364" t="inlineStr">
        <is>
          <t>VÄSTERNORRLANDS LÄN</t>
        </is>
      </c>
      <c r="E3364" t="inlineStr">
        <is>
          <t>ÖRNSKÖLDSVIK</t>
        </is>
      </c>
      <c r="F3364" t="inlineStr">
        <is>
          <t>Holmen skog AB</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29677-2025</t>
        </is>
      </c>
      <c r="B3365" s="1" t="n">
        <v>45825.50693287037</v>
      </c>
      <c r="C3365" s="1" t="n">
        <v>46185</v>
      </c>
      <c r="D3365" t="inlineStr">
        <is>
          <t>VÄSTERNORRLANDS LÄN</t>
        </is>
      </c>
      <c r="E3365" t="inlineStr">
        <is>
          <t>ÖRNSKÖLDSVIK</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29679-2025</t>
        </is>
      </c>
      <c r="B3366" s="1" t="n">
        <v>45825.50856481482</v>
      </c>
      <c r="C3366" s="1" t="n">
        <v>46185</v>
      </c>
      <c r="D3366" t="inlineStr">
        <is>
          <t>VÄSTERNORRLANDS LÄN</t>
        </is>
      </c>
      <c r="E3366" t="inlineStr">
        <is>
          <t>KRAMFORS</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29543-2025</t>
        </is>
      </c>
      <c r="B3367" s="1" t="n">
        <v>45825.34547453704</v>
      </c>
      <c r="C3367" s="1" t="n">
        <v>46185</v>
      </c>
      <c r="D3367" t="inlineStr">
        <is>
          <t>VÄSTERNORRLANDS LÄN</t>
        </is>
      </c>
      <c r="E3367" t="inlineStr">
        <is>
          <t>HÄRNÖSAND</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29562-2025</t>
        </is>
      </c>
      <c r="B3368" s="1" t="n">
        <v>45825</v>
      </c>
      <c r="C3368" s="1" t="n">
        <v>46185</v>
      </c>
      <c r="D3368" t="inlineStr">
        <is>
          <t>VÄSTERNORRLANDS LÄN</t>
        </is>
      </c>
      <c r="E3368" t="inlineStr">
        <is>
          <t>SOLLEFTEÅ</t>
        </is>
      </c>
      <c r="F3368" t="inlineStr">
        <is>
          <t>SCA</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29564-2025</t>
        </is>
      </c>
      <c r="B3369" s="1" t="n">
        <v>45825.365625</v>
      </c>
      <c r="C3369" s="1" t="n">
        <v>46185</v>
      </c>
      <c r="D3369" t="inlineStr">
        <is>
          <t>VÄSTERNORRLANDS LÄN</t>
        </is>
      </c>
      <c r="E3369" t="inlineStr">
        <is>
          <t>ÖRNSKÖLDSVIK</t>
        </is>
      </c>
      <c r="F3369" t="inlineStr">
        <is>
          <t>SCA</t>
        </is>
      </c>
      <c r="G3369" t="n">
        <v>32.2</v>
      </c>
      <c r="H3369" t="n">
        <v>0</v>
      </c>
      <c r="I3369" t="n">
        <v>0</v>
      </c>
      <c r="J3369" t="n">
        <v>0</v>
      </c>
      <c r="K3369" t="n">
        <v>0</v>
      </c>
      <c r="L3369" t="n">
        <v>0</v>
      </c>
      <c r="M3369" t="n">
        <v>0</v>
      </c>
      <c r="N3369" t="n">
        <v>0</v>
      </c>
      <c r="O3369" t="n">
        <v>0</v>
      </c>
      <c r="P3369" t="n">
        <v>0</v>
      </c>
      <c r="Q3369" t="n">
        <v>0</v>
      </c>
      <c r="R3369" s="2" t="inlineStr"/>
    </row>
    <row r="3370" ht="15" customHeight="1">
      <c r="A3370" t="inlineStr">
        <is>
          <t>A 54584-2024</t>
        </is>
      </c>
      <c r="B3370" s="1" t="n">
        <v>45617.65747685185</v>
      </c>
      <c r="C3370" s="1" t="n">
        <v>46185</v>
      </c>
      <c r="D3370" t="inlineStr">
        <is>
          <t>VÄSTERNORRLANDS LÄN</t>
        </is>
      </c>
      <c r="E3370" t="inlineStr">
        <is>
          <t>SUNDSVALL</t>
        </is>
      </c>
      <c r="F3370" t="inlineStr">
        <is>
          <t>SCA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1274-2026</t>
        </is>
      </c>
      <c r="B3371" s="1" t="n">
        <v>46031.47092592593</v>
      </c>
      <c r="C3371" s="1" t="n">
        <v>46185</v>
      </c>
      <c r="D3371" t="inlineStr">
        <is>
          <t>VÄSTERNORRLANDS LÄN</t>
        </is>
      </c>
      <c r="E3371" t="inlineStr">
        <is>
          <t>SUNDSVALL</t>
        </is>
      </c>
      <c r="G3371" t="n">
        <v>5.5</v>
      </c>
      <c r="H3371" t="n">
        <v>0</v>
      </c>
      <c r="I3371" t="n">
        <v>0</v>
      </c>
      <c r="J3371" t="n">
        <v>0</v>
      </c>
      <c r="K3371" t="n">
        <v>0</v>
      </c>
      <c r="L3371" t="n">
        <v>0</v>
      </c>
      <c r="M3371" t="n">
        <v>0</v>
      </c>
      <c r="N3371" t="n">
        <v>0</v>
      </c>
      <c r="O3371" t="n">
        <v>0</v>
      </c>
      <c r="P3371" t="n">
        <v>0</v>
      </c>
      <c r="Q3371" t="n">
        <v>0</v>
      </c>
      <c r="R3371" s="2" t="inlineStr"/>
    </row>
    <row r="3372" ht="15" customHeight="1">
      <c r="A3372" t="inlineStr">
        <is>
          <t>A 1547-2026</t>
        </is>
      </c>
      <c r="B3372" s="1" t="n">
        <v>46034.38689814815</v>
      </c>
      <c r="C3372" s="1" t="n">
        <v>46185</v>
      </c>
      <c r="D3372" t="inlineStr">
        <is>
          <t>VÄSTERNORRLANDS LÄN</t>
        </is>
      </c>
      <c r="E3372" t="inlineStr">
        <is>
          <t>ÅNGE</t>
        </is>
      </c>
      <c r="F3372" t="inlineStr">
        <is>
          <t>SCA</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54622-2024</t>
        </is>
      </c>
      <c r="B3373" s="1" t="n">
        <v>45617.76491898148</v>
      </c>
      <c r="C3373" s="1" t="n">
        <v>46185</v>
      </c>
      <c r="D3373" t="inlineStr">
        <is>
          <t>VÄSTERNORRLANDS LÄN</t>
        </is>
      </c>
      <c r="E3373" t="inlineStr">
        <is>
          <t>ÖRNSKÖLDSVIK</t>
        </is>
      </c>
      <c r="F3373" t="inlineStr">
        <is>
          <t>Holmen skog AB</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40898-2025</t>
        </is>
      </c>
      <c r="B3374" s="1" t="n">
        <v>45897.61503472222</v>
      </c>
      <c r="C3374" s="1" t="n">
        <v>46185</v>
      </c>
      <c r="D3374" t="inlineStr">
        <is>
          <t>VÄSTERNORRLANDS LÄN</t>
        </is>
      </c>
      <c r="E3374" t="inlineStr">
        <is>
          <t>ÅNGE</t>
        </is>
      </c>
      <c r="F3374" t="inlineStr">
        <is>
          <t>SCA</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40899-2025</t>
        </is>
      </c>
      <c r="B3375" s="1" t="n">
        <v>45897.61528935185</v>
      </c>
      <c r="C3375" s="1" t="n">
        <v>46185</v>
      </c>
      <c r="D3375" t="inlineStr">
        <is>
          <t>VÄSTERNORRLANDS LÄN</t>
        </is>
      </c>
      <c r="E3375" t="inlineStr">
        <is>
          <t>ÅNGE</t>
        </is>
      </c>
      <c r="F3375" t="inlineStr">
        <is>
          <t>SCA</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1790-2025</t>
        </is>
      </c>
      <c r="B3376" s="1" t="n">
        <v>45670</v>
      </c>
      <c r="C3376" s="1" t="n">
        <v>46185</v>
      </c>
      <c r="D3376" t="inlineStr">
        <is>
          <t>VÄSTERNORRLANDS LÄN</t>
        </is>
      </c>
      <c r="E3376" t="inlineStr">
        <is>
          <t>ÖRNSKÖLDSVIK</t>
        </is>
      </c>
      <c r="G3376" t="n">
        <v>8.1</v>
      </c>
      <c r="H3376" t="n">
        <v>0</v>
      </c>
      <c r="I3376" t="n">
        <v>0</v>
      </c>
      <c r="J3376" t="n">
        <v>0</v>
      </c>
      <c r="K3376" t="n">
        <v>0</v>
      </c>
      <c r="L3376" t="n">
        <v>0</v>
      </c>
      <c r="M3376" t="n">
        <v>0</v>
      </c>
      <c r="N3376" t="n">
        <v>0</v>
      </c>
      <c r="O3376" t="n">
        <v>0</v>
      </c>
      <c r="P3376" t="n">
        <v>0</v>
      </c>
      <c r="Q3376" t="n">
        <v>0</v>
      </c>
      <c r="R3376" s="2" t="inlineStr"/>
    </row>
    <row r="3377" ht="15" customHeight="1">
      <c r="A3377" t="inlineStr">
        <is>
          <t>A 41040-2025</t>
        </is>
      </c>
      <c r="B3377" s="1" t="n">
        <v>45898.39055555555</v>
      </c>
      <c r="C3377" s="1" t="n">
        <v>46185</v>
      </c>
      <c r="D3377" t="inlineStr">
        <is>
          <t>VÄSTERNORRLANDS LÄN</t>
        </is>
      </c>
      <c r="E3377" t="inlineStr">
        <is>
          <t>KRAMFORS</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51431-2024</t>
        </is>
      </c>
      <c r="B3378" s="1" t="n">
        <v>45604</v>
      </c>
      <c r="C3378" s="1" t="n">
        <v>46185</v>
      </c>
      <c r="D3378" t="inlineStr">
        <is>
          <t>VÄSTERNORRLANDS LÄN</t>
        </is>
      </c>
      <c r="E3378" t="inlineStr">
        <is>
          <t>SUNDSVALL</t>
        </is>
      </c>
      <c r="F3378" t="inlineStr">
        <is>
          <t>SCA</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41143-2025</t>
        </is>
      </c>
      <c r="B3379" s="1" t="n">
        <v>45898.49334490741</v>
      </c>
      <c r="C3379" s="1" t="n">
        <v>46185</v>
      </c>
      <c r="D3379" t="inlineStr">
        <is>
          <t>VÄSTERNORRLANDS LÄN</t>
        </is>
      </c>
      <c r="E3379" t="inlineStr">
        <is>
          <t>ÖRNSKÖLDSVIK</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30039-2025</t>
        </is>
      </c>
      <c r="B3380" s="1" t="n">
        <v>45826.5734375</v>
      </c>
      <c r="C3380" s="1" t="n">
        <v>46185</v>
      </c>
      <c r="D3380" t="inlineStr">
        <is>
          <t>VÄSTERNORRLANDS LÄN</t>
        </is>
      </c>
      <c r="E3380" t="inlineStr">
        <is>
          <t>HÄRNÖSAND</t>
        </is>
      </c>
      <c r="F3380" t="inlineStr">
        <is>
          <t>Kyrkan</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40172-2024</t>
        </is>
      </c>
      <c r="B3381" s="1" t="n">
        <v>45554.55274305555</v>
      </c>
      <c r="C3381" s="1" t="n">
        <v>46185</v>
      </c>
      <c r="D3381" t="inlineStr">
        <is>
          <t>VÄSTERNORRLANDS LÄN</t>
        </is>
      </c>
      <c r="E3381" t="inlineStr">
        <is>
          <t>ÖRNSKÖLDSVIK</t>
        </is>
      </c>
      <c r="G3381" t="n">
        <v>6.1</v>
      </c>
      <c r="H3381" t="n">
        <v>0</v>
      </c>
      <c r="I3381" t="n">
        <v>0</v>
      </c>
      <c r="J3381" t="n">
        <v>0</v>
      </c>
      <c r="K3381" t="n">
        <v>0</v>
      </c>
      <c r="L3381" t="n">
        <v>0</v>
      </c>
      <c r="M3381" t="n">
        <v>0</v>
      </c>
      <c r="N3381" t="n">
        <v>0</v>
      </c>
      <c r="O3381" t="n">
        <v>0</v>
      </c>
      <c r="P3381" t="n">
        <v>0</v>
      </c>
      <c r="Q3381" t="n">
        <v>0</v>
      </c>
      <c r="R3381" s="2" t="inlineStr"/>
    </row>
    <row r="3382" ht="15" customHeight="1">
      <c r="A3382" t="inlineStr">
        <is>
          <t>A 29535-2025</t>
        </is>
      </c>
      <c r="B3382" s="1" t="n">
        <v>45825.34486111111</v>
      </c>
      <c r="C3382" s="1" t="n">
        <v>46185</v>
      </c>
      <c r="D3382" t="inlineStr">
        <is>
          <t>VÄSTERNORRLANDS LÄN</t>
        </is>
      </c>
      <c r="E3382" t="inlineStr">
        <is>
          <t>SOLLEFTEÅ</t>
        </is>
      </c>
      <c r="F3382" t="inlineStr">
        <is>
          <t>SCA</t>
        </is>
      </c>
      <c r="G3382" t="n">
        <v>20.6</v>
      </c>
      <c r="H3382" t="n">
        <v>0</v>
      </c>
      <c r="I3382" t="n">
        <v>0</v>
      </c>
      <c r="J3382" t="n">
        <v>0</v>
      </c>
      <c r="K3382" t="n">
        <v>0</v>
      </c>
      <c r="L3382" t="n">
        <v>0</v>
      </c>
      <c r="M3382" t="n">
        <v>0</v>
      </c>
      <c r="N3382" t="n">
        <v>0</v>
      </c>
      <c r="O3382" t="n">
        <v>0</v>
      </c>
      <c r="P3382" t="n">
        <v>0</v>
      </c>
      <c r="Q3382" t="n">
        <v>0</v>
      </c>
      <c r="R3382" s="2" t="inlineStr"/>
    </row>
    <row r="3383" ht="15" customHeight="1">
      <c r="A3383" t="inlineStr">
        <is>
          <t>A 41098-2025</t>
        </is>
      </c>
      <c r="B3383" s="1" t="n">
        <v>45898.44826388889</v>
      </c>
      <c r="C3383" s="1" t="n">
        <v>46185</v>
      </c>
      <c r="D3383" t="inlineStr">
        <is>
          <t>VÄSTERNORRLANDS LÄN</t>
        </is>
      </c>
      <c r="E3383" t="inlineStr">
        <is>
          <t>TIMRÅ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51411-2023</t>
        </is>
      </c>
      <c r="B3384" s="1" t="n">
        <v>45219</v>
      </c>
      <c r="C3384" s="1" t="n">
        <v>46185</v>
      </c>
      <c r="D3384" t="inlineStr">
        <is>
          <t>VÄSTERNORRLANDS LÄN</t>
        </is>
      </c>
      <c r="E3384" t="inlineStr">
        <is>
          <t>ÅNGE</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29786-2025</t>
        </is>
      </c>
      <c r="B3385" s="1" t="n">
        <v>45825.65663194445</v>
      </c>
      <c r="C3385" s="1" t="n">
        <v>46185</v>
      </c>
      <c r="D3385" t="inlineStr">
        <is>
          <t>VÄSTERNORRLANDS LÄN</t>
        </is>
      </c>
      <c r="E3385" t="inlineStr">
        <is>
          <t>ÅNGE</t>
        </is>
      </c>
      <c r="F3385" t="inlineStr">
        <is>
          <t>SCA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41062-2025</t>
        </is>
      </c>
      <c r="B3386" s="1" t="n">
        <v>45898.40746527778</v>
      </c>
      <c r="C3386" s="1" t="n">
        <v>46185</v>
      </c>
      <c r="D3386" t="inlineStr">
        <is>
          <t>VÄSTERNORRLANDS LÄN</t>
        </is>
      </c>
      <c r="E3386" t="inlineStr">
        <is>
          <t>KRAMFORS</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41121-2025</t>
        </is>
      </c>
      <c r="B3387" s="1" t="n">
        <v>45898.46915509259</v>
      </c>
      <c r="C3387" s="1" t="n">
        <v>46185</v>
      </c>
      <c r="D3387" t="inlineStr">
        <is>
          <t>VÄSTERNORRLANDS LÄN</t>
        </is>
      </c>
      <c r="E3387" t="inlineStr">
        <is>
          <t>KRAMFORS</t>
        </is>
      </c>
      <c r="F3387" t="inlineStr">
        <is>
          <t>SCA</t>
        </is>
      </c>
      <c r="G3387" t="n">
        <v>7.8</v>
      </c>
      <c r="H3387" t="n">
        <v>0</v>
      </c>
      <c r="I3387" t="n">
        <v>0</v>
      </c>
      <c r="J3387" t="n">
        <v>0</v>
      </c>
      <c r="K3387" t="n">
        <v>0</v>
      </c>
      <c r="L3387" t="n">
        <v>0</v>
      </c>
      <c r="M3387" t="n">
        <v>0</v>
      </c>
      <c r="N3387" t="n">
        <v>0</v>
      </c>
      <c r="O3387" t="n">
        <v>0</v>
      </c>
      <c r="P3387" t="n">
        <v>0</v>
      </c>
      <c r="Q3387" t="n">
        <v>0</v>
      </c>
      <c r="R3387" s="2" t="inlineStr"/>
    </row>
    <row r="3388" ht="15" customHeight="1">
      <c r="A3388" t="inlineStr">
        <is>
          <t>A 29608-2025</t>
        </is>
      </c>
      <c r="B3388" s="1" t="n">
        <v>45825</v>
      </c>
      <c r="C3388" s="1" t="n">
        <v>46185</v>
      </c>
      <c r="D3388" t="inlineStr">
        <is>
          <t>VÄSTERNORRLANDS LÄN</t>
        </is>
      </c>
      <c r="E3388" t="inlineStr">
        <is>
          <t>KRAMFORS</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29680-2025</t>
        </is>
      </c>
      <c r="B3389" s="1" t="n">
        <v>45825.5090625</v>
      </c>
      <c r="C3389" s="1" t="n">
        <v>46185</v>
      </c>
      <c r="D3389" t="inlineStr">
        <is>
          <t>VÄSTERNORRLANDS LÄN</t>
        </is>
      </c>
      <c r="E3389" t="inlineStr">
        <is>
          <t>KRAMFORS</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1869-2022</t>
        </is>
      </c>
      <c r="B3390" s="1" t="n">
        <v>44574</v>
      </c>
      <c r="C3390" s="1" t="n">
        <v>46185</v>
      </c>
      <c r="D3390" t="inlineStr">
        <is>
          <t>VÄSTERNORRLANDS LÄN</t>
        </is>
      </c>
      <c r="E3390" t="inlineStr">
        <is>
          <t>ÅNGE</t>
        </is>
      </c>
      <c r="F3390" t="inlineStr">
        <is>
          <t>SCA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41045-2025</t>
        </is>
      </c>
      <c r="B3391" s="1" t="n">
        <v>45898.39587962963</v>
      </c>
      <c r="C3391" s="1" t="n">
        <v>46185</v>
      </c>
      <c r="D3391" t="inlineStr">
        <is>
          <t>VÄSTERNORRLANDS LÄN</t>
        </is>
      </c>
      <c r="E3391" t="inlineStr">
        <is>
          <t>KRAMFORS</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34406-2024</t>
        </is>
      </c>
      <c r="B3392" s="1" t="n">
        <v>45525.45870370371</v>
      </c>
      <c r="C3392" s="1" t="n">
        <v>46185</v>
      </c>
      <c r="D3392" t="inlineStr">
        <is>
          <t>VÄSTERNORRLANDS LÄN</t>
        </is>
      </c>
      <c r="E3392" t="inlineStr">
        <is>
          <t>ÖRNSKÖLDSVIK</t>
        </is>
      </c>
      <c r="F3392" t="inlineStr">
        <is>
          <t>Holmen skog AB</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53068-2024</t>
        </is>
      </c>
      <c r="B3393" s="1" t="n">
        <v>45611.47680555555</v>
      </c>
      <c r="C3393" s="1" t="n">
        <v>46185</v>
      </c>
      <c r="D3393" t="inlineStr">
        <is>
          <t>VÄSTERNORRLANDS LÄN</t>
        </is>
      </c>
      <c r="E3393" t="inlineStr">
        <is>
          <t>ÖRNSKÖLDSVIK</t>
        </is>
      </c>
      <c r="F3393" t="inlineStr">
        <is>
          <t>Holmen skog AB</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29952-2025</t>
        </is>
      </c>
      <c r="B3394" s="1" t="n">
        <v>45826.46950231482</v>
      </c>
      <c r="C3394" s="1" t="n">
        <v>46185</v>
      </c>
      <c r="D3394" t="inlineStr">
        <is>
          <t>VÄSTERNORRLANDS LÄN</t>
        </is>
      </c>
      <c r="E3394" t="inlineStr">
        <is>
          <t>SUNDSVALL</t>
        </is>
      </c>
      <c r="F3394" t="inlineStr">
        <is>
          <t>Naturvårdsverket</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29969-2025</t>
        </is>
      </c>
      <c r="B3395" s="1" t="n">
        <v>45826.48987268518</v>
      </c>
      <c r="C3395" s="1" t="n">
        <v>46185</v>
      </c>
      <c r="D3395" t="inlineStr">
        <is>
          <t>VÄSTERNORRLANDS LÄN</t>
        </is>
      </c>
      <c r="E3395" t="inlineStr">
        <is>
          <t>ÖRNSKÖLDSVIK</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42631-2024</t>
        </is>
      </c>
      <c r="B3396" s="1" t="n">
        <v>45565</v>
      </c>
      <c r="C3396" s="1" t="n">
        <v>46185</v>
      </c>
      <c r="D3396" t="inlineStr">
        <is>
          <t>VÄSTERNORRLANDS LÄN</t>
        </is>
      </c>
      <c r="E3396" t="inlineStr">
        <is>
          <t>SOLLEFTEÅ</t>
        </is>
      </c>
      <c r="F3396" t="inlineStr">
        <is>
          <t>Holmen skog AB</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40701-2025</t>
        </is>
      </c>
      <c r="B3397" s="1" t="n">
        <v>45897.32884259259</v>
      </c>
      <c r="C3397" s="1" t="n">
        <v>46185</v>
      </c>
      <c r="D3397" t="inlineStr">
        <is>
          <t>VÄSTERNORRLANDS LÄN</t>
        </is>
      </c>
      <c r="E3397" t="inlineStr">
        <is>
          <t>SOLLEFTEÅ</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40723-2025</t>
        </is>
      </c>
      <c r="B3398" s="1" t="n">
        <v>45897.34502314815</v>
      </c>
      <c r="C3398" s="1" t="n">
        <v>46185</v>
      </c>
      <c r="D3398" t="inlineStr">
        <is>
          <t>VÄSTERNORRLANDS LÄN</t>
        </is>
      </c>
      <c r="E3398" t="inlineStr">
        <is>
          <t>SUNDSVALL</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40743-2025</t>
        </is>
      </c>
      <c r="B3399" s="1" t="n">
        <v>45897.37375</v>
      </c>
      <c r="C3399" s="1" t="n">
        <v>46185</v>
      </c>
      <c r="D3399" t="inlineStr">
        <is>
          <t>VÄSTERNORRLANDS LÄN</t>
        </is>
      </c>
      <c r="E3399" t="inlineStr">
        <is>
          <t>HÄRNÖSAND</t>
        </is>
      </c>
      <c r="G3399" t="n">
        <v>6.7</v>
      </c>
      <c r="H3399" t="n">
        <v>0</v>
      </c>
      <c r="I3399" t="n">
        <v>0</v>
      </c>
      <c r="J3399" t="n">
        <v>0</v>
      </c>
      <c r="K3399" t="n">
        <v>0</v>
      </c>
      <c r="L3399" t="n">
        <v>0</v>
      </c>
      <c r="M3399" t="n">
        <v>0</v>
      </c>
      <c r="N3399" t="n">
        <v>0</v>
      </c>
      <c r="O3399" t="n">
        <v>0</v>
      </c>
      <c r="P3399" t="n">
        <v>0</v>
      </c>
      <c r="Q3399" t="n">
        <v>0</v>
      </c>
      <c r="R3399" s="2" t="inlineStr"/>
    </row>
    <row r="3400" ht="15" customHeight="1">
      <c r="A3400" t="inlineStr">
        <is>
          <t>A 14612-2025</t>
        </is>
      </c>
      <c r="B3400" s="1" t="n">
        <v>45742</v>
      </c>
      <c r="C3400" s="1" t="n">
        <v>46185</v>
      </c>
      <c r="D3400" t="inlineStr">
        <is>
          <t>VÄSTERNORRLANDS LÄN</t>
        </is>
      </c>
      <c r="E3400" t="inlineStr">
        <is>
          <t>SOLLEFTEÅ</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29884-2025</t>
        </is>
      </c>
      <c r="B3401" s="1" t="n">
        <v>45826.36582175926</v>
      </c>
      <c r="C3401" s="1" t="n">
        <v>46185</v>
      </c>
      <c r="D3401" t="inlineStr">
        <is>
          <t>VÄSTERNORRLANDS LÄN</t>
        </is>
      </c>
      <c r="E3401" t="inlineStr">
        <is>
          <t>SOLLEFTEÅ</t>
        </is>
      </c>
      <c r="F3401" t="inlineStr">
        <is>
          <t>SCA</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40825-2025</t>
        </is>
      </c>
      <c r="B3402" s="1" t="n">
        <v>45897.49809027778</v>
      </c>
      <c r="C3402" s="1" t="n">
        <v>46185</v>
      </c>
      <c r="D3402" t="inlineStr">
        <is>
          <t>VÄSTERNORRLANDS LÄN</t>
        </is>
      </c>
      <c r="E3402" t="inlineStr">
        <is>
          <t>ÖRNSKÖLDSVIK</t>
        </is>
      </c>
      <c r="F3402" t="inlineStr">
        <is>
          <t>Holmen skog AB</t>
        </is>
      </c>
      <c r="G3402" t="n">
        <v>6.1</v>
      </c>
      <c r="H3402" t="n">
        <v>0</v>
      </c>
      <c r="I3402" t="n">
        <v>0</v>
      </c>
      <c r="J3402" t="n">
        <v>0</v>
      </c>
      <c r="K3402" t="n">
        <v>0</v>
      </c>
      <c r="L3402" t="n">
        <v>0</v>
      </c>
      <c r="M3402" t="n">
        <v>0</v>
      </c>
      <c r="N3402" t="n">
        <v>0</v>
      </c>
      <c r="O3402" t="n">
        <v>0</v>
      </c>
      <c r="P3402" t="n">
        <v>0</v>
      </c>
      <c r="Q3402" t="n">
        <v>0</v>
      </c>
      <c r="R3402" s="2" t="inlineStr"/>
    </row>
    <row r="3403" ht="15" customHeight="1">
      <c r="A3403" t="inlineStr">
        <is>
          <t>A 14656-2025</t>
        </is>
      </c>
      <c r="B3403" s="1" t="n">
        <v>45742.51074074074</v>
      </c>
      <c r="C3403" s="1" t="n">
        <v>46185</v>
      </c>
      <c r="D3403" t="inlineStr">
        <is>
          <t>VÄSTERNORRLANDS LÄN</t>
        </is>
      </c>
      <c r="E3403" t="inlineStr">
        <is>
          <t>SOLLEFTEÅ</t>
        </is>
      </c>
      <c r="F3403" t="inlineStr">
        <is>
          <t>SCA</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41067-2025</t>
        </is>
      </c>
      <c r="B3404" s="1" t="n">
        <v>45898.41422453704</v>
      </c>
      <c r="C3404" s="1" t="n">
        <v>46185</v>
      </c>
      <c r="D3404" t="inlineStr">
        <is>
          <t>VÄSTERNORRLANDS LÄN</t>
        </is>
      </c>
      <c r="E3404" t="inlineStr">
        <is>
          <t>ÖRNSKÖLDSVIK</t>
        </is>
      </c>
      <c r="F3404" t="inlineStr">
        <is>
          <t>Holmen skog AB</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41097-2025</t>
        </is>
      </c>
      <c r="B3405" s="1" t="n">
        <v>45898.44824074074</v>
      </c>
      <c r="C3405" s="1" t="n">
        <v>46185</v>
      </c>
      <c r="D3405" t="inlineStr">
        <is>
          <t>VÄSTERNORRLANDS LÄN</t>
        </is>
      </c>
      <c r="E3405" t="inlineStr">
        <is>
          <t>TIMRÅ</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40754-2025</t>
        </is>
      </c>
      <c r="B3406" s="1" t="n">
        <v>45897.38653935185</v>
      </c>
      <c r="C3406" s="1" t="n">
        <v>46185</v>
      </c>
      <c r="D3406" t="inlineStr">
        <is>
          <t>VÄSTERNORRLANDS LÄN</t>
        </is>
      </c>
      <c r="E3406" t="inlineStr">
        <is>
          <t>SOLLEFTEÅ</t>
        </is>
      </c>
      <c r="F3406" t="inlineStr">
        <is>
          <t>SCA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14109-2023</t>
        </is>
      </c>
      <c r="B3407" s="1" t="n">
        <v>45008</v>
      </c>
      <c r="C3407" s="1" t="n">
        <v>46185</v>
      </c>
      <c r="D3407" t="inlineStr">
        <is>
          <t>VÄSTERNORRLANDS LÄN</t>
        </is>
      </c>
      <c r="E3407" t="inlineStr">
        <is>
          <t>SOLLEFTEÅ</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42522-2023</t>
        </is>
      </c>
      <c r="B3408" s="1" t="n">
        <v>45181</v>
      </c>
      <c r="C3408" s="1" t="n">
        <v>46185</v>
      </c>
      <c r="D3408" t="inlineStr">
        <is>
          <t>VÄSTERNORRLANDS LÄN</t>
        </is>
      </c>
      <c r="E3408" t="inlineStr">
        <is>
          <t>ÖRNSKÖLDSVIK</t>
        </is>
      </c>
      <c r="F3408" t="inlineStr">
        <is>
          <t>Holmen skog AB</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40958-2025</t>
        </is>
      </c>
      <c r="B3409" s="1" t="n">
        <v>45897.67865740741</v>
      </c>
      <c r="C3409" s="1" t="n">
        <v>46185</v>
      </c>
      <c r="D3409" t="inlineStr">
        <is>
          <t>VÄSTERNORRLANDS LÄN</t>
        </is>
      </c>
      <c r="E3409" t="inlineStr">
        <is>
          <t>SUNDSVALL</t>
        </is>
      </c>
      <c r="F3409" t="inlineStr">
        <is>
          <t>Naturvårdsverket</t>
        </is>
      </c>
      <c r="G3409" t="n">
        <v>5.5</v>
      </c>
      <c r="H3409" t="n">
        <v>0</v>
      </c>
      <c r="I3409" t="n">
        <v>0</v>
      </c>
      <c r="J3409" t="n">
        <v>0</v>
      </c>
      <c r="K3409" t="n">
        <v>0</v>
      </c>
      <c r="L3409" t="n">
        <v>0</v>
      </c>
      <c r="M3409" t="n">
        <v>0</v>
      </c>
      <c r="N3409" t="n">
        <v>0</v>
      </c>
      <c r="O3409" t="n">
        <v>0</v>
      </c>
      <c r="P3409" t="n">
        <v>0</v>
      </c>
      <c r="Q3409" t="n">
        <v>0</v>
      </c>
      <c r="R3409" s="2" t="inlineStr"/>
    </row>
    <row r="3410" ht="15" customHeight="1">
      <c r="A3410" t="inlineStr">
        <is>
          <t>A 39379-2024</t>
        </is>
      </c>
      <c r="B3410" s="1" t="n">
        <v>45551.48863425926</v>
      </c>
      <c r="C3410" s="1" t="n">
        <v>46185</v>
      </c>
      <c r="D3410" t="inlineStr">
        <is>
          <t>VÄSTERNORRLANDS LÄN</t>
        </is>
      </c>
      <c r="E3410" t="inlineStr">
        <is>
          <t>ÖRNSKÖLDSVIK</t>
        </is>
      </c>
      <c r="F3410" t="inlineStr">
        <is>
          <t>Holmen skog AB</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43190-2023</t>
        </is>
      </c>
      <c r="B3411" s="1" t="n">
        <v>45180</v>
      </c>
      <c r="C3411" s="1" t="n">
        <v>46185</v>
      </c>
      <c r="D3411" t="inlineStr">
        <is>
          <t>VÄSTERNORRLANDS LÄN</t>
        </is>
      </c>
      <c r="E3411" t="inlineStr">
        <is>
          <t>SUNDSVALL</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29605-2025</t>
        </is>
      </c>
      <c r="B3412" s="1" t="n">
        <v>45825.41890046297</v>
      </c>
      <c r="C3412" s="1" t="n">
        <v>46185</v>
      </c>
      <c r="D3412" t="inlineStr">
        <is>
          <t>VÄSTERNORRLANDS LÄN</t>
        </is>
      </c>
      <c r="E3412" t="inlineStr">
        <is>
          <t>KRAMFORS</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29590-2025</t>
        </is>
      </c>
      <c r="B3413" s="1" t="n">
        <v>45825.39894675926</v>
      </c>
      <c r="C3413" s="1" t="n">
        <v>46185</v>
      </c>
      <c r="D3413" t="inlineStr">
        <is>
          <t>VÄSTERNORRLANDS LÄN</t>
        </is>
      </c>
      <c r="E3413" t="inlineStr">
        <is>
          <t>ÖRNSKÖLDSVIK</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29596-2025</t>
        </is>
      </c>
      <c r="B3414" s="1" t="n">
        <v>45825.40684027778</v>
      </c>
      <c r="C3414" s="1" t="n">
        <v>46185</v>
      </c>
      <c r="D3414" t="inlineStr">
        <is>
          <t>VÄSTERNORRLANDS LÄN</t>
        </is>
      </c>
      <c r="E3414" t="inlineStr">
        <is>
          <t>KRAMFORS</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30084-2025</t>
        </is>
      </c>
      <c r="B3415" s="1" t="n">
        <v>45826.65685185185</v>
      </c>
      <c r="C3415" s="1" t="n">
        <v>46185</v>
      </c>
      <c r="D3415" t="inlineStr">
        <is>
          <t>VÄSTERNORRLANDS LÄN</t>
        </is>
      </c>
      <c r="E3415" t="inlineStr">
        <is>
          <t>HÄRNÖSAND</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39449-2024</t>
        </is>
      </c>
      <c r="B3416" s="1" t="n">
        <v>45551.61609953704</v>
      </c>
      <c r="C3416" s="1" t="n">
        <v>46185</v>
      </c>
      <c r="D3416" t="inlineStr">
        <is>
          <t>VÄSTERNORRLANDS LÄN</t>
        </is>
      </c>
      <c r="E3416" t="inlineStr">
        <is>
          <t>SOLLEFTEÅ</t>
        </is>
      </c>
      <c r="F3416" t="inlineStr">
        <is>
          <t>SCA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26014-2025</t>
        </is>
      </c>
      <c r="B3417" s="1" t="n">
        <v>45804.67773148148</v>
      </c>
      <c r="C3417" s="1" t="n">
        <v>46185</v>
      </c>
      <c r="D3417" t="inlineStr">
        <is>
          <t>VÄSTERNORRLANDS LÄN</t>
        </is>
      </c>
      <c r="E3417" t="inlineStr">
        <is>
          <t>SOLLEFTEÅ</t>
        </is>
      </c>
      <c r="F3417" t="inlineStr">
        <is>
          <t>SCA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29883-2025</t>
        </is>
      </c>
      <c r="B3418" s="1" t="n">
        <v>45826.36568287037</v>
      </c>
      <c r="C3418" s="1" t="n">
        <v>46185</v>
      </c>
      <c r="D3418" t="inlineStr">
        <is>
          <t>VÄSTERNORRLANDS LÄN</t>
        </is>
      </c>
      <c r="E3418" t="inlineStr">
        <is>
          <t>SOLLEFTEÅ</t>
        </is>
      </c>
      <c r="F3418" t="inlineStr">
        <is>
          <t>SCA</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11042-2023</t>
        </is>
      </c>
      <c r="B3419" s="1" t="n">
        <v>44991</v>
      </c>
      <c r="C3419" s="1" t="n">
        <v>46185</v>
      </c>
      <c r="D3419" t="inlineStr">
        <is>
          <t>VÄSTERNORRLANDS LÄN</t>
        </is>
      </c>
      <c r="E3419" t="inlineStr">
        <is>
          <t>KRAMFORS</t>
        </is>
      </c>
      <c r="F3419" t="inlineStr">
        <is>
          <t>SCA</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11051-2023</t>
        </is>
      </c>
      <c r="B3420" s="1" t="n">
        <v>44991</v>
      </c>
      <c r="C3420" s="1" t="n">
        <v>46185</v>
      </c>
      <c r="D3420" t="inlineStr">
        <is>
          <t>VÄSTERNORRLANDS LÄN</t>
        </is>
      </c>
      <c r="E3420" t="inlineStr">
        <is>
          <t>ÖRNSKÖLDSVIK</t>
        </is>
      </c>
      <c r="F3420" t="inlineStr">
        <is>
          <t>SCA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29607-2025</t>
        </is>
      </c>
      <c r="B3421" s="1" t="n">
        <v>45825.41943287037</v>
      </c>
      <c r="C3421" s="1" t="n">
        <v>46185</v>
      </c>
      <c r="D3421" t="inlineStr">
        <is>
          <t>VÄSTERNORRLANDS LÄN</t>
        </is>
      </c>
      <c r="E3421" t="inlineStr">
        <is>
          <t>KRAMFORS</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30464-2025</t>
        </is>
      </c>
      <c r="B3422" s="1" t="n">
        <v>45827.72248842593</v>
      </c>
      <c r="C3422" s="1" t="n">
        <v>46185</v>
      </c>
      <c r="D3422" t="inlineStr">
        <is>
          <t>VÄSTERNORRLANDS LÄN</t>
        </is>
      </c>
      <c r="E3422" t="inlineStr">
        <is>
          <t>SUNDSVALL</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30475-2025</t>
        </is>
      </c>
      <c r="B3423" s="1" t="n">
        <v>45828.34444444445</v>
      </c>
      <c r="C3423" s="1" t="n">
        <v>46185</v>
      </c>
      <c r="D3423" t="inlineStr">
        <is>
          <t>VÄSTERNORRLANDS LÄN</t>
        </is>
      </c>
      <c r="E3423" t="inlineStr">
        <is>
          <t>ÅNGE</t>
        </is>
      </c>
      <c r="F3423" t="inlineStr">
        <is>
          <t>SCA</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30560-2024</t>
        </is>
      </c>
      <c r="B3424" s="1" t="n">
        <v>45492.92827546296</v>
      </c>
      <c r="C3424" s="1" t="n">
        <v>46185</v>
      </c>
      <c r="D3424" t="inlineStr">
        <is>
          <t>VÄSTERNORRLANDS LÄN</t>
        </is>
      </c>
      <c r="E3424" t="inlineStr">
        <is>
          <t>SUNDSVALL</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51544-2022</t>
        </is>
      </c>
      <c r="B3425" s="1" t="n">
        <v>44869</v>
      </c>
      <c r="C3425" s="1" t="n">
        <v>46185</v>
      </c>
      <c r="D3425" t="inlineStr">
        <is>
          <t>VÄSTERNORRLANDS LÄN</t>
        </is>
      </c>
      <c r="E3425" t="inlineStr">
        <is>
          <t>SOLLEFTEÅ</t>
        </is>
      </c>
      <c r="F3425" t="inlineStr">
        <is>
          <t>SCA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41077-2025</t>
        </is>
      </c>
      <c r="B3426" s="1" t="n">
        <v>45898.42746527777</v>
      </c>
      <c r="C3426" s="1" t="n">
        <v>46185</v>
      </c>
      <c r="D3426" t="inlineStr">
        <is>
          <t>VÄSTERNORRLANDS LÄN</t>
        </is>
      </c>
      <c r="E3426" t="inlineStr">
        <is>
          <t>TIMRÅ</t>
        </is>
      </c>
      <c r="F3426" t="inlineStr">
        <is>
          <t>SCA</t>
        </is>
      </c>
      <c r="G3426" t="n">
        <v>3</v>
      </c>
      <c r="H3426" t="n">
        <v>0</v>
      </c>
      <c r="I3426" t="n">
        <v>0</v>
      </c>
      <c r="J3426" t="n">
        <v>0</v>
      </c>
      <c r="K3426" t="n">
        <v>0</v>
      </c>
      <c r="L3426" t="n">
        <v>0</v>
      </c>
      <c r="M3426" t="n">
        <v>0</v>
      </c>
      <c r="N3426" t="n">
        <v>0</v>
      </c>
      <c r="O3426" t="n">
        <v>0</v>
      </c>
      <c r="P3426" t="n">
        <v>0</v>
      </c>
      <c r="Q3426" t="n">
        <v>0</v>
      </c>
      <c r="R3426" s="2" t="inlineStr"/>
      <c r="U3426">
        <f>HYPERLINK("https://klasma.github.io/Logging_2262/knärot/A 41077-2025 karta knärot.png", "A 41077-2025")</f>
        <v/>
      </c>
      <c r="V3426">
        <f>HYPERLINK("https://klasma.github.io/Logging_2262/klagomål/A 41077-2025 FSC-klagomål.docx", "A 41077-2025")</f>
        <v/>
      </c>
      <c r="W3426">
        <f>HYPERLINK("https://klasma.github.io/Logging_2262/klagomålsmail/A 41077-2025 FSC-klagomål mail.docx", "A 41077-2025")</f>
        <v/>
      </c>
      <c r="X3426">
        <f>HYPERLINK("https://klasma.github.io/Logging_2262/tillsyn/A 41077-2025 tillsynsbegäran.docx", "A 41077-2025")</f>
        <v/>
      </c>
      <c r="Y3426">
        <f>HYPERLINK("https://klasma.github.io/Logging_2262/tillsynsmail/A 41077-2025 tillsynsbegäran mail.docx", "A 41077-2025")</f>
        <v/>
      </c>
    </row>
    <row r="3427" ht="15" customHeight="1">
      <c r="A3427" t="inlineStr">
        <is>
          <t>A 30389-2025</t>
        </is>
      </c>
      <c r="B3427" s="1" t="n">
        <v>45827.57356481482</v>
      </c>
      <c r="C3427" s="1" t="n">
        <v>46185</v>
      </c>
      <c r="D3427" t="inlineStr">
        <is>
          <t>VÄSTERNORRLANDS LÄN</t>
        </is>
      </c>
      <c r="E3427" t="inlineStr">
        <is>
          <t>SOLLEFTEÅ</t>
        </is>
      </c>
      <c r="F3427" t="inlineStr">
        <is>
          <t>SCA</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30441-2025</t>
        </is>
      </c>
      <c r="B3428" s="1" t="n">
        <v>45827.64503472222</v>
      </c>
      <c r="C3428" s="1" t="n">
        <v>46185</v>
      </c>
      <c r="D3428" t="inlineStr">
        <is>
          <t>VÄSTERNORRLANDS LÄN</t>
        </is>
      </c>
      <c r="E3428" t="inlineStr">
        <is>
          <t>ÖRNSKÖLDSVIK</t>
        </is>
      </c>
      <c r="F3428" t="inlineStr">
        <is>
          <t>Holmen skog AB</t>
        </is>
      </c>
      <c r="G3428" t="n">
        <v>7.4</v>
      </c>
      <c r="H3428" t="n">
        <v>0</v>
      </c>
      <c r="I3428" t="n">
        <v>0</v>
      </c>
      <c r="J3428" t="n">
        <v>0</v>
      </c>
      <c r="K3428" t="n">
        <v>0</v>
      </c>
      <c r="L3428" t="n">
        <v>0</v>
      </c>
      <c r="M3428" t="n">
        <v>0</v>
      </c>
      <c r="N3428" t="n">
        <v>0</v>
      </c>
      <c r="O3428" t="n">
        <v>0</v>
      </c>
      <c r="P3428" t="n">
        <v>0</v>
      </c>
      <c r="Q3428" t="n">
        <v>0</v>
      </c>
      <c r="R3428" s="2" t="inlineStr"/>
    </row>
    <row r="3429" ht="15" customHeight="1">
      <c r="A3429" t="inlineStr">
        <is>
          <t>A 40752-2025</t>
        </is>
      </c>
      <c r="B3429" s="1" t="n">
        <v>45897.38592592593</v>
      </c>
      <c r="C3429" s="1" t="n">
        <v>46185</v>
      </c>
      <c r="D3429" t="inlineStr">
        <is>
          <t>VÄSTERNORRLANDS LÄN</t>
        </is>
      </c>
      <c r="E3429" t="inlineStr">
        <is>
          <t>SOLLEFTEÅ</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52467-2022</t>
        </is>
      </c>
      <c r="B3430" s="1" t="n">
        <v>44874</v>
      </c>
      <c r="C3430" s="1" t="n">
        <v>46185</v>
      </c>
      <c r="D3430" t="inlineStr">
        <is>
          <t>VÄSTERNORRLANDS LÄN</t>
        </is>
      </c>
      <c r="E3430" t="inlineStr">
        <is>
          <t>ÖRNSKÖLDSVIK</t>
        </is>
      </c>
      <c r="F3430" t="inlineStr">
        <is>
          <t>Holmen skog AB</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30315-2025</t>
        </is>
      </c>
      <c r="B3431" s="1" t="n">
        <v>45827.49060185185</v>
      </c>
      <c r="C3431" s="1" t="n">
        <v>46185</v>
      </c>
      <c r="D3431" t="inlineStr">
        <is>
          <t>VÄSTERNORRLANDS LÄN</t>
        </is>
      </c>
      <c r="E3431" t="inlineStr">
        <is>
          <t>TIMRÅ</t>
        </is>
      </c>
      <c r="F3431" t="inlineStr">
        <is>
          <t>SCA</t>
        </is>
      </c>
      <c r="G3431" t="n">
        <v>9.800000000000001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40720-2025</t>
        </is>
      </c>
      <c r="B3432" s="1" t="n">
        <v>45897.3449537037</v>
      </c>
      <c r="C3432" s="1" t="n">
        <v>46185</v>
      </c>
      <c r="D3432" t="inlineStr">
        <is>
          <t>VÄSTERNORRLANDS LÄN</t>
        </is>
      </c>
      <c r="E3432" t="inlineStr">
        <is>
          <t>SUNDSVALL</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40962-2025</t>
        </is>
      </c>
      <c r="B3433" s="1" t="n">
        <v>45897.6983912037</v>
      </c>
      <c r="C3433" s="1" t="n">
        <v>46185</v>
      </c>
      <c r="D3433" t="inlineStr">
        <is>
          <t>VÄSTERNORRLANDS LÄN</t>
        </is>
      </c>
      <c r="E3433" t="inlineStr">
        <is>
          <t>SOLLEFTEÅ</t>
        </is>
      </c>
      <c r="F3433" t="inlineStr">
        <is>
          <t>SCA</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40679-2024</t>
        </is>
      </c>
      <c r="B3434" s="1" t="n">
        <v>45558</v>
      </c>
      <c r="C3434" s="1" t="n">
        <v>46185</v>
      </c>
      <c r="D3434" t="inlineStr">
        <is>
          <t>VÄSTERNORRLANDS LÄN</t>
        </is>
      </c>
      <c r="E3434" t="inlineStr">
        <is>
          <t>SOLLEFTEÅ</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41005-2025</t>
        </is>
      </c>
      <c r="B3435" s="1" t="n">
        <v>45898.34857638889</v>
      </c>
      <c r="C3435" s="1" t="n">
        <v>46185</v>
      </c>
      <c r="D3435" t="inlineStr">
        <is>
          <t>VÄSTERNORRLANDS LÄN</t>
        </is>
      </c>
      <c r="E3435" t="inlineStr">
        <is>
          <t>ÖRNSKÖLDSVIK</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41012-2025</t>
        </is>
      </c>
      <c r="B3436" s="1" t="n">
        <v>45898.35673611111</v>
      </c>
      <c r="C3436" s="1" t="n">
        <v>46185</v>
      </c>
      <c r="D3436" t="inlineStr">
        <is>
          <t>VÄSTERNORRLANDS LÄN</t>
        </is>
      </c>
      <c r="E3436" t="inlineStr">
        <is>
          <t>KRAMFORS</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41128-2025</t>
        </is>
      </c>
      <c r="B3437" s="1" t="n">
        <v>45898.47915509259</v>
      </c>
      <c r="C3437" s="1" t="n">
        <v>46185</v>
      </c>
      <c r="D3437" t="inlineStr">
        <is>
          <t>VÄSTERNORRLANDS LÄN</t>
        </is>
      </c>
      <c r="E3437" t="inlineStr">
        <is>
          <t>ÖRNSKÖLDSVIK</t>
        </is>
      </c>
      <c r="F3437" t="inlineStr">
        <is>
          <t>Holmen skog AB</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40988-2025</t>
        </is>
      </c>
      <c r="B3438" s="1" t="n">
        <v>45898.31621527778</v>
      </c>
      <c r="C3438" s="1" t="n">
        <v>46185</v>
      </c>
      <c r="D3438" t="inlineStr">
        <is>
          <t>VÄSTERNORRLANDS LÄN</t>
        </is>
      </c>
      <c r="E3438" t="inlineStr">
        <is>
          <t>SUNDSVALL</t>
        </is>
      </c>
      <c r="F3438" t="inlineStr">
        <is>
          <t>Holmen skog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41025-2025</t>
        </is>
      </c>
      <c r="B3439" s="1" t="n">
        <v>45897</v>
      </c>
      <c r="C3439" s="1" t="n">
        <v>46185</v>
      </c>
      <c r="D3439" t="inlineStr">
        <is>
          <t>VÄSTERNORRLANDS LÄN</t>
        </is>
      </c>
      <c r="E3439" t="inlineStr">
        <is>
          <t>SOLLEFTEÅ</t>
        </is>
      </c>
      <c r="G3439" t="n">
        <v>9.1</v>
      </c>
      <c r="H3439" t="n">
        <v>0</v>
      </c>
      <c r="I3439" t="n">
        <v>0</v>
      </c>
      <c r="J3439" t="n">
        <v>0</v>
      </c>
      <c r="K3439" t="n">
        <v>0</v>
      </c>
      <c r="L3439" t="n">
        <v>0</v>
      </c>
      <c r="M3439" t="n">
        <v>0</v>
      </c>
      <c r="N3439" t="n">
        <v>0</v>
      </c>
      <c r="O3439" t="n">
        <v>0</v>
      </c>
      <c r="P3439" t="n">
        <v>0</v>
      </c>
      <c r="Q3439" t="n">
        <v>0</v>
      </c>
      <c r="R3439" s="2" t="inlineStr"/>
    </row>
    <row r="3440" ht="15" customHeight="1">
      <c r="A3440" t="inlineStr">
        <is>
          <t>A 40721-2025</t>
        </is>
      </c>
      <c r="B3440" s="1" t="n">
        <v>45897.34497685185</v>
      </c>
      <c r="C3440" s="1" t="n">
        <v>46185</v>
      </c>
      <c r="D3440" t="inlineStr">
        <is>
          <t>VÄSTERNORRLANDS LÄN</t>
        </is>
      </c>
      <c r="E3440" t="inlineStr">
        <is>
          <t>SUNDSVALL</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30478-2025</t>
        </is>
      </c>
      <c r="B3441" s="1" t="n">
        <v>45828.45866898148</v>
      </c>
      <c r="C3441" s="1" t="n">
        <v>46185</v>
      </c>
      <c r="D3441" t="inlineStr">
        <is>
          <t>VÄSTERNORRLANDS LÄN</t>
        </is>
      </c>
      <c r="E3441" t="inlineStr">
        <is>
          <t>SOLLEFTEÅ</t>
        </is>
      </c>
      <c r="G3441" t="n">
        <v>1.5</v>
      </c>
      <c r="H3441" t="n">
        <v>0</v>
      </c>
      <c r="I3441" t="n">
        <v>0</v>
      </c>
      <c r="J3441" t="n">
        <v>0</v>
      </c>
      <c r="K3441" t="n">
        <v>0</v>
      </c>
      <c r="L3441" t="n">
        <v>0</v>
      </c>
      <c r="M3441" t="n">
        <v>0</v>
      </c>
      <c r="N3441" t="n">
        <v>0</v>
      </c>
      <c r="O3441" t="n">
        <v>0</v>
      </c>
      <c r="P3441" t="n">
        <v>0</v>
      </c>
      <c r="Q3441" t="n">
        <v>0</v>
      </c>
      <c r="R3441" s="2" t="inlineStr"/>
      <c r="U3441">
        <f>HYPERLINK("https://klasma.github.io/Logging_2283/knärot/A 30478-2025 karta knärot.png", "A 30478-2025")</f>
        <v/>
      </c>
      <c r="V3441">
        <f>HYPERLINK("https://klasma.github.io/Logging_2283/klagomål/A 30478-2025 FSC-klagomål.docx", "A 30478-2025")</f>
        <v/>
      </c>
      <c r="W3441">
        <f>HYPERLINK("https://klasma.github.io/Logging_2283/klagomålsmail/A 30478-2025 FSC-klagomål mail.docx", "A 30478-2025")</f>
        <v/>
      </c>
      <c r="X3441">
        <f>HYPERLINK("https://klasma.github.io/Logging_2283/tillsyn/A 30478-2025 tillsynsbegäran.docx", "A 30478-2025")</f>
        <v/>
      </c>
      <c r="Y3441">
        <f>HYPERLINK("https://klasma.github.io/Logging_2283/tillsynsmail/A 30478-2025 tillsynsbegäran mail.docx", "A 30478-2025")</f>
        <v/>
      </c>
    </row>
    <row r="3442" ht="15" customHeight="1">
      <c r="A3442" t="inlineStr">
        <is>
          <t>A 2114-2023</t>
        </is>
      </c>
      <c r="B3442" s="1" t="n">
        <v>44939.93809027778</v>
      </c>
      <c r="C3442" s="1" t="n">
        <v>46185</v>
      </c>
      <c r="D3442" t="inlineStr">
        <is>
          <t>VÄSTERNORRLANDS LÄN</t>
        </is>
      </c>
      <c r="E3442" t="inlineStr">
        <is>
          <t>SOLLEFTEÅ</t>
        </is>
      </c>
      <c r="F3442" t="inlineStr">
        <is>
          <t>SCA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54251-2022</t>
        </is>
      </c>
      <c r="B3443" s="1" t="n">
        <v>44881</v>
      </c>
      <c r="C3443" s="1" t="n">
        <v>46185</v>
      </c>
      <c r="D3443" t="inlineStr">
        <is>
          <t>VÄSTERNORRLANDS LÄN</t>
        </is>
      </c>
      <c r="E3443" t="inlineStr">
        <is>
          <t>HÄRNÖSAND</t>
        </is>
      </c>
      <c r="F3443" t="inlineStr">
        <is>
          <t>SCA</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41775-2025</t>
        </is>
      </c>
      <c r="B3444" s="1" t="n">
        <v>45902.56412037037</v>
      </c>
      <c r="C3444" s="1" t="n">
        <v>46185</v>
      </c>
      <c r="D3444" t="inlineStr">
        <is>
          <t>VÄSTERNORRLANDS LÄN</t>
        </is>
      </c>
      <c r="E3444" t="inlineStr">
        <is>
          <t>ÖRNSKÖLDSVIK</t>
        </is>
      </c>
      <c r="F3444" t="inlineStr">
        <is>
          <t>Holmen skog AB</t>
        </is>
      </c>
      <c r="G3444" t="n">
        <v>7.5</v>
      </c>
      <c r="H3444" t="n">
        <v>0</v>
      </c>
      <c r="I3444" t="n">
        <v>0</v>
      </c>
      <c r="J3444" t="n">
        <v>0</v>
      </c>
      <c r="K3444" t="n">
        <v>0</v>
      </c>
      <c r="L3444" t="n">
        <v>0</v>
      </c>
      <c r="M3444" t="n">
        <v>0</v>
      </c>
      <c r="N3444" t="n">
        <v>0</v>
      </c>
      <c r="O3444" t="n">
        <v>0</v>
      </c>
      <c r="P3444" t="n">
        <v>0</v>
      </c>
      <c r="Q3444" t="n">
        <v>0</v>
      </c>
      <c r="R3444" s="2" t="inlineStr"/>
    </row>
    <row r="3445" ht="15" customHeight="1">
      <c r="A3445" t="inlineStr">
        <is>
          <t>A 32652-2024</t>
        </is>
      </c>
      <c r="B3445" s="1" t="n">
        <v>45513</v>
      </c>
      <c r="C3445" s="1" t="n">
        <v>46185</v>
      </c>
      <c r="D3445" t="inlineStr">
        <is>
          <t>VÄSTERNORRLANDS LÄN</t>
        </is>
      </c>
      <c r="E3445" t="inlineStr">
        <is>
          <t>SUNDSVALL</t>
        </is>
      </c>
      <c r="F3445" t="inlineStr">
        <is>
          <t>SCA</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30192-2025</t>
        </is>
      </c>
      <c r="B3446" s="1" t="n">
        <v>45827.35144675926</v>
      </c>
      <c r="C3446" s="1" t="n">
        <v>46185</v>
      </c>
      <c r="D3446" t="inlineStr">
        <is>
          <t>VÄSTERNORRLANDS LÄN</t>
        </is>
      </c>
      <c r="E3446" t="inlineStr">
        <is>
          <t>ÖRNSKÖLDSVIK</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41564-2025</t>
        </is>
      </c>
      <c r="B3447" s="1" t="n">
        <v>45901.60050925926</v>
      </c>
      <c r="C3447" s="1" t="n">
        <v>46185</v>
      </c>
      <c r="D3447" t="inlineStr">
        <is>
          <t>VÄSTERNORRLANDS LÄN</t>
        </is>
      </c>
      <c r="E3447" t="inlineStr">
        <is>
          <t>ÖRNSKÖLDSVIK</t>
        </is>
      </c>
      <c r="F3447" t="inlineStr">
        <is>
          <t>Holmen skog AB</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41315-2025</t>
        </is>
      </c>
      <c r="B3448" s="1" t="n">
        <v>45898.82703703704</v>
      </c>
      <c r="C3448" s="1" t="n">
        <v>46185</v>
      </c>
      <c r="D3448" t="inlineStr">
        <is>
          <t>VÄSTERNORRLANDS LÄN</t>
        </is>
      </c>
      <c r="E3448" t="inlineStr">
        <is>
          <t>KRAMFORS</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41317-2025</t>
        </is>
      </c>
      <c r="B3449" s="1" t="n">
        <v>45898.82773148148</v>
      </c>
      <c r="C3449" s="1" t="n">
        <v>46185</v>
      </c>
      <c r="D3449" t="inlineStr">
        <is>
          <t>VÄSTERNORRLANDS LÄN</t>
        </is>
      </c>
      <c r="E3449" t="inlineStr">
        <is>
          <t>KRAMFORS</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1690-2026</t>
        </is>
      </c>
      <c r="B3450" s="1" t="n">
        <v>46034.58887731482</v>
      </c>
      <c r="C3450" s="1" t="n">
        <v>46185</v>
      </c>
      <c r="D3450" t="inlineStr">
        <is>
          <t>VÄSTERNORRLANDS LÄN</t>
        </is>
      </c>
      <c r="E3450" t="inlineStr">
        <is>
          <t>HÄRNÖSAND</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41509-2025</t>
        </is>
      </c>
      <c r="B3451" s="1" t="n">
        <v>45901.53246527778</v>
      </c>
      <c r="C3451" s="1" t="n">
        <v>46185</v>
      </c>
      <c r="D3451" t="inlineStr">
        <is>
          <t>VÄSTERNORRLANDS LÄN</t>
        </is>
      </c>
      <c r="E3451" t="inlineStr">
        <is>
          <t>SUNDSVALL</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30329-2024</t>
        </is>
      </c>
      <c r="B3452" s="1" t="n">
        <v>45490.95304398148</v>
      </c>
      <c r="C3452" s="1" t="n">
        <v>46185</v>
      </c>
      <c r="D3452" t="inlineStr">
        <is>
          <t>VÄSTERNORRLANDS LÄN</t>
        </is>
      </c>
      <c r="E3452" t="inlineStr">
        <is>
          <t>SOLLEFTEÅ</t>
        </is>
      </c>
      <c r="F3452" t="inlineStr">
        <is>
          <t>SCA</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5367-2022</t>
        </is>
      </c>
      <c r="B3453" s="1" t="n">
        <v>44594.92111111111</v>
      </c>
      <c r="C3453" s="1" t="n">
        <v>46185</v>
      </c>
      <c r="D3453" t="inlineStr">
        <is>
          <t>VÄSTERNORRLANDS LÄN</t>
        </is>
      </c>
      <c r="E3453" t="inlineStr">
        <is>
          <t>ÅNGE</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1563-2026</t>
        </is>
      </c>
      <c r="B3454" s="1" t="n">
        <v>46034.3947337963</v>
      </c>
      <c r="C3454" s="1" t="n">
        <v>46185</v>
      </c>
      <c r="D3454" t="inlineStr">
        <is>
          <t>VÄSTERNORRLANDS LÄN</t>
        </is>
      </c>
      <c r="E3454" t="inlineStr">
        <is>
          <t>ÖRNSKÖLDSVIK</t>
        </is>
      </c>
      <c r="F3454" t="inlineStr">
        <is>
          <t>Holmen skog AB</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41540-2025</t>
        </is>
      </c>
      <c r="B3455" s="1" t="n">
        <v>45901.56833333334</v>
      </c>
      <c r="C3455" s="1" t="n">
        <v>46185</v>
      </c>
      <c r="D3455" t="inlineStr">
        <is>
          <t>VÄSTERNORRLANDS LÄN</t>
        </is>
      </c>
      <c r="E3455" t="inlineStr">
        <is>
          <t>SOLLEFTEÅ</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41556-2025</t>
        </is>
      </c>
      <c r="B3456" s="1" t="n">
        <v>45901.59267361111</v>
      </c>
      <c r="C3456" s="1" t="n">
        <v>46185</v>
      </c>
      <c r="D3456" t="inlineStr">
        <is>
          <t>VÄSTERNORRLANDS LÄN</t>
        </is>
      </c>
      <c r="E3456" t="inlineStr">
        <is>
          <t>KRAMFORS</t>
        </is>
      </c>
      <c r="G3456" t="n">
        <v>8.699999999999999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1544-2026</t>
        </is>
      </c>
      <c r="B3457" s="1" t="n">
        <v>46034.38653935185</v>
      </c>
      <c r="C3457" s="1" t="n">
        <v>46185</v>
      </c>
      <c r="D3457" t="inlineStr">
        <is>
          <t>VÄSTERNORRLANDS LÄN</t>
        </is>
      </c>
      <c r="E3457" t="inlineStr">
        <is>
          <t>ÅNGE</t>
        </is>
      </c>
      <c r="F3457" t="inlineStr">
        <is>
          <t>SCA</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41473-2025</t>
        </is>
      </c>
      <c r="B3458" s="1" t="n">
        <v>45901.46952546296</v>
      </c>
      <c r="C3458" s="1" t="n">
        <v>46185</v>
      </c>
      <c r="D3458" t="inlineStr">
        <is>
          <t>VÄSTERNORRLANDS LÄN</t>
        </is>
      </c>
      <c r="E3458" t="inlineStr">
        <is>
          <t>SOLLEFTEÅ</t>
        </is>
      </c>
      <c r="F3458" t="inlineStr">
        <is>
          <t>SCA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41476-2025</t>
        </is>
      </c>
      <c r="B3459" s="1" t="n">
        <v>45901.46986111111</v>
      </c>
      <c r="C3459" s="1" t="n">
        <v>46185</v>
      </c>
      <c r="D3459" t="inlineStr">
        <is>
          <t>VÄSTERNORRLANDS LÄN</t>
        </is>
      </c>
      <c r="E3459" t="inlineStr">
        <is>
          <t>KRAMFORS</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11289-2022</t>
        </is>
      </c>
      <c r="B3460" s="1" t="n">
        <v>44629</v>
      </c>
      <c r="C3460" s="1" t="n">
        <v>46185</v>
      </c>
      <c r="D3460" t="inlineStr">
        <is>
          <t>VÄSTERNORRLANDS LÄN</t>
        </is>
      </c>
      <c r="E3460" t="inlineStr">
        <is>
          <t>KRAMFORS</t>
        </is>
      </c>
      <c r="G3460" t="n">
        <v>6.3</v>
      </c>
      <c r="H3460" t="n">
        <v>0</v>
      </c>
      <c r="I3460" t="n">
        <v>0</v>
      </c>
      <c r="J3460" t="n">
        <v>0</v>
      </c>
      <c r="K3460" t="n">
        <v>0</v>
      </c>
      <c r="L3460" t="n">
        <v>0</v>
      </c>
      <c r="M3460" t="n">
        <v>0</v>
      </c>
      <c r="N3460" t="n">
        <v>0</v>
      </c>
      <c r="O3460" t="n">
        <v>0</v>
      </c>
      <c r="P3460" t="n">
        <v>0</v>
      </c>
      <c r="Q3460" t="n">
        <v>0</v>
      </c>
      <c r="R3460" s="2" t="inlineStr"/>
    </row>
    <row r="3461" ht="15" customHeight="1">
      <c r="A3461" t="inlineStr">
        <is>
          <t>A 11318-2022</t>
        </is>
      </c>
      <c r="B3461" s="1" t="n">
        <v>44629.94743055556</v>
      </c>
      <c r="C3461" s="1" t="n">
        <v>46185</v>
      </c>
      <c r="D3461" t="inlineStr">
        <is>
          <t>VÄSTERNORRLANDS LÄN</t>
        </is>
      </c>
      <c r="E3461" t="inlineStr">
        <is>
          <t>SOLLEFTEÅ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40571-2024</t>
        </is>
      </c>
      <c r="B3462" s="1" t="n">
        <v>45555.67759259259</v>
      </c>
      <c r="C3462" s="1" t="n">
        <v>46185</v>
      </c>
      <c r="D3462" t="inlineStr">
        <is>
          <t>VÄSTERNORRLANDS LÄN</t>
        </is>
      </c>
      <c r="E3462" t="inlineStr">
        <is>
          <t>SOLLEFTEÅ</t>
        </is>
      </c>
      <c r="F3462" t="inlineStr">
        <is>
          <t>SCA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30671-2025</t>
        </is>
      </c>
      <c r="B3463" s="1" t="n">
        <v>45831.51832175926</v>
      </c>
      <c r="C3463" s="1" t="n">
        <v>46185</v>
      </c>
      <c r="D3463" t="inlineStr">
        <is>
          <t>VÄSTERNORRLANDS LÄN</t>
        </is>
      </c>
      <c r="E3463" t="inlineStr">
        <is>
          <t>ÖRNSKÖLDSVIK</t>
        </is>
      </c>
      <c r="F3463" t="inlineStr">
        <is>
          <t>Holmen skog AB</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30534-2025</t>
        </is>
      </c>
      <c r="B3464" s="1" t="n">
        <v>45831.36513888889</v>
      </c>
      <c r="C3464" s="1" t="n">
        <v>46185</v>
      </c>
      <c r="D3464" t="inlineStr">
        <is>
          <t>VÄSTERNORRLANDS LÄN</t>
        </is>
      </c>
      <c r="E3464" t="inlineStr">
        <is>
          <t>KRAMFORS</t>
        </is>
      </c>
      <c r="F3464" t="inlineStr">
        <is>
          <t>SCA</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41449-2025</t>
        </is>
      </c>
      <c r="B3465" s="1" t="n">
        <v>45901.42787037037</v>
      </c>
      <c r="C3465" s="1" t="n">
        <v>46185</v>
      </c>
      <c r="D3465" t="inlineStr">
        <is>
          <t>VÄSTERNORRLANDS LÄN</t>
        </is>
      </c>
      <c r="E3465" t="inlineStr">
        <is>
          <t>SOLLEFTEÅ</t>
        </is>
      </c>
      <c r="F3465" t="inlineStr">
        <is>
          <t>SCA</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30742-2025</t>
        </is>
      </c>
      <c r="B3466" s="1" t="n">
        <v>45831.57798611111</v>
      </c>
      <c r="C3466" s="1" t="n">
        <v>46185</v>
      </c>
      <c r="D3466" t="inlineStr">
        <is>
          <t>VÄSTERNORRLANDS LÄN</t>
        </is>
      </c>
      <c r="E3466" t="inlineStr">
        <is>
          <t>ÖRNSKÖLDSVIK</t>
        </is>
      </c>
      <c r="F3466" t="inlineStr">
        <is>
          <t>Holmen skog AB</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40593-2024</t>
        </is>
      </c>
      <c r="B3467" s="1" t="n">
        <v>45555</v>
      </c>
      <c r="C3467" s="1" t="n">
        <v>46185</v>
      </c>
      <c r="D3467" t="inlineStr">
        <is>
          <t>VÄSTERNORRLANDS LÄN</t>
        </is>
      </c>
      <c r="E3467" t="inlineStr">
        <is>
          <t>TIMRÅ</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37861-2024</t>
        </is>
      </c>
      <c r="B3468" s="1" t="n">
        <v>45544</v>
      </c>
      <c r="C3468" s="1" t="n">
        <v>46185</v>
      </c>
      <c r="D3468" t="inlineStr">
        <is>
          <t>VÄSTERNORRLANDS LÄN</t>
        </is>
      </c>
      <c r="E3468" t="inlineStr">
        <is>
          <t>TIMRÅ</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37871-2024</t>
        </is>
      </c>
      <c r="B3469" s="1" t="n">
        <v>45544</v>
      </c>
      <c r="C3469" s="1" t="n">
        <v>46185</v>
      </c>
      <c r="D3469" t="inlineStr">
        <is>
          <t>VÄSTERNORRLANDS LÄN</t>
        </is>
      </c>
      <c r="E3469" t="inlineStr">
        <is>
          <t>ÖRNSKÖLDSVIK</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62083-2025</t>
        </is>
      </c>
      <c r="B3470" s="1" t="n">
        <v>46006.37369212963</v>
      </c>
      <c r="C3470" s="1" t="n">
        <v>46185</v>
      </c>
      <c r="D3470" t="inlineStr">
        <is>
          <t>VÄSTERNORRLANDS LÄN</t>
        </is>
      </c>
      <c r="E3470" t="inlineStr">
        <is>
          <t>SUNDSVALL</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63275-2025</t>
        </is>
      </c>
      <c r="B3471" s="1" t="n">
        <v>46010.57359953703</v>
      </c>
      <c r="C3471" s="1" t="n">
        <v>46185</v>
      </c>
      <c r="D3471" t="inlineStr">
        <is>
          <t>VÄSTERNORRLANDS LÄN</t>
        </is>
      </c>
      <c r="E3471" t="inlineStr">
        <is>
          <t>SUNDSVALL</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30816-2025</t>
        </is>
      </c>
      <c r="B3472" s="1" t="n">
        <v>45831.66094907407</v>
      </c>
      <c r="C3472" s="1" t="n">
        <v>46185</v>
      </c>
      <c r="D3472" t="inlineStr">
        <is>
          <t>VÄSTERNORRLANDS LÄN</t>
        </is>
      </c>
      <c r="E3472" t="inlineStr">
        <is>
          <t>TIMRÅ</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30834-2025</t>
        </is>
      </c>
      <c r="B3473" s="1" t="n">
        <v>45831.6984837963</v>
      </c>
      <c r="C3473" s="1" t="n">
        <v>46185</v>
      </c>
      <c r="D3473" t="inlineStr">
        <is>
          <t>VÄSTERNORRLANDS LÄN</t>
        </is>
      </c>
      <c r="E3473" t="inlineStr">
        <is>
          <t>SOLLEFTEÅ</t>
        </is>
      </c>
      <c r="F3473" t="inlineStr">
        <is>
          <t>SCA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30875-2025</t>
        </is>
      </c>
      <c r="B3474" s="1" t="n">
        <v>45832.34447916667</v>
      </c>
      <c r="C3474" s="1" t="n">
        <v>46185</v>
      </c>
      <c r="D3474" t="inlineStr">
        <is>
          <t>VÄSTERNORRLANDS LÄN</t>
        </is>
      </c>
      <c r="E3474" t="inlineStr">
        <is>
          <t>ÅNGE</t>
        </is>
      </c>
      <c r="F3474" t="inlineStr">
        <is>
          <t>SCA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41808-2025</t>
        </is>
      </c>
      <c r="B3475" s="1" t="n">
        <v>45902.64255787037</v>
      </c>
      <c r="C3475" s="1" t="n">
        <v>46185</v>
      </c>
      <c r="D3475" t="inlineStr">
        <is>
          <t>VÄSTERNORRLANDS LÄN</t>
        </is>
      </c>
      <c r="E3475" t="inlineStr">
        <is>
          <t>ÖRNSKÖLDSVIK</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7946-2022</t>
        </is>
      </c>
      <c r="B3476" s="1" t="n">
        <v>44608</v>
      </c>
      <c r="C3476" s="1" t="n">
        <v>46185</v>
      </c>
      <c r="D3476" t="inlineStr">
        <is>
          <t>VÄSTERNORRLANDS LÄN</t>
        </is>
      </c>
      <c r="E3476" t="inlineStr">
        <is>
          <t>SUNDSVALL</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8506-2024</t>
        </is>
      </c>
      <c r="B3477" s="1" t="n">
        <v>45351</v>
      </c>
      <c r="C3477" s="1" t="n">
        <v>46185</v>
      </c>
      <c r="D3477" t="inlineStr">
        <is>
          <t>VÄSTERNORRLANDS LÄN</t>
        </is>
      </c>
      <c r="E3477" t="inlineStr">
        <is>
          <t>TIMRÅ</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1162-2026</t>
        </is>
      </c>
      <c r="B3478" s="1" t="n">
        <v>46031.3371875</v>
      </c>
      <c r="C3478" s="1" t="n">
        <v>46185</v>
      </c>
      <c r="D3478" t="inlineStr">
        <is>
          <t>VÄSTERNORRLANDS LÄN</t>
        </is>
      </c>
      <c r="E3478" t="inlineStr">
        <is>
          <t>ÖRNSKÖLDSVIK</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1176-2026</t>
        </is>
      </c>
      <c r="B3479" s="1" t="n">
        <v>46031.35283564815</v>
      </c>
      <c r="C3479" s="1" t="n">
        <v>46185</v>
      </c>
      <c r="D3479" t="inlineStr">
        <is>
          <t>VÄSTERNORRLANDS LÄN</t>
        </is>
      </c>
      <c r="E3479" t="inlineStr">
        <is>
          <t>KRAMFORS</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30725-2025</t>
        </is>
      </c>
      <c r="B3480" s="1" t="n">
        <v>45831.569375</v>
      </c>
      <c r="C3480" s="1" t="n">
        <v>46185</v>
      </c>
      <c r="D3480" t="inlineStr">
        <is>
          <t>VÄSTERNORRLANDS LÄN</t>
        </is>
      </c>
      <c r="E3480" t="inlineStr">
        <is>
          <t>ÖRNSKÖLDSVIK</t>
        </is>
      </c>
      <c r="F3480" t="inlineStr">
        <is>
          <t>Holmen skog AB</t>
        </is>
      </c>
      <c r="G3480" t="n">
        <v>7.6</v>
      </c>
      <c r="H3480" t="n">
        <v>0</v>
      </c>
      <c r="I3480" t="n">
        <v>0</v>
      </c>
      <c r="J3480" t="n">
        <v>0</v>
      </c>
      <c r="K3480" t="n">
        <v>0</v>
      </c>
      <c r="L3480" t="n">
        <v>0</v>
      </c>
      <c r="M3480" t="n">
        <v>0</v>
      </c>
      <c r="N3480" t="n">
        <v>0</v>
      </c>
      <c r="O3480" t="n">
        <v>0</v>
      </c>
      <c r="P3480" t="n">
        <v>0</v>
      </c>
      <c r="Q3480" t="n">
        <v>0</v>
      </c>
      <c r="R3480" s="2" t="inlineStr"/>
    </row>
    <row r="3481" ht="15" customHeight="1">
      <c r="A3481" t="inlineStr">
        <is>
          <t>A 41774-2025</t>
        </is>
      </c>
      <c r="B3481" s="1" t="n">
        <v>45902.56362268519</v>
      </c>
      <c r="C3481" s="1" t="n">
        <v>46185</v>
      </c>
      <c r="D3481" t="inlineStr">
        <is>
          <t>VÄSTERNORRLANDS LÄN</t>
        </is>
      </c>
      <c r="E3481" t="inlineStr">
        <is>
          <t>SUNDSVALL</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38750-2024</t>
        </is>
      </c>
      <c r="B3482" s="1" t="n">
        <v>45547</v>
      </c>
      <c r="C3482" s="1" t="n">
        <v>46185</v>
      </c>
      <c r="D3482" t="inlineStr">
        <is>
          <t>VÄSTERNORRLANDS LÄN</t>
        </is>
      </c>
      <c r="E3482" t="inlineStr">
        <is>
          <t>ÖRNSKÖLDSVIK</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38753-2024</t>
        </is>
      </c>
      <c r="B3483" s="1" t="n">
        <v>45547.43258101852</v>
      </c>
      <c r="C3483" s="1" t="n">
        <v>46185</v>
      </c>
      <c r="D3483" t="inlineStr">
        <is>
          <t>VÄSTERNORRLANDS LÄN</t>
        </is>
      </c>
      <c r="E3483" t="inlineStr">
        <is>
          <t>ÖRNSKÖLDSVIK</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30806-2025</t>
        </is>
      </c>
      <c r="B3484" s="1" t="n">
        <v>45831.65665509259</v>
      </c>
      <c r="C3484" s="1" t="n">
        <v>46185</v>
      </c>
      <c r="D3484" t="inlineStr">
        <is>
          <t>VÄSTERNORRLANDS LÄN</t>
        </is>
      </c>
      <c r="E3484" t="inlineStr">
        <is>
          <t>ÖRNSKÖLDSVIK</t>
        </is>
      </c>
      <c r="F3484" t="inlineStr">
        <is>
          <t>Holmen skog AB</t>
        </is>
      </c>
      <c r="G3484" t="n">
        <v>6.9</v>
      </c>
      <c r="H3484" t="n">
        <v>0</v>
      </c>
      <c r="I3484" t="n">
        <v>0</v>
      </c>
      <c r="J3484" t="n">
        <v>0</v>
      </c>
      <c r="K3484" t="n">
        <v>0</v>
      </c>
      <c r="L3484" t="n">
        <v>0</v>
      </c>
      <c r="M3484" t="n">
        <v>0</v>
      </c>
      <c r="N3484" t="n">
        <v>0</v>
      </c>
      <c r="O3484" t="n">
        <v>0</v>
      </c>
      <c r="P3484" t="n">
        <v>0</v>
      </c>
      <c r="Q3484" t="n">
        <v>0</v>
      </c>
      <c r="R3484" s="2" t="inlineStr"/>
    </row>
    <row r="3485" ht="15" customHeight="1">
      <c r="A3485" t="inlineStr">
        <is>
          <t>A 72244-2021</t>
        </is>
      </c>
      <c r="B3485" s="1" t="n">
        <v>44544.9390162037</v>
      </c>
      <c r="C3485" s="1" t="n">
        <v>46185</v>
      </c>
      <c r="D3485" t="inlineStr">
        <is>
          <t>VÄSTERNORRLANDS LÄN</t>
        </is>
      </c>
      <c r="E3485" t="inlineStr">
        <is>
          <t>SOLLEFTEÅ</t>
        </is>
      </c>
      <c r="F3485" t="inlineStr">
        <is>
          <t>SCA</t>
        </is>
      </c>
      <c r="G3485" t="n">
        <v>6.8</v>
      </c>
      <c r="H3485" t="n">
        <v>0</v>
      </c>
      <c r="I3485" t="n">
        <v>0</v>
      </c>
      <c r="J3485" t="n">
        <v>0</v>
      </c>
      <c r="K3485" t="n">
        <v>0</v>
      </c>
      <c r="L3485" t="n">
        <v>0</v>
      </c>
      <c r="M3485" t="n">
        <v>0</v>
      </c>
      <c r="N3485" t="n">
        <v>0</v>
      </c>
      <c r="O3485" t="n">
        <v>0</v>
      </c>
      <c r="P3485" t="n">
        <v>0</v>
      </c>
      <c r="Q3485" t="n">
        <v>0</v>
      </c>
      <c r="R3485" s="2" t="inlineStr"/>
    </row>
    <row r="3486" ht="15" customHeight="1">
      <c r="A3486" t="inlineStr">
        <is>
          <t>A 30713-2025</t>
        </is>
      </c>
      <c r="B3486" s="1" t="n">
        <v>45831.55275462963</v>
      </c>
      <c r="C3486" s="1" t="n">
        <v>46185</v>
      </c>
      <c r="D3486" t="inlineStr">
        <is>
          <t>VÄSTERNORRLANDS LÄN</t>
        </is>
      </c>
      <c r="E3486" t="inlineStr">
        <is>
          <t>ÖRNSKÖLDSVIK</t>
        </is>
      </c>
      <c r="F3486" t="inlineStr">
        <is>
          <t>SCA</t>
        </is>
      </c>
      <c r="G3486" t="n">
        <v>47.1</v>
      </c>
      <c r="H3486" t="n">
        <v>0</v>
      </c>
      <c r="I3486" t="n">
        <v>0</v>
      </c>
      <c r="J3486" t="n">
        <v>0</v>
      </c>
      <c r="K3486" t="n">
        <v>0</v>
      </c>
      <c r="L3486" t="n">
        <v>0</v>
      </c>
      <c r="M3486" t="n">
        <v>0</v>
      </c>
      <c r="N3486" t="n">
        <v>0</v>
      </c>
      <c r="O3486" t="n">
        <v>0</v>
      </c>
      <c r="P3486" t="n">
        <v>0</v>
      </c>
      <c r="Q3486" t="n">
        <v>0</v>
      </c>
      <c r="R3486" s="2" t="inlineStr"/>
    </row>
    <row r="3487" ht="15" customHeight="1">
      <c r="A3487" t="inlineStr">
        <is>
          <t>A 72825-2021</t>
        </is>
      </c>
      <c r="B3487" s="1" t="n">
        <v>44546</v>
      </c>
      <c r="C3487" s="1" t="n">
        <v>46185</v>
      </c>
      <c r="D3487" t="inlineStr">
        <is>
          <t>VÄSTERNORRLANDS LÄN</t>
        </is>
      </c>
      <c r="E3487" t="inlineStr">
        <is>
          <t>KRAMFORS</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41433-2025</t>
        </is>
      </c>
      <c r="B3488" s="1" t="n">
        <v>45901.39608796296</v>
      </c>
      <c r="C3488" s="1" t="n">
        <v>46185</v>
      </c>
      <c r="D3488" t="inlineStr">
        <is>
          <t>VÄSTERNORRLANDS LÄN</t>
        </is>
      </c>
      <c r="E3488" t="inlineStr">
        <is>
          <t>ÖRNSKÖLDSVIK</t>
        </is>
      </c>
      <c r="F3488" t="inlineStr">
        <is>
          <t>Holmen skog AB</t>
        </is>
      </c>
      <c r="G3488" t="n">
        <v>12.8</v>
      </c>
      <c r="H3488" t="n">
        <v>0</v>
      </c>
      <c r="I3488" t="n">
        <v>0</v>
      </c>
      <c r="J3488" t="n">
        <v>0</v>
      </c>
      <c r="K3488" t="n">
        <v>0</v>
      </c>
      <c r="L3488" t="n">
        <v>0</v>
      </c>
      <c r="M3488" t="n">
        <v>0</v>
      </c>
      <c r="N3488" t="n">
        <v>0</v>
      </c>
      <c r="O3488" t="n">
        <v>0</v>
      </c>
      <c r="P3488" t="n">
        <v>0</v>
      </c>
      <c r="Q3488" t="n">
        <v>0</v>
      </c>
      <c r="R3488" s="2" t="inlineStr"/>
    </row>
    <row r="3489" ht="15" customHeight="1">
      <c r="A3489" t="inlineStr">
        <is>
          <t>A 41834-2024</t>
        </is>
      </c>
      <c r="B3489" s="1" t="n">
        <v>45561.4084375</v>
      </c>
      <c r="C3489" s="1" t="n">
        <v>46185</v>
      </c>
      <c r="D3489" t="inlineStr">
        <is>
          <t>VÄSTERNORRLANDS LÄN</t>
        </is>
      </c>
      <c r="E3489" t="inlineStr">
        <is>
          <t>SOLLEFTEÅ</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31165-2025</t>
        </is>
      </c>
      <c r="B3490" s="1" t="n">
        <v>45832.65871527778</v>
      </c>
      <c r="C3490" s="1" t="n">
        <v>46185</v>
      </c>
      <c r="D3490" t="inlineStr">
        <is>
          <t>VÄSTERNORRLANDS LÄN</t>
        </is>
      </c>
      <c r="E3490" t="inlineStr">
        <is>
          <t>HÄRNÖSAND</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29055-2025</t>
        </is>
      </c>
      <c r="B3491" s="1" t="n">
        <v>45821.47163194444</v>
      </c>
      <c r="C3491" s="1" t="n">
        <v>46185</v>
      </c>
      <c r="D3491" t="inlineStr">
        <is>
          <t>VÄSTERNORRLANDS LÄN</t>
        </is>
      </c>
      <c r="E3491" t="inlineStr">
        <is>
          <t>ÖRNSKÖLDSVIK</t>
        </is>
      </c>
      <c r="F3491" t="inlineStr">
        <is>
          <t>Holmen skog AB</t>
        </is>
      </c>
      <c r="G3491" t="n">
        <v>13.5</v>
      </c>
      <c r="H3491" t="n">
        <v>0</v>
      </c>
      <c r="I3491" t="n">
        <v>0</v>
      </c>
      <c r="J3491" t="n">
        <v>0</v>
      </c>
      <c r="K3491" t="n">
        <v>0</v>
      </c>
      <c r="L3491" t="n">
        <v>0</v>
      </c>
      <c r="M3491" t="n">
        <v>0</v>
      </c>
      <c r="N3491" t="n">
        <v>0</v>
      </c>
      <c r="O3491" t="n">
        <v>0</v>
      </c>
      <c r="P3491" t="n">
        <v>0</v>
      </c>
      <c r="Q3491" t="n">
        <v>0</v>
      </c>
      <c r="R3491" s="2" t="inlineStr"/>
    </row>
    <row r="3492" ht="15" customHeight="1">
      <c r="A3492" t="inlineStr">
        <is>
          <t>A 41505-2025</t>
        </is>
      </c>
      <c r="B3492" s="1" t="n">
        <v>45901.52425925926</v>
      </c>
      <c r="C3492" s="1" t="n">
        <v>46185</v>
      </c>
      <c r="D3492" t="inlineStr">
        <is>
          <t>VÄSTERNORRLANDS LÄN</t>
        </is>
      </c>
      <c r="E3492" t="inlineStr">
        <is>
          <t>SUNDSVALL</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41975-2024</t>
        </is>
      </c>
      <c r="B3493" s="1" t="n">
        <v>45561</v>
      </c>
      <c r="C3493" s="1" t="n">
        <v>46185</v>
      </c>
      <c r="D3493" t="inlineStr">
        <is>
          <t>VÄSTERNORRLANDS LÄN</t>
        </is>
      </c>
      <c r="E3493" t="inlineStr">
        <is>
          <t>SOLLEFTEÅ</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30618-2025</t>
        </is>
      </c>
      <c r="B3494" s="1" t="n">
        <v>45831.46909722222</v>
      </c>
      <c r="C3494" s="1" t="n">
        <v>46185</v>
      </c>
      <c r="D3494" t="inlineStr">
        <is>
          <t>VÄSTERNORRLANDS LÄN</t>
        </is>
      </c>
      <c r="E3494" t="inlineStr">
        <is>
          <t>ÅNGE</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41314-2025</t>
        </is>
      </c>
      <c r="B3495" s="1" t="n">
        <v>45898.82679398148</v>
      </c>
      <c r="C3495" s="1" t="n">
        <v>46185</v>
      </c>
      <c r="D3495" t="inlineStr">
        <is>
          <t>VÄSTERNORRLANDS LÄN</t>
        </is>
      </c>
      <c r="E3495" t="inlineStr">
        <is>
          <t>KRAMFORS</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41316-2025</t>
        </is>
      </c>
      <c r="B3496" s="1" t="n">
        <v>45898.82736111111</v>
      </c>
      <c r="C3496" s="1" t="n">
        <v>46185</v>
      </c>
      <c r="D3496" t="inlineStr">
        <is>
          <t>VÄSTERNORRLANDS LÄN</t>
        </is>
      </c>
      <c r="E3496" t="inlineStr">
        <is>
          <t>KRAMFORS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41557-2025</t>
        </is>
      </c>
      <c r="B3497" s="1" t="n">
        <v>45901.59296296296</v>
      </c>
      <c r="C3497" s="1" t="n">
        <v>46185</v>
      </c>
      <c r="D3497" t="inlineStr">
        <is>
          <t>VÄSTERNORRLANDS LÄN</t>
        </is>
      </c>
      <c r="E3497" t="inlineStr">
        <is>
          <t>KRAMFORS</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41545-2025</t>
        </is>
      </c>
      <c r="B3498" s="1" t="n">
        <v>45901.57559027777</v>
      </c>
      <c r="C3498" s="1" t="n">
        <v>46185</v>
      </c>
      <c r="D3498" t="inlineStr">
        <is>
          <t>VÄSTERNORRLANDS LÄN</t>
        </is>
      </c>
      <c r="E3498" t="inlineStr">
        <is>
          <t>ÖRNSKÖLDSVIK</t>
        </is>
      </c>
      <c r="F3498" t="inlineStr">
        <is>
          <t>Holmen skog AB</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41562-2025</t>
        </is>
      </c>
      <c r="B3499" s="1" t="n">
        <v>45901</v>
      </c>
      <c r="C3499" s="1" t="n">
        <v>46185</v>
      </c>
      <c r="D3499" t="inlineStr">
        <is>
          <t>VÄSTERNORRLANDS LÄN</t>
        </is>
      </c>
      <c r="E3499" t="inlineStr">
        <is>
          <t>HÄRNÖSAND</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50402-2024</t>
        </is>
      </c>
      <c r="B3500" s="1" t="n">
        <v>45601.35136574074</v>
      </c>
      <c r="C3500" s="1" t="n">
        <v>46185</v>
      </c>
      <c r="D3500" t="inlineStr">
        <is>
          <t>VÄSTERNORRLANDS LÄN</t>
        </is>
      </c>
      <c r="E3500" t="inlineStr">
        <is>
          <t>ÖRNSKÖLDSVIK</t>
        </is>
      </c>
      <c r="F3500" t="inlineStr">
        <is>
          <t>Holmen skog AB</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30896-2025</t>
        </is>
      </c>
      <c r="B3501" s="1" t="n">
        <v>45832.34929398148</v>
      </c>
      <c r="C3501" s="1" t="n">
        <v>46185</v>
      </c>
      <c r="D3501" t="inlineStr">
        <is>
          <t>VÄSTERNORRLANDS LÄN</t>
        </is>
      </c>
      <c r="E3501" t="inlineStr">
        <is>
          <t>KRAMFORS</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41489-2025</t>
        </is>
      </c>
      <c r="B3502" s="1" t="n">
        <v>45901.48653935185</v>
      </c>
      <c r="C3502" s="1" t="n">
        <v>46185</v>
      </c>
      <c r="D3502" t="inlineStr">
        <is>
          <t>VÄSTERNORRLANDS LÄN</t>
        </is>
      </c>
      <c r="E3502" t="inlineStr">
        <is>
          <t>ÖRNSKÖLDSVIK</t>
        </is>
      </c>
      <c r="G3502" t="n">
        <v>8.800000000000001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5349-2023</t>
        </is>
      </c>
      <c r="B3503" s="1" t="n">
        <v>44956</v>
      </c>
      <c r="C3503" s="1" t="n">
        <v>46185</v>
      </c>
      <c r="D3503" t="inlineStr">
        <is>
          <t>VÄSTERNORRLANDS LÄN</t>
        </is>
      </c>
      <c r="E3503" t="inlineStr">
        <is>
          <t>KRAMFORS</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31183-2025</t>
        </is>
      </c>
      <c r="B3504" s="1" t="n">
        <v>45832.67774305555</v>
      </c>
      <c r="C3504" s="1" t="n">
        <v>46185</v>
      </c>
      <c r="D3504" t="inlineStr">
        <is>
          <t>VÄSTERNORRLANDS LÄN</t>
        </is>
      </c>
      <c r="E3504" t="inlineStr">
        <is>
          <t>SOLLEFTEÅ</t>
        </is>
      </c>
      <c r="F3504" t="inlineStr">
        <is>
          <t>SCA</t>
        </is>
      </c>
      <c r="G3504" t="n">
        <v>11.2</v>
      </c>
      <c r="H3504" t="n">
        <v>0</v>
      </c>
      <c r="I3504" t="n">
        <v>0</v>
      </c>
      <c r="J3504" t="n">
        <v>0</v>
      </c>
      <c r="K3504" t="n">
        <v>0</v>
      </c>
      <c r="L3504" t="n">
        <v>0</v>
      </c>
      <c r="M3504" t="n">
        <v>0</v>
      </c>
      <c r="N3504" t="n">
        <v>0</v>
      </c>
      <c r="O3504" t="n">
        <v>0</v>
      </c>
      <c r="P3504" t="n">
        <v>0</v>
      </c>
      <c r="Q3504" t="n">
        <v>0</v>
      </c>
      <c r="R3504" s="2" t="inlineStr"/>
    </row>
    <row r="3505" ht="15" customHeight="1">
      <c r="A3505" t="inlineStr">
        <is>
          <t>A 74020-2021</t>
        </is>
      </c>
      <c r="B3505" s="1" t="n">
        <v>44557.43879629629</v>
      </c>
      <c r="C3505" s="1" t="n">
        <v>46185</v>
      </c>
      <c r="D3505" t="inlineStr">
        <is>
          <t>VÄSTERNORRLANDS LÄN</t>
        </is>
      </c>
      <c r="E3505" t="inlineStr">
        <is>
          <t>TIMRÅ</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1476-2026</t>
        </is>
      </c>
      <c r="B3506" s="1" t="n">
        <v>46033</v>
      </c>
      <c r="C3506" s="1" t="n">
        <v>46185</v>
      </c>
      <c r="D3506" t="inlineStr">
        <is>
          <t>VÄSTERNORRLANDS LÄN</t>
        </is>
      </c>
      <c r="E3506" t="inlineStr">
        <is>
          <t>TIMRÅ</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1510-2026</t>
        </is>
      </c>
      <c r="B3507" s="1" t="n">
        <v>46034.34427083333</v>
      </c>
      <c r="C3507" s="1" t="n">
        <v>46185</v>
      </c>
      <c r="D3507" t="inlineStr">
        <is>
          <t>VÄSTERNORRLANDS LÄN</t>
        </is>
      </c>
      <c r="E3507" t="inlineStr">
        <is>
          <t>SUNDSVALL</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30827-2025</t>
        </is>
      </c>
      <c r="B3508" s="1" t="n">
        <v>45831.67759259259</v>
      </c>
      <c r="C3508" s="1" t="n">
        <v>46185</v>
      </c>
      <c r="D3508" t="inlineStr">
        <is>
          <t>VÄSTERNORRLANDS LÄN</t>
        </is>
      </c>
      <c r="E3508" t="inlineStr">
        <is>
          <t>TIMRÅ</t>
        </is>
      </c>
      <c r="F3508" t="inlineStr">
        <is>
          <t>SCA</t>
        </is>
      </c>
      <c r="G3508" t="n">
        <v>14.8</v>
      </c>
      <c r="H3508" t="n">
        <v>0</v>
      </c>
      <c r="I3508" t="n">
        <v>0</v>
      </c>
      <c r="J3508" t="n">
        <v>0</v>
      </c>
      <c r="K3508" t="n">
        <v>0</v>
      </c>
      <c r="L3508" t="n">
        <v>0</v>
      </c>
      <c r="M3508" t="n">
        <v>0</v>
      </c>
      <c r="N3508" t="n">
        <v>0</v>
      </c>
      <c r="O3508" t="n">
        <v>0</v>
      </c>
      <c r="P3508" t="n">
        <v>0</v>
      </c>
      <c r="Q3508" t="n">
        <v>0</v>
      </c>
      <c r="R3508" s="2" t="inlineStr"/>
    </row>
    <row r="3509" ht="15" customHeight="1">
      <c r="A3509" t="inlineStr">
        <is>
          <t>A 41617-2025</t>
        </is>
      </c>
      <c r="B3509" s="1" t="n">
        <v>45901.69834490741</v>
      </c>
      <c r="C3509" s="1" t="n">
        <v>46185</v>
      </c>
      <c r="D3509" t="inlineStr">
        <is>
          <t>VÄSTERNORRLANDS LÄN</t>
        </is>
      </c>
      <c r="E3509" t="inlineStr">
        <is>
          <t>SOLLEFTEÅ</t>
        </is>
      </c>
      <c r="F3509" t="inlineStr">
        <is>
          <t>SCA</t>
        </is>
      </c>
      <c r="G3509" t="n">
        <v>7.9</v>
      </c>
      <c r="H3509" t="n">
        <v>0</v>
      </c>
      <c r="I3509" t="n">
        <v>0</v>
      </c>
      <c r="J3509" t="n">
        <v>0</v>
      </c>
      <c r="K3509" t="n">
        <v>0</v>
      </c>
      <c r="L3509" t="n">
        <v>0</v>
      </c>
      <c r="M3509" t="n">
        <v>0</v>
      </c>
      <c r="N3509" t="n">
        <v>0</v>
      </c>
      <c r="O3509" t="n">
        <v>0</v>
      </c>
      <c r="P3509" t="n">
        <v>0</v>
      </c>
      <c r="Q3509" t="n">
        <v>0</v>
      </c>
      <c r="R3509" s="2" t="inlineStr"/>
    </row>
    <row r="3510" ht="15" customHeight="1">
      <c r="A3510" t="inlineStr">
        <is>
          <t>A 41318-2025</t>
        </is>
      </c>
      <c r="B3510" s="1" t="n">
        <v>45898.8330787037</v>
      </c>
      <c r="C3510" s="1" t="n">
        <v>46185</v>
      </c>
      <c r="D3510" t="inlineStr">
        <is>
          <t>VÄSTERNORRLANDS LÄN</t>
        </is>
      </c>
      <c r="E3510" t="inlineStr">
        <is>
          <t>KRAMFORS</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31042-2025</t>
        </is>
      </c>
      <c r="B3511" s="1" t="n">
        <v>45832.55267361111</v>
      </c>
      <c r="C3511" s="1" t="n">
        <v>46185</v>
      </c>
      <c r="D3511" t="inlineStr">
        <is>
          <t>VÄSTERNORRLANDS LÄN</t>
        </is>
      </c>
      <c r="E3511" t="inlineStr">
        <is>
          <t>ÅNGE</t>
        </is>
      </c>
      <c r="F3511" t="inlineStr">
        <is>
          <t>SCA</t>
        </is>
      </c>
      <c r="G3511" t="n">
        <v>11.8</v>
      </c>
      <c r="H3511" t="n">
        <v>0</v>
      </c>
      <c r="I3511" t="n">
        <v>0</v>
      </c>
      <c r="J3511" t="n">
        <v>0</v>
      </c>
      <c r="K3511" t="n">
        <v>0</v>
      </c>
      <c r="L3511" t="n">
        <v>0</v>
      </c>
      <c r="M3511" t="n">
        <v>0</v>
      </c>
      <c r="N3511" t="n">
        <v>0</v>
      </c>
      <c r="O3511" t="n">
        <v>0</v>
      </c>
      <c r="P3511" t="n">
        <v>0</v>
      </c>
      <c r="Q3511" t="n">
        <v>0</v>
      </c>
      <c r="R3511" s="2" t="inlineStr"/>
    </row>
    <row r="3512" ht="15" customHeight="1">
      <c r="A3512" t="inlineStr">
        <is>
          <t>A 29127-2025</t>
        </is>
      </c>
      <c r="B3512" s="1" t="n">
        <v>45821</v>
      </c>
      <c r="C3512" s="1" t="n">
        <v>46185</v>
      </c>
      <c r="D3512" t="inlineStr">
        <is>
          <t>VÄSTERNORRLANDS LÄN</t>
        </is>
      </c>
      <c r="E3512" t="inlineStr">
        <is>
          <t>HÄRNÖSAND</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55872-2022</t>
        </is>
      </c>
      <c r="B3513" s="1" t="n">
        <v>44888.92847222222</v>
      </c>
      <c r="C3513" s="1" t="n">
        <v>46185</v>
      </c>
      <c r="D3513" t="inlineStr">
        <is>
          <t>VÄSTERNORRLANDS LÄN</t>
        </is>
      </c>
      <c r="E3513" t="inlineStr">
        <is>
          <t>TIMRÅ</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55882-2022</t>
        </is>
      </c>
      <c r="B3514" s="1" t="n">
        <v>44888</v>
      </c>
      <c r="C3514" s="1" t="n">
        <v>46185</v>
      </c>
      <c r="D3514" t="inlineStr">
        <is>
          <t>VÄSTERNORRLANDS LÄN</t>
        </is>
      </c>
      <c r="E3514" t="inlineStr">
        <is>
          <t>ÅNGE</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30892-2025</t>
        </is>
      </c>
      <c r="B3515" s="1" t="n">
        <v>45832.34663194444</v>
      </c>
      <c r="C3515" s="1" t="n">
        <v>46185</v>
      </c>
      <c r="D3515" t="inlineStr">
        <is>
          <t>VÄSTERNORRLANDS LÄN</t>
        </is>
      </c>
      <c r="E3515" t="inlineStr">
        <is>
          <t>ÅNGE</t>
        </is>
      </c>
      <c r="F3515" t="inlineStr">
        <is>
          <t>SCA</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30895-2025</t>
        </is>
      </c>
      <c r="B3516" s="1" t="n">
        <v>45832.34824074074</v>
      </c>
      <c r="C3516" s="1" t="n">
        <v>46185</v>
      </c>
      <c r="D3516" t="inlineStr">
        <is>
          <t>VÄSTERNORRLANDS LÄN</t>
        </is>
      </c>
      <c r="E3516" t="inlineStr">
        <is>
          <t>ÖRNSKÖLDSVIK</t>
        </is>
      </c>
      <c r="F3516" t="inlineStr">
        <is>
          <t>Holmen skog AB</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32644-2024</t>
        </is>
      </c>
      <c r="B3517" s="1" t="n">
        <v>45513</v>
      </c>
      <c r="C3517" s="1" t="n">
        <v>46185</v>
      </c>
      <c r="D3517" t="inlineStr">
        <is>
          <t>VÄSTERNORRLANDS LÄN</t>
        </is>
      </c>
      <c r="E3517" t="inlineStr">
        <is>
          <t>HÄRNÖSAND</t>
        </is>
      </c>
      <c r="F3517" t="inlineStr">
        <is>
          <t>SCA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41944-2025</t>
        </is>
      </c>
      <c r="B3518" s="1" t="n">
        <v>45903</v>
      </c>
      <c r="C3518" s="1" t="n">
        <v>46185</v>
      </c>
      <c r="D3518" t="inlineStr">
        <is>
          <t>VÄSTERNORRLANDS LÄN</t>
        </is>
      </c>
      <c r="E3518" t="inlineStr">
        <is>
          <t>SUNDSVALL</t>
        </is>
      </c>
      <c r="F3518" t="inlineStr">
        <is>
          <t>SCA</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29246-2025</t>
        </is>
      </c>
      <c r="B3519" s="1" t="n">
        <v>45824</v>
      </c>
      <c r="C3519" s="1" t="n">
        <v>46185</v>
      </c>
      <c r="D3519" t="inlineStr">
        <is>
          <t>VÄSTERNORRLANDS LÄN</t>
        </is>
      </c>
      <c r="E3519" t="inlineStr">
        <is>
          <t>SOLLEFTEÅ</t>
        </is>
      </c>
      <c r="G3519" t="n">
        <v>8.699999999999999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30598-2025</t>
        </is>
      </c>
      <c r="B3520" s="1" t="n">
        <v>45831.44834490741</v>
      </c>
      <c r="C3520" s="1" t="n">
        <v>46185</v>
      </c>
      <c r="D3520" t="inlineStr">
        <is>
          <t>VÄSTERNORRLANDS LÄN</t>
        </is>
      </c>
      <c r="E3520" t="inlineStr">
        <is>
          <t>ÅNGE</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16166-2025</t>
        </is>
      </c>
      <c r="B3521" s="1" t="n">
        <v>45750.50871527778</v>
      </c>
      <c r="C3521" s="1" t="n">
        <v>46185</v>
      </c>
      <c r="D3521" t="inlineStr">
        <is>
          <t>VÄSTERNORRLANDS LÄN</t>
        </is>
      </c>
      <c r="E3521" t="inlineStr">
        <is>
          <t>KRAMFORS</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16167-2025</t>
        </is>
      </c>
      <c r="B3522" s="1" t="n">
        <v>45750.51447916667</v>
      </c>
      <c r="C3522" s="1" t="n">
        <v>46185</v>
      </c>
      <c r="D3522" t="inlineStr">
        <is>
          <t>VÄSTERNORRLANDS LÄN</t>
        </is>
      </c>
      <c r="E3522" t="inlineStr">
        <is>
          <t>KRAMFORS</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31118-2025</t>
        </is>
      </c>
      <c r="B3523" s="1" t="n">
        <v>45832.62104166667</v>
      </c>
      <c r="C3523" s="1" t="n">
        <v>46185</v>
      </c>
      <c r="D3523" t="inlineStr">
        <is>
          <t>VÄSTERNORRLANDS LÄN</t>
        </is>
      </c>
      <c r="E3523" t="inlineStr">
        <is>
          <t>ÖRNSKÖLDSVIK</t>
        </is>
      </c>
      <c r="F3523" t="inlineStr">
        <is>
          <t>Holmen skog AB</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41522-2025</t>
        </is>
      </c>
      <c r="B3524" s="1" t="n">
        <v>45901.55219907407</v>
      </c>
      <c r="C3524" s="1" t="n">
        <v>46185</v>
      </c>
      <c r="D3524" t="inlineStr">
        <is>
          <t>VÄSTERNORRLANDS LÄN</t>
        </is>
      </c>
      <c r="E3524" t="inlineStr">
        <is>
          <t>ÖRNSKÖLDSVIK</t>
        </is>
      </c>
      <c r="F3524" t="inlineStr">
        <is>
          <t>Holmen skog AB</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41543-2025</t>
        </is>
      </c>
      <c r="B3525" s="1" t="n">
        <v>45901.57386574074</v>
      </c>
      <c r="C3525" s="1" t="n">
        <v>46185</v>
      </c>
      <c r="D3525" t="inlineStr">
        <is>
          <t>VÄSTERNORRLANDS LÄN</t>
        </is>
      </c>
      <c r="E3525" t="inlineStr">
        <is>
          <t>SOLLEFTEÅ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30612-2025</t>
        </is>
      </c>
      <c r="B3526" s="1" t="n">
        <v>45831.46497685185</v>
      </c>
      <c r="C3526" s="1" t="n">
        <v>46185</v>
      </c>
      <c r="D3526" t="inlineStr">
        <is>
          <t>VÄSTERNORRLANDS LÄN</t>
        </is>
      </c>
      <c r="E3526" t="inlineStr">
        <is>
          <t>ÖRNSKÖLDSVIK</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33233-2023</t>
        </is>
      </c>
      <c r="B3527" s="1" t="n">
        <v>45114</v>
      </c>
      <c r="C3527" s="1" t="n">
        <v>46185</v>
      </c>
      <c r="D3527" t="inlineStr">
        <is>
          <t>VÄSTERNORRLANDS LÄN</t>
        </is>
      </c>
      <c r="E3527" t="inlineStr">
        <is>
          <t>ÖRNSKÖLDSVIK</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30680-2025</t>
        </is>
      </c>
      <c r="B3528" s="1" t="n">
        <v>45831.52915509259</v>
      </c>
      <c r="C3528" s="1" t="n">
        <v>46185</v>
      </c>
      <c r="D3528" t="inlineStr">
        <is>
          <t>VÄSTERNORRLANDS LÄN</t>
        </is>
      </c>
      <c r="E3528" t="inlineStr">
        <is>
          <t>ÖRNSKÖLDSVIK</t>
        </is>
      </c>
      <c r="F3528" t="inlineStr">
        <is>
          <t>Holmen skog AB</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41742-2025</t>
        </is>
      </c>
      <c r="B3529" s="1" t="n">
        <v>45902.47954861111</v>
      </c>
      <c r="C3529" s="1" t="n">
        <v>46185</v>
      </c>
      <c r="D3529" t="inlineStr">
        <is>
          <t>VÄSTERNORRLANDS LÄN</t>
        </is>
      </c>
      <c r="E3529" t="inlineStr">
        <is>
          <t>ÖRNSKÖLDSVIK</t>
        </is>
      </c>
      <c r="F3529" t="inlineStr">
        <is>
          <t>Holmen skog AB</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14298-2025</t>
        </is>
      </c>
      <c r="B3530" s="1" t="n">
        <v>45740.68361111111</v>
      </c>
      <c r="C3530" s="1" t="n">
        <v>46185</v>
      </c>
      <c r="D3530" t="inlineStr">
        <is>
          <t>VÄSTERNORRLANDS LÄN</t>
        </is>
      </c>
      <c r="E3530" t="inlineStr">
        <is>
          <t>ÖRNSKÖLDSVIK</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2418-2026</t>
        </is>
      </c>
      <c r="B3531" s="1" t="n">
        <v>46034</v>
      </c>
      <c r="C3531" s="1" t="n">
        <v>46185</v>
      </c>
      <c r="D3531" t="inlineStr">
        <is>
          <t>VÄSTERNORRLANDS LÄN</t>
        </is>
      </c>
      <c r="E3531" t="inlineStr">
        <is>
          <t>KRAMFORS</t>
        </is>
      </c>
      <c r="G3531" t="n">
        <v>9.199999999999999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30750-2025</t>
        </is>
      </c>
      <c r="B3532" s="1" t="n">
        <v>45831.58900462963</v>
      </c>
      <c r="C3532" s="1" t="n">
        <v>46185</v>
      </c>
      <c r="D3532" t="inlineStr">
        <is>
          <t>VÄSTERNORRLANDS LÄN</t>
        </is>
      </c>
      <c r="E3532" t="inlineStr">
        <is>
          <t>SOLLEFTEÅ</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30754-2025</t>
        </is>
      </c>
      <c r="B3533" s="1" t="n">
        <v>45831.59417824074</v>
      </c>
      <c r="C3533" s="1" t="n">
        <v>46185</v>
      </c>
      <c r="D3533" t="inlineStr">
        <is>
          <t>VÄSTERNORRLANDS LÄN</t>
        </is>
      </c>
      <c r="E3533" t="inlineStr">
        <is>
          <t>SOLLEFTEÅ</t>
        </is>
      </c>
      <c r="F3533" t="inlineStr">
        <is>
          <t>SCA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41405-2025</t>
        </is>
      </c>
      <c r="B3534" s="1" t="n">
        <v>45901.34476851852</v>
      </c>
      <c r="C3534" s="1" t="n">
        <v>46185</v>
      </c>
      <c r="D3534" t="inlineStr">
        <is>
          <t>VÄSTERNORRLANDS LÄN</t>
        </is>
      </c>
      <c r="E3534" t="inlineStr">
        <is>
          <t>SUNDSVALL</t>
        </is>
      </c>
      <c r="F3534" t="inlineStr">
        <is>
          <t>SCA</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41561-2025</t>
        </is>
      </c>
      <c r="B3535" s="1" t="n">
        <v>45901.59648148148</v>
      </c>
      <c r="C3535" s="1" t="n">
        <v>46185</v>
      </c>
      <c r="D3535" t="inlineStr">
        <is>
          <t>VÄSTERNORRLANDS LÄN</t>
        </is>
      </c>
      <c r="E3535" t="inlineStr">
        <is>
          <t>KRAMFORS</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16300-2025</t>
        </is>
      </c>
      <c r="B3536" s="1" t="n">
        <v>45751.34586805556</v>
      </c>
      <c r="C3536" s="1" t="n">
        <v>46185</v>
      </c>
      <c r="D3536" t="inlineStr">
        <is>
          <t>VÄSTERNORRLANDS LÄN</t>
        </is>
      </c>
      <c r="E3536" t="inlineStr">
        <is>
          <t>ÖRNSKÖLDSVIK</t>
        </is>
      </c>
      <c r="F3536" t="inlineStr">
        <is>
          <t>SCA</t>
        </is>
      </c>
      <c r="G3536" t="n">
        <v>34.4</v>
      </c>
      <c r="H3536" t="n">
        <v>0</v>
      </c>
      <c r="I3536" t="n">
        <v>0</v>
      </c>
      <c r="J3536" t="n">
        <v>0</v>
      </c>
      <c r="K3536" t="n">
        <v>0</v>
      </c>
      <c r="L3536" t="n">
        <v>0</v>
      </c>
      <c r="M3536" t="n">
        <v>0</v>
      </c>
      <c r="N3536" t="n">
        <v>0</v>
      </c>
      <c r="O3536" t="n">
        <v>0</v>
      </c>
      <c r="P3536" t="n">
        <v>0</v>
      </c>
      <c r="Q3536" t="n">
        <v>0</v>
      </c>
      <c r="R3536" s="2" t="inlineStr"/>
    </row>
    <row r="3537" ht="15" customHeight="1">
      <c r="A3537" t="inlineStr">
        <is>
          <t>A 46519-2023</t>
        </is>
      </c>
      <c r="B3537" s="1" t="n">
        <v>45197</v>
      </c>
      <c r="C3537" s="1" t="n">
        <v>46185</v>
      </c>
      <c r="D3537" t="inlineStr">
        <is>
          <t>VÄSTERNORRLANDS LÄN</t>
        </is>
      </c>
      <c r="E3537" t="inlineStr">
        <is>
          <t>ÖRNSKÖLDSVIK</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43100-2023</t>
        </is>
      </c>
      <c r="B3538" s="1" t="n">
        <v>45182</v>
      </c>
      <c r="C3538" s="1" t="n">
        <v>46185</v>
      </c>
      <c r="D3538" t="inlineStr">
        <is>
          <t>VÄSTERNORRLANDS LÄN</t>
        </is>
      </c>
      <c r="E3538" t="inlineStr">
        <is>
          <t>ÖRNSKÖLDSVIK</t>
        </is>
      </c>
      <c r="G3538" t="n">
        <v>12.9</v>
      </c>
      <c r="H3538" t="n">
        <v>0</v>
      </c>
      <c r="I3538" t="n">
        <v>0</v>
      </c>
      <c r="J3538" t="n">
        <v>0</v>
      </c>
      <c r="K3538" t="n">
        <v>0</v>
      </c>
      <c r="L3538" t="n">
        <v>0</v>
      </c>
      <c r="M3538" t="n">
        <v>0</v>
      </c>
      <c r="N3538" t="n">
        <v>0</v>
      </c>
      <c r="O3538" t="n">
        <v>0</v>
      </c>
      <c r="P3538" t="n">
        <v>0</v>
      </c>
      <c r="Q3538" t="n">
        <v>0</v>
      </c>
      <c r="R3538" s="2" t="inlineStr"/>
    </row>
    <row r="3539" ht="15" customHeight="1">
      <c r="A3539" t="inlineStr">
        <is>
          <t>A 30069-2024</t>
        </is>
      </c>
      <c r="B3539" s="1" t="n">
        <v>45488.9489699074</v>
      </c>
      <c r="C3539" s="1" t="n">
        <v>46185</v>
      </c>
      <c r="D3539" t="inlineStr">
        <is>
          <t>VÄSTERNORRLANDS LÄN</t>
        </is>
      </c>
      <c r="E3539" t="inlineStr">
        <is>
          <t>SOLLEFTEÅ</t>
        </is>
      </c>
      <c r="F3539" t="inlineStr">
        <is>
          <t>SCA</t>
        </is>
      </c>
      <c r="G3539" t="n">
        <v>7.2</v>
      </c>
      <c r="H3539" t="n">
        <v>0</v>
      </c>
      <c r="I3539" t="n">
        <v>0</v>
      </c>
      <c r="J3539" t="n">
        <v>0</v>
      </c>
      <c r="K3539" t="n">
        <v>0</v>
      </c>
      <c r="L3539" t="n">
        <v>0</v>
      </c>
      <c r="M3539" t="n">
        <v>0</v>
      </c>
      <c r="N3539" t="n">
        <v>0</v>
      </c>
      <c r="O3539" t="n">
        <v>0</v>
      </c>
      <c r="P3539" t="n">
        <v>0</v>
      </c>
      <c r="Q3539" t="n">
        <v>0</v>
      </c>
      <c r="R3539" s="2" t="inlineStr"/>
    </row>
    <row r="3540" ht="15" customHeight="1">
      <c r="A3540" t="inlineStr">
        <is>
          <t>A 43129-2023</t>
        </is>
      </c>
      <c r="B3540" s="1" t="n">
        <v>45182</v>
      </c>
      <c r="C3540" s="1" t="n">
        <v>46185</v>
      </c>
      <c r="D3540" t="inlineStr">
        <is>
          <t>VÄSTERNORRLANDS LÄN</t>
        </is>
      </c>
      <c r="E3540" t="inlineStr">
        <is>
          <t>TIMRÅ</t>
        </is>
      </c>
      <c r="F3540" t="inlineStr">
        <is>
          <t>SCA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31139-2025</t>
        </is>
      </c>
      <c r="B3541" s="1" t="n">
        <v>45832.63633101852</v>
      </c>
      <c r="C3541" s="1" t="n">
        <v>46185</v>
      </c>
      <c r="D3541" t="inlineStr">
        <is>
          <t>VÄSTERNORRLANDS LÄN</t>
        </is>
      </c>
      <c r="E3541" t="inlineStr">
        <is>
          <t>ÅNGE</t>
        </is>
      </c>
      <c r="F3541" t="inlineStr">
        <is>
          <t>SCA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30727-2025</t>
        </is>
      </c>
      <c r="B3542" s="1" t="n">
        <v>45831.57094907408</v>
      </c>
      <c r="C3542" s="1" t="n">
        <v>46185</v>
      </c>
      <c r="D3542" t="inlineStr">
        <is>
          <t>VÄSTERNORRLANDS LÄN</t>
        </is>
      </c>
      <c r="E3542" t="inlineStr">
        <is>
          <t>ÖRNSKÖLDSVIK</t>
        </is>
      </c>
      <c r="F3542" t="inlineStr">
        <is>
          <t>Holmen skog AB</t>
        </is>
      </c>
      <c r="G3542" t="n">
        <v>8.1</v>
      </c>
      <c r="H3542" t="n">
        <v>0</v>
      </c>
      <c r="I3542" t="n">
        <v>0</v>
      </c>
      <c r="J3542" t="n">
        <v>0</v>
      </c>
      <c r="K3542" t="n">
        <v>0</v>
      </c>
      <c r="L3542" t="n">
        <v>0</v>
      </c>
      <c r="M3542" t="n">
        <v>0</v>
      </c>
      <c r="N3542" t="n">
        <v>0</v>
      </c>
      <c r="O3542" t="n">
        <v>0</v>
      </c>
      <c r="P3542" t="n">
        <v>0</v>
      </c>
      <c r="Q3542" t="n">
        <v>0</v>
      </c>
      <c r="R3542" s="2" t="inlineStr"/>
    </row>
    <row r="3543" ht="15" customHeight="1">
      <c r="A3543" t="inlineStr">
        <is>
          <t>A 10487-2025</t>
        </is>
      </c>
      <c r="B3543" s="1" t="n">
        <v>45721.34428240741</v>
      </c>
      <c r="C3543" s="1" t="n">
        <v>46185</v>
      </c>
      <c r="D3543" t="inlineStr">
        <is>
          <t>VÄSTERNORRLANDS LÄN</t>
        </is>
      </c>
      <c r="E3543" t="inlineStr">
        <is>
          <t>SUNDSVALL</t>
        </is>
      </c>
      <c r="F3543" t="inlineStr">
        <is>
          <t>SCA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33713-2023</t>
        </is>
      </c>
      <c r="B3544" s="1" t="n">
        <v>45132.94952546297</v>
      </c>
      <c r="C3544" s="1" t="n">
        <v>46185</v>
      </c>
      <c r="D3544" t="inlineStr">
        <is>
          <t>VÄSTERNORRLANDS LÄN</t>
        </is>
      </c>
      <c r="E3544" t="inlineStr">
        <is>
          <t>SOLLEFTEÅ</t>
        </is>
      </c>
      <c r="F3544" t="inlineStr">
        <is>
          <t>SCA</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59388-2024</t>
        </is>
      </c>
      <c r="B3545" s="1" t="n">
        <v>45638.365</v>
      </c>
      <c r="C3545" s="1" t="n">
        <v>46185</v>
      </c>
      <c r="D3545" t="inlineStr">
        <is>
          <t>VÄSTERNORRLANDS LÄN</t>
        </is>
      </c>
      <c r="E3545" t="inlineStr">
        <is>
          <t>SOLLEFTEÅ</t>
        </is>
      </c>
      <c r="F3545" t="inlineStr">
        <is>
          <t>SCA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41925-2025</t>
        </is>
      </c>
      <c r="B3546" s="1" t="n">
        <v>45903.4275</v>
      </c>
      <c r="C3546" s="1" t="n">
        <v>46185</v>
      </c>
      <c r="D3546" t="inlineStr">
        <is>
          <t>VÄSTERNORRLANDS LÄN</t>
        </is>
      </c>
      <c r="E3546" t="inlineStr">
        <is>
          <t>SOLLEFTEÅ</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56192-2023</t>
        </is>
      </c>
      <c r="B3547" s="1" t="n">
        <v>45240</v>
      </c>
      <c r="C3547" s="1" t="n">
        <v>46185</v>
      </c>
      <c r="D3547" t="inlineStr">
        <is>
          <t>VÄSTERNORRLANDS LÄN</t>
        </is>
      </c>
      <c r="E3547" t="inlineStr">
        <is>
          <t>SUNDSVALL</t>
        </is>
      </c>
      <c r="G3547" t="n">
        <v>6.2</v>
      </c>
      <c r="H3547" t="n">
        <v>0</v>
      </c>
      <c r="I3547" t="n">
        <v>0</v>
      </c>
      <c r="J3547" t="n">
        <v>0</v>
      </c>
      <c r="K3547" t="n">
        <v>0</v>
      </c>
      <c r="L3547" t="n">
        <v>0</v>
      </c>
      <c r="M3547" t="n">
        <v>0</v>
      </c>
      <c r="N3547" t="n">
        <v>0</v>
      </c>
      <c r="O3547" t="n">
        <v>0</v>
      </c>
      <c r="P3547" t="n">
        <v>0</v>
      </c>
      <c r="Q3547" t="n">
        <v>0</v>
      </c>
      <c r="R3547" s="2" t="inlineStr"/>
    </row>
    <row r="3548" ht="15" customHeight="1">
      <c r="A3548" t="inlineStr">
        <is>
          <t>A 56195-2023</t>
        </is>
      </c>
      <c r="B3548" s="1" t="n">
        <v>45240.66042824074</v>
      </c>
      <c r="C3548" s="1" t="n">
        <v>46185</v>
      </c>
      <c r="D3548" t="inlineStr">
        <is>
          <t>VÄSTERNORRLANDS LÄN</t>
        </is>
      </c>
      <c r="E3548" t="inlineStr">
        <is>
          <t>SUNDSVALL</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31193-2025</t>
        </is>
      </c>
      <c r="B3549" s="1" t="n">
        <v>45832.68313657407</v>
      </c>
      <c r="C3549" s="1" t="n">
        <v>46185</v>
      </c>
      <c r="D3549" t="inlineStr">
        <is>
          <t>VÄSTERNORRLANDS LÄN</t>
        </is>
      </c>
      <c r="E3549" t="inlineStr">
        <is>
          <t>ÖRNSKÖLDSVIK</t>
        </is>
      </c>
      <c r="G3549" t="n">
        <v>0.2</v>
      </c>
      <c r="H3549" t="n">
        <v>0</v>
      </c>
      <c r="I3549" t="n">
        <v>0</v>
      </c>
      <c r="J3549" t="n">
        <v>0</v>
      </c>
      <c r="K3549" t="n">
        <v>0</v>
      </c>
      <c r="L3549" t="n">
        <v>0</v>
      </c>
      <c r="M3549" t="n">
        <v>0</v>
      </c>
      <c r="N3549" t="n">
        <v>0</v>
      </c>
      <c r="O3549" t="n">
        <v>0</v>
      </c>
      <c r="P3549" t="n">
        <v>0</v>
      </c>
      <c r="Q3549" t="n">
        <v>0</v>
      </c>
      <c r="R3549" s="2" t="inlineStr"/>
    </row>
    <row r="3550" ht="15" customHeight="1">
      <c r="A3550" t="inlineStr">
        <is>
          <t>A 46210-2024</t>
        </is>
      </c>
      <c r="B3550" s="1" t="n">
        <v>45581.55181712963</v>
      </c>
      <c r="C3550" s="1" t="n">
        <v>46185</v>
      </c>
      <c r="D3550" t="inlineStr">
        <is>
          <t>VÄSTERNORRLANDS LÄN</t>
        </is>
      </c>
      <c r="E3550" t="inlineStr">
        <is>
          <t>ÖRNSKÖLDSVIK</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46215-2024</t>
        </is>
      </c>
      <c r="B3551" s="1" t="n">
        <v>45581.55956018518</v>
      </c>
      <c r="C3551" s="1" t="n">
        <v>46185</v>
      </c>
      <c r="D3551" t="inlineStr">
        <is>
          <t>VÄSTERNORRLANDS LÄN</t>
        </is>
      </c>
      <c r="E3551" t="inlineStr">
        <is>
          <t>ÖRNSKÖLDSVIK</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42254-2025</t>
        </is>
      </c>
      <c r="B3552" s="1" t="n">
        <v>45904.58797453704</v>
      </c>
      <c r="C3552" s="1" t="n">
        <v>46185</v>
      </c>
      <c r="D3552" t="inlineStr">
        <is>
          <t>VÄSTERNORRLANDS LÄN</t>
        </is>
      </c>
      <c r="E3552" t="inlineStr">
        <is>
          <t>ÖRNSKÖLDSVIK</t>
        </is>
      </c>
      <c r="F3552" t="inlineStr">
        <is>
          <t>Holmen skog AB</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27641-2023</t>
        </is>
      </c>
      <c r="B3553" s="1" t="n">
        <v>45097</v>
      </c>
      <c r="C3553" s="1" t="n">
        <v>46185</v>
      </c>
      <c r="D3553" t="inlineStr">
        <is>
          <t>VÄSTERNORRLANDS LÄN</t>
        </is>
      </c>
      <c r="E3553" t="inlineStr">
        <is>
          <t>SUNDSVALL</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55670-2024</t>
        </is>
      </c>
      <c r="B3554" s="1" t="n">
        <v>45622.64991898148</v>
      </c>
      <c r="C3554" s="1" t="n">
        <v>46185</v>
      </c>
      <c r="D3554" t="inlineStr">
        <is>
          <t>VÄSTERNORRLANDS LÄN</t>
        </is>
      </c>
      <c r="E3554" t="inlineStr">
        <is>
          <t>ÖRNSKÖLDSVIK</t>
        </is>
      </c>
      <c r="F3554" t="inlineStr">
        <is>
          <t>Holmen skog AB</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46261-2024</t>
        </is>
      </c>
      <c r="B3555" s="1" t="n">
        <v>45581.61048611111</v>
      </c>
      <c r="C3555" s="1" t="n">
        <v>46185</v>
      </c>
      <c r="D3555" t="inlineStr">
        <is>
          <t>VÄSTERNORRLANDS LÄN</t>
        </is>
      </c>
      <c r="E3555" t="inlineStr">
        <is>
          <t>SOLLEFTEÅ</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30888-2025</t>
        </is>
      </c>
      <c r="B3556" s="1" t="n">
        <v>45832.34606481482</v>
      </c>
      <c r="C3556" s="1" t="n">
        <v>46185</v>
      </c>
      <c r="D3556" t="inlineStr">
        <is>
          <t>VÄSTERNORRLANDS LÄN</t>
        </is>
      </c>
      <c r="E3556" t="inlineStr">
        <is>
          <t>ÅNGE</t>
        </is>
      </c>
      <c r="F3556" t="inlineStr">
        <is>
          <t>SCA</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42239-2025</t>
        </is>
      </c>
      <c r="B3557" s="1" t="n">
        <v>45904.56450231482</v>
      </c>
      <c r="C3557" s="1" t="n">
        <v>46185</v>
      </c>
      <c r="D3557" t="inlineStr">
        <is>
          <t>VÄSTERNORRLANDS LÄN</t>
        </is>
      </c>
      <c r="E3557" t="inlineStr">
        <is>
          <t>ÖRNSKÖLDSVIK</t>
        </is>
      </c>
      <c r="F3557" t="inlineStr">
        <is>
          <t>Holmen skog AB</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56286-2024</t>
        </is>
      </c>
      <c r="B3558" s="1" t="n">
        <v>45624.67921296296</v>
      </c>
      <c r="C3558" s="1" t="n">
        <v>46185</v>
      </c>
      <c r="D3558" t="inlineStr">
        <is>
          <t>VÄSTERNORRLANDS LÄN</t>
        </is>
      </c>
      <c r="E3558" t="inlineStr">
        <is>
          <t>TIMRÅ</t>
        </is>
      </c>
      <c r="F3558" t="inlineStr">
        <is>
          <t>SCA</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41989-2025</t>
        </is>
      </c>
      <c r="B3559" s="1" t="n">
        <v>45903.54394675926</v>
      </c>
      <c r="C3559" s="1" t="n">
        <v>46185</v>
      </c>
      <c r="D3559" t="inlineStr">
        <is>
          <t>VÄSTERNORRLANDS LÄN</t>
        </is>
      </c>
      <c r="E3559" t="inlineStr">
        <is>
          <t>ÖRNSKÖLDSVIK</t>
        </is>
      </c>
      <c r="F3559" t="inlineStr">
        <is>
          <t>Holmen skog AB</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30179-2024</t>
        </is>
      </c>
      <c r="B3560" s="1" t="n">
        <v>45489.92717592593</v>
      </c>
      <c r="C3560" s="1" t="n">
        <v>46185</v>
      </c>
      <c r="D3560" t="inlineStr">
        <is>
          <t>VÄSTERNORRLANDS LÄN</t>
        </is>
      </c>
      <c r="E3560" t="inlineStr">
        <is>
          <t>SUNDSVALL</t>
        </is>
      </c>
      <c r="F3560" t="inlineStr">
        <is>
          <t>Kyrkan</t>
        </is>
      </c>
      <c r="G3560" t="n">
        <v>8.6</v>
      </c>
      <c r="H3560" t="n">
        <v>0</v>
      </c>
      <c r="I3560" t="n">
        <v>0</v>
      </c>
      <c r="J3560" t="n">
        <v>0</v>
      </c>
      <c r="K3560" t="n">
        <v>0</v>
      </c>
      <c r="L3560" t="n">
        <v>0</v>
      </c>
      <c r="M3560" t="n">
        <v>0</v>
      </c>
      <c r="N3560" t="n">
        <v>0</v>
      </c>
      <c r="O3560" t="n">
        <v>0</v>
      </c>
      <c r="P3560" t="n">
        <v>0</v>
      </c>
      <c r="Q3560" t="n">
        <v>0</v>
      </c>
      <c r="R3560" s="2" t="inlineStr"/>
    </row>
    <row r="3561" ht="15" customHeight="1">
      <c r="A3561" t="inlineStr">
        <is>
          <t>A 31346-2025</t>
        </is>
      </c>
      <c r="B3561" s="1" t="n">
        <v>45833.42873842592</v>
      </c>
      <c r="C3561" s="1" t="n">
        <v>46185</v>
      </c>
      <c r="D3561" t="inlineStr">
        <is>
          <t>VÄSTERNORRLANDS LÄN</t>
        </is>
      </c>
      <c r="E3561" t="inlineStr">
        <is>
          <t>HÄRNÖSAND</t>
        </is>
      </c>
      <c r="F3561" t="inlineStr">
        <is>
          <t>SCA</t>
        </is>
      </c>
      <c r="G3561" t="n">
        <v>32.5</v>
      </c>
      <c r="H3561" t="n">
        <v>0</v>
      </c>
      <c r="I3561" t="n">
        <v>0</v>
      </c>
      <c r="J3561" t="n">
        <v>0</v>
      </c>
      <c r="K3561" t="n">
        <v>0</v>
      </c>
      <c r="L3561" t="n">
        <v>0</v>
      </c>
      <c r="M3561" t="n">
        <v>0</v>
      </c>
      <c r="N3561" t="n">
        <v>0</v>
      </c>
      <c r="O3561" t="n">
        <v>0</v>
      </c>
      <c r="P3561" t="n">
        <v>0</v>
      </c>
      <c r="Q3561" t="n">
        <v>0</v>
      </c>
      <c r="R3561" s="2" t="inlineStr"/>
    </row>
    <row r="3562" ht="15" customHeight="1">
      <c r="A3562" t="inlineStr">
        <is>
          <t>A 31356-2025</t>
        </is>
      </c>
      <c r="B3562" s="1" t="n">
        <v>45833.43289351852</v>
      </c>
      <c r="C3562" s="1" t="n">
        <v>46185</v>
      </c>
      <c r="D3562" t="inlineStr">
        <is>
          <t>VÄSTERNORRLANDS LÄN</t>
        </is>
      </c>
      <c r="E3562" t="inlineStr">
        <is>
          <t>KRAMFORS</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42299-2025</t>
        </is>
      </c>
      <c r="B3563" s="1" t="n">
        <v>45904.64100694445</v>
      </c>
      <c r="C3563" s="1" t="n">
        <v>46185</v>
      </c>
      <c r="D3563" t="inlineStr">
        <is>
          <t>VÄSTERNORRLANDS LÄN</t>
        </is>
      </c>
      <c r="E3563" t="inlineStr">
        <is>
          <t>ÖRNSKÖLDSVIK</t>
        </is>
      </c>
      <c r="F3563" t="inlineStr">
        <is>
          <t>Holmen skog AB</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31396-2025</t>
        </is>
      </c>
      <c r="B3564" s="1" t="n">
        <v>45833.4658912037</v>
      </c>
      <c r="C3564" s="1" t="n">
        <v>46185</v>
      </c>
      <c r="D3564" t="inlineStr">
        <is>
          <t>VÄSTERNORRLANDS LÄN</t>
        </is>
      </c>
      <c r="E3564" t="inlineStr">
        <is>
          <t>SOLLEFTEÅ</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41976-2025</t>
        </is>
      </c>
      <c r="B3565" s="1" t="n">
        <v>45903.49787037037</v>
      </c>
      <c r="C3565" s="1" t="n">
        <v>46185</v>
      </c>
      <c r="D3565" t="inlineStr">
        <is>
          <t>VÄSTERNORRLANDS LÄN</t>
        </is>
      </c>
      <c r="E3565" t="inlineStr">
        <is>
          <t>ÖRNSKÖLDSVIK</t>
        </is>
      </c>
      <c r="F3565" t="inlineStr">
        <is>
          <t>Holmen skog AB</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31341-2025</t>
        </is>
      </c>
      <c r="B3566" s="1" t="n">
        <v>45833.42811342593</v>
      </c>
      <c r="C3566" s="1" t="n">
        <v>46185</v>
      </c>
      <c r="D3566" t="inlineStr">
        <is>
          <t>VÄSTERNORRLANDS LÄN</t>
        </is>
      </c>
      <c r="E3566" t="inlineStr">
        <is>
          <t>KRAMFORS</t>
        </is>
      </c>
      <c r="F3566" t="inlineStr">
        <is>
          <t>SCA</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41894-2025</t>
        </is>
      </c>
      <c r="B3567" s="1" t="n">
        <v>45903.38273148148</v>
      </c>
      <c r="C3567" s="1" t="n">
        <v>46185</v>
      </c>
      <c r="D3567" t="inlineStr">
        <is>
          <t>VÄSTERNORRLANDS LÄN</t>
        </is>
      </c>
      <c r="E3567" t="inlineStr">
        <is>
          <t>ÖRNSKÖLDSVIK</t>
        </is>
      </c>
      <c r="F3567" t="inlineStr">
        <is>
          <t>Holmen skog AB</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41948-2025</t>
        </is>
      </c>
      <c r="B3568" s="1" t="n">
        <v>45903.45092592593</v>
      </c>
      <c r="C3568" s="1" t="n">
        <v>46185</v>
      </c>
      <c r="D3568" t="inlineStr">
        <is>
          <t>VÄSTERNORRLANDS LÄN</t>
        </is>
      </c>
      <c r="E3568" t="inlineStr">
        <is>
          <t>SOLLEFTEÅ</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42000-2025</t>
        </is>
      </c>
      <c r="B3569" s="1" t="n">
        <v>45903.55262731481</v>
      </c>
      <c r="C3569" s="1" t="n">
        <v>46185</v>
      </c>
      <c r="D3569" t="inlineStr">
        <is>
          <t>VÄSTERNORRLANDS LÄN</t>
        </is>
      </c>
      <c r="E3569" t="inlineStr">
        <is>
          <t>SUNDSVALL</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31695-2025</t>
        </is>
      </c>
      <c r="B3570" s="1" t="n">
        <v>45834.40709490741</v>
      </c>
      <c r="C3570" s="1" t="n">
        <v>46185</v>
      </c>
      <c r="D3570" t="inlineStr">
        <is>
          <t>VÄSTERNORRLANDS LÄN</t>
        </is>
      </c>
      <c r="E3570" t="inlineStr">
        <is>
          <t>SUNDSVALL</t>
        </is>
      </c>
      <c r="F3570" t="inlineStr">
        <is>
          <t>SCA</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41931-2025</t>
        </is>
      </c>
      <c r="B3571" s="1" t="n">
        <v>45903.4346412037</v>
      </c>
      <c r="C3571" s="1" t="n">
        <v>46185</v>
      </c>
      <c r="D3571" t="inlineStr">
        <is>
          <t>VÄSTERNORRLANDS LÄN</t>
        </is>
      </c>
      <c r="E3571" t="inlineStr">
        <is>
          <t>ÖRNSKÖLDSVIK</t>
        </is>
      </c>
      <c r="F3571" t="inlineStr">
        <is>
          <t>Holmen skog AB</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42192-2025</t>
        </is>
      </c>
      <c r="B3572" s="1" t="n">
        <v>45904.47975694444</v>
      </c>
      <c r="C3572" s="1" t="n">
        <v>46185</v>
      </c>
      <c r="D3572" t="inlineStr">
        <is>
          <t>VÄSTERNORRLANDS LÄN</t>
        </is>
      </c>
      <c r="E3572" t="inlineStr">
        <is>
          <t>SOLLEFTEÅ</t>
        </is>
      </c>
      <c r="G3572" t="n">
        <v>5.6</v>
      </c>
      <c r="H3572" t="n">
        <v>0</v>
      </c>
      <c r="I3572" t="n">
        <v>0</v>
      </c>
      <c r="J3572" t="n">
        <v>0</v>
      </c>
      <c r="K3572" t="n">
        <v>0</v>
      </c>
      <c r="L3572" t="n">
        <v>0</v>
      </c>
      <c r="M3572" t="n">
        <v>0</v>
      </c>
      <c r="N3572" t="n">
        <v>0</v>
      </c>
      <c r="O3572" t="n">
        <v>0</v>
      </c>
      <c r="P3572" t="n">
        <v>0</v>
      </c>
      <c r="Q3572" t="n">
        <v>0</v>
      </c>
      <c r="R3572" s="2" t="inlineStr"/>
    </row>
    <row r="3573" ht="15" customHeight="1">
      <c r="A3573" t="inlineStr">
        <is>
          <t>A 42199-2025</t>
        </is>
      </c>
      <c r="B3573" s="1" t="n">
        <v>45904.48640046296</v>
      </c>
      <c r="C3573" s="1" t="n">
        <v>46185</v>
      </c>
      <c r="D3573" t="inlineStr">
        <is>
          <t>VÄSTERNORRLANDS LÄN</t>
        </is>
      </c>
      <c r="E3573" t="inlineStr">
        <is>
          <t>SOLLEFTEÅ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31423-2025</t>
        </is>
      </c>
      <c r="B3574" s="1" t="n">
        <v>45833.48957175926</v>
      </c>
      <c r="C3574" s="1" t="n">
        <v>46185</v>
      </c>
      <c r="D3574" t="inlineStr">
        <is>
          <t>VÄSTERNORRLANDS LÄN</t>
        </is>
      </c>
      <c r="E3574" t="inlineStr">
        <is>
          <t>SOLLEFTEÅ</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31435-2025</t>
        </is>
      </c>
      <c r="B3575" s="1" t="n">
        <v>45833.49708333334</v>
      </c>
      <c r="C3575" s="1" t="n">
        <v>46185</v>
      </c>
      <c r="D3575" t="inlineStr">
        <is>
          <t>VÄSTERNORRLANDS LÄN</t>
        </is>
      </c>
      <c r="E3575" t="inlineStr">
        <is>
          <t>SOLLEFTEÅ</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31347-2025</t>
        </is>
      </c>
      <c r="B3576" s="1" t="n">
        <v>45833</v>
      </c>
      <c r="C3576" s="1" t="n">
        <v>46185</v>
      </c>
      <c r="D3576" t="inlineStr">
        <is>
          <t>VÄSTERNORRLANDS LÄN</t>
        </is>
      </c>
      <c r="E3576" t="inlineStr">
        <is>
          <t>SOLLEFTEÅ</t>
        </is>
      </c>
      <c r="F3576" t="inlineStr">
        <is>
          <t>SCA</t>
        </is>
      </c>
      <c r="G3576" t="n">
        <v>19.5</v>
      </c>
      <c r="H3576" t="n">
        <v>0</v>
      </c>
      <c r="I3576" t="n">
        <v>0</v>
      </c>
      <c r="J3576" t="n">
        <v>0</v>
      </c>
      <c r="K3576" t="n">
        <v>0</v>
      </c>
      <c r="L3576" t="n">
        <v>0</v>
      </c>
      <c r="M3576" t="n">
        <v>0</v>
      </c>
      <c r="N3576" t="n">
        <v>0</v>
      </c>
      <c r="O3576" t="n">
        <v>0</v>
      </c>
      <c r="P3576" t="n">
        <v>0</v>
      </c>
      <c r="Q3576" t="n">
        <v>0</v>
      </c>
      <c r="R3576" s="2" t="inlineStr"/>
    </row>
    <row r="3577" ht="15" customHeight="1">
      <c r="A3577" t="inlineStr">
        <is>
          <t>A 1541-2026</t>
        </is>
      </c>
      <c r="B3577" s="1" t="n">
        <v>46034.38606481482</v>
      </c>
      <c r="C3577" s="1" t="n">
        <v>46185</v>
      </c>
      <c r="D3577" t="inlineStr">
        <is>
          <t>VÄSTERNORRLANDS LÄN</t>
        </is>
      </c>
      <c r="E3577" t="inlineStr">
        <is>
          <t>ÅNGE</t>
        </is>
      </c>
      <c r="F3577" t="inlineStr">
        <is>
          <t>SCA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1180-2026</t>
        </is>
      </c>
      <c r="B3578" s="1" t="n">
        <v>46031.35849537037</v>
      </c>
      <c r="C3578" s="1" t="n">
        <v>46185</v>
      </c>
      <c r="D3578" t="inlineStr">
        <is>
          <t>VÄSTERNORRLANDS LÄN</t>
        </is>
      </c>
      <c r="E3578" t="inlineStr">
        <is>
          <t>KRAMFORS</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42771-2024</t>
        </is>
      </c>
      <c r="B3579" s="1" t="n">
        <v>45566.51241898148</v>
      </c>
      <c r="C3579" s="1" t="n">
        <v>46185</v>
      </c>
      <c r="D3579" t="inlineStr">
        <is>
          <t>VÄSTERNORRLANDS LÄN</t>
        </is>
      </c>
      <c r="E3579" t="inlineStr">
        <is>
          <t>SUNDSVALL</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41903-2025</t>
        </is>
      </c>
      <c r="B3580" s="1" t="n">
        <v>45903.4015162037</v>
      </c>
      <c r="C3580" s="1" t="n">
        <v>46185</v>
      </c>
      <c r="D3580" t="inlineStr">
        <is>
          <t>VÄSTERNORRLANDS LÄN</t>
        </is>
      </c>
      <c r="E3580" t="inlineStr">
        <is>
          <t>ÖRNSKÖLDSVIK</t>
        </is>
      </c>
      <c r="F3580" t="inlineStr">
        <is>
          <t>Holmen skog AB</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31697-2025</t>
        </is>
      </c>
      <c r="B3581" s="1" t="n">
        <v>45834.40741898148</v>
      </c>
      <c r="C3581" s="1" t="n">
        <v>46185</v>
      </c>
      <c r="D3581" t="inlineStr">
        <is>
          <t>VÄSTERNORRLANDS LÄN</t>
        </is>
      </c>
      <c r="E3581" t="inlineStr">
        <is>
          <t>KRAMFORS</t>
        </is>
      </c>
      <c r="F3581" t="inlineStr">
        <is>
          <t>SCA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1526-2026</t>
        </is>
      </c>
      <c r="B3582" s="1" t="n">
        <v>46034.3687037037</v>
      </c>
      <c r="C3582" s="1" t="n">
        <v>46185</v>
      </c>
      <c r="D3582" t="inlineStr">
        <is>
          <t>VÄSTERNORRLANDS LÄN</t>
        </is>
      </c>
      <c r="E3582" t="inlineStr">
        <is>
          <t>ÖRNSKÖLDSVIK</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42144-2025</t>
        </is>
      </c>
      <c r="B3583" s="1" t="n">
        <v>45904.37346064814</v>
      </c>
      <c r="C3583" s="1" t="n">
        <v>46185</v>
      </c>
      <c r="D3583" t="inlineStr">
        <is>
          <t>VÄSTERNORRLANDS LÄN</t>
        </is>
      </c>
      <c r="E3583" t="inlineStr">
        <is>
          <t>TIMRÅ</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42228-2025</t>
        </is>
      </c>
      <c r="B3584" s="1" t="n">
        <v>45904.54723379629</v>
      </c>
      <c r="C3584" s="1" t="n">
        <v>46185</v>
      </c>
      <c r="D3584" t="inlineStr">
        <is>
          <t>VÄSTERNORRLANDS LÄN</t>
        </is>
      </c>
      <c r="E3584" t="inlineStr">
        <is>
          <t>ÖRNSKÖLDSVIK</t>
        </is>
      </c>
      <c r="F3584" t="inlineStr">
        <is>
          <t>Holmen skog AB</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41883-2025</t>
        </is>
      </c>
      <c r="B3585" s="1" t="n">
        <v>45903.36512731481</v>
      </c>
      <c r="C3585" s="1" t="n">
        <v>46185</v>
      </c>
      <c r="D3585" t="inlineStr">
        <is>
          <t>VÄSTERNORRLANDS LÄN</t>
        </is>
      </c>
      <c r="E3585" t="inlineStr">
        <is>
          <t>SUNDSVALL</t>
        </is>
      </c>
      <c r="F3585" t="inlineStr">
        <is>
          <t>SCA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42024-2025</t>
        </is>
      </c>
      <c r="B3586" s="1" t="n">
        <v>45903.59418981482</v>
      </c>
      <c r="C3586" s="1" t="n">
        <v>46185</v>
      </c>
      <c r="D3586" t="inlineStr">
        <is>
          <t>VÄSTERNORRLANDS LÄN</t>
        </is>
      </c>
      <c r="E3586" t="inlineStr">
        <is>
          <t>SUNDSVALL</t>
        </is>
      </c>
      <c r="F3586" t="inlineStr">
        <is>
          <t>SCA</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58588-2022</t>
        </is>
      </c>
      <c r="B3587" s="1" t="n">
        <v>44894</v>
      </c>
      <c r="C3587" s="1" t="n">
        <v>46185</v>
      </c>
      <c r="D3587" t="inlineStr">
        <is>
          <t>VÄSTERNORRLANDS LÄN</t>
        </is>
      </c>
      <c r="E3587" t="inlineStr">
        <is>
          <t>HÄRNÖSAND</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41595-2024</t>
        </is>
      </c>
      <c r="B3588" s="1" t="n">
        <v>45560.57378472222</v>
      </c>
      <c r="C3588" s="1" t="n">
        <v>46185</v>
      </c>
      <c r="D3588" t="inlineStr">
        <is>
          <t>VÄSTERNORRLANDS LÄN</t>
        </is>
      </c>
      <c r="E3588" t="inlineStr">
        <is>
          <t>SOLLEFTEÅ</t>
        </is>
      </c>
      <c r="F3588" t="inlineStr">
        <is>
          <t>SCA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31229-2025</t>
        </is>
      </c>
      <c r="B3589" s="1" t="n">
        <v>45832.81157407408</v>
      </c>
      <c r="C3589" s="1" t="n">
        <v>46185</v>
      </c>
      <c r="D3589" t="inlineStr">
        <is>
          <t>VÄSTERNORRLANDS LÄN</t>
        </is>
      </c>
      <c r="E3589" t="inlineStr">
        <is>
          <t>SUNDSVALL</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42040-2025</t>
        </is>
      </c>
      <c r="B3590" s="1" t="n">
        <v>45903.61538194444</v>
      </c>
      <c r="C3590" s="1" t="n">
        <v>46185</v>
      </c>
      <c r="D3590" t="inlineStr">
        <is>
          <t>VÄSTERNORRLANDS LÄN</t>
        </is>
      </c>
      <c r="E3590" t="inlineStr">
        <is>
          <t>TIMRÅ</t>
        </is>
      </c>
      <c r="F3590" t="inlineStr">
        <is>
          <t>SCA</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42212-2025</t>
        </is>
      </c>
      <c r="B3591" s="1" t="n">
        <v>45904.5038425926</v>
      </c>
      <c r="C3591" s="1" t="n">
        <v>46185</v>
      </c>
      <c r="D3591" t="inlineStr">
        <is>
          <t>VÄSTERNORRLANDS LÄN</t>
        </is>
      </c>
      <c r="E3591" t="inlineStr">
        <is>
          <t>KRAMFORS</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31272-2025</t>
        </is>
      </c>
      <c r="B3592" s="1" t="n">
        <v>45833.33877314815</v>
      </c>
      <c r="C3592" s="1" t="n">
        <v>46185</v>
      </c>
      <c r="D3592" t="inlineStr">
        <is>
          <t>VÄSTERNORRLANDS LÄN</t>
        </is>
      </c>
      <c r="E3592" t="inlineStr">
        <is>
          <t>ÖRNSKÖLDSVIK</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31305-2025</t>
        </is>
      </c>
      <c r="B3593" s="1" t="n">
        <v>45833.38618055556</v>
      </c>
      <c r="C3593" s="1" t="n">
        <v>46185</v>
      </c>
      <c r="D3593" t="inlineStr">
        <is>
          <t>VÄSTERNORRLANDS LÄN</t>
        </is>
      </c>
      <c r="E3593" t="inlineStr">
        <is>
          <t>HÄRNÖSAND</t>
        </is>
      </c>
      <c r="F3593" t="inlineStr">
        <is>
          <t>SCA</t>
        </is>
      </c>
      <c r="G3593" t="n">
        <v>13.5</v>
      </c>
      <c r="H3593" t="n">
        <v>0</v>
      </c>
      <c r="I3593" t="n">
        <v>0</v>
      </c>
      <c r="J3593" t="n">
        <v>0</v>
      </c>
      <c r="K3593" t="n">
        <v>0</v>
      </c>
      <c r="L3593" t="n">
        <v>0</v>
      </c>
      <c r="M3593" t="n">
        <v>0</v>
      </c>
      <c r="N3593" t="n">
        <v>0</v>
      </c>
      <c r="O3593" t="n">
        <v>0</v>
      </c>
      <c r="P3593" t="n">
        <v>0</v>
      </c>
      <c r="Q3593" t="n">
        <v>0</v>
      </c>
      <c r="R3593" s="2" t="inlineStr"/>
    </row>
    <row r="3594" ht="15" customHeight="1">
      <c r="A3594" t="inlineStr">
        <is>
          <t>A 42080-2025</t>
        </is>
      </c>
      <c r="B3594" s="1" t="n">
        <v>45903.68043981482</v>
      </c>
      <c r="C3594" s="1" t="n">
        <v>46185</v>
      </c>
      <c r="D3594" t="inlineStr">
        <is>
          <t>VÄSTERNORRLANDS LÄN</t>
        </is>
      </c>
      <c r="E3594" t="inlineStr">
        <is>
          <t>ÖRNSKÖLDSVIK</t>
        </is>
      </c>
      <c r="F3594" t="inlineStr">
        <is>
          <t>Holmen skog AB</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31319-2025</t>
        </is>
      </c>
      <c r="B3595" s="1" t="n">
        <v>45833</v>
      </c>
      <c r="C3595" s="1" t="n">
        <v>46185</v>
      </c>
      <c r="D3595" t="inlineStr">
        <is>
          <t>VÄSTERNORRLANDS LÄN</t>
        </is>
      </c>
      <c r="E3595" t="inlineStr">
        <is>
          <t>SUNDSVALL</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31342-2025</t>
        </is>
      </c>
      <c r="B3596" s="1" t="n">
        <v>45833.42825231481</v>
      </c>
      <c r="C3596" s="1" t="n">
        <v>46185</v>
      </c>
      <c r="D3596" t="inlineStr">
        <is>
          <t>VÄSTERNORRLANDS LÄN</t>
        </is>
      </c>
      <c r="E3596" t="inlineStr">
        <is>
          <t>HÄRNÖSAND</t>
        </is>
      </c>
      <c r="F3596" t="inlineStr">
        <is>
          <t>SCA</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31721-2025</t>
        </is>
      </c>
      <c r="B3597" s="1" t="n">
        <v>45834.46159722222</v>
      </c>
      <c r="C3597" s="1" t="n">
        <v>46185</v>
      </c>
      <c r="D3597" t="inlineStr">
        <is>
          <t>VÄSTERNORRLANDS LÄN</t>
        </is>
      </c>
      <c r="E3597" t="inlineStr">
        <is>
          <t>HÄRNÖSAND</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31370-2025</t>
        </is>
      </c>
      <c r="B3598" s="1" t="n">
        <v>45833.44155092593</v>
      </c>
      <c r="C3598" s="1" t="n">
        <v>46185</v>
      </c>
      <c r="D3598" t="inlineStr">
        <is>
          <t>VÄSTERNORRLANDS LÄN</t>
        </is>
      </c>
      <c r="E3598" t="inlineStr">
        <is>
          <t>TIMRÅ</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42127-2025</t>
        </is>
      </c>
      <c r="B3599" s="1" t="n">
        <v>45904.34502314815</v>
      </c>
      <c r="C3599" s="1" t="n">
        <v>46185</v>
      </c>
      <c r="D3599" t="inlineStr">
        <is>
          <t>VÄSTERNORRLANDS LÄN</t>
        </is>
      </c>
      <c r="E3599" t="inlineStr">
        <is>
          <t>SOLLEFTEÅ</t>
        </is>
      </c>
      <c r="F3599" t="inlineStr">
        <is>
          <t>SCA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61342-2023</t>
        </is>
      </c>
      <c r="B3600" s="1" t="n">
        <v>45264</v>
      </c>
      <c r="C3600" s="1" t="n">
        <v>46185</v>
      </c>
      <c r="D3600" t="inlineStr">
        <is>
          <t>VÄSTERNORRLANDS LÄN</t>
        </is>
      </c>
      <c r="E3600" t="inlineStr">
        <is>
          <t>ÖRNSKÖLDSVIK</t>
        </is>
      </c>
      <c r="F3600" t="inlineStr">
        <is>
          <t>Övriga Aktiebolag</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41870-2025</t>
        </is>
      </c>
      <c r="B3601" s="1" t="n">
        <v>45903.3446412037</v>
      </c>
      <c r="C3601" s="1" t="n">
        <v>46185</v>
      </c>
      <c r="D3601" t="inlineStr">
        <is>
          <t>VÄSTERNORRLANDS LÄN</t>
        </is>
      </c>
      <c r="E3601" t="inlineStr">
        <is>
          <t>ÅNGE</t>
        </is>
      </c>
      <c r="F3601" t="inlineStr">
        <is>
          <t>SCA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41872-2025</t>
        </is>
      </c>
      <c r="B3602" s="1" t="n">
        <v>45903.34497685185</v>
      </c>
      <c r="C3602" s="1" t="n">
        <v>46185</v>
      </c>
      <c r="D3602" t="inlineStr">
        <is>
          <t>VÄSTERNORRLANDS LÄN</t>
        </is>
      </c>
      <c r="E3602" t="inlineStr">
        <is>
          <t>ÅNGE</t>
        </is>
      </c>
      <c r="F3602" t="inlineStr">
        <is>
          <t>SCA</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31479-2025</t>
        </is>
      </c>
      <c r="B3603" s="1" t="n">
        <v>45833.57333333333</v>
      </c>
      <c r="C3603" s="1" t="n">
        <v>46185</v>
      </c>
      <c r="D3603" t="inlineStr">
        <is>
          <t>VÄSTERNORRLANDS LÄN</t>
        </is>
      </c>
      <c r="E3603" t="inlineStr">
        <is>
          <t>SOLLEFTEÅ</t>
        </is>
      </c>
      <c r="F3603" t="inlineStr">
        <is>
          <t>SCA</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41999-2025</t>
        </is>
      </c>
      <c r="B3604" s="1" t="n">
        <v>45903.55244212963</v>
      </c>
      <c r="C3604" s="1" t="n">
        <v>46185</v>
      </c>
      <c r="D3604" t="inlineStr">
        <is>
          <t>VÄSTERNORRLANDS LÄN</t>
        </is>
      </c>
      <c r="E3604" t="inlineStr">
        <is>
          <t>SUNDSVALL</t>
        </is>
      </c>
      <c r="F3604" t="inlineStr">
        <is>
          <t>SCA</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31410-2024</t>
        </is>
      </c>
      <c r="B3605" s="1" t="n">
        <v>45505.60340277778</v>
      </c>
      <c r="C3605" s="1" t="n">
        <v>46185</v>
      </c>
      <c r="D3605" t="inlineStr">
        <is>
          <t>VÄSTERNORRLANDS LÄN</t>
        </is>
      </c>
      <c r="E3605" t="inlineStr">
        <is>
          <t>ÖRNSKÖLDSVIK</t>
        </is>
      </c>
      <c r="F3605" t="inlineStr">
        <is>
          <t>Holmen skog AB</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3634-2023</t>
        </is>
      </c>
      <c r="B3606" s="1" t="n">
        <v>44950</v>
      </c>
      <c r="C3606" s="1" t="n">
        <v>46185</v>
      </c>
      <c r="D3606" t="inlineStr">
        <is>
          <t>VÄSTERNORRLANDS LÄN</t>
        </is>
      </c>
      <c r="E3606" t="inlineStr">
        <is>
          <t>SUNDSVALL</t>
        </is>
      </c>
      <c r="G3606" t="n">
        <v>49.4</v>
      </c>
      <c r="H3606" t="n">
        <v>0</v>
      </c>
      <c r="I3606" t="n">
        <v>0</v>
      </c>
      <c r="J3606" t="n">
        <v>0</v>
      </c>
      <c r="K3606" t="n">
        <v>0</v>
      </c>
      <c r="L3606" t="n">
        <v>0</v>
      </c>
      <c r="M3606" t="n">
        <v>0</v>
      </c>
      <c r="N3606" t="n">
        <v>0</v>
      </c>
      <c r="O3606" t="n">
        <v>0</v>
      </c>
      <c r="P3606" t="n">
        <v>0</v>
      </c>
      <c r="Q3606" t="n">
        <v>0</v>
      </c>
      <c r="R3606" s="2" t="inlineStr"/>
    </row>
    <row r="3607" ht="15" customHeight="1">
      <c r="A3607" t="inlineStr">
        <is>
          <t>A 32513-2024</t>
        </is>
      </c>
      <c r="B3607" s="1" t="n">
        <v>45513.45640046296</v>
      </c>
      <c r="C3607" s="1" t="n">
        <v>46185</v>
      </c>
      <c r="D3607" t="inlineStr">
        <is>
          <t>VÄSTERNORRLANDS LÄN</t>
        </is>
      </c>
      <c r="E3607" t="inlineStr">
        <is>
          <t>KRAMFORS</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42034-2025</t>
        </is>
      </c>
      <c r="B3608" s="1" t="n">
        <v>45903.60880787037</v>
      </c>
      <c r="C3608" s="1" t="n">
        <v>46185</v>
      </c>
      <c r="D3608" t="inlineStr">
        <is>
          <t>VÄSTERNORRLANDS LÄN</t>
        </is>
      </c>
      <c r="E3608" t="inlineStr">
        <is>
          <t>ÖRNSKÖLDSVIK</t>
        </is>
      </c>
      <c r="F3608" t="inlineStr">
        <is>
          <t>Holmen skog AB</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32515-2024</t>
        </is>
      </c>
      <c r="B3609" s="1" t="n">
        <v>45513</v>
      </c>
      <c r="C3609" s="1" t="n">
        <v>46185</v>
      </c>
      <c r="D3609" t="inlineStr">
        <is>
          <t>VÄSTERNORRLANDS LÄN</t>
        </is>
      </c>
      <c r="E3609" t="inlineStr">
        <is>
          <t>ÖRNSKÖLDSVIK</t>
        </is>
      </c>
      <c r="F3609" t="inlineStr">
        <is>
          <t>Holmen skog AB</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30546-2025</t>
        </is>
      </c>
      <c r="B3610" s="1" t="n">
        <v>45831</v>
      </c>
      <c r="C3610" s="1" t="n">
        <v>46185</v>
      </c>
      <c r="D3610" t="inlineStr">
        <is>
          <t>VÄSTERNORRLANDS LÄN</t>
        </is>
      </c>
      <c r="E3610" t="inlineStr">
        <is>
          <t>SUNDSVALL</t>
        </is>
      </c>
      <c r="F3610" t="inlineStr">
        <is>
          <t>Kyrkan</t>
        </is>
      </c>
      <c r="G3610" t="n">
        <v>7.3</v>
      </c>
      <c r="H3610" t="n">
        <v>0</v>
      </c>
      <c r="I3610" t="n">
        <v>0</v>
      </c>
      <c r="J3610" t="n">
        <v>0</v>
      </c>
      <c r="K3610" t="n">
        <v>0</v>
      </c>
      <c r="L3610" t="n">
        <v>0</v>
      </c>
      <c r="M3610" t="n">
        <v>0</v>
      </c>
      <c r="N3610" t="n">
        <v>0</v>
      </c>
      <c r="O3610" t="n">
        <v>0</v>
      </c>
      <c r="P3610" t="n">
        <v>0</v>
      </c>
      <c r="Q3610" t="n">
        <v>0</v>
      </c>
      <c r="R3610" s="2" t="inlineStr"/>
    </row>
    <row r="3611" ht="15" customHeight="1">
      <c r="A3611" t="inlineStr">
        <is>
          <t>A 44758-2024</t>
        </is>
      </c>
      <c r="B3611" s="1" t="n">
        <v>45574.61493055556</v>
      </c>
      <c r="C3611" s="1" t="n">
        <v>46185</v>
      </c>
      <c r="D3611" t="inlineStr">
        <is>
          <t>VÄSTERNORRLANDS LÄN</t>
        </is>
      </c>
      <c r="E3611" t="inlineStr">
        <is>
          <t>SUNDSVALL</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31304-2025</t>
        </is>
      </c>
      <c r="B3612" s="1" t="n">
        <v>45833.38600694444</v>
      </c>
      <c r="C3612" s="1" t="n">
        <v>46185</v>
      </c>
      <c r="D3612" t="inlineStr">
        <is>
          <t>VÄSTERNORRLANDS LÄN</t>
        </is>
      </c>
      <c r="E3612" t="inlineStr">
        <is>
          <t>SOLLEFTEÅ</t>
        </is>
      </c>
      <c r="F3612" t="inlineStr">
        <is>
          <t>SCA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31322-2025</t>
        </is>
      </c>
      <c r="B3613" s="1" t="n">
        <v>45833</v>
      </c>
      <c r="C3613" s="1" t="n">
        <v>46185</v>
      </c>
      <c r="D3613" t="inlineStr">
        <is>
          <t>VÄSTERNORRLANDS LÄN</t>
        </is>
      </c>
      <c r="E3613" t="inlineStr">
        <is>
          <t>SUNDSVALL</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31338-2025</t>
        </is>
      </c>
      <c r="B3614" s="1" t="n">
        <v>45833.42768518518</v>
      </c>
      <c r="C3614" s="1" t="n">
        <v>46185</v>
      </c>
      <c r="D3614" t="inlineStr">
        <is>
          <t>VÄSTERNORRLANDS LÄN</t>
        </is>
      </c>
      <c r="E3614" t="inlineStr">
        <is>
          <t>SOLLEFTEÅ</t>
        </is>
      </c>
      <c r="F3614" t="inlineStr">
        <is>
          <t>SCA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42164-2025</t>
        </is>
      </c>
      <c r="B3615" s="1" t="n">
        <v>45904.42023148148</v>
      </c>
      <c r="C3615" s="1" t="n">
        <v>46185</v>
      </c>
      <c r="D3615" t="inlineStr">
        <is>
          <t>VÄSTERNORRLANDS LÄN</t>
        </is>
      </c>
      <c r="E3615" t="inlineStr">
        <is>
          <t>ÖRNSKÖLDSVIK</t>
        </is>
      </c>
      <c r="F3615" t="inlineStr">
        <is>
          <t>Holmen skog AB</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42201-2025</t>
        </is>
      </c>
      <c r="B3616" s="1" t="n">
        <v>45904.48965277777</v>
      </c>
      <c r="C3616" s="1" t="n">
        <v>46185</v>
      </c>
      <c r="D3616" t="inlineStr">
        <is>
          <t>VÄSTERNORRLANDS LÄN</t>
        </is>
      </c>
      <c r="E3616" t="inlineStr">
        <is>
          <t>SOLLEFTEÅ</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5358-2023</t>
        </is>
      </c>
      <c r="B3617" s="1" t="n">
        <v>44956</v>
      </c>
      <c r="C3617" s="1" t="n">
        <v>46185</v>
      </c>
      <c r="D3617" t="inlineStr">
        <is>
          <t>VÄSTERNORRLANDS LÄN</t>
        </is>
      </c>
      <c r="E3617" t="inlineStr">
        <is>
          <t>KRAMFORS</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42904-2025</t>
        </is>
      </c>
      <c r="B3618" s="1" t="n">
        <v>45908.68134259259</v>
      </c>
      <c r="C3618" s="1" t="n">
        <v>46185</v>
      </c>
      <c r="D3618" t="inlineStr">
        <is>
          <t>VÄSTERNORRLANDS LÄN</t>
        </is>
      </c>
      <c r="E3618" t="inlineStr">
        <is>
          <t>ÖRNSKÖLDSVIK</t>
        </is>
      </c>
      <c r="G3618" t="n">
        <v>22.5</v>
      </c>
      <c r="H3618" t="n">
        <v>0</v>
      </c>
      <c r="I3618" t="n">
        <v>0</v>
      </c>
      <c r="J3618" t="n">
        <v>0</v>
      </c>
      <c r="K3618" t="n">
        <v>0</v>
      </c>
      <c r="L3618" t="n">
        <v>0</v>
      </c>
      <c r="M3618" t="n">
        <v>0</v>
      </c>
      <c r="N3618" t="n">
        <v>0</v>
      </c>
      <c r="O3618" t="n">
        <v>0</v>
      </c>
      <c r="P3618" t="n">
        <v>0</v>
      </c>
      <c r="Q3618" t="n">
        <v>0</v>
      </c>
      <c r="R3618" s="2" t="inlineStr"/>
    </row>
    <row r="3619" ht="15" customHeight="1">
      <c r="A3619" t="inlineStr">
        <is>
          <t>A 42909-2025</t>
        </is>
      </c>
      <c r="B3619" s="1" t="n">
        <v>45908.69828703703</v>
      </c>
      <c r="C3619" s="1" t="n">
        <v>46185</v>
      </c>
      <c r="D3619" t="inlineStr">
        <is>
          <t>VÄSTERNORRLANDS LÄN</t>
        </is>
      </c>
      <c r="E3619" t="inlineStr">
        <is>
          <t>SUNDSVALL</t>
        </is>
      </c>
      <c r="F3619" t="inlineStr">
        <is>
          <t>Naturvårdsverket</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31544-2025</t>
        </is>
      </c>
      <c r="B3620" s="1" t="n">
        <v>45833.63597222222</v>
      </c>
      <c r="C3620" s="1" t="n">
        <v>46185</v>
      </c>
      <c r="D3620" t="inlineStr">
        <is>
          <t>VÄSTERNORRLANDS LÄN</t>
        </is>
      </c>
      <c r="E3620" t="inlineStr">
        <is>
          <t>ÅNGE</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42568-2025</t>
        </is>
      </c>
      <c r="B3621" s="1" t="n">
        <v>45905.60607638889</v>
      </c>
      <c r="C3621" s="1" t="n">
        <v>46185</v>
      </c>
      <c r="D3621" t="inlineStr">
        <is>
          <t>VÄSTERNORRLANDS LÄN</t>
        </is>
      </c>
      <c r="E3621" t="inlineStr">
        <is>
          <t>ÖRNSKÖLDSVIK</t>
        </is>
      </c>
      <c r="F3621" t="inlineStr">
        <is>
          <t>Holmen skog AB</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31353-2025</t>
        </is>
      </c>
      <c r="B3622" s="1" t="n">
        <v>45833.43015046296</v>
      </c>
      <c r="C3622" s="1" t="n">
        <v>46185</v>
      </c>
      <c r="D3622" t="inlineStr">
        <is>
          <t>VÄSTERNORRLANDS LÄN</t>
        </is>
      </c>
      <c r="E3622" t="inlineStr">
        <is>
          <t>TIMRÅ</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31375-2025</t>
        </is>
      </c>
      <c r="B3623" s="1" t="n">
        <v>45833.44674768519</v>
      </c>
      <c r="C3623" s="1" t="n">
        <v>46185</v>
      </c>
      <c r="D3623" t="inlineStr">
        <is>
          <t>VÄSTERNORRLANDS LÄN</t>
        </is>
      </c>
      <c r="E3623" t="inlineStr">
        <is>
          <t>TIMRÅ</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31388-2025</t>
        </is>
      </c>
      <c r="B3624" s="1" t="n">
        <v>45833.45306712963</v>
      </c>
      <c r="C3624" s="1" t="n">
        <v>46185</v>
      </c>
      <c r="D3624" t="inlineStr">
        <is>
          <t>VÄSTERNORRLANDS LÄN</t>
        </is>
      </c>
      <c r="E3624" t="inlineStr">
        <is>
          <t>SUNDSVALL</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16786-2023</t>
        </is>
      </c>
      <c r="B3625" s="1" t="n">
        <v>45032</v>
      </c>
      <c r="C3625" s="1" t="n">
        <v>46185</v>
      </c>
      <c r="D3625" t="inlineStr">
        <is>
          <t>VÄSTERNORRLANDS LÄN</t>
        </is>
      </c>
      <c r="E3625" t="inlineStr">
        <is>
          <t>TIMRÅ</t>
        </is>
      </c>
      <c r="F3625" t="inlineStr">
        <is>
          <t>SCA</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38275-2024</t>
        </is>
      </c>
      <c r="B3626" s="1" t="n">
        <v>45545</v>
      </c>
      <c r="C3626" s="1" t="n">
        <v>46185</v>
      </c>
      <c r="D3626" t="inlineStr">
        <is>
          <t>VÄSTERNORRLANDS LÄN</t>
        </is>
      </c>
      <c r="E3626" t="inlineStr">
        <is>
          <t>SOLLEFTEÅ</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57505-2022</t>
        </is>
      </c>
      <c r="B3627" s="1" t="n">
        <v>44896.64175925926</v>
      </c>
      <c r="C3627" s="1" t="n">
        <v>46185</v>
      </c>
      <c r="D3627" t="inlineStr">
        <is>
          <t>VÄSTERNORRLANDS LÄN</t>
        </is>
      </c>
      <c r="E3627" t="inlineStr">
        <is>
          <t>ÖRNSKÖLDSVIK</t>
        </is>
      </c>
      <c r="F3627" t="inlineStr">
        <is>
          <t>Holmen skog AB</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31432-2025</t>
        </is>
      </c>
      <c r="B3628" s="1" t="n">
        <v>45833.49442129629</v>
      </c>
      <c r="C3628" s="1" t="n">
        <v>46185</v>
      </c>
      <c r="D3628" t="inlineStr">
        <is>
          <t>VÄSTERNORRLANDS LÄN</t>
        </is>
      </c>
      <c r="E3628" t="inlineStr">
        <is>
          <t>SOLLEFTEÅ</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31483-2025</t>
        </is>
      </c>
      <c r="B3629" s="1" t="n">
        <v>45833.57403935185</v>
      </c>
      <c r="C3629" s="1" t="n">
        <v>46185</v>
      </c>
      <c r="D3629" t="inlineStr">
        <is>
          <t>VÄSTERNORRLANDS LÄN</t>
        </is>
      </c>
      <c r="E3629" t="inlineStr">
        <is>
          <t>HÄRNÖSAND</t>
        </is>
      </c>
      <c r="F3629" t="inlineStr">
        <is>
          <t>SCA</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31642-2025</t>
        </is>
      </c>
      <c r="B3630" s="1" t="n">
        <v>45834.34474537037</v>
      </c>
      <c r="C3630" s="1" t="n">
        <v>46185</v>
      </c>
      <c r="D3630" t="inlineStr">
        <is>
          <t>VÄSTERNORRLANDS LÄN</t>
        </is>
      </c>
      <c r="E3630" t="inlineStr">
        <is>
          <t>ÅNGE</t>
        </is>
      </c>
      <c r="F3630" t="inlineStr">
        <is>
          <t>SCA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3462-2024</t>
        </is>
      </c>
      <c r="B3631" s="1" t="n">
        <v>45320</v>
      </c>
      <c r="C3631" s="1" t="n">
        <v>46185</v>
      </c>
      <c r="D3631" t="inlineStr">
        <is>
          <t>VÄSTERNORRLANDS LÄN</t>
        </is>
      </c>
      <c r="E3631" t="inlineStr">
        <is>
          <t>KRAMFORS</t>
        </is>
      </c>
      <c r="F3631" t="inlineStr">
        <is>
          <t>Kommuner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8220-2022</t>
        </is>
      </c>
      <c r="B3632" s="1" t="n">
        <v>44609</v>
      </c>
      <c r="C3632" s="1" t="n">
        <v>46185</v>
      </c>
      <c r="D3632" t="inlineStr">
        <is>
          <t>VÄSTERNORRLANDS LÄN</t>
        </is>
      </c>
      <c r="E3632" t="inlineStr">
        <is>
          <t>HÄRNÖSAND</t>
        </is>
      </c>
      <c r="F3632" t="inlineStr">
        <is>
          <t>Övriga statliga verk och myndigheter</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67702-2021</t>
        </is>
      </c>
      <c r="B3633" s="1" t="n">
        <v>44524.94660879629</v>
      </c>
      <c r="C3633" s="1" t="n">
        <v>46185</v>
      </c>
      <c r="D3633" t="inlineStr">
        <is>
          <t>VÄSTERNORRLANDS LÄN</t>
        </is>
      </c>
      <c r="E3633" t="inlineStr">
        <is>
          <t>SOLLEFTEÅ</t>
        </is>
      </c>
      <c r="F3633" t="inlineStr">
        <is>
          <t>SCA</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31303-2025</t>
        </is>
      </c>
      <c r="B3634" s="1" t="n">
        <v>45833.38581018519</v>
      </c>
      <c r="C3634" s="1" t="n">
        <v>46185</v>
      </c>
      <c r="D3634" t="inlineStr">
        <is>
          <t>VÄSTERNORRLANDS LÄN</t>
        </is>
      </c>
      <c r="E3634" t="inlineStr">
        <is>
          <t>HÄRNÖSAND</t>
        </is>
      </c>
      <c r="F3634" t="inlineStr">
        <is>
          <t>SCA</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45363-2023</t>
        </is>
      </c>
      <c r="B3635" s="1" t="n">
        <v>45192.55768518519</v>
      </c>
      <c r="C3635" s="1" t="n">
        <v>46185</v>
      </c>
      <c r="D3635" t="inlineStr">
        <is>
          <t>VÄSTERNORRLANDS LÄN</t>
        </is>
      </c>
      <c r="E3635" t="inlineStr">
        <is>
          <t>ÖRNSKÖLDSVIK</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42789-2025</t>
        </is>
      </c>
      <c r="B3636" s="1" t="n">
        <v>45908</v>
      </c>
      <c r="C3636" s="1" t="n">
        <v>46185</v>
      </c>
      <c r="D3636" t="inlineStr">
        <is>
          <t>VÄSTERNORRLANDS LÄN</t>
        </is>
      </c>
      <c r="E3636" t="inlineStr">
        <is>
          <t>SOLLEFTEÅ</t>
        </is>
      </c>
      <c r="F3636" t="inlineStr">
        <is>
          <t>Holmen skog AB</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31344-2025</t>
        </is>
      </c>
      <c r="B3637" s="1" t="n">
        <v>45833.42840277778</v>
      </c>
      <c r="C3637" s="1" t="n">
        <v>46185</v>
      </c>
      <c r="D3637" t="inlineStr">
        <is>
          <t>VÄSTERNORRLANDS LÄN</t>
        </is>
      </c>
      <c r="E3637" t="inlineStr">
        <is>
          <t>HÄRNÖSAND</t>
        </is>
      </c>
      <c r="F3637" t="inlineStr">
        <is>
          <t>SCA</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25696-2025</t>
        </is>
      </c>
      <c r="B3638" s="1" t="n">
        <v>45803.66592592592</v>
      </c>
      <c r="C3638" s="1" t="n">
        <v>46185</v>
      </c>
      <c r="D3638" t="inlineStr">
        <is>
          <t>VÄSTERNORRLANDS LÄN</t>
        </is>
      </c>
      <c r="E3638" t="inlineStr">
        <is>
          <t>HÄRNÖSAND</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42450-2025</t>
        </is>
      </c>
      <c r="B3639" s="1" t="n">
        <v>45905.44320601852</v>
      </c>
      <c r="C3639" s="1" t="n">
        <v>46185</v>
      </c>
      <c r="D3639" t="inlineStr">
        <is>
          <t>VÄSTERNORRLANDS LÄN</t>
        </is>
      </c>
      <c r="E3639" t="inlineStr">
        <is>
          <t>ÖRNSKÖLDSVIK</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42451-2025</t>
        </is>
      </c>
      <c r="B3640" s="1" t="n">
        <v>45905.44340277778</v>
      </c>
      <c r="C3640" s="1" t="n">
        <v>46185</v>
      </c>
      <c r="D3640" t="inlineStr">
        <is>
          <t>VÄSTERNORRLANDS LÄN</t>
        </is>
      </c>
      <c r="E3640" t="inlineStr">
        <is>
          <t>ÖRNSKÖLDSVIK</t>
        </is>
      </c>
      <c r="G3640" t="n">
        <v>5.4</v>
      </c>
      <c r="H3640" t="n">
        <v>0</v>
      </c>
      <c r="I3640" t="n">
        <v>0</v>
      </c>
      <c r="J3640" t="n">
        <v>0</v>
      </c>
      <c r="K3640" t="n">
        <v>0</v>
      </c>
      <c r="L3640" t="n">
        <v>0</v>
      </c>
      <c r="M3640" t="n">
        <v>0</v>
      </c>
      <c r="N3640" t="n">
        <v>0</v>
      </c>
      <c r="O3640" t="n">
        <v>0</v>
      </c>
      <c r="P3640" t="n">
        <v>0</v>
      </c>
      <c r="Q3640" t="n">
        <v>0</v>
      </c>
      <c r="R3640" s="2" t="inlineStr"/>
    </row>
    <row r="3641" ht="15" customHeight="1">
      <c r="A3641" t="inlineStr">
        <is>
          <t>A 31385-2025</t>
        </is>
      </c>
      <c r="B3641" s="1" t="n">
        <v>45833.45167824074</v>
      </c>
      <c r="C3641" s="1" t="n">
        <v>46185</v>
      </c>
      <c r="D3641" t="inlineStr">
        <is>
          <t>VÄSTERNORRLANDS LÄN</t>
        </is>
      </c>
      <c r="E3641" t="inlineStr">
        <is>
          <t>SUNDSVALL</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31437-2025</t>
        </is>
      </c>
      <c r="B3642" s="1" t="n">
        <v>45833.49855324074</v>
      </c>
      <c r="C3642" s="1" t="n">
        <v>46185</v>
      </c>
      <c r="D3642" t="inlineStr">
        <is>
          <t>VÄSTERNORRLANDS LÄN</t>
        </is>
      </c>
      <c r="E3642" t="inlineStr">
        <is>
          <t>SOLLEFTEÅ</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10870-2024</t>
        </is>
      </c>
      <c r="B3643" s="1" t="n">
        <v>45370.02083333334</v>
      </c>
      <c r="C3643" s="1" t="n">
        <v>46185</v>
      </c>
      <c r="D3643" t="inlineStr">
        <is>
          <t>VÄSTERNORRLANDS LÄN</t>
        </is>
      </c>
      <c r="E3643" t="inlineStr">
        <is>
          <t>SOLLEFTEÅ</t>
        </is>
      </c>
      <c r="F3643" t="inlineStr">
        <is>
          <t>SCA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19699-2025</t>
        </is>
      </c>
      <c r="B3644" s="1" t="n">
        <v>45771.32137731482</v>
      </c>
      <c r="C3644" s="1" t="n">
        <v>46185</v>
      </c>
      <c r="D3644" t="inlineStr">
        <is>
          <t>VÄSTERNORRLANDS LÄN</t>
        </is>
      </c>
      <c r="E3644" t="inlineStr">
        <is>
          <t>SUNDSVALL</t>
        </is>
      </c>
      <c r="G3644" t="n">
        <v>8.800000000000001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42786-2025</t>
        </is>
      </c>
      <c r="B3645" s="1" t="n">
        <v>45908.51097222222</v>
      </c>
      <c r="C3645" s="1" t="n">
        <v>46185</v>
      </c>
      <c r="D3645" t="inlineStr">
        <is>
          <t>VÄSTERNORRLANDS LÄN</t>
        </is>
      </c>
      <c r="E3645" t="inlineStr">
        <is>
          <t>ÅNGE</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1543-2026</t>
        </is>
      </c>
      <c r="B3646" s="1" t="n">
        <v>46034.38636574074</v>
      </c>
      <c r="C3646" s="1" t="n">
        <v>46185</v>
      </c>
      <c r="D3646" t="inlineStr">
        <is>
          <t>VÄSTERNORRLANDS LÄN</t>
        </is>
      </c>
      <c r="E3646" t="inlineStr">
        <is>
          <t>ÅNGE</t>
        </is>
      </c>
      <c r="F3646" t="inlineStr">
        <is>
          <t>SCA</t>
        </is>
      </c>
      <c r="G3646" t="n">
        <v>17.3</v>
      </c>
      <c r="H3646" t="n">
        <v>0</v>
      </c>
      <c r="I3646" t="n">
        <v>0</v>
      </c>
      <c r="J3646" t="n">
        <v>0</v>
      </c>
      <c r="K3646" t="n">
        <v>0</v>
      </c>
      <c r="L3646" t="n">
        <v>0</v>
      </c>
      <c r="M3646" t="n">
        <v>0</v>
      </c>
      <c r="N3646" t="n">
        <v>0</v>
      </c>
      <c r="O3646" t="n">
        <v>0</v>
      </c>
      <c r="P3646" t="n">
        <v>0</v>
      </c>
      <c r="Q3646" t="n">
        <v>0</v>
      </c>
      <c r="R3646" s="2" t="inlineStr"/>
    </row>
    <row r="3647" ht="15" customHeight="1">
      <c r="A3647" t="inlineStr">
        <is>
          <t>A 15802-2022</t>
        </is>
      </c>
      <c r="B3647" s="1" t="n">
        <v>44663.92585648148</v>
      </c>
      <c r="C3647" s="1" t="n">
        <v>46185</v>
      </c>
      <c r="D3647" t="inlineStr">
        <is>
          <t>VÄSTERNORRLANDS LÄN</t>
        </is>
      </c>
      <c r="E3647" t="inlineStr">
        <is>
          <t>SUNDSVALL</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31890-2025</t>
        </is>
      </c>
      <c r="B3648" s="1" t="n">
        <v>45834</v>
      </c>
      <c r="C3648" s="1" t="n">
        <v>46185</v>
      </c>
      <c r="D3648" t="inlineStr">
        <is>
          <t>VÄSTERNORRLANDS LÄN</t>
        </is>
      </c>
      <c r="E3648" t="inlineStr">
        <is>
          <t>HÄRNÖSAND</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31708-2025</t>
        </is>
      </c>
      <c r="B3649" s="1" t="n">
        <v>45834.42398148148</v>
      </c>
      <c r="C3649" s="1" t="n">
        <v>46185</v>
      </c>
      <c r="D3649" t="inlineStr">
        <is>
          <t>VÄSTERNORRLANDS LÄN</t>
        </is>
      </c>
      <c r="E3649" t="inlineStr">
        <is>
          <t>SUNDSVALL</t>
        </is>
      </c>
      <c r="F3649" t="inlineStr">
        <is>
          <t>Kommuner</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31734-2025</t>
        </is>
      </c>
      <c r="B3650" s="1" t="n">
        <v>45834.47052083333</v>
      </c>
      <c r="C3650" s="1" t="n">
        <v>46185</v>
      </c>
      <c r="D3650" t="inlineStr">
        <is>
          <t>VÄSTERNORRLANDS LÄN</t>
        </is>
      </c>
      <c r="E3650" t="inlineStr">
        <is>
          <t>TIMRÅ</t>
        </is>
      </c>
      <c r="F3650" t="inlineStr">
        <is>
          <t>SCA</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31665-2025</t>
        </is>
      </c>
      <c r="B3651" s="1" t="n">
        <v>45834.36497685185</v>
      </c>
      <c r="C3651" s="1" t="n">
        <v>46185</v>
      </c>
      <c r="D3651" t="inlineStr">
        <is>
          <t>VÄSTERNORRLANDS LÄN</t>
        </is>
      </c>
      <c r="E3651" t="inlineStr">
        <is>
          <t>SOLLEFTEÅ</t>
        </is>
      </c>
      <c r="F3651" t="inlineStr">
        <is>
          <t>SCA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37749-2025</t>
        </is>
      </c>
      <c r="B3652" s="1" t="n">
        <v>45880.66991898148</v>
      </c>
      <c r="C3652" s="1" t="n">
        <v>46185</v>
      </c>
      <c r="D3652" t="inlineStr">
        <is>
          <t>VÄSTERNORRLANDS LÄN</t>
        </is>
      </c>
      <c r="E3652" t="inlineStr">
        <is>
          <t>ÖRNSKÖLDSVIK</t>
        </is>
      </c>
      <c r="F3652" t="inlineStr">
        <is>
          <t>Holmen skog AB</t>
        </is>
      </c>
      <c r="G3652" t="n">
        <v>7.3</v>
      </c>
      <c r="H3652" t="n">
        <v>0</v>
      </c>
      <c r="I3652" t="n">
        <v>0</v>
      </c>
      <c r="J3652" t="n">
        <v>0</v>
      </c>
      <c r="K3652" t="n">
        <v>0</v>
      </c>
      <c r="L3652" t="n">
        <v>0</v>
      </c>
      <c r="M3652" t="n">
        <v>0</v>
      </c>
      <c r="N3652" t="n">
        <v>0</v>
      </c>
      <c r="O3652" t="n">
        <v>0</v>
      </c>
      <c r="P3652" t="n">
        <v>0</v>
      </c>
      <c r="Q3652" t="n">
        <v>0</v>
      </c>
      <c r="R3652" s="2" t="inlineStr"/>
    </row>
    <row r="3653" ht="15" customHeight="1">
      <c r="A3653" t="inlineStr">
        <is>
          <t>A 31382-2025</t>
        </is>
      </c>
      <c r="B3653" s="1" t="n">
        <v>45833.4502199074</v>
      </c>
      <c r="C3653" s="1" t="n">
        <v>46185</v>
      </c>
      <c r="D3653" t="inlineStr">
        <is>
          <t>VÄSTERNORRLANDS LÄN</t>
        </is>
      </c>
      <c r="E3653" t="inlineStr">
        <is>
          <t>SUNDSVALL</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31486-2025</t>
        </is>
      </c>
      <c r="B3654" s="1" t="n">
        <v>45833.57436342593</v>
      </c>
      <c r="C3654" s="1" t="n">
        <v>46185</v>
      </c>
      <c r="D3654" t="inlineStr">
        <is>
          <t>VÄSTERNORRLANDS LÄN</t>
        </is>
      </c>
      <c r="E3654" t="inlineStr">
        <is>
          <t>SUNDSVALL</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18198-2023</t>
        </is>
      </c>
      <c r="B3655" s="1" t="n">
        <v>45041.36590277778</v>
      </c>
      <c r="C3655" s="1" t="n">
        <v>46185</v>
      </c>
      <c r="D3655" t="inlineStr">
        <is>
          <t>VÄSTERNORRLANDS LÄN</t>
        </is>
      </c>
      <c r="E3655" t="inlineStr">
        <is>
          <t>ÖRNSKÖLDSVIK</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18203-2023</t>
        </is>
      </c>
      <c r="B3656" s="1" t="n">
        <v>45041.37564814815</v>
      </c>
      <c r="C3656" s="1" t="n">
        <v>46185</v>
      </c>
      <c r="D3656" t="inlineStr">
        <is>
          <t>VÄSTERNORRLANDS LÄN</t>
        </is>
      </c>
      <c r="E3656" t="inlineStr">
        <is>
          <t>ÖRNSKÖLDSVIK</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31295-2025</t>
        </is>
      </c>
      <c r="B3657" s="1" t="n">
        <v>45833.36490740741</v>
      </c>
      <c r="C3657" s="1" t="n">
        <v>46185</v>
      </c>
      <c r="D3657" t="inlineStr">
        <is>
          <t>VÄSTERNORRLANDS LÄN</t>
        </is>
      </c>
      <c r="E3657" t="inlineStr">
        <is>
          <t>SUNDSVALL</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31801-2025</t>
        </is>
      </c>
      <c r="B3658" s="1" t="n">
        <v>45834.55290509259</v>
      </c>
      <c r="C3658" s="1" t="n">
        <v>46185</v>
      </c>
      <c r="D3658" t="inlineStr">
        <is>
          <t>VÄSTERNORRLANDS LÄN</t>
        </is>
      </c>
      <c r="E3658" t="inlineStr">
        <is>
          <t>SOLLEFTEÅ</t>
        </is>
      </c>
      <c r="F3658" t="inlineStr">
        <is>
          <t>SCA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5035-2025</t>
        </is>
      </c>
      <c r="B3659" s="1" t="n">
        <v>45691</v>
      </c>
      <c r="C3659" s="1" t="n">
        <v>46185</v>
      </c>
      <c r="D3659" t="inlineStr">
        <is>
          <t>VÄSTERNORRLANDS LÄN</t>
        </is>
      </c>
      <c r="E3659" t="inlineStr">
        <is>
          <t>ÅNGE</t>
        </is>
      </c>
      <c r="F3659" t="inlineStr">
        <is>
          <t>SCA</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16593-2023</t>
        </is>
      </c>
      <c r="B3660" s="1" t="n">
        <v>45030</v>
      </c>
      <c r="C3660" s="1" t="n">
        <v>46185</v>
      </c>
      <c r="D3660" t="inlineStr">
        <is>
          <t>VÄSTERNORRLANDS LÄN</t>
        </is>
      </c>
      <c r="E3660" t="inlineStr">
        <is>
          <t>ÅNGE</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16600-2023</t>
        </is>
      </c>
      <c r="B3661" s="1" t="n">
        <v>45030</v>
      </c>
      <c r="C3661" s="1" t="n">
        <v>46185</v>
      </c>
      <c r="D3661" t="inlineStr">
        <is>
          <t>VÄSTERNORRLANDS LÄN</t>
        </is>
      </c>
      <c r="E3661" t="inlineStr">
        <is>
          <t>ÅNGE</t>
        </is>
      </c>
      <c r="G3661" t="n">
        <v>0.1</v>
      </c>
      <c r="H3661" t="n">
        <v>0</v>
      </c>
      <c r="I3661" t="n">
        <v>0</v>
      </c>
      <c r="J3661" t="n">
        <v>0</v>
      </c>
      <c r="K3661" t="n">
        <v>0</v>
      </c>
      <c r="L3661" t="n">
        <v>0</v>
      </c>
      <c r="M3661" t="n">
        <v>0</v>
      </c>
      <c r="N3661" t="n">
        <v>0</v>
      </c>
      <c r="O3661" t="n">
        <v>0</v>
      </c>
      <c r="P3661" t="n">
        <v>0</v>
      </c>
      <c r="Q3661" t="n">
        <v>0</v>
      </c>
      <c r="R3661" s="2" t="inlineStr"/>
    </row>
    <row r="3662" ht="15" customHeight="1">
      <c r="A3662" t="inlineStr">
        <is>
          <t>A 18178-2024</t>
        </is>
      </c>
      <c r="B3662" s="1" t="n">
        <v>45420</v>
      </c>
      <c r="C3662" s="1" t="n">
        <v>46185</v>
      </c>
      <c r="D3662" t="inlineStr">
        <is>
          <t>VÄSTERNORRLANDS LÄN</t>
        </is>
      </c>
      <c r="E3662" t="inlineStr">
        <is>
          <t>ÖRNSKÖLDSVIK</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19441-2025</t>
        </is>
      </c>
      <c r="B3663" s="1" t="n">
        <v>45770.30892361111</v>
      </c>
      <c r="C3663" s="1" t="n">
        <v>46185</v>
      </c>
      <c r="D3663" t="inlineStr">
        <is>
          <t>VÄSTERNORRLANDS LÄN</t>
        </is>
      </c>
      <c r="E3663" t="inlineStr">
        <is>
          <t>ÖRNSKÖLDSVIK</t>
        </is>
      </c>
      <c r="F3663" t="inlineStr">
        <is>
          <t>Kommuner</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42700-2025</t>
        </is>
      </c>
      <c r="B3664" s="1" t="n">
        <v>45908.36534722222</v>
      </c>
      <c r="C3664" s="1" t="n">
        <v>46185</v>
      </c>
      <c r="D3664" t="inlineStr">
        <is>
          <t>VÄSTERNORRLANDS LÄN</t>
        </is>
      </c>
      <c r="E3664" t="inlineStr">
        <is>
          <t>ÖRNSKÖLDSVIK</t>
        </is>
      </c>
      <c r="F3664" t="inlineStr">
        <is>
          <t>SCA</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45413-2024</t>
        </is>
      </c>
      <c r="B3665" s="1" t="n">
        <v>45576.59421296296</v>
      </c>
      <c r="C3665" s="1" t="n">
        <v>46185</v>
      </c>
      <c r="D3665" t="inlineStr">
        <is>
          <t>VÄSTERNORRLANDS LÄN</t>
        </is>
      </c>
      <c r="E3665" t="inlineStr">
        <is>
          <t>HÄRNÖSAND</t>
        </is>
      </c>
      <c r="F3665" t="inlineStr">
        <is>
          <t>SCA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62038-2024</t>
        </is>
      </c>
      <c r="B3666" s="1" t="n">
        <v>45656.34410879629</v>
      </c>
      <c r="C3666" s="1" t="n">
        <v>46185</v>
      </c>
      <c r="D3666" t="inlineStr">
        <is>
          <t>VÄSTERNORRLANDS LÄN</t>
        </is>
      </c>
      <c r="E3666" t="inlineStr">
        <is>
          <t>SOLLEFTEÅ</t>
        </is>
      </c>
      <c r="F3666" t="inlineStr">
        <is>
          <t>SCA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42874-2025</t>
        </is>
      </c>
      <c r="B3667" s="1" t="n">
        <v>45908.6328125</v>
      </c>
      <c r="C3667" s="1" t="n">
        <v>46185</v>
      </c>
      <c r="D3667" t="inlineStr">
        <is>
          <t>VÄSTERNORRLANDS LÄN</t>
        </is>
      </c>
      <c r="E3667" t="inlineStr">
        <is>
          <t>ÖRNSKÖLDSVIK</t>
        </is>
      </c>
      <c r="F3667" t="inlineStr">
        <is>
          <t>Holmen skog AB</t>
        </is>
      </c>
      <c r="G3667" t="n">
        <v>24.6</v>
      </c>
      <c r="H3667" t="n">
        <v>0</v>
      </c>
      <c r="I3667" t="n">
        <v>0</v>
      </c>
      <c r="J3667" t="n">
        <v>0</v>
      </c>
      <c r="K3667" t="n">
        <v>0</v>
      </c>
      <c r="L3667" t="n">
        <v>0</v>
      </c>
      <c r="M3667" t="n">
        <v>0</v>
      </c>
      <c r="N3667" t="n">
        <v>0</v>
      </c>
      <c r="O3667" t="n">
        <v>0</v>
      </c>
      <c r="P3667" t="n">
        <v>0</v>
      </c>
      <c r="Q3667" t="n">
        <v>0</v>
      </c>
      <c r="R3667" s="2" t="inlineStr"/>
    </row>
    <row r="3668" ht="15" customHeight="1">
      <c r="A3668" t="inlineStr">
        <is>
          <t>A 45333-2023</t>
        </is>
      </c>
      <c r="B3668" s="1" t="n">
        <v>45191</v>
      </c>
      <c r="C3668" s="1" t="n">
        <v>46185</v>
      </c>
      <c r="D3668" t="inlineStr">
        <is>
          <t>VÄSTERNORRLANDS LÄN</t>
        </is>
      </c>
      <c r="E3668" t="inlineStr">
        <is>
          <t>SUNDSVALL</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32359-2025</t>
        </is>
      </c>
      <c r="B3669" s="1" t="n">
        <v>45837.59410879629</v>
      </c>
      <c r="C3669" s="1" t="n">
        <v>46185</v>
      </c>
      <c r="D3669" t="inlineStr">
        <is>
          <t>VÄSTERNORRLANDS LÄN</t>
        </is>
      </c>
      <c r="E3669" t="inlineStr">
        <is>
          <t>SUNDSVALL</t>
        </is>
      </c>
      <c r="F3669" t="inlineStr">
        <is>
          <t>SCA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32366-2025</t>
        </is>
      </c>
      <c r="B3670" s="1" t="n">
        <v>45837.65679398148</v>
      </c>
      <c r="C3670" s="1" t="n">
        <v>46185</v>
      </c>
      <c r="D3670" t="inlineStr">
        <is>
          <t>VÄSTERNORRLANDS LÄN</t>
        </is>
      </c>
      <c r="E3670" t="inlineStr">
        <is>
          <t>TIMRÅ</t>
        </is>
      </c>
      <c r="F3670" t="inlineStr">
        <is>
          <t>SCA</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42689-2025</t>
        </is>
      </c>
      <c r="B3671" s="1" t="n">
        <v>45908.35649305556</v>
      </c>
      <c r="C3671" s="1" t="n">
        <v>46185</v>
      </c>
      <c r="D3671" t="inlineStr">
        <is>
          <t>VÄSTERNORRLANDS LÄN</t>
        </is>
      </c>
      <c r="E3671" t="inlineStr">
        <is>
          <t>SUNDSVALL</t>
        </is>
      </c>
      <c r="F3671" t="inlineStr">
        <is>
          <t>Holmen skog AB</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42657-2025</t>
        </is>
      </c>
      <c r="B3672" s="1" t="n">
        <v>45907.49268518519</v>
      </c>
      <c r="C3672" s="1" t="n">
        <v>46185</v>
      </c>
      <c r="D3672" t="inlineStr">
        <is>
          <t>VÄSTERNORRLANDS LÄN</t>
        </is>
      </c>
      <c r="E3672" t="inlineStr">
        <is>
          <t>TIMRÅ</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42697-2025</t>
        </is>
      </c>
      <c r="B3673" s="1" t="n">
        <v>45908.36498842593</v>
      </c>
      <c r="C3673" s="1" t="n">
        <v>46185</v>
      </c>
      <c r="D3673" t="inlineStr">
        <is>
          <t>VÄSTERNORRLANDS LÄN</t>
        </is>
      </c>
      <c r="E3673" t="inlineStr">
        <is>
          <t>SOLLEFTEÅ</t>
        </is>
      </c>
      <c r="F3673" t="inlineStr">
        <is>
          <t>SCA</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32220-2025</t>
        </is>
      </c>
      <c r="B3674" s="1" t="n">
        <v>45835.58945601852</v>
      </c>
      <c r="C3674" s="1" t="n">
        <v>46185</v>
      </c>
      <c r="D3674" t="inlineStr">
        <is>
          <t>VÄSTERNORRLANDS LÄN</t>
        </is>
      </c>
      <c r="E3674" t="inlineStr">
        <is>
          <t>ÖRNSKÖLDSVIK</t>
        </is>
      </c>
      <c r="F3674" t="inlineStr">
        <is>
          <t>Holmen skog AB</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4808-2025</t>
        </is>
      </c>
      <c r="B3675" s="1" t="n">
        <v>45688</v>
      </c>
      <c r="C3675" s="1" t="n">
        <v>46185</v>
      </c>
      <c r="D3675" t="inlineStr">
        <is>
          <t>VÄSTERNORRLANDS LÄN</t>
        </is>
      </c>
      <c r="E3675" t="inlineStr">
        <is>
          <t>ÖRNSKÖLDSVIK</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32247-2025</t>
        </is>
      </c>
      <c r="B3676" s="1" t="n">
        <v>45835.61738425926</v>
      </c>
      <c r="C3676" s="1" t="n">
        <v>46185</v>
      </c>
      <c r="D3676" t="inlineStr">
        <is>
          <t>VÄSTERNORRLANDS LÄN</t>
        </is>
      </c>
      <c r="E3676" t="inlineStr">
        <is>
          <t>ÖRNSKÖLDSVIK</t>
        </is>
      </c>
      <c r="G3676" t="n">
        <v>6.5</v>
      </c>
      <c r="H3676" t="n">
        <v>0</v>
      </c>
      <c r="I3676" t="n">
        <v>0</v>
      </c>
      <c r="J3676" t="n">
        <v>0</v>
      </c>
      <c r="K3676" t="n">
        <v>0</v>
      </c>
      <c r="L3676" t="n">
        <v>0</v>
      </c>
      <c r="M3676" t="n">
        <v>0</v>
      </c>
      <c r="N3676" t="n">
        <v>0</v>
      </c>
      <c r="O3676" t="n">
        <v>0</v>
      </c>
      <c r="P3676" t="n">
        <v>0</v>
      </c>
      <c r="Q3676" t="n">
        <v>0</v>
      </c>
      <c r="R3676" s="2" t="inlineStr"/>
    </row>
    <row r="3677" ht="15" customHeight="1">
      <c r="A3677" t="inlineStr">
        <is>
          <t>A 32251-2025</t>
        </is>
      </c>
      <c r="B3677" s="1" t="n">
        <v>45835.62701388889</v>
      </c>
      <c r="C3677" s="1" t="n">
        <v>46185</v>
      </c>
      <c r="D3677" t="inlineStr">
        <is>
          <t>VÄSTERNORRLANDS LÄN</t>
        </is>
      </c>
      <c r="E3677" t="inlineStr">
        <is>
          <t>ÖRNSKÖLDSVIK</t>
        </is>
      </c>
      <c r="F3677" t="inlineStr">
        <is>
          <t>Holmen skog AB</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31428-2025</t>
        </is>
      </c>
      <c r="B3678" s="1" t="n">
        <v>45833.4930787037</v>
      </c>
      <c r="C3678" s="1" t="n">
        <v>46185</v>
      </c>
      <c r="D3678" t="inlineStr">
        <is>
          <t>VÄSTERNORRLANDS LÄN</t>
        </is>
      </c>
      <c r="E3678" t="inlineStr">
        <is>
          <t>SOLLEFTEÅ</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42755-2025</t>
        </is>
      </c>
      <c r="B3679" s="1" t="n">
        <v>45908.44833333333</v>
      </c>
      <c r="C3679" s="1" t="n">
        <v>46185</v>
      </c>
      <c r="D3679" t="inlineStr">
        <is>
          <t>VÄSTERNORRLANDS LÄN</t>
        </is>
      </c>
      <c r="E3679" t="inlineStr">
        <is>
          <t>ÖRNSKÖLDSVIK</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32375-2025</t>
        </is>
      </c>
      <c r="B3680" s="1" t="n">
        <v>45837.71907407408</v>
      </c>
      <c r="C3680" s="1" t="n">
        <v>46185</v>
      </c>
      <c r="D3680" t="inlineStr">
        <is>
          <t>VÄSTERNORRLANDS LÄN</t>
        </is>
      </c>
      <c r="E3680" t="inlineStr">
        <is>
          <t>TIMRÅ</t>
        </is>
      </c>
      <c r="F3680" t="inlineStr">
        <is>
          <t>SCA</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1527-2026</t>
        </is>
      </c>
      <c r="B3681" s="1" t="n">
        <v>46034.37046296296</v>
      </c>
      <c r="C3681" s="1" t="n">
        <v>46185</v>
      </c>
      <c r="D3681" t="inlineStr">
        <is>
          <t>VÄSTERNORRLANDS LÄN</t>
        </is>
      </c>
      <c r="E3681" t="inlineStr">
        <is>
          <t>ÖRNSKÖLDSVIK</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1536-2026</t>
        </is>
      </c>
      <c r="B3682" s="1" t="n">
        <v>46034.38084490741</v>
      </c>
      <c r="C3682" s="1" t="n">
        <v>46185</v>
      </c>
      <c r="D3682" t="inlineStr">
        <is>
          <t>VÄSTERNORRLANDS LÄN</t>
        </is>
      </c>
      <c r="E3682" t="inlineStr">
        <is>
          <t>ÖRNSKÖLDSVIK</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9163-2025</t>
        </is>
      </c>
      <c r="B3683" s="1" t="n">
        <v>45714.36503472222</v>
      </c>
      <c r="C3683" s="1" t="n">
        <v>46185</v>
      </c>
      <c r="D3683" t="inlineStr">
        <is>
          <t>VÄSTERNORRLANDS LÄN</t>
        </is>
      </c>
      <c r="E3683" t="inlineStr">
        <is>
          <t>SOLLEFTEÅ</t>
        </is>
      </c>
      <c r="F3683" t="inlineStr">
        <is>
          <t>SCA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42451-2024</t>
        </is>
      </c>
      <c r="B3684" s="1" t="n">
        <v>45565.44592592592</v>
      </c>
      <c r="C3684" s="1" t="n">
        <v>46185</v>
      </c>
      <c r="D3684" t="inlineStr">
        <is>
          <t>VÄSTERNORRLANDS LÄN</t>
        </is>
      </c>
      <c r="E3684" t="inlineStr">
        <is>
          <t>ÖRNSKÖLDSVIK</t>
        </is>
      </c>
      <c r="F3684" t="inlineStr">
        <is>
          <t>Holmen skog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32351-2025</t>
        </is>
      </c>
      <c r="B3685" s="1" t="n">
        <v>45837.4900462963</v>
      </c>
      <c r="C3685" s="1" t="n">
        <v>46185</v>
      </c>
      <c r="D3685" t="inlineStr">
        <is>
          <t>VÄSTERNORRLANDS LÄN</t>
        </is>
      </c>
      <c r="E3685" t="inlineStr">
        <is>
          <t>SUNDSVALL</t>
        </is>
      </c>
      <c r="F3685" t="inlineStr">
        <is>
          <t>SCA</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32360-2025</t>
        </is>
      </c>
      <c r="B3686" s="1" t="n">
        <v>45837.59423611111</v>
      </c>
      <c r="C3686" s="1" t="n">
        <v>46185</v>
      </c>
      <c r="D3686" t="inlineStr">
        <is>
          <t>VÄSTERNORRLANDS LÄN</t>
        </is>
      </c>
      <c r="E3686" t="inlineStr">
        <is>
          <t>SUNDSVALL</t>
        </is>
      </c>
      <c r="F3686" t="inlineStr">
        <is>
          <t>SCA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32374-2025</t>
        </is>
      </c>
      <c r="B3687" s="1" t="n">
        <v>45837.6984375</v>
      </c>
      <c r="C3687" s="1" t="n">
        <v>46185</v>
      </c>
      <c r="D3687" t="inlineStr">
        <is>
          <t>VÄSTERNORRLANDS LÄN</t>
        </is>
      </c>
      <c r="E3687" t="inlineStr">
        <is>
          <t>HÄRNÖSAND</t>
        </is>
      </c>
      <c r="F3687" t="inlineStr">
        <is>
          <t>SCA</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42699-2025</t>
        </is>
      </c>
      <c r="B3688" s="1" t="n">
        <v>45908.36521990741</v>
      </c>
      <c r="C3688" s="1" t="n">
        <v>46185</v>
      </c>
      <c r="D3688" t="inlineStr">
        <is>
          <t>VÄSTERNORRLANDS LÄN</t>
        </is>
      </c>
      <c r="E3688" t="inlineStr">
        <is>
          <t>ÖRNSKÖLDSVIK</t>
        </is>
      </c>
      <c r="F3688" t="inlineStr">
        <is>
          <t>SCA</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42488-2024</t>
        </is>
      </c>
      <c r="B3689" s="1" t="n">
        <v>45565.49420138889</v>
      </c>
      <c r="C3689" s="1" t="n">
        <v>46185</v>
      </c>
      <c r="D3689" t="inlineStr">
        <is>
          <t>VÄSTERNORRLANDS LÄN</t>
        </is>
      </c>
      <c r="E3689" t="inlineStr">
        <is>
          <t>ÅNGE</t>
        </is>
      </c>
      <c r="F3689" t="inlineStr">
        <is>
          <t>SCA</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42512-2024</t>
        </is>
      </c>
      <c r="B3690" s="1" t="n">
        <v>45565.53475694444</v>
      </c>
      <c r="C3690" s="1" t="n">
        <v>46185</v>
      </c>
      <c r="D3690" t="inlineStr">
        <is>
          <t>VÄSTERNORRLANDS LÄN</t>
        </is>
      </c>
      <c r="E3690" t="inlineStr">
        <is>
          <t>ÖRNSKÖLDSVIK</t>
        </is>
      </c>
      <c r="F3690" t="inlineStr">
        <is>
          <t>Holmen skog AB</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32350-2025</t>
        </is>
      </c>
      <c r="B3691" s="1" t="n">
        <v>45837.48990740741</v>
      </c>
      <c r="C3691" s="1" t="n">
        <v>46185</v>
      </c>
      <c r="D3691" t="inlineStr">
        <is>
          <t>VÄSTERNORRLANDS LÄN</t>
        </is>
      </c>
      <c r="E3691" t="inlineStr">
        <is>
          <t>SUNDSVALL</t>
        </is>
      </c>
      <c r="F3691" t="inlineStr">
        <is>
          <t>SCA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48555-2021</t>
        </is>
      </c>
      <c r="B3692" s="1" t="n">
        <v>44452</v>
      </c>
      <c r="C3692" s="1" t="n">
        <v>46185</v>
      </c>
      <c r="D3692" t="inlineStr">
        <is>
          <t>VÄSTERNORRLANDS LÄN</t>
        </is>
      </c>
      <c r="E3692" t="inlineStr">
        <is>
          <t>SOLLEFTEÅ</t>
        </is>
      </c>
      <c r="G3692" t="n">
        <v>9.300000000000001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42730-2025</t>
        </is>
      </c>
      <c r="B3693" s="1" t="n">
        <v>45908.40666666667</v>
      </c>
      <c r="C3693" s="1" t="n">
        <v>46185</v>
      </c>
      <c r="D3693" t="inlineStr">
        <is>
          <t>VÄSTERNORRLANDS LÄN</t>
        </is>
      </c>
      <c r="E3693" t="inlineStr">
        <is>
          <t>ÅNGE</t>
        </is>
      </c>
      <c r="F3693" t="inlineStr">
        <is>
          <t>SCA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42733-2025</t>
        </is>
      </c>
      <c r="B3694" s="1" t="n">
        <v>45908.4071875</v>
      </c>
      <c r="C3694" s="1" t="n">
        <v>46185</v>
      </c>
      <c r="D3694" t="inlineStr">
        <is>
          <t>VÄSTERNORRLANDS LÄN</t>
        </is>
      </c>
      <c r="E3694" t="inlineStr">
        <is>
          <t>SOLLEFTEÅ</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54178-2023</t>
        </is>
      </c>
      <c r="B3695" s="1" t="n">
        <v>45225</v>
      </c>
      <c r="C3695" s="1" t="n">
        <v>46185</v>
      </c>
      <c r="D3695" t="inlineStr">
        <is>
          <t>VÄSTERNORRLANDS LÄN</t>
        </is>
      </c>
      <c r="E3695" t="inlineStr">
        <is>
          <t>KRAMFORS</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58991-2024</t>
        </is>
      </c>
      <c r="B3696" s="1" t="n">
        <v>45636.63574074074</v>
      </c>
      <c r="C3696" s="1" t="n">
        <v>46185</v>
      </c>
      <c r="D3696" t="inlineStr">
        <is>
          <t>VÄSTERNORRLANDS LÄN</t>
        </is>
      </c>
      <c r="E3696" t="inlineStr">
        <is>
          <t>SUNDSVALL</t>
        </is>
      </c>
      <c r="F3696" t="inlineStr">
        <is>
          <t>SCA</t>
        </is>
      </c>
      <c r="G3696" t="n">
        <v>6.4</v>
      </c>
      <c r="H3696" t="n">
        <v>0</v>
      </c>
      <c r="I3696" t="n">
        <v>0</v>
      </c>
      <c r="J3696" t="n">
        <v>0</v>
      </c>
      <c r="K3696" t="n">
        <v>0</v>
      </c>
      <c r="L3696" t="n">
        <v>0</v>
      </c>
      <c r="M3696" t="n">
        <v>0</v>
      </c>
      <c r="N3696" t="n">
        <v>0</v>
      </c>
      <c r="O3696" t="n">
        <v>0</v>
      </c>
      <c r="P3696" t="n">
        <v>0</v>
      </c>
      <c r="Q3696" t="n">
        <v>0</v>
      </c>
      <c r="R3696" s="2" t="inlineStr"/>
    </row>
    <row r="3697" ht="15" customHeight="1">
      <c r="A3697" t="inlineStr">
        <is>
          <t>A 32025-2025</t>
        </is>
      </c>
      <c r="B3697" s="1" t="n">
        <v>45835.40721064815</v>
      </c>
      <c r="C3697" s="1" t="n">
        <v>46185</v>
      </c>
      <c r="D3697" t="inlineStr">
        <is>
          <t>VÄSTERNORRLANDS LÄN</t>
        </is>
      </c>
      <c r="E3697" t="inlineStr">
        <is>
          <t>ÅNGE</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42594-2025</t>
        </is>
      </c>
      <c r="B3698" s="1" t="n">
        <v>45905.65270833333</v>
      </c>
      <c r="C3698" s="1" t="n">
        <v>46185</v>
      </c>
      <c r="D3698" t="inlineStr">
        <is>
          <t>VÄSTERNORRLANDS LÄN</t>
        </is>
      </c>
      <c r="E3698" t="inlineStr">
        <is>
          <t>ÖRNSKÖLDSVIK</t>
        </is>
      </c>
      <c r="F3698" t="inlineStr">
        <is>
          <t>Holmen skog AB</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58995-2024</t>
        </is>
      </c>
      <c r="B3699" s="1" t="n">
        <v>45636.63726851852</v>
      </c>
      <c r="C3699" s="1" t="n">
        <v>46185</v>
      </c>
      <c r="D3699" t="inlineStr">
        <is>
          <t>VÄSTERNORRLANDS LÄN</t>
        </is>
      </c>
      <c r="E3699" t="inlineStr">
        <is>
          <t>SOLLEFTEÅ</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35399-2024</t>
        </is>
      </c>
      <c r="B3700" s="1" t="n">
        <v>45531.40438657408</v>
      </c>
      <c r="C3700" s="1" t="n">
        <v>46185</v>
      </c>
      <c r="D3700" t="inlineStr">
        <is>
          <t>VÄSTERNORRLANDS LÄN</t>
        </is>
      </c>
      <c r="E3700" t="inlineStr">
        <is>
          <t>ÅNGE</t>
        </is>
      </c>
      <c r="F3700" t="inlineStr">
        <is>
          <t>SCA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42726-2025</t>
        </is>
      </c>
      <c r="B3701" s="1" t="n">
        <v>45905</v>
      </c>
      <c r="C3701" s="1" t="n">
        <v>46185</v>
      </c>
      <c r="D3701" t="inlineStr">
        <is>
          <t>VÄSTERNORRLANDS LÄN</t>
        </is>
      </c>
      <c r="E3701" t="inlineStr">
        <is>
          <t>SUNDSVALL</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42764-2025</t>
        </is>
      </c>
      <c r="B3702" s="1" t="n">
        <v>45908.46943287037</v>
      </c>
      <c r="C3702" s="1" t="n">
        <v>46185</v>
      </c>
      <c r="D3702" t="inlineStr">
        <is>
          <t>VÄSTERNORRLANDS LÄN</t>
        </is>
      </c>
      <c r="E3702" t="inlineStr">
        <is>
          <t>ÅNGE</t>
        </is>
      </c>
      <c r="F3702" t="inlineStr">
        <is>
          <t>SCA</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42418-2025</t>
        </is>
      </c>
      <c r="B3703" s="1" t="n">
        <v>45905.39775462963</v>
      </c>
      <c r="C3703" s="1" t="n">
        <v>46185</v>
      </c>
      <c r="D3703" t="inlineStr">
        <is>
          <t>VÄSTERNORRLANDS LÄN</t>
        </is>
      </c>
      <c r="E3703" t="inlineStr">
        <is>
          <t>ÖRNSKÖLDSVIK</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32427-2025</t>
        </is>
      </c>
      <c r="B3704" s="1" t="n">
        <v>45838.36493055556</v>
      </c>
      <c r="C3704" s="1" t="n">
        <v>46185</v>
      </c>
      <c r="D3704" t="inlineStr">
        <is>
          <t>VÄSTERNORRLANDS LÄN</t>
        </is>
      </c>
      <c r="E3704" t="inlineStr">
        <is>
          <t>TIMRÅ</t>
        </is>
      </c>
      <c r="F3704" t="inlineStr">
        <is>
          <t>SCA</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32373-2025</t>
        </is>
      </c>
      <c r="B3705" s="1" t="n">
        <v>45837.69824074074</v>
      </c>
      <c r="C3705" s="1" t="n">
        <v>46185</v>
      </c>
      <c r="D3705" t="inlineStr">
        <is>
          <t>VÄSTERNORRLANDS LÄN</t>
        </is>
      </c>
      <c r="E3705" t="inlineStr">
        <is>
          <t>TIMRÅ</t>
        </is>
      </c>
      <c r="F3705" t="inlineStr">
        <is>
          <t>SCA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31972-2025</t>
        </is>
      </c>
      <c r="B3706" s="1" t="n">
        <v>45835.34949074074</v>
      </c>
      <c r="C3706" s="1" t="n">
        <v>46185</v>
      </c>
      <c r="D3706" t="inlineStr">
        <is>
          <t>VÄSTERNORRLANDS LÄN</t>
        </is>
      </c>
      <c r="E3706" t="inlineStr">
        <is>
          <t>ÖRNSKÖLDSVIK</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50262-2023</t>
        </is>
      </c>
      <c r="B3707" s="1" t="n">
        <v>45216.38241898148</v>
      </c>
      <c r="C3707" s="1" t="n">
        <v>46185</v>
      </c>
      <c r="D3707" t="inlineStr">
        <is>
          <t>VÄSTERNORRLANDS LÄN</t>
        </is>
      </c>
      <c r="E3707" t="inlineStr">
        <is>
          <t>ÖRNSKÖLDSVIK</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7739-2025</t>
        </is>
      </c>
      <c r="B3708" s="1" t="n">
        <v>45706.47555555555</v>
      </c>
      <c r="C3708" s="1" t="n">
        <v>46185</v>
      </c>
      <c r="D3708" t="inlineStr">
        <is>
          <t>VÄSTERNORRLANDS LÄN</t>
        </is>
      </c>
      <c r="E3708" t="inlineStr">
        <is>
          <t>ÖRNSKÖLDSVIK</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1266-2026</t>
        </is>
      </c>
      <c r="B3709" s="1" t="n">
        <v>46031.46269675926</v>
      </c>
      <c r="C3709" s="1" t="n">
        <v>46185</v>
      </c>
      <c r="D3709" t="inlineStr">
        <is>
          <t>VÄSTERNORRLANDS LÄN</t>
        </is>
      </c>
      <c r="E3709" t="inlineStr">
        <is>
          <t>ÅNGE</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43023-2025</t>
        </is>
      </c>
      <c r="B3710" s="1" t="n">
        <v>45909</v>
      </c>
      <c r="C3710" s="1" t="n">
        <v>46185</v>
      </c>
      <c r="D3710" t="inlineStr">
        <is>
          <t>VÄSTERNORRLANDS LÄN</t>
        </is>
      </c>
      <c r="E3710" t="inlineStr">
        <is>
          <t>ÖRNSKÖLDSVIK</t>
        </is>
      </c>
      <c r="G3710" t="n">
        <v>8.4</v>
      </c>
      <c r="H3710" t="n">
        <v>0</v>
      </c>
      <c r="I3710" t="n">
        <v>0</v>
      </c>
      <c r="J3710" t="n">
        <v>0</v>
      </c>
      <c r="K3710" t="n">
        <v>0</v>
      </c>
      <c r="L3710" t="n">
        <v>0</v>
      </c>
      <c r="M3710" t="n">
        <v>0</v>
      </c>
      <c r="N3710" t="n">
        <v>0</v>
      </c>
      <c r="O3710" t="n">
        <v>0</v>
      </c>
      <c r="P3710" t="n">
        <v>0</v>
      </c>
      <c r="Q3710" t="n">
        <v>0</v>
      </c>
      <c r="R3710" s="2" t="inlineStr"/>
    </row>
    <row r="3711" ht="15" customHeight="1">
      <c r="A3711" t="inlineStr">
        <is>
          <t>A 32285-2025</t>
        </is>
      </c>
      <c r="B3711" s="1" t="n">
        <v>45835.68939814815</v>
      </c>
      <c r="C3711" s="1" t="n">
        <v>46185</v>
      </c>
      <c r="D3711" t="inlineStr">
        <is>
          <t>VÄSTERNORRLANDS LÄN</t>
        </is>
      </c>
      <c r="E3711" t="inlineStr">
        <is>
          <t>SUNDSVALL</t>
        </is>
      </c>
      <c r="F3711" t="inlineStr">
        <is>
          <t>Kyrkan</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32537-2025</t>
        </is>
      </c>
      <c r="B3712" s="1" t="n">
        <v>45838.49689814815</v>
      </c>
      <c r="C3712" s="1" t="n">
        <v>46185</v>
      </c>
      <c r="D3712" t="inlineStr">
        <is>
          <t>VÄSTERNORRLANDS LÄN</t>
        </is>
      </c>
      <c r="E3712" t="inlineStr">
        <is>
          <t>SOLLEFTEÅ</t>
        </is>
      </c>
      <c r="G3712" t="n">
        <v>9.6</v>
      </c>
      <c r="H3712" t="n">
        <v>0</v>
      </c>
      <c r="I3712" t="n">
        <v>0</v>
      </c>
      <c r="J3712" t="n">
        <v>0</v>
      </c>
      <c r="K3712" t="n">
        <v>0</v>
      </c>
      <c r="L3712" t="n">
        <v>0</v>
      </c>
      <c r="M3712" t="n">
        <v>0</v>
      </c>
      <c r="N3712" t="n">
        <v>0</v>
      </c>
      <c r="O3712" t="n">
        <v>0</v>
      </c>
      <c r="P3712" t="n">
        <v>0</v>
      </c>
      <c r="Q3712" t="n">
        <v>0</v>
      </c>
      <c r="R3712" s="2" t="inlineStr"/>
    </row>
    <row r="3713" ht="15" customHeight="1">
      <c r="A3713" t="inlineStr">
        <is>
          <t>A 42951-2025</t>
        </is>
      </c>
      <c r="B3713" s="1" t="n">
        <v>45909.35418981482</v>
      </c>
      <c r="C3713" s="1" t="n">
        <v>46185</v>
      </c>
      <c r="D3713" t="inlineStr">
        <is>
          <t>VÄSTERNORRLANDS LÄN</t>
        </is>
      </c>
      <c r="E3713" t="inlineStr">
        <is>
          <t>KRAMFORS</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42952-2025</t>
        </is>
      </c>
      <c r="B3714" s="1" t="n">
        <v>45909.35461805556</v>
      </c>
      <c r="C3714" s="1" t="n">
        <v>46185</v>
      </c>
      <c r="D3714" t="inlineStr">
        <is>
          <t>VÄSTERNORRLANDS LÄN</t>
        </is>
      </c>
      <c r="E3714" t="inlineStr">
        <is>
          <t>KRAMFORS</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26920-2025</t>
        </is>
      </c>
      <c r="B3715" s="1" t="n">
        <v>45811</v>
      </c>
      <c r="C3715" s="1" t="n">
        <v>46185</v>
      </c>
      <c r="D3715" t="inlineStr">
        <is>
          <t>VÄSTERNORRLANDS LÄN</t>
        </is>
      </c>
      <c r="E3715" t="inlineStr">
        <is>
          <t>HÄRNÖSAND</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43237-2025</t>
        </is>
      </c>
      <c r="B3716" s="1" t="n">
        <v>45910.51670138889</v>
      </c>
      <c r="C3716" s="1" t="n">
        <v>46185</v>
      </c>
      <c r="D3716" t="inlineStr">
        <is>
          <t>VÄSTERNORRLANDS LÄN</t>
        </is>
      </c>
      <c r="E3716" t="inlineStr">
        <is>
          <t>ÅNGE</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43250-2025</t>
        </is>
      </c>
      <c r="B3717" s="1" t="n">
        <v>45910.5525462963</v>
      </c>
      <c r="C3717" s="1" t="n">
        <v>46185</v>
      </c>
      <c r="D3717" t="inlineStr">
        <is>
          <t>VÄSTERNORRLANDS LÄN</t>
        </is>
      </c>
      <c r="E3717" t="inlineStr">
        <is>
          <t>ÅNGE</t>
        </is>
      </c>
      <c r="F3717" t="inlineStr">
        <is>
          <t>SCA</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32543-2025</t>
        </is>
      </c>
      <c r="B3718" s="1" t="n">
        <v>45838.53103009259</v>
      </c>
      <c r="C3718" s="1" t="n">
        <v>46185</v>
      </c>
      <c r="D3718" t="inlineStr">
        <is>
          <t>VÄSTERNORRLANDS LÄN</t>
        </is>
      </c>
      <c r="E3718" t="inlineStr">
        <is>
          <t>KRAMFORS</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2074-2026</t>
        </is>
      </c>
      <c r="B3719" s="1" t="n">
        <v>46036.34439814815</v>
      </c>
      <c r="C3719" s="1" t="n">
        <v>46185</v>
      </c>
      <c r="D3719" t="inlineStr">
        <is>
          <t>VÄSTERNORRLANDS LÄN</t>
        </is>
      </c>
      <c r="E3719" t="inlineStr">
        <is>
          <t>SOLLEFTEÅ</t>
        </is>
      </c>
      <c r="F3719" t="inlineStr">
        <is>
          <t>SCA</t>
        </is>
      </c>
      <c r="G3719" t="n">
        <v>6.8</v>
      </c>
      <c r="H3719" t="n">
        <v>0</v>
      </c>
      <c r="I3719" t="n">
        <v>0</v>
      </c>
      <c r="J3719" t="n">
        <v>0</v>
      </c>
      <c r="K3719" t="n">
        <v>0</v>
      </c>
      <c r="L3719" t="n">
        <v>0</v>
      </c>
      <c r="M3719" t="n">
        <v>0</v>
      </c>
      <c r="N3719" t="n">
        <v>0</v>
      </c>
      <c r="O3719" t="n">
        <v>0</v>
      </c>
      <c r="P3719" t="n">
        <v>0</v>
      </c>
      <c r="Q3719" t="n">
        <v>0</v>
      </c>
      <c r="R3719" s="2" t="inlineStr"/>
    </row>
    <row r="3720" ht="15" customHeight="1">
      <c r="A3720" t="inlineStr">
        <is>
          <t>A 2642-2026</t>
        </is>
      </c>
      <c r="B3720" s="1" t="n">
        <v>46035</v>
      </c>
      <c r="C3720" s="1" t="n">
        <v>46185</v>
      </c>
      <c r="D3720" t="inlineStr">
        <is>
          <t>VÄSTERNORRLANDS LÄN</t>
        </is>
      </c>
      <c r="E3720" t="inlineStr">
        <is>
          <t>TIMRÅ</t>
        </is>
      </c>
      <c r="G3720" t="n">
        <v>7.9</v>
      </c>
      <c r="H3720" t="n">
        <v>0</v>
      </c>
      <c r="I3720" t="n">
        <v>0</v>
      </c>
      <c r="J3720" t="n">
        <v>0</v>
      </c>
      <c r="K3720" t="n">
        <v>0</v>
      </c>
      <c r="L3720" t="n">
        <v>0</v>
      </c>
      <c r="M3720" t="n">
        <v>0</v>
      </c>
      <c r="N3720" t="n">
        <v>0</v>
      </c>
      <c r="O3720" t="n">
        <v>0</v>
      </c>
      <c r="P3720" t="n">
        <v>0</v>
      </c>
      <c r="Q3720" t="n">
        <v>0</v>
      </c>
      <c r="R3720" s="2" t="inlineStr"/>
    </row>
    <row r="3721" ht="15" customHeight="1">
      <c r="A3721" t="inlineStr">
        <is>
          <t>A 2079-2026</t>
        </is>
      </c>
      <c r="B3721" s="1" t="n">
        <v>46036.35122685185</v>
      </c>
      <c r="C3721" s="1" t="n">
        <v>46185</v>
      </c>
      <c r="D3721" t="inlineStr">
        <is>
          <t>VÄSTERNORRLANDS LÄN</t>
        </is>
      </c>
      <c r="E3721" t="inlineStr">
        <is>
          <t>ÖRNSKÖLDSVIK</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43331-2025</t>
        </is>
      </c>
      <c r="B3722" s="1" t="n">
        <v>45910.69842592593</v>
      </c>
      <c r="C3722" s="1" t="n">
        <v>46185</v>
      </c>
      <c r="D3722" t="inlineStr">
        <is>
          <t>VÄSTERNORRLANDS LÄN</t>
        </is>
      </c>
      <c r="E3722" t="inlineStr">
        <is>
          <t>SUNDSVALL</t>
        </is>
      </c>
      <c r="F3722" t="inlineStr">
        <is>
          <t>SCA</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32024-2025</t>
        </is>
      </c>
      <c r="B3723" s="1" t="n">
        <v>45835.40706018519</v>
      </c>
      <c r="C3723" s="1" t="n">
        <v>46185</v>
      </c>
      <c r="D3723" t="inlineStr">
        <is>
          <t>VÄSTERNORRLANDS LÄN</t>
        </is>
      </c>
      <c r="E3723" t="inlineStr">
        <is>
          <t>ÅNGE</t>
        </is>
      </c>
      <c r="F3723" t="inlineStr">
        <is>
          <t>SCA</t>
        </is>
      </c>
      <c r="G3723" t="n">
        <v>12.3</v>
      </c>
      <c r="H3723" t="n">
        <v>0</v>
      </c>
      <c r="I3723" t="n">
        <v>0</v>
      </c>
      <c r="J3723" t="n">
        <v>0</v>
      </c>
      <c r="K3723" t="n">
        <v>0</v>
      </c>
      <c r="L3723" t="n">
        <v>0</v>
      </c>
      <c r="M3723" t="n">
        <v>0</v>
      </c>
      <c r="N3723" t="n">
        <v>0</v>
      </c>
      <c r="O3723" t="n">
        <v>0</v>
      </c>
      <c r="P3723" t="n">
        <v>0</v>
      </c>
      <c r="Q3723" t="n">
        <v>0</v>
      </c>
      <c r="R3723" s="2" t="inlineStr"/>
    </row>
    <row r="3724" ht="15" customHeight="1">
      <c r="A3724" t="inlineStr">
        <is>
          <t>A 32073-2025</t>
        </is>
      </c>
      <c r="B3724" s="1" t="n">
        <v>45835.44931712963</v>
      </c>
      <c r="C3724" s="1" t="n">
        <v>46185</v>
      </c>
      <c r="D3724" t="inlineStr">
        <is>
          <t>VÄSTERNORRLANDS LÄN</t>
        </is>
      </c>
      <c r="E3724" t="inlineStr">
        <is>
          <t>SOLLEFTEÅ</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2459-2026</t>
        </is>
      </c>
      <c r="B3725" s="1" t="n">
        <v>46035</v>
      </c>
      <c r="C3725" s="1" t="n">
        <v>46185</v>
      </c>
      <c r="D3725" t="inlineStr">
        <is>
          <t>VÄSTERNORRLANDS LÄN</t>
        </is>
      </c>
      <c r="E3725" t="inlineStr">
        <is>
          <t>SOLLEFTEÅ</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2245-2026</t>
        </is>
      </c>
      <c r="B3726" s="1" t="n">
        <v>46036.54114583333</v>
      </c>
      <c r="C3726" s="1" t="n">
        <v>46185</v>
      </c>
      <c r="D3726" t="inlineStr">
        <is>
          <t>VÄSTERNORRLANDS LÄN</t>
        </is>
      </c>
      <c r="E3726" t="inlineStr">
        <is>
          <t>SUNDSVALL</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32168-2025</t>
        </is>
      </c>
      <c r="B3727" s="1" t="n">
        <v>45835.54908564815</v>
      </c>
      <c r="C3727" s="1" t="n">
        <v>46185</v>
      </c>
      <c r="D3727" t="inlineStr">
        <is>
          <t>VÄSTERNORRLANDS LÄN</t>
        </is>
      </c>
      <c r="E3727" t="inlineStr">
        <is>
          <t>ÖRNSKÖLDSVIK</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32135-2025</t>
        </is>
      </c>
      <c r="B3728" s="1" t="n">
        <v>45835.51079861111</v>
      </c>
      <c r="C3728" s="1" t="n">
        <v>46185</v>
      </c>
      <c r="D3728" t="inlineStr">
        <is>
          <t>VÄSTERNORRLANDS LÄN</t>
        </is>
      </c>
      <c r="E3728" t="inlineStr">
        <is>
          <t>ÖRNSKÖLDSVIK</t>
        </is>
      </c>
      <c r="F3728" t="inlineStr">
        <is>
          <t>Holmen skog AB</t>
        </is>
      </c>
      <c r="G3728" t="n">
        <v>7.2</v>
      </c>
      <c r="H3728" t="n">
        <v>0</v>
      </c>
      <c r="I3728" t="n">
        <v>0</v>
      </c>
      <c r="J3728" t="n">
        <v>0</v>
      </c>
      <c r="K3728" t="n">
        <v>0</v>
      </c>
      <c r="L3728" t="n">
        <v>0</v>
      </c>
      <c r="M3728" t="n">
        <v>0</v>
      </c>
      <c r="N3728" t="n">
        <v>0</v>
      </c>
      <c r="O3728" t="n">
        <v>0</v>
      </c>
      <c r="P3728" t="n">
        <v>0</v>
      </c>
      <c r="Q3728" t="n">
        <v>0</v>
      </c>
      <c r="R3728" s="2" t="inlineStr"/>
    </row>
    <row r="3729" ht="15" customHeight="1">
      <c r="A3729" t="inlineStr">
        <is>
          <t>A 43302-2025</t>
        </is>
      </c>
      <c r="B3729" s="1" t="n">
        <v>45910.635625</v>
      </c>
      <c r="C3729" s="1" t="n">
        <v>46185</v>
      </c>
      <c r="D3729" t="inlineStr">
        <is>
          <t>VÄSTERNORRLANDS LÄN</t>
        </is>
      </c>
      <c r="E3729" t="inlineStr">
        <is>
          <t>ÖRNSKÖLDSVIK</t>
        </is>
      </c>
      <c r="F3729" t="inlineStr">
        <is>
          <t>Holmen skog AB</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43105-2025</t>
        </is>
      </c>
      <c r="B3730" s="1" t="n">
        <v>45909.6418287037</v>
      </c>
      <c r="C3730" s="1" t="n">
        <v>46185</v>
      </c>
      <c r="D3730" t="inlineStr">
        <is>
          <t>VÄSTERNORRLANDS LÄN</t>
        </is>
      </c>
      <c r="E3730" t="inlineStr">
        <is>
          <t>ÖRNSKÖLDSVIK</t>
        </is>
      </c>
      <c r="F3730" t="inlineStr">
        <is>
          <t>Holmen skog AB</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32068-2025</t>
        </is>
      </c>
      <c r="B3731" s="1" t="n">
        <v>45835.44856481482</v>
      </c>
      <c r="C3731" s="1" t="n">
        <v>46185</v>
      </c>
      <c r="D3731" t="inlineStr">
        <is>
          <t>VÄSTERNORRLANDS LÄN</t>
        </is>
      </c>
      <c r="E3731" t="inlineStr">
        <is>
          <t>SUNDSVALL</t>
        </is>
      </c>
      <c r="F3731" t="inlineStr">
        <is>
          <t>Naturvårdsverket</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31933-2025</t>
        </is>
      </c>
      <c r="B3732" s="1" t="n">
        <v>45834.96138888889</v>
      </c>
      <c r="C3732" s="1" t="n">
        <v>46185</v>
      </c>
      <c r="D3732" t="inlineStr">
        <is>
          <t>VÄSTERNORRLANDS LÄN</t>
        </is>
      </c>
      <c r="E3732" t="inlineStr">
        <is>
          <t>SUNDSVALL</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32549-2025</t>
        </is>
      </c>
      <c r="B3733" s="1" t="n">
        <v>45838.5425462963</v>
      </c>
      <c r="C3733" s="1" t="n">
        <v>46185</v>
      </c>
      <c r="D3733" t="inlineStr">
        <is>
          <t>VÄSTERNORRLANDS LÄN</t>
        </is>
      </c>
      <c r="E3733" t="inlineStr">
        <is>
          <t>ÖRNSKÖLDSVIK</t>
        </is>
      </c>
      <c r="F3733" t="inlineStr">
        <is>
          <t>Holmen skog AB</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42357-2024</t>
        </is>
      </c>
      <c r="B3734" s="1" t="n">
        <v>45562.75054398148</v>
      </c>
      <c r="C3734" s="1" t="n">
        <v>46185</v>
      </c>
      <c r="D3734" t="inlineStr">
        <is>
          <t>VÄSTERNORRLANDS LÄN</t>
        </is>
      </c>
      <c r="E3734" t="inlineStr">
        <is>
          <t>ÖRNSKÖLDSVIK</t>
        </is>
      </c>
      <c r="F3734" t="inlineStr">
        <is>
          <t>Holmen skog AB</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32441-2025</t>
        </is>
      </c>
      <c r="B3735" s="1" t="n">
        <v>45838.38568287037</v>
      </c>
      <c r="C3735" s="1" t="n">
        <v>46185</v>
      </c>
      <c r="D3735" t="inlineStr">
        <is>
          <t>VÄSTERNORRLANDS LÄN</t>
        </is>
      </c>
      <c r="E3735" t="inlineStr">
        <is>
          <t>KRAMFORS</t>
        </is>
      </c>
      <c r="F3735" t="inlineStr">
        <is>
          <t>SCA</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32356-2025</t>
        </is>
      </c>
      <c r="B3736" s="1" t="n">
        <v>45837.57331018519</v>
      </c>
      <c r="C3736" s="1" t="n">
        <v>46185</v>
      </c>
      <c r="D3736" t="inlineStr">
        <is>
          <t>VÄSTERNORRLANDS LÄN</t>
        </is>
      </c>
      <c r="E3736" t="inlineStr">
        <is>
          <t>SUNDSVALL</t>
        </is>
      </c>
      <c r="F3736" t="inlineStr">
        <is>
          <t>SCA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32357-2025</t>
        </is>
      </c>
      <c r="B3737" s="1" t="n">
        <v>45837.5734375</v>
      </c>
      <c r="C3737" s="1" t="n">
        <v>46185</v>
      </c>
      <c r="D3737" t="inlineStr">
        <is>
          <t>VÄSTERNORRLANDS LÄN</t>
        </is>
      </c>
      <c r="E3737" t="inlineStr">
        <is>
          <t>SUNDSVALL</t>
        </is>
      </c>
      <c r="F3737" t="inlineStr">
        <is>
          <t>SCA</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61821-2024</t>
        </is>
      </c>
      <c r="B3738" s="1" t="n">
        <v>45649.61491898148</v>
      </c>
      <c r="C3738" s="1" t="n">
        <v>46185</v>
      </c>
      <c r="D3738" t="inlineStr">
        <is>
          <t>VÄSTERNORRLANDS LÄN</t>
        </is>
      </c>
      <c r="E3738" t="inlineStr">
        <is>
          <t>TIMRÅ</t>
        </is>
      </c>
      <c r="F3738" t="inlineStr">
        <is>
          <t>SCA</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43201-2025</t>
        </is>
      </c>
      <c r="B3739" s="1" t="n">
        <v>45910.43829861111</v>
      </c>
      <c r="C3739" s="1" t="n">
        <v>46185</v>
      </c>
      <c r="D3739" t="inlineStr">
        <is>
          <t>VÄSTERNORRLANDS LÄN</t>
        </is>
      </c>
      <c r="E3739" t="inlineStr">
        <is>
          <t>ÖRNSKÖLDSVIK</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1964-2026</t>
        </is>
      </c>
      <c r="B3740" s="1" t="n">
        <v>46035.63594907407</v>
      </c>
      <c r="C3740" s="1" t="n">
        <v>46185</v>
      </c>
      <c r="D3740" t="inlineStr">
        <is>
          <t>VÄSTERNORRLANDS LÄN</t>
        </is>
      </c>
      <c r="E3740" t="inlineStr">
        <is>
          <t>SOLLEFTEÅ</t>
        </is>
      </c>
      <c r="F3740" t="inlineStr">
        <is>
          <t>SCA</t>
        </is>
      </c>
      <c r="G3740" t="n">
        <v>10.8</v>
      </c>
      <c r="H3740" t="n">
        <v>0</v>
      </c>
      <c r="I3740" t="n">
        <v>0</v>
      </c>
      <c r="J3740" t="n">
        <v>0</v>
      </c>
      <c r="K3740" t="n">
        <v>0</v>
      </c>
      <c r="L3740" t="n">
        <v>0</v>
      </c>
      <c r="M3740" t="n">
        <v>0</v>
      </c>
      <c r="N3740" t="n">
        <v>0</v>
      </c>
      <c r="O3740" t="n">
        <v>0</v>
      </c>
      <c r="P3740" t="n">
        <v>0</v>
      </c>
      <c r="Q3740" t="n">
        <v>0</v>
      </c>
      <c r="R3740" s="2" t="inlineStr"/>
    </row>
    <row r="3741" ht="15" customHeight="1">
      <c r="A3741" t="inlineStr">
        <is>
          <t>A 56933-2022</t>
        </is>
      </c>
      <c r="B3741" s="1" t="n">
        <v>44888</v>
      </c>
      <c r="C3741" s="1" t="n">
        <v>46185</v>
      </c>
      <c r="D3741" t="inlineStr">
        <is>
          <t>VÄSTERNORRLANDS LÄN</t>
        </is>
      </c>
      <c r="E3741" t="inlineStr">
        <is>
          <t>KRAMFORS</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39635-2024</t>
        </is>
      </c>
      <c r="B3742" s="1" t="n">
        <v>45552.44827546296</v>
      </c>
      <c r="C3742" s="1" t="n">
        <v>46185</v>
      </c>
      <c r="D3742" t="inlineStr">
        <is>
          <t>VÄSTERNORRLANDS LÄN</t>
        </is>
      </c>
      <c r="E3742" t="inlineStr">
        <is>
          <t>ÖRNSKÖLDSVIK</t>
        </is>
      </c>
      <c r="F3742" t="inlineStr">
        <is>
          <t>SCA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43221-2025</t>
        </is>
      </c>
      <c r="B3743" s="1" t="n">
        <v>45910.47981481482</v>
      </c>
      <c r="C3743" s="1" t="n">
        <v>46185</v>
      </c>
      <c r="D3743" t="inlineStr">
        <is>
          <t>VÄSTERNORRLANDS LÄN</t>
        </is>
      </c>
      <c r="E3743" t="inlineStr">
        <is>
          <t>ÅNGE</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32365-2025</t>
        </is>
      </c>
      <c r="B3744" s="1" t="n">
        <v>45837.65668981482</v>
      </c>
      <c r="C3744" s="1" t="n">
        <v>46185</v>
      </c>
      <c r="D3744" t="inlineStr">
        <is>
          <t>VÄSTERNORRLANDS LÄN</t>
        </is>
      </c>
      <c r="E3744" t="inlineStr">
        <is>
          <t>HÄRNÖSAND</t>
        </is>
      </c>
      <c r="F3744" t="inlineStr">
        <is>
          <t>SCA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39664-2024</t>
        </is>
      </c>
      <c r="B3745" s="1" t="n">
        <v>45552</v>
      </c>
      <c r="C3745" s="1" t="n">
        <v>46185</v>
      </c>
      <c r="D3745" t="inlineStr">
        <is>
          <t>VÄSTERNORRLANDS LÄN</t>
        </is>
      </c>
      <c r="E3745" t="inlineStr">
        <is>
          <t>KRAMFORS</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5867-2024</t>
        </is>
      </c>
      <c r="B3746" s="1" t="n">
        <v>45335.64733796296</v>
      </c>
      <c r="C3746" s="1" t="n">
        <v>46185</v>
      </c>
      <c r="D3746" t="inlineStr">
        <is>
          <t>VÄSTERNORRLANDS LÄN</t>
        </is>
      </c>
      <c r="E3746" t="inlineStr">
        <is>
          <t>SOLLEFTEÅ</t>
        </is>
      </c>
      <c r="F3746" t="inlineStr">
        <is>
          <t>Övriga Aktiebolag</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39682-2024</t>
        </is>
      </c>
      <c r="B3747" s="1" t="n">
        <v>45552</v>
      </c>
      <c r="C3747" s="1" t="n">
        <v>46185</v>
      </c>
      <c r="D3747" t="inlineStr">
        <is>
          <t>VÄSTERNORRLANDS LÄN</t>
        </is>
      </c>
      <c r="E3747" t="inlineStr">
        <is>
          <t>ÅNGE</t>
        </is>
      </c>
      <c r="G3747" t="n">
        <v>35.4</v>
      </c>
      <c r="H3747" t="n">
        <v>0</v>
      </c>
      <c r="I3747" t="n">
        <v>0</v>
      </c>
      <c r="J3747" t="n">
        <v>0</v>
      </c>
      <c r="K3747" t="n">
        <v>0</v>
      </c>
      <c r="L3747" t="n">
        <v>0</v>
      </c>
      <c r="M3747" t="n">
        <v>0</v>
      </c>
      <c r="N3747" t="n">
        <v>0</v>
      </c>
      <c r="O3747" t="n">
        <v>0</v>
      </c>
      <c r="P3747" t="n">
        <v>0</v>
      </c>
      <c r="Q3747" t="n">
        <v>0</v>
      </c>
      <c r="R3747" s="2" t="inlineStr"/>
    </row>
    <row r="3748" ht="15" customHeight="1">
      <c r="A3748" t="inlineStr">
        <is>
          <t>A 43265-2025</t>
        </is>
      </c>
      <c r="B3748" s="1" t="n">
        <v>45910.57377314815</v>
      </c>
      <c r="C3748" s="1" t="n">
        <v>46185</v>
      </c>
      <c r="D3748" t="inlineStr">
        <is>
          <t>VÄSTERNORRLANDS LÄN</t>
        </is>
      </c>
      <c r="E3748" t="inlineStr">
        <is>
          <t>ÅNGE</t>
        </is>
      </c>
      <c r="F3748" t="inlineStr">
        <is>
          <t>SCA</t>
        </is>
      </c>
      <c r="G3748" t="n">
        <v>7</v>
      </c>
      <c r="H3748" t="n">
        <v>0</v>
      </c>
      <c r="I3748" t="n">
        <v>0</v>
      </c>
      <c r="J3748" t="n">
        <v>0</v>
      </c>
      <c r="K3748" t="n">
        <v>0</v>
      </c>
      <c r="L3748" t="n">
        <v>0</v>
      </c>
      <c r="M3748" t="n">
        <v>0</v>
      </c>
      <c r="N3748" t="n">
        <v>0</v>
      </c>
      <c r="O3748" t="n">
        <v>0</v>
      </c>
      <c r="P3748" t="n">
        <v>0</v>
      </c>
      <c r="Q3748" t="n">
        <v>0</v>
      </c>
      <c r="R3748" s="2" t="inlineStr"/>
    </row>
    <row r="3749" ht="15" customHeight="1">
      <c r="A3749" t="inlineStr">
        <is>
          <t>A 2329-2026</t>
        </is>
      </c>
      <c r="B3749" s="1" t="n">
        <v>46036.60694444444</v>
      </c>
      <c r="C3749" s="1" t="n">
        <v>46185</v>
      </c>
      <c r="D3749" t="inlineStr">
        <is>
          <t>VÄSTERNORRLANDS LÄN</t>
        </is>
      </c>
      <c r="E3749" t="inlineStr">
        <is>
          <t>SUNDSVALL</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39710-2024</t>
        </is>
      </c>
      <c r="B3750" s="1" t="n">
        <v>45552</v>
      </c>
      <c r="C3750" s="1" t="n">
        <v>46185</v>
      </c>
      <c r="D3750" t="inlineStr">
        <is>
          <t>VÄSTERNORRLANDS LÄN</t>
        </is>
      </c>
      <c r="E3750" t="inlineStr">
        <is>
          <t>SUNDSVALL</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40575-2024</t>
        </is>
      </c>
      <c r="B3751" s="1" t="n">
        <v>45555</v>
      </c>
      <c r="C3751" s="1" t="n">
        <v>46185</v>
      </c>
      <c r="D3751" t="inlineStr">
        <is>
          <t>VÄSTERNORRLANDS LÄN</t>
        </is>
      </c>
      <c r="E3751" t="inlineStr">
        <is>
          <t>SOLLEFTEÅ</t>
        </is>
      </c>
      <c r="F3751" t="inlineStr">
        <is>
          <t>SCA</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32192-2025</t>
        </is>
      </c>
      <c r="B3752" s="1" t="n">
        <v>45835.57108796296</v>
      </c>
      <c r="C3752" s="1" t="n">
        <v>46185</v>
      </c>
      <c r="D3752" t="inlineStr">
        <is>
          <t>VÄSTERNORRLANDS LÄN</t>
        </is>
      </c>
      <c r="E3752" t="inlineStr">
        <is>
          <t>ÖRNSKÖLDSVIK</t>
        </is>
      </c>
      <c r="F3752" t="inlineStr">
        <is>
          <t>Holmen skog AB</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28658-2025</t>
        </is>
      </c>
      <c r="B3753" s="1" t="n">
        <v>45819</v>
      </c>
      <c r="C3753" s="1" t="n">
        <v>46185</v>
      </c>
      <c r="D3753" t="inlineStr">
        <is>
          <t>VÄSTERNORRLANDS LÄN</t>
        </is>
      </c>
      <c r="E3753" t="inlineStr">
        <is>
          <t>SOLLEFTEÅ</t>
        </is>
      </c>
      <c r="F3753" t="inlineStr">
        <is>
          <t>SCA</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2803-2026</t>
        </is>
      </c>
      <c r="B3754" s="1" t="n">
        <v>46036</v>
      </c>
      <c r="C3754" s="1" t="n">
        <v>46185</v>
      </c>
      <c r="D3754" t="inlineStr">
        <is>
          <t>VÄSTERNORRLANDS LÄN</t>
        </is>
      </c>
      <c r="E3754" t="inlineStr">
        <is>
          <t>TIMRÅ</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2834-2026</t>
        </is>
      </c>
      <c r="B3755" s="1" t="n">
        <v>46036</v>
      </c>
      <c r="C3755" s="1" t="n">
        <v>46185</v>
      </c>
      <c r="D3755" t="inlineStr">
        <is>
          <t>VÄSTERNORRLANDS LÄN</t>
        </is>
      </c>
      <c r="E3755" t="inlineStr">
        <is>
          <t>SOLLEFTEÅ</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60344-2022</t>
        </is>
      </c>
      <c r="B3756" s="1" t="n">
        <v>44910</v>
      </c>
      <c r="C3756" s="1" t="n">
        <v>46185</v>
      </c>
      <c r="D3756" t="inlineStr">
        <is>
          <t>VÄSTERNORRLANDS LÄN</t>
        </is>
      </c>
      <c r="E3756" t="inlineStr">
        <is>
          <t>ÖRNSKÖLDSVIK</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17668-2023</t>
        </is>
      </c>
      <c r="B3757" s="1" t="n">
        <v>45036</v>
      </c>
      <c r="C3757" s="1" t="n">
        <v>46185</v>
      </c>
      <c r="D3757" t="inlineStr">
        <is>
          <t>VÄSTERNORRLANDS LÄN</t>
        </is>
      </c>
      <c r="E3757" t="inlineStr">
        <is>
          <t>ÅNGE</t>
        </is>
      </c>
      <c r="F3757" t="inlineStr">
        <is>
          <t>SCA</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44345-2024</t>
        </is>
      </c>
      <c r="B3758" s="1" t="n">
        <v>45573.62283564815</v>
      </c>
      <c r="C3758" s="1" t="n">
        <v>46185</v>
      </c>
      <c r="D3758" t="inlineStr">
        <is>
          <t>VÄSTERNORRLANDS LÄN</t>
        </is>
      </c>
      <c r="E3758" t="inlineStr">
        <is>
          <t>ÖRNSKÖLDSVIK</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33225-2025</t>
        </is>
      </c>
      <c r="B3759" s="1" t="n">
        <v>45840.63600694444</v>
      </c>
      <c r="C3759" s="1" t="n">
        <v>46185</v>
      </c>
      <c r="D3759" t="inlineStr">
        <is>
          <t>VÄSTERNORRLANDS LÄN</t>
        </is>
      </c>
      <c r="E3759" t="inlineStr">
        <is>
          <t>TIMRÅ</t>
        </is>
      </c>
      <c r="F3759" t="inlineStr">
        <is>
          <t>SCA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43040-2024</t>
        </is>
      </c>
      <c r="B3760" s="1" t="n">
        <v>45567</v>
      </c>
      <c r="C3760" s="1" t="n">
        <v>46185</v>
      </c>
      <c r="D3760" t="inlineStr">
        <is>
          <t>VÄSTERNORRLANDS LÄN</t>
        </is>
      </c>
      <c r="E3760" t="inlineStr">
        <is>
          <t>SUNDSVALL</t>
        </is>
      </c>
      <c r="F3760" t="inlineStr">
        <is>
          <t>SCA</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43091-2025</t>
        </is>
      </c>
      <c r="B3761" s="1" t="n">
        <v>45909.62511574074</v>
      </c>
      <c r="C3761" s="1" t="n">
        <v>46185</v>
      </c>
      <c r="D3761" t="inlineStr">
        <is>
          <t>VÄSTERNORRLANDS LÄN</t>
        </is>
      </c>
      <c r="E3761" t="inlineStr">
        <is>
          <t>ÅNGE</t>
        </is>
      </c>
      <c r="F3761" t="inlineStr">
        <is>
          <t>Kyrkan</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42950-2025</t>
        </is>
      </c>
      <c r="B3762" s="1" t="n">
        <v>45909.35394675926</v>
      </c>
      <c r="C3762" s="1" t="n">
        <v>46185</v>
      </c>
      <c r="D3762" t="inlineStr">
        <is>
          <t>VÄSTERNORRLANDS LÄN</t>
        </is>
      </c>
      <c r="E3762" t="inlineStr">
        <is>
          <t>KRAMFORS</t>
        </is>
      </c>
      <c r="G3762" t="n">
        <v>0.1</v>
      </c>
      <c r="H3762" t="n">
        <v>0</v>
      </c>
      <c r="I3762" t="n">
        <v>0</v>
      </c>
      <c r="J3762" t="n">
        <v>0</v>
      </c>
      <c r="K3762" t="n">
        <v>0</v>
      </c>
      <c r="L3762" t="n">
        <v>0</v>
      </c>
      <c r="M3762" t="n">
        <v>0</v>
      </c>
      <c r="N3762" t="n">
        <v>0</v>
      </c>
      <c r="O3762" t="n">
        <v>0</v>
      </c>
      <c r="P3762" t="n">
        <v>0</v>
      </c>
      <c r="Q3762" t="n">
        <v>0</v>
      </c>
      <c r="R3762" s="2" t="inlineStr"/>
    </row>
    <row r="3763" ht="15" customHeight="1">
      <c r="A3763" t="inlineStr">
        <is>
          <t>A 2752-2026</t>
        </is>
      </c>
      <c r="B3763" s="1" t="n">
        <v>46036</v>
      </c>
      <c r="C3763" s="1" t="n">
        <v>46185</v>
      </c>
      <c r="D3763" t="inlineStr">
        <is>
          <t>VÄSTERNORRLANDS LÄN</t>
        </is>
      </c>
      <c r="E3763" t="inlineStr">
        <is>
          <t>KRAMFORS</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33013-2025</t>
        </is>
      </c>
      <c r="B3764" s="1" t="n">
        <v>45840.36518518518</v>
      </c>
      <c r="C3764" s="1" t="n">
        <v>46185</v>
      </c>
      <c r="D3764" t="inlineStr">
        <is>
          <t>VÄSTERNORRLANDS LÄN</t>
        </is>
      </c>
      <c r="E3764" t="inlineStr">
        <is>
          <t>SOLLEFTEÅ</t>
        </is>
      </c>
      <c r="F3764" t="inlineStr">
        <is>
          <t>SCA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51011-2021</t>
        </is>
      </c>
      <c r="B3765" s="1" t="n">
        <v>44460</v>
      </c>
      <c r="C3765" s="1" t="n">
        <v>46185</v>
      </c>
      <c r="D3765" t="inlineStr">
        <is>
          <t>VÄSTERNORRLANDS LÄN</t>
        </is>
      </c>
      <c r="E3765" t="inlineStr">
        <is>
          <t>SUNDSVALL</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13008-2023</t>
        </is>
      </c>
      <c r="B3766" s="1" t="n">
        <v>45002</v>
      </c>
      <c r="C3766" s="1" t="n">
        <v>46185</v>
      </c>
      <c r="D3766" t="inlineStr">
        <is>
          <t>VÄSTERNORRLANDS LÄN</t>
        </is>
      </c>
      <c r="E3766" t="inlineStr">
        <is>
          <t>SOLLEFTEÅ</t>
        </is>
      </c>
      <c r="F3766" t="inlineStr">
        <is>
          <t>SCA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33135-2025</t>
        </is>
      </c>
      <c r="B3767" s="1" t="n">
        <v>45840.51097222222</v>
      </c>
      <c r="C3767" s="1" t="n">
        <v>46185</v>
      </c>
      <c r="D3767" t="inlineStr">
        <is>
          <t>VÄSTERNORRLANDS LÄN</t>
        </is>
      </c>
      <c r="E3767" t="inlineStr">
        <is>
          <t>KRAMFORS</t>
        </is>
      </c>
      <c r="F3767" t="inlineStr">
        <is>
          <t>SCA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32414-2025</t>
        </is>
      </c>
      <c r="B3768" s="1" t="n">
        <v>45838.34001157407</v>
      </c>
      <c r="C3768" s="1" t="n">
        <v>46185</v>
      </c>
      <c r="D3768" t="inlineStr">
        <is>
          <t>VÄSTERNORRLANDS LÄN</t>
        </is>
      </c>
      <c r="E3768" t="inlineStr">
        <is>
          <t>ÖRNSKÖLDSVIK</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43035-2025</t>
        </is>
      </c>
      <c r="B3769" s="1" t="n">
        <v>45909.54824074074</v>
      </c>
      <c r="C3769" s="1" t="n">
        <v>46185</v>
      </c>
      <c r="D3769" t="inlineStr">
        <is>
          <t>VÄSTERNORRLANDS LÄN</t>
        </is>
      </c>
      <c r="E3769" t="inlineStr">
        <is>
          <t>ÖRNSKÖLDSVIK</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11009-2024</t>
        </is>
      </c>
      <c r="B3770" s="1" t="n">
        <v>45370</v>
      </c>
      <c r="C3770" s="1" t="n">
        <v>46185</v>
      </c>
      <c r="D3770" t="inlineStr">
        <is>
          <t>VÄSTERNORRLANDS LÄN</t>
        </is>
      </c>
      <c r="E3770" t="inlineStr">
        <is>
          <t>SOLLEFTEÅ</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8406-2023</t>
        </is>
      </c>
      <c r="B3771" s="1" t="n">
        <v>44971</v>
      </c>
      <c r="C3771" s="1" t="n">
        <v>46185</v>
      </c>
      <c r="D3771" t="inlineStr">
        <is>
          <t>VÄSTERNORRLANDS LÄN</t>
        </is>
      </c>
      <c r="E3771" t="inlineStr">
        <is>
          <t>ÅNGE</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8217-2023</t>
        </is>
      </c>
      <c r="B3772" s="1" t="n">
        <v>44971</v>
      </c>
      <c r="C3772" s="1" t="n">
        <v>46185</v>
      </c>
      <c r="D3772" t="inlineStr">
        <is>
          <t>VÄSTERNORRLANDS LÄN</t>
        </is>
      </c>
      <c r="E3772" t="inlineStr">
        <is>
          <t>ÖRNSKÖLDSVIK</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3476-2024</t>
        </is>
      </c>
      <c r="B3773" s="1" t="n">
        <v>45320</v>
      </c>
      <c r="C3773" s="1" t="n">
        <v>46185</v>
      </c>
      <c r="D3773" t="inlineStr">
        <is>
          <t>VÄSTERNORRLANDS LÄN</t>
        </is>
      </c>
      <c r="E3773" t="inlineStr">
        <is>
          <t>HÄRNÖSAND</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43152-2025</t>
        </is>
      </c>
      <c r="B3774" s="1" t="n">
        <v>45910.34438657408</v>
      </c>
      <c r="C3774" s="1" t="n">
        <v>46185</v>
      </c>
      <c r="D3774" t="inlineStr">
        <is>
          <t>VÄSTERNORRLANDS LÄN</t>
        </is>
      </c>
      <c r="E3774" t="inlineStr">
        <is>
          <t>SUNDSVALL</t>
        </is>
      </c>
      <c r="F3774" t="inlineStr">
        <is>
          <t>SCA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43266-2025</t>
        </is>
      </c>
      <c r="B3775" s="1" t="n">
        <v>45910.57519675926</v>
      </c>
      <c r="C3775" s="1" t="n">
        <v>46185</v>
      </c>
      <c r="D3775" t="inlineStr">
        <is>
          <t>VÄSTERNORRLANDS LÄN</t>
        </is>
      </c>
      <c r="E3775" t="inlineStr">
        <is>
          <t>HÄRNÖSAND</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43108-2025</t>
        </is>
      </c>
      <c r="B3776" s="1" t="n">
        <v>45909.65167824074</v>
      </c>
      <c r="C3776" s="1" t="n">
        <v>46185</v>
      </c>
      <c r="D3776" t="inlineStr">
        <is>
          <t>VÄSTERNORRLANDS LÄN</t>
        </is>
      </c>
      <c r="E3776" t="inlineStr">
        <is>
          <t>SUNDSVALL</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1371-2023</t>
        </is>
      </c>
      <c r="B3777" s="1" t="n">
        <v>44936.66162037037</v>
      </c>
      <c r="C3777" s="1" t="n">
        <v>46185</v>
      </c>
      <c r="D3777" t="inlineStr">
        <is>
          <t>VÄSTERNORRLANDS LÄN</t>
        </is>
      </c>
      <c r="E3777" t="inlineStr">
        <is>
          <t>SUNDSVALL</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33044-2025</t>
        </is>
      </c>
      <c r="B3778" s="1" t="n">
        <v>45840.40699074074</v>
      </c>
      <c r="C3778" s="1" t="n">
        <v>46185</v>
      </c>
      <c r="D3778" t="inlineStr">
        <is>
          <t>VÄSTERNORRLANDS LÄN</t>
        </is>
      </c>
      <c r="E3778" t="inlineStr">
        <is>
          <t>TIMRÅ</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2376-2026</t>
        </is>
      </c>
      <c r="B3779" s="1" t="n">
        <v>46036.65675925926</v>
      </c>
      <c r="C3779" s="1" t="n">
        <v>46185</v>
      </c>
      <c r="D3779" t="inlineStr">
        <is>
          <t>VÄSTERNORRLANDS LÄN</t>
        </is>
      </c>
      <c r="E3779" t="inlineStr">
        <is>
          <t>SOLLEFTEÅ</t>
        </is>
      </c>
      <c r="F3779" t="inlineStr">
        <is>
          <t>SCA</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33164-2025</t>
        </is>
      </c>
      <c r="B3780" s="1" t="n">
        <v>45840.5732175926</v>
      </c>
      <c r="C3780" s="1" t="n">
        <v>46185</v>
      </c>
      <c r="D3780" t="inlineStr">
        <is>
          <t>VÄSTERNORRLANDS LÄN</t>
        </is>
      </c>
      <c r="E3780" t="inlineStr">
        <is>
          <t>KRAMFORS</t>
        </is>
      </c>
      <c r="F3780" t="inlineStr">
        <is>
          <t>SCA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43053-2025</t>
        </is>
      </c>
      <c r="B3781" s="1" t="n">
        <v>45909.57015046296</v>
      </c>
      <c r="C3781" s="1" t="n">
        <v>46185</v>
      </c>
      <c r="D3781" t="inlineStr">
        <is>
          <t>VÄSTERNORRLANDS LÄN</t>
        </is>
      </c>
      <c r="E3781" t="inlineStr">
        <is>
          <t>ÖRNSKÖLDSVIK</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32847-2025</t>
        </is>
      </c>
      <c r="B3782" s="1" t="n">
        <v>45839.57354166666</v>
      </c>
      <c r="C3782" s="1" t="n">
        <v>46185</v>
      </c>
      <c r="D3782" t="inlineStr">
        <is>
          <t>VÄSTERNORRLANDS LÄN</t>
        </is>
      </c>
      <c r="E3782" t="inlineStr">
        <is>
          <t>ÅNGE</t>
        </is>
      </c>
      <c r="F3782" t="inlineStr">
        <is>
          <t>SCA</t>
        </is>
      </c>
      <c r="G3782" t="n">
        <v>9.4</v>
      </c>
      <c r="H3782" t="n">
        <v>0</v>
      </c>
      <c r="I3782" t="n">
        <v>0</v>
      </c>
      <c r="J3782" t="n">
        <v>0</v>
      </c>
      <c r="K3782" t="n">
        <v>0</v>
      </c>
      <c r="L3782" t="n">
        <v>0</v>
      </c>
      <c r="M3782" t="n">
        <v>0</v>
      </c>
      <c r="N3782" t="n">
        <v>0</v>
      </c>
      <c r="O3782" t="n">
        <v>0</v>
      </c>
      <c r="P3782" t="n">
        <v>0</v>
      </c>
      <c r="Q3782" t="n">
        <v>0</v>
      </c>
      <c r="R3782" s="2" t="inlineStr"/>
    </row>
    <row r="3783" ht="15" customHeight="1">
      <c r="A3783" t="inlineStr">
        <is>
          <t>A 43353-2025</t>
        </is>
      </c>
      <c r="B3783" s="1" t="n">
        <v>45911.2953587963</v>
      </c>
      <c r="C3783" s="1" t="n">
        <v>46185</v>
      </c>
      <c r="D3783" t="inlineStr">
        <is>
          <t>VÄSTERNORRLANDS LÄN</t>
        </is>
      </c>
      <c r="E3783" t="inlineStr">
        <is>
          <t>ÖRNSKÖLDSVIK</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33043-2025</t>
        </is>
      </c>
      <c r="B3784" s="1" t="n">
        <v>45840.40680555555</v>
      </c>
      <c r="C3784" s="1" t="n">
        <v>46185</v>
      </c>
      <c r="D3784" t="inlineStr">
        <is>
          <t>VÄSTERNORRLANDS LÄN</t>
        </is>
      </c>
      <c r="E3784" t="inlineStr">
        <is>
          <t>TIMRÅ</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32876-2025</t>
        </is>
      </c>
      <c r="B3785" s="1" t="n">
        <v>45839.59461805555</v>
      </c>
      <c r="C3785" s="1" t="n">
        <v>46185</v>
      </c>
      <c r="D3785" t="inlineStr">
        <is>
          <t>VÄSTERNORRLANDS LÄN</t>
        </is>
      </c>
      <c r="E3785" t="inlineStr">
        <is>
          <t>ÖRNSKÖLDSVIK</t>
        </is>
      </c>
      <c r="F3785" t="inlineStr">
        <is>
          <t>Holmen skog AB</t>
        </is>
      </c>
      <c r="G3785" t="n">
        <v>29.6</v>
      </c>
      <c r="H3785" t="n">
        <v>0</v>
      </c>
      <c r="I3785" t="n">
        <v>0</v>
      </c>
      <c r="J3785" t="n">
        <v>0</v>
      </c>
      <c r="K3785" t="n">
        <v>0</v>
      </c>
      <c r="L3785" t="n">
        <v>0</v>
      </c>
      <c r="M3785" t="n">
        <v>0</v>
      </c>
      <c r="N3785" t="n">
        <v>0</v>
      </c>
      <c r="O3785" t="n">
        <v>0</v>
      </c>
      <c r="P3785" t="n">
        <v>0</v>
      </c>
      <c r="Q3785" t="n">
        <v>0</v>
      </c>
      <c r="R3785" s="2" t="inlineStr"/>
    </row>
    <row r="3786" ht="15" customHeight="1">
      <c r="A3786" t="inlineStr">
        <is>
          <t>A 4651-2022</t>
        </is>
      </c>
      <c r="B3786" s="1" t="n">
        <v>44592</v>
      </c>
      <c r="C3786" s="1" t="n">
        <v>46185</v>
      </c>
      <c r="D3786" t="inlineStr">
        <is>
          <t>VÄSTERNORRLANDS LÄN</t>
        </is>
      </c>
      <c r="E3786" t="inlineStr">
        <is>
          <t>ÅNGE</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43615-2025</t>
        </is>
      </c>
      <c r="B3787" s="1" t="n">
        <v>45911.67784722222</v>
      </c>
      <c r="C3787" s="1" t="n">
        <v>46185</v>
      </c>
      <c r="D3787" t="inlineStr">
        <is>
          <t>VÄSTERNORRLANDS LÄN</t>
        </is>
      </c>
      <c r="E3787" t="inlineStr">
        <is>
          <t>SUNDSVALL</t>
        </is>
      </c>
      <c r="F3787" t="inlineStr">
        <is>
          <t>Naturvårdsverket</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43814-2025</t>
        </is>
      </c>
      <c r="B3788" s="1" t="n">
        <v>45912.59471064815</v>
      </c>
      <c r="C3788" s="1" t="n">
        <v>46185</v>
      </c>
      <c r="D3788" t="inlineStr">
        <is>
          <t>VÄSTERNORRLANDS LÄN</t>
        </is>
      </c>
      <c r="E3788" t="inlineStr">
        <is>
          <t>SUNDSVALL</t>
        </is>
      </c>
      <c r="F3788" t="inlineStr">
        <is>
          <t>Naturvårdsverket</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43385-2025</t>
        </is>
      </c>
      <c r="B3789" s="1" t="n">
        <v>45911.36508101852</v>
      </c>
      <c r="C3789" s="1" t="n">
        <v>46185</v>
      </c>
      <c r="D3789" t="inlineStr">
        <is>
          <t>VÄSTERNORRLANDS LÄN</t>
        </is>
      </c>
      <c r="E3789" t="inlineStr">
        <is>
          <t>ÅNGE</t>
        </is>
      </c>
      <c r="F3789" t="inlineStr">
        <is>
          <t>SCA</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43707-2025</t>
        </is>
      </c>
      <c r="B3790" s="1" t="n">
        <v>45912.40668981482</v>
      </c>
      <c r="C3790" s="1" t="n">
        <v>46185</v>
      </c>
      <c r="D3790" t="inlineStr">
        <is>
          <t>VÄSTERNORRLANDS LÄN</t>
        </is>
      </c>
      <c r="E3790" t="inlineStr">
        <is>
          <t>ÅNGE</t>
        </is>
      </c>
      <c r="F3790" t="inlineStr">
        <is>
          <t>SCA</t>
        </is>
      </c>
      <c r="G3790" t="n">
        <v>12.5</v>
      </c>
      <c r="H3790" t="n">
        <v>0</v>
      </c>
      <c r="I3790" t="n">
        <v>0</v>
      </c>
      <c r="J3790" t="n">
        <v>0</v>
      </c>
      <c r="K3790" t="n">
        <v>0</v>
      </c>
      <c r="L3790" t="n">
        <v>0</v>
      </c>
      <c r="M3790" t="n">
        <v>0</v>
      </c>
      <c r="N3790" t="n">
        <v>0</v>
      </c>
      <c r="O3790" t="n">
        <v>0</v>
      </c>
      <c r="P3790" t="n">
        <v>0</v>
      </c>
      <c r="Q3790" t="n">
        <v>0</v>
      </c>
      <c r="R3790" s="2" t="inlineStr"/>
      <c r="U3790">
        <f>HYPERLINK("https://klasma.github.io/Logging_2260/knärot/A 43707-2025 karta knärot.png", "A 43707-2025")</f>
        <v/>
      </c>
      <c r="V3790">
        <f>HYPERLINK("https://klasma.github.io/Logging_2260/klagomål/A 43707-2025 FSC-klagomål.docx", "A 43707-2025")</f>
        <v/>
      </c>
      <c r="W3790">
        <f>HYPERLINK("https://klasma.github.io/Logging_2260/klagomålsmail/A 43707-2025 FSC-klagomål mail.docx", "A 43707-2025")</f>
        <v/>
      </c>
      <c r="X3790">
        <f>HYPERLINK("https://klasma.github.io/Logging_2260/tillsyn/A 43707-2025 tillsynsbegäran.docx", "A 43707-2025")</f>
        <v/>
      </c>
      <c r="Y3790">
        <f>HYPERLINK("https://klasma.github.io/Logging_2260/tillsynsmail/A 43707-2025 tillsynsbegäran mail.docx", "A 43707-2025")</f>
        <v/>
      </c>
    </row>
    <row r="3791" ht="15" customHeight="1">
      <c r="A3791" t="inlineStr">
        <is>
          <t>A 45933-2023</t>
        </is>
      </c>
      <c r="B3791" s="1" t="n">
        <v>45195</v>
      </c>
      <c r="C3791" s="1" t="n">
        <v>46185</v>
      </c>
      <c r="D3791" t="inlineStr">
        <is>
          <t>VÄSTERNORRLANDS LÄN</t>
        </is>
      </c>
      <c r="E3791" t="inlineStr">
        <is>
          <t>ÅNGE</t>
        </is>
      </c>
      <c r="F3791" t="inlineStr">
        <is>
          <t>SCA</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45943-2023</t>
        </is>
      </c>
      <c r="B3792" s="1" t="n">
        <v>45195</v>
      </c>
      <c r="C3792" s="1" t="n">
        <v>46185</v>
      </c>
      <c r="D3792" t="inlineStr">
        <is>
          <t>VÄSTERNORRLANDS LÄN</t>
        </is>
      </c>
      <c r="E3792" t="inlineStr">
        <is>
          <t>ÖRNSKÖLDSVIK</t>
        </is>
      </c>
      <c r="F3792" t="inlineStr">
        <is>
          <t>SCA</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45944-2023</t>
        </is>
      </c>
      <c r="B3793" s="1" t="n">
        <v>45195</v>
      </c>
      <c r="C3793" s="1" t="n">
        <v>46185</v>
      </c>
      <c r="D3793" t="inlineStr">
        <is>
          <t>VÄSTERNORRLANDS LÄN</t>
        </is>
      </c>
      <c r="E3793" t="inlineStr">
        <is>
          <t>ÖRNSKÖLDSVIK</t>
        </is>
      </c>
      <c r="F3793" t="inlineStr">
        <is>
          <t>SCA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45945-2023</t>
        </is>
      </c>
      <c r="B3794" s="1" t="n">
        <v>45195</v>
      </c>
      <c r="C3794" s="1" t="n">
        <v>46185</v>
      </c>
      <c r="D3794" t="inlineStr">
        <is>
          <t>VÄSTERNORRLANDS LÄN</t>
        </is>
      </c>
      <c r="E3794" t="inlineStr">
        <is>
          <t>ÖRNSKÖLDSVIK</t>
        </is>
      </c>
      <c r="F3794" t="inlineStr">
        <is>
          <t>SCA</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15030-2022</t>
        </is>
      </c>
      <c r="B3795" s="1" t="n">
        <v>44657.60118055555</v>
      </c>
      <c r="C3795" s="1" t="n">
        <v>46185</v>
      </c>
      <c r="D3795" t="inlineStr">
        <is>
          <t>VÄSTERNORRLANDS LÄN</t>
        </is>
      </c>
      <c r="E3795" t="inlineStr">
        <is>
          <t>ÖRNSKÖLDSVIK</t>
        </is>
      </c>
      <c r="F3795" t="inlineStr">
        <is>
          <t>Holmen skog AB</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57601-2022</t>
        </is>
      </c>
      <c r="B3796" s="1" t="n">
        <v>44896</v>
      </c>
      <c r="C3796" s="1" t="n">
        <v>46185</v>
      </c>
      <c r="D3796" t="inlineStr">
        <is>
          <t>VÄSTERNORRLANDS LÄN</t>
        </is>
      </c>
      <c r="E3796" t="inlineStr">
        <is>
          <t>ÅNGE</t>
        </is>
      </c>
      <c r="F3796" t="inlineStr">
        <is>
          <t>SCA</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43415-2025</t>
        </is>
      </c>
      <c r="B3797" s="1" t="n">
        <v>45911.40662037037</v>
      </c>
      <c r="C3797" s="1" t="n">
        <v>46185</v>
      </c>
      <c r="D3797" t="inlineStr">
        <is>
          <t>VÄSTERNORRLANDS LÄN</t>
        </is>
      </c>
      <c r="E3797" t="inlineStr">
        <is>
          <t>ÅNGE</t>
        </is>
      </c>
      <c r="F3797" t="inlineStr">
        <is>
          <t>SCA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34729-2025</t>
        </is>
      </c>
      <c r="B3798" s="1" t="n">
        <v>45840</v>
      </c>
      <c r="C3798" s="1" t="n">
        <v>46185</v>
      </c>
      <c r="D3798" t="inlineStr">
        <is>
          <t>VÄSTERNORRLANDS LÄN</t>
        </is>
      </c>
      <c r="E3798" t="inlineStr">
        <is>
          <t>HÄRNÖSAND</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1815-2026</t>
        </is>
      </c>
      <c r="B3799" s="1" t="n">
        <v>46035.34446759259</v>
      </c>
      <c r="C3799" s="1" t="n">
        <v>46185</v>
      </c>
      <c r="D3799" t="inlineStr">
        <is>
          <t>VÄSTERNORRLANDS LÄN</t>
        </is>
      </c>
      <c r="E3799" t="inlineStr">
        <is>
          <t>SUNDSVALL</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43712-2025</t>
        </is>
      </c>
      <c r="B3800" s="1" t="n">
        <v>45912.40709490741</v>
      </c>
      <c r="C3800" s="1" t="n">
        <v>46185</v>
      </c>
      <c r="D3800" t="inlineStr">
        <is>
          <t>VÄSTERNORRLANDS LÄN</t>
        </is>
      </c>
      <c r="E3800" t="inlineStr">
        <is>
          <t>ÖRNSKÖLDSVIK</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32912-2025</t>
        </is>
      </c>
      <c r="B3801" s="1" t="n">
        <v>45839.63586805556</v>
      </c>
      <c r="C3801" s="1" t="n">
        <v>46185</v>
      </c>
      <c r="D3801" t="inlineStr">
        <is>
          <t>VÄSTERNORRLANDS LÄN</t>
        </is>
      </c>
      <c r="E3801" t="inlineStr">
        <is>
          <t>TIMRÅ</t>
        </is>
      </c>
      <c r="F3801" t="inlineStr">
        <is>
          <t>SCA</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43620-2025</t>
        </is>
      </c>
      <c r="B3802" s="1" t="n">
        <v>45911</v>
      </c>
      <c r="C3802" s="1" t="n">
        <v>46185</v>
      </c>
      <c r="D3802" t="inlineStr">
        <is>
          <t>VÄSTERNORRLANDS LÄN</t>
        </is>
      </c>
      <c r="E3802" t="inlineStr">
        <is>
          <t>SOLLEFTEÅ</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43650-2025</t>
        </is>
      </c>
      <c r="B3803" s="1" t="n">
        <v>45912.32196759259</v>
      </c>
      <c r="C3803" s="1" t="n">
        <v>46185</v>
      </c>
      <c r="D3803" t="inlineStr">
        <is>
          <t>VÄSTERNORRLANDS LÄN</t>
        </is>
      </c>
      <c r="E3803" t="inlineStr">
        <is>
          <t>ÖRNSKÖLDSVIK</t>
        </is>
      </c>
      <c r="F3803" t="inlineStr">
        <is>
          <t>Holmen skog AB</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2085-2026</t>
        </is>
      </c>
      <c r="B3804" s="1" t="n">
        <v>46036.35619212963</v>
      </c>
      <c r="C3804" s="1" t="n">
        <v>46185</v>
      </c>
      <c r="D3804" t="inlineStr">
        <is>
          <t>VÄSTERNORRLANDS LÄN</t>
        </is>
      </c>
      <c r="E3804" t="inlineStr">
        <is>
          <t>ÖRNSKÖLDSVIK</t>
        </is>
      </c>
      <c r="G3804" t="n">
        <v>8.199999999999999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43462-2025</t>
        </is>
      </c>
      <c r="B3805" s="1" t="n">
        <v>45911.46943287037</v>
      </c>
      <c r="C3805" s="1" t="n">
        <v>46185</v>
      </c>
      <c r="D3805" t="inlineStr">
        <is>
          <t>VÄSTERNORRLANDS LÄN</t>
        </is>
      </c>
      <c r="E3805" t="inlineStr">
        <is>
          <t>SOLLEFTEÅ</t>
        </is>
      </c>
      <c r="F3805" t="inlineStr">
        <is>
          <t>SCA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33177-2025</t>
        </is>
      </c>
      <c r="B3806" s="1" t="n">
        <v>45840.58792824074</v>
      </c>
      <c r="C3806" s="1" t="n">
        <v>46185</v>
      </c>
      <c r="D3806" t="inlineStr">
        <is>
          <t>VÄSTERNORRLANDS LÄN</t>
        </is>
      </c>
      <c r="E3806" t="inlineStr">
        <is>
          <t>ÖRNSKÖLDSVIK</t>
        </is>
      </c>
      <c r="F3806" t="inlineStr">
        <is>
          <t>Holmen skog AB</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43865-2025</t>
        </is>
      </c>
      <c r="B3807" s="1" t="n">
        <v>45912.65709490741</v>
      </c>
      <c r="C3807" s="1" t="n">
        <v>46185</v>
      </c>
      <c r="D3807" t="inlineStr">
        <is>
          <t>VÄSTERNORRLANDS LÄN</t>
        </is>
      </c>
      <c r="E3807" t="inlineStr">
        <is>
          <t>SUNDSVALL</t>
        </is>
      </c>
      <c r="F3807" t="inlineStr">
        <is>
          <t>Kommuner</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4871-2022</t>
        </is>
      </c>
      <c r="B3808" s="1" t="n">
        <v>44592</v>
      </c>
      <c r="C3808" s="1" t="n">
        <v>46185</v>
      </c>
      <c r="D3808" t="inlineStr">
        <is>
          <t>VÄSTERNORRLANDS LÄN</t>
        </is>
      </c>
      <c r="E3808" t="inlineStr">
        <is>
          <t>SUNDSVALL</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33108-2025</t>
        </is>
      </c>
      <c r="B3809" s="1" t="n">
        <v>45840.48578703704</v>
      </c>
      <c r="C3809" s="1" t="n">
        <v>46185</v>
      </c>
      <c r="D3809" t="inlineStr">
        <is>
          <t>VÄSTERNORRLANDS LÄN</t>
        </is>
      </c>
      <c r="E3809" t="inlineStr">
        <is>
          <t>KRAMFORS</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33119-2025</t>
        </is>
      </c>
      <c r="B3810" s="1" t="n">
        <v>45840.49299768519</v>
      </c>
      <c r="C3810" s="1" t="n">
        <v>46185</v>
      </c>
      <c r="D3810" t="inlineStr">
        <is>
          <t>VÄSTERNORRLANDS LÄN</t>
        </is>
      </c>
      <c r="E3810" t="inlineStr">
        <is>
          <t>KRAMFORS</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32745-2025</t>
        </is>
      </c>
      <c r="B3811" s="1" t="n">
        <v>45839.42753472222</v>
      </c>
      <c r="C3811" s="1" t="n">
        <v>46185</v>
      </c>
      <c r="D3811" t="inlineStr">
        <is>
          <t>VÄSTERNORRLANDS LÄN</t>
        </is>
      </c>
      <c r="E3811" t="inlineStr">
        <is>
          <t>SOLLEFTEÅ</t>
        </is>
      </c>
      <c r="F3811" t="inlineStr">
        <is>
          <t>SCA</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36432-2023</t>
        </is>
      </c>
      <c r="B3812" s="1" t="n">
        <v>45152</v>
      </c>
      <c r="C3812" s="1" t="n">
        <v>46185</v>
      </c>
      <c r="D3812" t="inlineStr">
        <is>
          <t>VÄSTERNORRLANDS LÄN</t>
        </is>
      </c>
      <c r="E3812" t="inlineStr">
        <is>
          <t>ÖRNSKÖLDSVIK</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34642-2024</t>
        </is>
      </c>
      <c r="B3813" s="1" t="n">
        <v>45526</v>
      </c>
      <c r="C3813" s="1" t="n">
        <v>46185</v>
      </c>
      <c r="D3813" t="inlineStr">
        <is>
          <t>VÄSTERNORRLANDS LÄN</t>
        </is>
      </c>
      <c r="E3813" t="inlineStr">
        <is>
          <t>KRAMFORS</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34649-2024</t>
        </is>
      </c>
      <c r="B3814" s="1" t="n">
        <v>45526.48325231481</v>
      </c>
      <c r="C3814" s="1" t="n">
        <v>46185</v>
      </c>
      <c r="D3814" t="inlineStr">
        <is>
          <t>VÄSTERNORRLANDS LÄN</t>
        </is>
      </c>
      <c r="E3814" t="inlineStr">
        <is>
          <t>ÅNGE</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43863-2025</t>
        </is>
      </c>
      <c r="B3815" s="1" t="n">
        <v>45912.65672453704</v>
      </c>
      <c r="C3815" s="1" t="n">
        <v>46185</v>
      </c>
      <c r="D3815" t="inlineStr">
        <is>
          <t>VÄSTERNORRLANDS LÄN</t>
        </is>
      </c>
      <c r="E3815" t="inlineStr">
        <is>
          <t>SOLLEFTEÅ</t>
        </is>
      </c>
      <c r="F3815" t="inlineStr">
        <is>
          <t>SCA</t>
        </is>
      </c>
      <c r="G3815" t="n">
        <v>16.8</v>
      </c>
      <c r="H3815" t="n">
        <v>0</v>
      </c>
      <c r="I3815" t="n">
        <v>0</v>
      </c>
      <c r="J3815" t="n">
        <v>0</v>
      </c>
      <c r="K3815" t="n">
        <v>0</v>
      </c>
      <c r="L3815" t="n">
        <v>0</v>
      </c>
      <c r="M3815" t="n">
        <v>0</v>
      </c>
      <c r="N3815" t="n">
        <v>0</v>
      </c>
      <c r="O3815" t="n">
        <v>0</v>
      </c>
      <c r="P3815" t="n">
        <v>0</v>
      </c>
      <c r="Q3815" t="n">
        <v>0</v>
      </c>
      <c r="R3815" s="2" t="inlineStr"/>
    </row>
    <row r="3816" ht="15" customHeight="1">
      <c r="A3816" t="inlineStr">
        <is>
          <t>A 33112-2025</t>
        </is>
      </c>
      <c r="B3816" s="1" t="n">
        <v>45840.48953703704</v>
      </c>
      <c r="C3816" s="1" t="n">
        <v>46185</v>
      </c>
      <c r="D3816" t="inlineStr">
        <is>
          <t>VÄSTERNORRLANDS LÄN</t>
        </is>
      </c>
      <c r="E3816" t="inlineStr">
        <is>
          <t>TIMRÅ</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37584-2024</t>
        </is>
      </c>
      <c r="B3817" s="1" t="n">
        <v>45541.45975694444</v>
      </c>
      <c r="C3817" s="1" t="n">
        <v>46185</v>
      </c>
      <c r="D3817" t="inlineStr">
        <is>
          <t>VÄSTERNORRLANDS LÄN</t>
        </is>
      </c>
      <c r="E3817" t="inlineStr">
        <is>
          <t>SUNDSVALL</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33134-2025</t>
        </is>
      </c>
      <c r="B3818" s="1" t="n">
        <v>45840.51084490741</v>
      </c>
      <c r="C3818" s="1" t="n">
        <v>46185</v>
      </c>
      <c r="D3818" t="inlineStr">
        <is>
          <t>VÄSTERNORRLANDS LÄN</t>
        </is>
      </c>
      <c r="E3818" t="inlineStr">
        <is>
          <t>KRAMFORS</t>
        </is>
      </c>
      <c r="F3818" t="inlineStr">
        <is>
          <t>SCA</t>
        </is>
      </c>
      <c r="G3818" t="n">
        <v>1.3</v>
      </c>
      <c r="H3818" t="n">
        <v>0</v>
      </c>
      <c r="I3818" t="n">
        <v>0</v>
      </c>
      <c r="J3818" t="n">
        <v>0</v>
      </c>
      <c r="K3818" t="n">
        <v>0</v>
      </c>
      <c r="L3818" t="n">
        <v>0</v>
      </c>
      <c r="M3818" t="n">
        <v>0</v>
      </c>
      <c r="N3818" t="n">
        <v>0</v>
      </c>
      <c r="O3818" t="n">
        <v>0</v>
      </c>
      <c r="P3818" t="n">
        <v>0</v>
      </c>
      <c r="Q3818" t="n">
        <v>0</v>
      </c>
      <c r="R3818" s="2" t="inlineStr"/>
      <c r="U3818">
        <f>HYPERLINK("https://klasma.github.io/Logging_2282/knärot/A 33134-2025 karta knärot.png", "A 33134-2025")</f>
        <v/>
      </c>
      <c r="V3818">
        <f>HYPERLINK("https://klasma.github.io/Logging_2282/klagomål/A 33134-2025 FSC-klagomål.docx", "A 33134-2025")</f>
        <v/>
      </c>
      <c r="W3818">
        <f>HYPERLINK("https://klasma.github.io/Logging_2282/klagomålsmail/A 33134-2025 FSC-klagomål mail.docx", "A 33134-2025")</f>
        <v/>
      </c>
      <c r="X3818">
        <f>HYPERLINK("https://klasma.github.io/Logging_2282/tillsyn/A 33134-2025 tillsynsbegäran.docx", "A 33134-2025")</f>
        <v/>
      </c>
      <c r="Y3818">
        <f>HYPERLINK("https://klasma.github.io/Logging_2282/tillsynsmail/A 33134-2025 tillsynsbegäran mail.docx", "A 33134-2025")</f>
        <v/>
      </c>
    </row>
    <row r="3819" ht="15" customHeight="1">
      <c r="A3819" t="inlineStr">
        <is>
          <t>A 43751-2025</t>
        </is>
      </c>
      <c r="B3819" s="1" t="n">
        <v>45912.46769675926</v>
      </c>
      <c r="C3819" s="1" t="n">
        <v>46185</v>
      </c>
      <c r="D3819" t="inlineStr">
        <is>
          <t>VÄSTERNORRLANDS LÄN</t>
        </is>
      </c>
      <c r="E3819" t="inlineStr">
        <is>
          <t>ÖRNSKÖLDSVIK</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43872-2025</t>
        </is>
      </c>
      <c r="B3820" s="1" t="n">
        <v>45912.67043981481</v>
      </c>
      <c r="C3820" s="1" t="n">
        <v>46185</v>
      </c>
      <c r="D3820" t="inlineStr">
        <is>
          <t>VÄSTERNORRLANDS LÄN</t>
        </is>
      </c>
      <c r="E3820" t="inlineStr">
        <is>
          <t>ÖRNSKÖLDSVIK</t>
        </is>
      </c>
      <c r="F3820" t="inlineStr">
        <is>
          <t>Holmen skog AB</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30748-2024</t>
        </is>
      </c>
      <c r="B3821" s="1" t="n">
        <v>45496.6871875</v>
      </c>
      <c r="C3821" s="1" t="n">
        <v>46185</v>
      </c>
      <c r="D3821" t="inlineStr">
        <is>
          <t>VÄSTERNORRLANDS LÄN</t>
        </is>
      </c>
      <c r="E3821" t="inlineStr">
        <is>
          <t>SUNDSVALL</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31712-2024</t>
        </is>
      </c>
      <c r="B3822" s="1" t="n">
        <v>45508</v>
      </c>
      <c r="C3822" s="1" t="n">
        <v>46185</v>
      </c>
      <c r="D3822" t="inlineStr">
        <is>
          <t>VÄSTERNORRLANDS LÄN</t>
        </is>
      </c>
      <c r="E3822" t="inlineStr">
        <is>
          <t>SUNDSVALL</t>
        </is>
      </c>
      <c r="F3822" t="inlineStr">
        <is>
          <t>SCA</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33145-2025</t>
        </is>
      </c>
      <c r="B3823" s="1" t="n">
        <v>45840</v>
      </c>
      <c r="C3823" s="1" t="n">
        <v>46185</v>
      </c>
      <c r="D3823" t="inlineStr">
        <is>
          <t>VÄSTERNORRLANDS LÄN</t>
        </is>
      </c>
      <c r="E3823" t="inlineStr">
        <is>
          <t>HÄRNÖSAND</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32749-2025</t>
        </is>
      </c>
      <c r="B3824" s="1" t="n">
        <v>45839.42834490741</v>
      </c>
      <c r="C3824" s="1" t="n">
        <v>46185</v>
      </c>
      <c r="D3824" t="inlineStr">
        <is>
          <t>VÄSTERNORRLANDS LÄN</t>
        </is>
      </c>
      <c r="E3824" t="inlineStr">
        <is>
          <t>SOLLEFTEÅ</t>
        </is>
      </c>
      <c r="F3824" t="inlineStr">
        <is>
          <t>SCA</t>
        </is>
      </c>
      <c r="G3824" t="n">
        <v>15.3</v>
      </c>
      <c r="H3824" t="n">
        <v>0</v>
      </c>
      <c r="I3824" t="n">
        <v>0</v>
      </c>
      <c r="J3824" t="n">
        <v>0</v>
      </c>
      <c r="K3824" t="n">
        <v>0</v>
      </c>
      <c r="L3824" t="n">
        <v>0</v>
      </c>
      <c r="M3824" t="n">
        <v>0</v>
      </c>
      <c r="N3824" t="n">
        <v>0</v>
      </c>
      <c r="O3824" t="n">
        <v>0</v>
      </c>
      <c r="P3824" t="n">
        <v>0</v>
      </c>
      <c r="Q3824" t="n">
        <v>0</v>
      </c>
      <c r="R3824" s="2" t="inlineStr"/>
    </row>
    <row r="3825" ht="15" customHeight="1">
      <c r="A3825" t="inlineStr">
        <is>
          <t>A 33012-2025</t>
        </is>
      </c>
      <c r="B3825" s="1" t="n">
        <v>45840.36498842593</v>
      </c>
      <c r="C3825" s="1" t="n">
        <v>46185</v>
      </c>
      <c r="D3825" t="inlineStr">
        <is>
          <t>VÄSTERNORRLANDS LÄN</t>
        </is>
      </c>
      <c r="E3825" t="inlineStr">
        <is>
          <t>SOLLEFTEÅ</t>
        </is>
      </c>
      <c r="F3825" t="inlineStr">
        <is>
          <t>SCA</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33047-2025</t>
        </is>
      </c>
      <c r="B3826" s="1" t="n">
        <v>45840.41137731481</v>
      </c>
      <c r="C3826" s="1" t="n">
        <v>46185</v>
      </c>
      <c r="D3826" t="inlineStr">
        <is>
          <t>VÄSTERNORRLANDS LÄN</t>
        </is>
      </c>
      <c r="E3826" t="inlineStr">
        <is>
          <t>ÖRNSKÖLDSVIK</t>
        </is>
      </c>
      <c r="F3826" t="inlineStr">
        <is>
          <t>Holmen skog AB</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32964-2025</t>
        </is>
      </c>
      <c r="B3827" s="1" t="n">
        <v>45839.71916666667</v>
      </c>
      <c r="C3827" s="1" t="n">
        <v>46185</v>
      </c>
      <c r="D3827" t="inlineStr">
        <is>
          <t>VÄSTERNORRLANDS LÄN</t>
        </is>
      </c>
      <c r="E3827" t="inlineStr">
        <is>
          <t>TIMRÅ</t>
        </is>
      </c>
      <c r="F3827" t="inlineStr">
        <is>
          <t>SCA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43864-2025</t>
        </is>
      </c>
      <c r="B3828" s="1" t="n">
        <v>45912.65693287037</v>
      </c>
      <c r="C3828" s="1" t="n">
        <v>46185</v>
      </c>
      <c r="D3828" t="inlineStr">
        <is>
          <t>VÄSTERNORRLANDS LÄN</t>
        </is>
      </c>
      <c r="E3828" t="inlineStr">
        <is>
          <t>KRAMFORS</t>
        </is>
      </c>
      <c r="F3828" t="inlineStr">
        <is>
          <t>SCA</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43389-2025</t>
        </is>
      </c>
      <c r="B3829" s="1" t="n">
        <v>45911.36560185185</v>
      </c>
      <c r="C3829" s="1" t="n">
        <v>46185</v>
      </c>
      <c r="D3829" t="inlineStr">
        <is>
          <t>VÄSTERNORRLANDS LÄN</t>
        </is>
      </c>
      <c r="E3829" t="inlineStr">
        <is>
          <t>ÅNGE</t>
        </is>
      </c>
      <c r="F3829" t="inlineStr">
        <is>
          <t>SCA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43546-2025</t>
        </is>
      </c>
      <c r="B3830" s="1" t="n">
        <v>45911.6153125</v>
      </c>
      <c r="C3830" s="1" t="n">
        <v>46185</v>
      </c>
      <c r="D3830" t="inlineStr">
        <is>
          <t>VÄSTERNORRLANDS LÄN</t>
        </is>
      </c>
      <c r="E3830" t="inlineStr">
        <is>
          <t>ÅNGE</t>
        </is>
      </c>
      <c r="F3830" t="inlineStr">
        <is>
          <t>SCA</t>
        </is>
      </c>
      <c r="G3830" t="n">
        <v>9.6</v>
      </c>
      <c r="H3830" t="n">
        <v>0</v>
      </c>
      <c r="I3830" t="n">
        <v>0</v>
      </c>
      <c r="J3830" t="n">
        <v>0</v>
      </c>
      <c r="K3830" t="n">
        <v>0</v>
      </c>
      <c r="L3830" t="n">
        <v>0</v>
      </c>
      <c r="M3830" t="n">
        <v>0</v>
      </c>
      <c r="N3830" t="n">
        <v>0</v>
      </c>
      <c r="O3830" t="n">
        <v>0</v>
      </c>
      <c r="P3830" t="n">
        <v>0</v>
      </c>
      <c r="Q3830" t="n">
        <v>0</v>
      </c>
      <c r="R3830" s="2" t="inlineStr"/>
    </row>
    <row r="3831" ht="15" customHeight="1">
      <c r="A3831" t="inlineStr">
        <is>
          <t>A 33727-2025</t>
        </is>
      </c>
      <c r="B3831" s="1" t="n">
        <v>45842.28965277778</v>
      </c>
      <c r="C3831" s="1" t="n">
        <v>46185</v>
      </c>
      <c r="D3831" t="inlineStr">
        <is>
          <t>VÄSTERNORRLANDS LÄN</t>
        </is>
      </c>
      <c r="E3831" t="inlineStr">
        <is>
          <t>ÖRNSKÖLDSVIK</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43696-2025</t>
        </is>
      </c>
      <c r="B3832" s="1" t="n">
        <v>45912.39538194444</v>
      </c>
      <c r="C3832" s="1" t="n">
        <v>46185</v>
      </c>
      <c r="D3832" t="inlineStr">
        <is>
          <t>VÄSTERNORRLANDS LÄN</t>
        </is>
      </c>
      <c r="E3832" t="inlineStr">
        <is>
          <t>ÖRNSKÖLDSVIK</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33855-2025</t>
        </is>
      </c>
      <c r="B3833" s="1" t="n">
        <v>45842.51125</v>
      </c>
      <c r="C3833" s="1" t="n">
        <v>46185</v>
      </c>
      <c r="D3833" t="inlineStr">
        <is>
          <t>VÄSTERNORRLANDS LÄN</t>
        </is>
      </c>
      <c r="E3833" t="inlineStr">
        <is>
          <t>SOLLEFTEÅ</t>
        </is>
      </c>
      <c r="F3833" t="inlineStr">
        <is>
          <t>SCA</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33859-2025</t>
        </is>
      </c>
      <c r="B3834" s="1" t="n">
        <v>45842.52354166667</v>
      </c>
      <c r="C3834" s="1" t="n">
        <v>46185</v>
      </c>
      <c r="D3834" t="inlineStr">
        <is>
          <t>VÄSTERNORRLANDS LÄN</t>
        </is>
      </c>
      <c r="E3834" t="inlineStr">
        <is>
          <t>KRAMFORS</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33108-2024</t>
        </is>
      </c>
      <c r="B3835" s="1" t="n">
        <v>45517</v>
      </c>
      <c r="C3835" s="1" t="n">
        <v>46185</v>
      </c>
      <c r="D3835" t="inlineStr">
        <is>
          <t>VÄSTERNORRLANDS LÄN</t>
        </is>
      </c>
      <c r="E3835" t="inlineStr">
        <is>
          <t>SUNDSVALL</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20086-2022</t>
        </is>
      </c>
      <c r="B3836" s="1" t="n">
        <v>44697</v>
      </c>
      <c r="C3836" s="1" t="n">
        <v>46185</v>
      </c>
      <c r="D3836" t="inlineStr">
        <is>
          <t>VÄSTERNORRLANDS LÄN</t>
        </is>
      </c>
      <c r="E3836" t="inlineStr">
        <is>
          <t>SUNDSVALL</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33646-2025</t>
        </is>
      </c>
      <c r="B3837" s="1" t="n">
        <v>45841.65662037037</v>
      </c>
      <c r="C3837" s="1" t="n">
        <v>46185</v>
      </c>
      <c r="D3837" t="inlineStr">
        <is>
          <t>VÄSTERNORRLANDS LÄN</t>
        </is>
      </c>
      <c r="E3837" t="inlineStr">
        <is>
          <t>SUNDSVALL</t>
        </is>
      </c>
      <c r="F3837" t="inlineStr">
        <is>
          <t>SCA</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33957-2025</t>
        </is>
      </c>
      <c r="B3838" s="1" t="n">
        <v>45842.67762731481</v>
      </c>
      <c r="C3838" s="1" t="n">
        <v>46185</v>
      </c>
      <c r="D3838" t="inlineStr">
        <is>
          <t>VÄSTERNORRLANDS LÄN</t>
        </is>
      </c>
      <c r="E3838" t="inlineStr">
        <is>
          <t>SOLLEFTEÅ</t>
        </is>
      </c>
      <c r="F3838" t="inlineStr">
        <is>
          <t>SCA</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43490-2025</t>
        </is>
      </c>
      <c r="B3839" s="1" t="n">
        <v>45911</v>
      </c>
      <c r="C3839" s="1" t="n">
        <v>46185</v>
      </c>
      <c r="D3839" t="inlineStr">
        <is>
          <t>VÄSTERNORRLANDS LÄN</t>
        </is>
      </c>
      <c r="E3839" t="inlineStr">
        <is>
          <t>SOLLEFTEÅ</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43510-2025</t>
        </is>
      </c>
      <c r="B3840" s="1" t="n">
        <v>45911</v>
      </c>
      <c r="C3840" s="1" t="n">
        <v>46185</v>
      </c>
      <c r="D3840" t="inlineStr">
        <is>
          <t>VÄSTERNORRLANDS LÄN</t>
        </is>
      </c>
      <c r="E3840" t="inlineStr">
        <is>
          <t>SOLLEFTEÅ</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43403-2025</t>
        </is>
      </c>
      <c r="B3841" s="1" t="n">
        <v>45911.38699074074</v>
      </c>
      <c r="C3841" s="1" t="n">
        <v>46185</v>
      </c>
      <c r="D3841" t="inlineStr">
        <is>
          <t>VÄSTERNORRLANDS LÄN</t>
        </is>
      </c>
      <c r="E3841" t="inlineStr">
        <is>
          <t>ÖRNSKÖLDSVIK</t>
        </is>
      </c>
      <c r="F3841" t="inlineStr">
        <is>
          <t>Holmen skog AB</t>
        </is>
      </c>
      <c r="G3841" t="n">
        <v>7.8</v>
      </c>
      <c r="H3841" t="n">
        <v>0</v>
      </c>
      <c r="I3841" t="n">
        <v>0</v>
      </c>
      <c r="J3841" t="n">
        <v>0</v>
      </c>
      <c r="K3841" t="n">
        <v>0</v>
      </c>
      <c r="L3841" t="n">
        <v>0</v>
      </c>
      <c r="M3841" t="n">
        <v>0</v>
      </c>
      <c r="N3841" t="n">
        <v>0</v>
      </c>
      <c r="O3841" t="n">
        <v>0</v>
      </c>
      <c r="P3841" t="n">
        <v>0</v>
      </c>
      <c r="Q3841" t="n">
        <v>0</v>
      </c>
      <c r="R3841" s="2" t="inlineStr"/>
    </row>
    <row r="3842" ht="15" customHeight="1">
      <c r="A3842" t="inlineStr">
        <is>
          <t>A 43417-2025</t>
        </is>
      </c>
      <c r="B3842" s="1" t="n">
        <v>45911.40708333333</v>
      </c>
      <c r="C3842" s="1" t="n">
        <v>46185</v>
      </c>
      <c r="D3842" t="inlineStr">
        <is>
          <t>VÄSTERNORRLANDS LÄN</t>
        </is>
      </c>
      <c r="E3842" t="inlineStr">
        <is>
          <t>ÖRNSKÖLDSVIK</t>
        </is>
      </c>
      <c r="F3842" t="inlineStr">
        <is>
          <t>SCA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43418-2025</t>
        </is>
      </c>
      <c r="B3843" s="1" t="n">
        <v>45911.40738425926</v>
      </c>
      <c r="C3843" s="1" t="n">
        <v>46185</v>
      </c>
      <c r="D3843" t="inlineStr">
        <is>
          <t>VÄSTERNORRLANDS LÄN</t>
        </is>
      </c>
      <c r="E3843" t="inlineStr">
        <is>
          <t>ÖRNSKÖLDSVIK</t>
        </is>
      </c>
      <c r="F3843" t="inlineStr">
        <is>
          <t>SCA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33656-2025</t>
        </is>
      </c>
      <c r="B3844" s="1" t="n">
        <v>45841.65966435185</v>
      </c>
      <c r="C3844" s="1" t="n">
        <v>46185</v>
      </c>
      <c r="D3844" t="inlineStr">
        <is>
          <t>VÄSTERNORRLANDS LÄN</t>
        </is>
      </c>
      <c r="E3844" t="inlineStr">
        <is>
          <t>ÖRNSKÖLDSVIK</t>
        </is>
      </c>
      <c r="F3844" t="inlineStr">
        <is>
          <t>Holmen skog AB</t>
        </is>
      </c>
      <c r="G3844" t="n">
        <v>8.1</v>
      </c>
      <c r="H3844" t="n">
        <v>0</v>
      </c>
      <c r="I3844" t="n">
        <v>0</v>
      </c>
      <c r="J3844" t="n">
        <v>0</v>
      </c>
      <c r="K3844" t="n">
        <v>0</v>
      </c>
      <c r="L3844" t="n">
        <v>0</v>
      </c>
      <c r="M3844" t="n">
        <v>0</v>
      </c>
      <c r="N3844" t="n">
        <v>0</v>
      </c>
      <c r="O3844" t="n">
        <v>0</v>
      </c>
      <c r="P3844" t="n">
        <v>0</v>
      </c>
      <c r="Q3844" t="n">
        <v>0</v>
      </c>
      <c r="R3844" s="2" t="inlineStr"/>
    </row>
    <row r="3845" ht="15" customHeight="1">
      <c r="A3845" t="inlineStr">
        <is>
          <t>A 12539-2022</t>
        </is>
      </c>
      <c r="B3845" s="1" t="n">
        <v>44638</v>
      </c>
      <c r="C3845" s="1" t="n">
        <v>46185</v>
      </c>
      <c r="D3845" t="inlineStr">
        <is>
          <t>VÄSTERNORRLANDS LÄN</t>
        </is>
      </c>
      <c r="E3845" t="inlineStr">
        <is>
          <t>KRAMFORS</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47329-2023</t>
        </is>
      </c>
      <c r="B3846" s="1" t="n">
        <v>45196</v>
      </c>
      <c r="C3846" s="1" t="n">
        <v>46185</v>
      </c>
      <c r="D3846" t="inlineStr">
        <is>
          <t>VÄSTERNORRLANDS LÄN</t>
        </is>
      </c>
      <c r="E3846" t="inlineStr">
        <is>
          <t>SOLLEFTEÅ</t>
        </is>
      </c>
      <c r="F3846" t="inlineStr">
        <is>
          <t>SCA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61268-2023</t>
        </is>
      </c>
      <c r="B3847" s="1" t="n">
        <v>45264</v>
      </c>
      <c r="C3847" s="1" t="n">
        <v>46185</v>
      </c>
      <c r="D3847" t="inlineStr">
        <is>
          <t>VÄSTERNORRLANDS LÄN</t>
        </is>
      </c>
      <c r="E3847" t="inlineStr">
        <is>
          <t>SUNDSVALL</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47342-2023</t>
        </is>
      </c>
      <c r="B3848" s="1" t="n">
        <v>45196</v>
      </c>
      <c r="C3848" s="1" t="n">
        <v>46185</v>
      </c>
      <c r="D3848" t="inlineStr">
        <is>
          <t>VÄSTERNORRLANDS LÄN</t>
        </is>
      </c>
      <c r="E3848" t="inlineStr">
        <is>
          <t>ÖRNSKÖLDSVIK</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6273-2024</t>
        </is>
      </c>
      <c r="B3849" s="1" t="n">
        <v>45337.95451388889</v>
      </c>
      <c r="C3849" s="1" t="n">
        <v>46185</v>
      </c>
      <c r="D3849" t="inlineStr">
        <is>
          <t>VÄSTERNORRLANDS LÄN</t>
        </is>
      </c>
      <c r="E3849" t="inlineStr">
        <is>
          <t>ÖRNSKÖLDSVIK</t>
        </is>
      </c>
      <c r="F3849" t="inlineStr">
        <is>
          <t>SCA</t>
        </is>
      </c>
      <c r="G3849" t="n">
        <v>9.1</v>
      </c>
      <c r="H3849" t="n">
        <v>0</v>
      </c>
      <c r="I3849" t="n">
        <v>0</v>
      </c>
      <c r="J3849" t="n">
        <v>0</v>
      </c>
      <c r="K3849" t="n">
        <v>0</v>
      </c>
      <c r="L3849" t="n">
        <v>0</v>
      </c>
      <c r="M3849" t="n">
        <v>0</v>
      </c>
      <c r="N3849" t="n">
        <v>0</v>
      </c>
      <c r="O3849" t="n">
        <v>0</v>
      </c>
      <c r="P3849" t="n">
        <v>0</v>
      </c>
      <c r="Q3849" t="n">
        <v>0</v>
      </c>
      <c r="R3849" s="2" t="inlineStr"/>
    </row>
    <row r="3850" ht="15" customHeight="1">
      <c r="A3850" t="inlineStr">
        <is>
          <t>A 20461-2023</t>
        </is>
      </c>
      <c r="B3850" s="1" t="n">
        <v>45056.95284722222</v>
      </c>
      <c r="C3850" s="1" t="n">
        <v>46185</v>
      </c>
      <c r="D3850" t="inlineStr">
        <is>
          <t>VÄSTERNORRLANDS LÄN</t>
        </is>
      </c>
      <c r="E3850" t="inlineStr">
        <is>
          <t>SOLLEFTEÅ</t>
        </is>
      </c>
      <c r="F3850" t="inlineStr">
        <is>
          <t>SCA</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2613-2026</t>
        </is>
      </c>
      <c r="B3851" s="1" t="n">
        <v>46035</v>
      </c>
      <c r="C3851" s="1" t="n">
        <v>46185</v>
      </c>
      <c r="D3851" t="inlineStr">
        <is>
          <t>VÄSTERNORRLANDS LÄN</t>
        </is>
      </c>
      <c r="E3851" t="inlineStr">
        <is>
          <t>SUNDSVALL</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43503-2025</t>
        </is>
      </c>
      <c r="B3852" s="1" t="n">
        <v>45911.55266203704</v>
      </c>
      <c r="C3852" s="1" t="n">
        <v>46185</v>
      </c>
      <c r="D3852" t="inlineStr">
        <is>
          <t>VÄSTERNORRLANDS LÄN</t>
        </is>
      </c>
      <c r="E3852" t="inlineStr">
        <is>
          <t>SOLLEFTEÅ</t>
        </is>
      </c>
      <c r="F3852" t="inlineStr">
        <is>
          <t>SCA</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43592-2025</t>
        </is>
      </c>
      <c r="B3853" s="1" t="n">
        <v>45911.65704861111</v>
      </c>
      <c r="C3853" s="1" t="n">
        <v>46185</v>
      </c>
      <c r="D3853" t="inlineStr">
        <is>
          <t>VÄSTERNORRLANDS LÄN</t>
        </is>
      </c>
      <c r="E3853" t="inlineStr">
        <is>
          <t>SUNDSVALL</t>
        </is>
      </c>
      <c r="F3853" t="inlineStr">
        <is>
          <t>SCA</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33479-2025</t>
        </is>
      </c>
      <c r="B3854" s="1" t="n">
        <v>45841.49543981482</v>
      </c>
      <c r="C3854" s="1" t="n">
        <v>46185</v>
      </c>
      <c r="D3854" t="inlineStr">
        <is>
          <t>VÄSTERNORRLANDS LÄN</t>
        </is>
      </c>
      <c r="E3854" t="inlineStr">
        <is>
          <t>KRAMFORS</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33480-2025</t>
        </is>
      </c>
      <c r="B3855" s="1" t="n">
        <v>45841.49800925926</v>
      </c>
      <c r="C3855" s="1" t="n">
        <v>46185</v>
      </c>
      <c r="D3855" t="inlineStr">
        <is>
          <t>VÄSTERNORRLANDS LÄN</t>
        </is>
      </c>
      <c r="E3855" t="inlineStr">
        <is>
          <t>ÖRNSKÖLDSVIK</t>
        </is>
      </c>
      <c r="F3855" t="inlineStr">
        <is>
          <t>Holmen skog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33509-2025</t>
        </is>
      </c>
      <c r="B3856" s="1" t="n">
        <v>45841.51625</v>
      </c>
      <c r="C3856" s="1" t="n">
        <v>46185</v>
      </c>
      <c r="D3856" t="inlineStr">
        <is>
          <t>VÄSTERNORRLANDS LÄN</t>
        </is>
      </c>
      <c r="E3856" t="inlineStr">
        <is>
          <t>KRAMFORS</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43810-2025</t>
        </is>
      </c>
      <c r="B3857" s="1" t="n">
        <v>45912.58195601852</v>
      </c>
      <c r="C3857" s="1" t="n">
        <v>46185</v>
      </c>
      <c r="D3857" t="inlineStr">
        <is>
          <t>VÄSTERNORRLANDS LÄN</t>
        </is>
      </c>
      <c r="E3857" t="inlineStr">
        <is>
          <t>ÖRNSKÖLDSVIK</t>
        </is>
      </c>
      <c r="F3857" t="inlineStr">
        <is>
          <t>Holmen skog AB</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43386-2025</t>
        </is>
      </c>
      <c r="B3858" s="1" t="n">
        <v>45911.36520833334</v>
      </c>
      <c r="C3858" s="1" t="n">
        <v>46185</v>
      </c>
      <c r="D3858" t="inlineStr">
        <is>
          <t>VÄSTERNORRLANDS LÄN</t>
        </is>
      </c>
      <c r="E3858" t="inlineStr">
        <is>
          <t>ÅNGE</t>
        </is>
      </c>
      <c r="F3858" t="inlineStr">
        <is>
          <t>SCA</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42983-2024</t>
        </is>
      </c>
      <c r="B3859" s="1" t="n">
        <v>45567.37471064815</v>
      </c>
      <c r="C3859" s="1" t="n">
        <v>46185</v>
      </c>
      <c r="D3859" t="inlineStr">
        <is>
          <t>VÄSTERNORRLANDS LÄN</t>
        </is>
      </c>
      <c r="E3859" t="inlineStr">
        <is>
          <t>SOLLEFTEÅ</t>
        </is>
      </c>
      <c r="F3859" t="inlineStr">
        <is>
          <t>SCA</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42984-2024</t>
        </is>
      </c>
      <c r="B3860" s="1" t="n">
        <v>45567.37532407408</v>
      </c>
      <c r="C3860" s="1" t="n">
        <v>46185</v>
      </c>
      <c r="D3860" t="inlineStr">
        <is>
          <t>VÄSTERNORRLANDS LÄN</t>
        </is>
      </c>
      <c r="E3860" t="inlineStr">
        <is>
          <t>SOLLEFTEÅ</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42985-2024</t>
        </is>
      </c>
      <c r="B3861" s="1" t="n">
        <v>45567.37533564815</v>
      </c>
      <c r="C3861" s="1" t="n">
        <v>46185</v>
      </c>
      <c r="D3861" t="inlineStr">
        <is>
          <t>VÄSTERNORRLANDS LÄN</t>
        </is>
      </c>
      <c r="E3861" t="inlineStr">
        <is>
          <t>SOLLEFTEÅ</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51493-2024</t>
        </is>
      </c>
      <c r="B3862" s="1" t="n">
        <v>45604.53663194444</v>
      </c>
      <c r="C3862" s="1" t="n">
        <v>46185</v>
      </c>
      <c r="D3862" t="inlineStr">
        <is>
          <t>VÄSTERNORRLANDS LÄN</t>
        </is>
      </c>
      <c r="E3862" t="inlineStr">
        <is>
          <t>ÖRNSKÖLDSVIK</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43744-2025</t>
        </is>
      </c>
      <c r="B3863" s="1" t="n">
        <v>45912.45766203704</v>
      </c>
      <c r="C3863" s="1" t="n">
        <v>46185</v>
      </c>
      <c r="D3863" t="inlineStr">
        <is>
          <t>VÄSTERNORRLANDS LÄN</t>
        </is>
      </c>
      <c r="E3863" t="inlineStr">
        <is>
          <t>ÖRNSKÖLDSVIK</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19385-2022</t>
        </is>
      </c>
      <c r="B3864" s="1" t="n">
        <v>44692.92344907407</v>
      </c>
      <c r="C3864" s="1" t="n">
        <v>46185</v>
      </c>
      <c r="D3864" t="inlineStr">
        <is>
          <t>VÄSTERNORRLANDS LÄN</t>
        </is>
      </c>
      <c r="E3864" t="inlineStr">
        <is>
          <t>SUNDSVALL</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33917-2025</t>
        </is>
      </c>
      <c r="B3865" s="1" t="n">
        <v>45842.61491898148</v>
      </c>
      <c r="C3865" s="1" t="n">
        <v>46185</v>
      </c>
      <c r="D3865" t="inlineStr">
        <is>
          <t>VÄSTERNORRLANDS LÄN</t>
        </is>
      </c>
      <c r="E3865" t="inlineStr">
        <is>
          <t>SOLLEFTEÅ</t>
        </is>
      </c>
      <c r="F3865" t="inlineStr">
        <is>
          <t>SCA</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33934-2025</t>
        </is>
      </c>
      <c r="B3866" s="1" t="n">
        <v>45842.63596064815</v>
      </c>
      <c r="C3866" s="1" t="n">
        <v>46185</v>
      </c>
      <c r="D3866" t="inlineStr">
        <is>
          <t>VÄSTERNORRLANDS LÄN</t>
        </is>
      </c>
      <c r="E3866" t="inlineStr">
        <is>
          <t>SUNDSVALL</t>
        </is>
      </c>
      <c r="F3866" t="inlineStr">
        <is>
          <t>SCA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33911-2025</t>
        </is>
      </c>
      <c r="B3867" s="1" t="n">
        <v>45842.60388888889</v>
      </c>
      <c r="C3867" s="1" t="n">
        <v>46185</v>
      </c>
      <c r="D3867" t="inlineStr">
        <is>
          <t>VÄSTERNORRLANDS LÄN</t>
        </is>
      </c>
      <c r="E3867" t="inlineStr">
        <is>
          <t>ÖRNSKÖLDSVIK</t>
        </is>
      </c>
      <c r="F3867" t="inlineStr">
        <is>
          <t>Holmen skog AB</t>
        </is>
      </c>
      <c r="G3867" t="n">
        <v>12.6</v>
      </c>
      <c r="H3867" t="n">
        <v>0</v>
      </c>
      <c r="I3867" t="n">
        <v>0</v>
      </c>
      <c r="J3867" t="n">
        <v>0</v>
      </c>
      <c r="K3867" t="n">
        <v>0</v>
      </c>
      <c r="L3867" t="n">
        <v>0</v>
      </c>
      <c r="M3867" t="n">
        <v>0</v>
      </c>
      <c r="N3867" t="n">
        <v>0</v>
      </c>
      <c r="O3867" t="n">
        <v>0</v>
      </c>
      <c r="P3867" t="n">
        <v>0</v>
      </c>
      <c r="Q3867" t="n">
        <v>0</v>
      </c>
      <c r="R3867" s="2" t="inlineStr"/>
    </row>
    <row r="3868" ht="15" customHeight="1">
      <c r="A3868" t="inlineStr">
        <is>
          <t>A 1999-2026</t>
        </is>
      </c>
      <c r="B3868" s="1" t="n">
        <v>46035.67773148148</v>
      </c>
      <c r="C3868" s="1" t="n">
        <v>46185</v>
      </c>
      <c r="D3868" t="inlineStr">
        <is>
          <t>VÄSTERNORRLANDS LÄN</t>
        </is>
      </c>
      <c r="E3868" t="inlineStr">
        <is>
          <t>SOLLEFTEÅ</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2183-2026</t>
        </is>
      </c>
      <c r="B3869" s="1" t="n">
        <v>46036.46157407408</v>
      </c>
      <c r="C3869" s="1" t="n">
        <v>46185</v>
      </c>
      <c r="D3869" t="inlineStr">
        <is>
          <t>VÄSTERNORRLANDS LÄN</t>
        </is>
      </c>
      <c r="E3869" t="inlineStr">
        <is>
          <t>SUNDSVALL</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44297-2025</t>
        </is>
      </c>
      <c r="B3870" s="1" t="n">
        <v>45916.36524305555</v>
      </c>
      <c r="C3870" s="1" t="n">
        <v>46185</v>
      </c>
      <c r="D3870" t="inlineStr">
        <is>
          <t>VÄSTERNORRLANDS LÄN</t>
        </is>
      </c>
      <c r="E3870" t="inlineStr">
        <is>
          <t>SUNDSVALL</t>
        </is>
      </c>
      <c r="F3870" t="inlineStr">
        <is>
          <t>Naturvårdsverket</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44314-2025</t>
        </is>
      </c>
      <c r="B3871" s="1" t="n">
        <v>45915</v>
      </c>
      <c r="C3871" s="1" t="n">
        <v>46185</v>
      </c>
      <c r="D3871" t="inlineStr">
        <is>
          <t>VÄSTERNORRLANDS LÄN</t>
        </is>
      </c>
      <c r="E3871" t="inlineStr">
        <is>
          <t>ÖRNSKÖLDSVIK</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33430-2025</t>
        </is>
      </c>
      <c r="B3872" s="1" t="n">
        <v>45841.44829861111</v>
      </c>
      <c r="C3872" s="1" t="n">
        <v>46185</v>
      </c>
      <c r="D3872" t="inlineStr">
        <is>
          <t>VÄSTERNORRLANDS LÄN</t>
        </is>
      </c>
      <c r="E3872" t="inlineStr">
        <is>
          <t>SOLLEFTEÅ</t>
        </is>
      </c>
      <c r="F3872" t="inlineStr">
        <is>
          <t>SCA</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33436-2025</t>
        </is>
      </c>
      <c r="B3873" s="1" t="n">
        <v>45841.44898148148</v>
      </c>
      <c r="C3873" s="1" t="n">
        <v>46185</v>
      </c>
      <c r="D3873" t="inlineStr">
        <is>
          <t>VÄSTERNORRLANDS LÄN</t>
        </is>
      </c>
      <c r="E3873" t="inlineStr">
        <is>
          <t>SOLLEFTEÅ</t>
        </is>
      </c>
      <c r="F3873" t="inlineStr">
        <is>
          <t>SCA</t>
        </is>
      </c>
      <c r="G3873" t="n">
        <v>19.2</v>
      </c>
      <c r="H3873" t="n">
        <v>0</v>
      </c>
      <c r="I3873" t="n">
        <v>0</v>
      </c>
      <c r="J3873" t="n">
        <v>0</v>
      </c>
      <c r="K3873" t="n">
        <v>0</v>
      </c>
      <c r="L3873" t="n">
        <v>0</v>
      </c>
      <c r="M3873" t="n">
        <v>0</v>
      </c>
      <c r="N3873" t="n">
        <v>0</v>
      </c>
      <c r="O3873" t="n">
        <v>0</v>
      </c>
      <c r="P3873" t="n">
        <v>0</v>
      </c>
      <c r="Q3873" t="n">
        <v>0</v>
      </c>
      <c r="R3873" s="2" t="inlineStr"/>
    </row>
    <row r="3874" ht="15" customHeight="1">
      <c r="A3874" t="inlineStr">
        <is>
          <t>A 58357-2024</t>
        </is>
      </c>
      <c r="B3874" s="1" t="n">
        <v>45632</v>
      </c>
      <c r="C3874" s="1" t="n">
        <v>46185</v>
      </c>
      <c r="D3874" t="inlineStr">
        <is>
          <t>VÄSTERNORRLANDS LÄN</t>
        </is>
      </c>
      <c r="E3874" t="inlineStr">
        <is>
          <t>SOLLEFTEÅ</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51054-2024</t>
        </is>
      </c>
      <c r="B3875" s="1" t="n">
        <v>45603</v>
      </c>
      <c r="C3875" s="1" t="n">
        <v>46185</v>
      </c>
      <c r="D3875" t="inlineStr">
        <is>
          <t>VÄSTERNORRLANDS LÄN</t>
        </is>
      </c>
      <c r="E3875" t="inlineStr">
        <is>
          <t>ÅNGE</t>
        </is>
      </c>
      <c r="F3875" t="inlineStr">
        <is>
          <t>SCA</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43980-2025</t>
        </is>
      </c>
      <c r="B3876" s="1" t="n">
        <v>45915.4221412037</v>
      </c>
      <c r="C3876" s="1" t="n">
        <v>46185</v>
      </c>
      <c r="D3876" t="inlineStr">
        <is>
          <t>VÄSTERNORRLANDS LÄN</t>
        </is>
      </c>
      <c r="E3876" t="inlineStr">
        <is>
          <t>SOLLEFTEÅ</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44011-2025</t>
        </is>
      </c>
      <c r="B3877" s="1" t="n">
        <v>45915.46614583334</v>
      </c>
      <c r="C3877" s="1" t="n">
        <v>46185</v>
      </c>
      <c r="D3877" t="inlineStr">
        <is>
          <t>VÄSTERNORRLANDS LÄN</t>
        </is>
      </c>
      <c r="E3877" t="inlineStr">
        <is>
          <t>TIMRÅ</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1971-2026</t>
        </is>
      </c>
      <c r="B3878" s="1" t="n">
        <v>46035.64133101852</v>
      </c>
      <c r="C3878" s="1" t="n">
        <v>46185</v>
      </c>
      <c r="D3878" t="inlineStr">
        <is>
          <t>VÄSTERNORRLANDS LÄN</t>
        </is>
      </c>
      <c r="E3878" t="inlineStr">
        <is>
          <t>ÅNGE</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33323-2025</t>
        </is>
      </c>
      <c r="B3879" s="1" t="n">
        <v>45841.34539351852</v>
      </c>
      <c r="C3879" s="1" t="n">
        <v>46185</v>
      </c>
      <c r="D3879" t="inlineStr">
        <is>
          <t>VÄSTERNORRLANDS LÄN</t>
        </is>
      </c>
      <c r="E3879" t="inlineStr">
        <is>
          <t>KRAMFORS</t>
        </is>
      </c>
      <c r="F3879" t="inlineStr">
        <is>
          <t>SCA</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33324-2025</t>
        </is>
      </c>
      <c r="B3880" s="1" t="n">
        <v>45841.34554398148</v>
      </c>
      <c r="C3880" s="1" t="n">
        <v>46185</v>
      </c>
      <c r="D3880" t="inlineStr">
        <is>
          <t>VÄSTERNORRLANDS LÄN</t>
        </is>
      </c>
      <c r="E3880" t="inlineStr">
        <is>
          <t>ÖRNSKÖLDSVIK</t>
        </is>
      </c>
      <c r="F3880" t="inlineStr">
        <is>
          <t>SCA</t>
        </is>
      </c>
      <c r="G3880" t="n">
        <v>12.4</v>
      </c>
      <c r="H3880" t="n">
        <v>0</v>
      </c>
      <c r="I3880" t="n">
        <v>0</v>
      </c>
      <c r="J3880" t="n">
        <v>0</v>
      </c>
      <c r="K3880" t="n">
        <v>0</v>
      </c>
      <c r="L3880" t="n">
        <v>0</v>
      </c>
      <c r="M3880" t="n">
        <v>0</v>
      </c>
      <c r="N3880" t="n">
        <v>0</v>
      </c>
      <c r="O3880" t="n">
        <v>0</v>
      </c>
      <c r="P3880" t="n">
        <v>0</v>
      </c>
      <c r="Q3880" t="n">
        <v>0</v>
      </c>
      <c r="R3880" s="2" t="inlineStr"/>
    </row>
    <row r="3881" ht="15" customHeight="1">
      <c r="A3881" t="inlineStr">
        <is>
          <t>A 33442-2025</t>
        </is>
      </c>
      <c r="B3881" s="1" t="n">
        <v>45841.46092592592</v>
      </c>
      <c r="C3881" s="1" t="n">
        <v>46185</v>
      </c>
      <c r="D3881" t="inlineStr">
        <is>
          <t>VÄSTERNORRLANDS LÄN</t>
        </is>
      </c>
      <c r="E3881" t="inlineStr">
        <is>
          <t>SOLLEFTEÅ</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33553-2025</t>
        </is>
      </c>
      <c r="B3882" s="1" t="n">
        <v>45841.5737962963</v>
      </c>
      <c r="C3882" s="1" t="n">
        <v>46185</v>
      </c>
      <c r="D3882" t="inlineStr">
        <is>
          <t>VÄSTERNORRLANDS LÄN</t>
        </is>
      </c>
      <c r="E3882" t="inlineStr">
        <is>
          <t>KRAMFORS</t>
        </is>
      </c>
      <c r="F3882" t="inlineStr">
        <is>
          <t>SCA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33634-2025</t>
        </is>
      </c>
      <c r="B3883" s="1" t="n">
        <v>45841.64438657407</v>
      </c>
      <c r="C3883" s="1" t="n">
        <v>46185</v>
      </c>
      <c r="D3883" t="inlineStr">
        <is>
          <t>VÄSTERNORRLANDS LÄN</t>
        </is>
      </c>
      <c r="E3883" t="inlineStr">
        <is>
          <t>ÖRNSKÖLDSVIK</t>
        </is>
      </c>
      <c r="F3883" t="inlineStr">
        <is>
          <t>Holmen skog AB</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44187-2025</t>
        </is>
      </c>
      <c r="B3884" s="1" t="n">
        <v>45915.61329861111</v>
      </c>
      <c r="C3884" s="1" t="n">
        <v>46185</v>
      </c>
      <c r="D3884" t="inlineStr">
        <is>
          <t>VÄSTERNORRLANDS LÄN</t>
        </is>
      </c>
      <c r="E3884" t="inlineStr">
        <is>
          <t>ÖRNSKÖLDSVIK</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58360-2024</t>
        </is>
      </c>
      <c r="B3885" s="1" t="n">
        <v>45632</v>
      </c>
      <c r="C3885" s="1" t="n">
        <v>46185</v>
      </c>
      <c r="D3885" t="inlineStr">
        <is>
          <t>VÄSTERNORRLANDS LÄN</t>
        </is>
      </c>
      <c r="E3885" t="inlineStr">
        <is>
          <t>SOLLEFTEÅ</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33568-2025</t>
        </is>
      </c>
      <c r="B3886" s="1" t="n">
        <v>45841.58291666667</v>
      </c>
      <c r="C3886" s="1" t="n">
        <v>46185</v>
      </c>
      <c r="D3886" t="inlineStr">
        <is>
          <t>VÄSTERNORRLANDS LÄN</t>
        </is>
      </c>
      <c r="E3886" t="inlineStr">
        <is>
          <t>ÖRNSKÖLDSVIK</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33437-2025</t>
        </is>
      </c>
      <c r="B3887" s="1" t="n">
        <v>45841.4502199074</v>
      </c>
      <c r="C3887" s="1" t="n">
        <v>46185</v>
      </c>
      <c r="D3887" t="inlineStr">
        <is>
          <t>VÄSTERNORRLANDS LÄN</t>
        </is>
      </c>
      <c r="E3887" t="inlineStr">
        <is>
          <t>SOLLEFTEÅ</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33936-2025</t>
        </is>
      </c>
      <c r="B3888" s="1" t="n">
        <v>45842.63630787037</v>
      </c>
      <c r="C3888" s="1" t="n">
        <v>46185</v>
      </c>
      <c r="D3888" t="inlineStr">
        <is>
          <t>VÄSTERNORRLANDS LÄN</t>
        </is>
      </c>
      <c r="E3888" t="inlineStr">
        <is>
          <t>SOLLEFTEÅ</t>
        </is>
      </c>
      <c r="F3888" t="inlineStr">
        <is>
          <t>SCA</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44971-2023</t>
        </is>
      </c>
      <c r="B3889" s="1" t="n">
        <v>45190</v>
      </c>
      <c r="C3889" s="1" t="n">
        <v>46185</v>
      </c>
      <c r="D3889" t="inlineStr">
        <is>
          <t>VÄSTERNORRLANDS LÄN</t>
        </is>
      </c>
      <c r="E3889" t="inlineStr">
        <is>
          <t>KRAMFORS</t>
        </is>
      </c>
      <c r="G3889" t="n">
        <v>12.8</v>
      </c>
      <c r="H3889" t="n">
        <v>0</v>
      </c>
      <c r="I3889" t="n">
        <v>0</v>
      </c>
      <c r="J3889" t="n">
        <v>0</v>
      </c>
      <c r="K3889" t="n">
        <v>0</v>
      </c>
      <c r="L3889" t="n">
        <v>0</v>
      </c>
      <c r="M3889" t="n">
        <v>0</v>
      </c>
      <c r="N3889" t="n">
        <v>0</v>
      </c>
      <c r="O3889" t="n">
        <v>0</v>
      </c>
      <c r="P3889" t="n">
        <v>0</v>
      </c>
      <c r="Q3889" t="n">
        <v>0</v>
      </c>
      <c r="R3889" s="2" t="inlineStr"/>
    </row>
    <row r="3890" ht="15" customHeight="1">
      <c r="A3890" t="inlineStr">
        <is>
          <t>A 44013-2025</t>
        </is>
      </c>
      <c r="B3890" s="1" t="n">
        <v>45915.46914351852</v>
      </c>
      <c r="C3890" s="1" t="n">
        <v>46185</v>
      </c>
      <c r="D3890" t="inlineStr">
        <is>
          <t>VÄSTERNORRLANDS LÄN</t>
        </is>
      </c>
      <c r="E3890" t="inlineStr">
        <is>
          <t>TIMRÅ</t>
        </is>
      </c>
      <c r="F3890" t="inlineStr">
        <is>
          <t>SCA</t>
        </is>
      </c>
      <c r="G3890" t="n">
        <v>10.9</v>
      </c>
      <c r="H3890" t="n">
        <v>0</v>
      </c>
      <c r="I3890" t="n">
        <v>0</v>
      </c>
      <c r="J3890" t="n">
        <v>0</v>
      </c>
      <c r="K3890" t="n">
        <v>0</v>
      </c>
      <c r="L3890" t="n">
        <v>0</v>
      </c>
      <c r="M3890" t="n">
        <v>0</v>
      </c>
      <c r="N3890" t="n">
        <v>0</v>
      </c>
      <c r="O3890" t="n">
        <v>0</v>
      </c>
      <c r="P3890" t="n">
        <v>0</v>
      </c>
      <c r="Q3890" t="n">
        <v>0</v>
      </c>
      <c r="R3890" s="2" t="inlineStr"/>
    </row>
    <row r="3891" ht="15" customHeight="1">
      <c r="A3891" t="inlineStr">
        <is>
          <t>A 33587-2025</t>
        </is>
      </c>
      <c r="B3891" s="1" t="n">
        <v>45841</v>
      </c>
      <c r="C3891" s="1" t="n">
        <v>46185</v>
      </c>
      <c r="D3891" t="inlineStr">
        <is>
          <t>VÄSTERNORRLANDS LÄN</t>
        </is>
      </c>
      <c r="E3891" t="inlineStr">
        <is>
          <t>ÖRNSKÖLDSVIK</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43927-2025</t>
        </is>
      </c>
      <c r="B3892" s="1" t="n">
        <v>45915.32164351852</v>
      </c>
      <c r="C3892" s="1" t="n">
        <v>46185</v>
      </c>
      <c r="D3892" t="inlineStr">
        <is>
          <t>VÄSTERNORRLANDS LÄN</t>
        </is>
      </c>
      <c r="E3892" t="inlineStr">
        <is>
          <t>ÖRNSKÖLDSVIK</t>
        </is>
      </c>
      <c r="F3892" t="inlineStr">
        <is>
          <t>Holmen skog AB</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33825-2025</t>
        </is>
      </c>
      <c r="B3893" s="1" t="n">
        <v>45842.46930555555</v>
      </c>
      <c r="C3893" s="1" t="n">
        <v>46185</v>
      </c>
      <c r="D3893" t="inlineStr">
        <is>
          <t>VÄSTERNORRLANDS LÄN</t>
        </is>
      </c>
      <c r="E3893" t="inlineStr">
        <is>
          <t>SOLLEFTEÅ</t>
        </is>
      </c>
      <c r="F3893" t="inlineStr">
        <is>
          <t>SCA</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33471-2025</t>
        </is>
      </c>
      <c r="B3894" s="1" t="n">
        <v>45841.48929398148</v>
      </c>
      <c r="C3894" s="1" t="n">
        <v>46185</v>
      </c>
      <c r="D3894" t="inlineStr">
        <is>
          <t>VÄSTERNORRLANDS LÄN</t>
        </is>
      </c>
      <c r="E3894" t="inlineStr">
        <is>
          <t>ÖRNSKÖLDSVIK</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33558-2025</t>
        </is>
      </c>
      <c r="B3895" s="1" t="n">
        <v>45841.57547453704</v>
      </c>
      <c r="C3895" s="1" t="n">
        <v>46185</v>
      </c>
      <c r="D3895" t="inlineStr">
        <is>
          <t>VÄSTERNORRLANDS LÄN</t>
        </is>
      </c>
      <c r="E3895" t="inlineStr">
        <is>
          <t>ÖRNSKÖLDSVIK</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33607-2025</t>
        </is>
      </c>
      <c r="B3896" s="1" t="n">
        <v>45841.61521990741</v>
      </c>
      <c r="C3896" s="1" t="n">
        <v>46185</v>
      </c>
      <c r="D3896" t="inlineStr">
        <is>
          <t>VÄSTERNORRLANDS LÄN</t>
        </is>
      </c>
      <c r="E3896" t="inlineStr">
        <is>
          <t>SOLLEFTEÅ</t>
        </is>
      </c>
      <c r="F3896" t="inlineStr">
        <is>
          <t>SCA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33935-2025</t>
        </is>
      </c>
      <c r="B3897" s="1" t="n">
        <v>45842.63614583333</v>
      </c>
      <c r="C3897" s="1" t="n">
        <v>46185</v>
      </c>
      <c r="D3897" t="inlineStr">
        <is>
          <t>VÄSTERNORRLANDS LÄN</t>
        </is>
      </c>
      <c r="E3897" t="inlineStr">
        <is>
          <t>SOLLEFTEÅ</t>
        </is>
      </c>
      <c r="F3897" t="inlineStr">
        <is>
          <t>SCA</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2076-2026</t>
        </is>
      </c>
      <c r="B3898" s="1" t="n">
        <v>46036</v>
      </c>
      <c r="C3898" s="1" t="n">
        <v>46185</v>
      </c>
      <c r="D3898" t="inlineStr">
        <is>
          <t>VÄSTERNORRLANDS LÄN</t>
        </is>
      </c>
      <c r="E3898" t="inlineStr">
        <is>
          <t>SOLLEFTEÅ</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2080-2026</t>
        </is>
      </c>
      <c r="B3899" s="1" t="n">
        <v>46036.35287037037</v>
      </c>
      <c r="C3899" s="1" t="n">
        <v>46185</v>
      </c>
      <c r="D3899" t="inlineStr">
        <is>
          <t>VÄSTERNORRLANDS LÄN</t>
        </is>
      </c>
      <c r="E3899" t="inlineStr">
        <is>
          <t>SOLLEFTEÅ</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33502-2025</t>
        </is>
      </c>
      <c r="B3900" s="1" t="n">
        <v>45841.51101851852</v>
      </c>
      <c r="C3900" s="1" t="n">
        <v>46185</v>
      </c>
      <c r="D3900" t="inlineStr">
        <is>
          <t>VÄSTERNORRLANDS LÄN</t>
        </is>
      </c>
      <c r="E3900" t="inlineStr">
        <is>
          <t>SOLLEFTEÅ</t>
        </is>
      </c>
      <c r="F3900" t="inlineStr">
        <is>
          <t>SCA</t>
        </is>
      </c>
      <c r="G3900" t="n">
        <v>6.4</v>
      </c>
      <c r="H3900" t="n">
        <v>0</v>
      </c>
      <c r="I3900" t="n">
        <v>0</v>
      </c>
      <c r="J3900" t="n">
        <v>0</v>
      </c>
      <c r="K3900" t="n">
        <v>0</v>
      </c>
      <c r="L3900" t="n">
        <v>0</v>
      </c>
      <c r="M3900" t="n">
        <v>0</v>
      </c>
      <c r="N3900" t="n">
        <v>0</v>
      </c>
      <c r="O3900" t="n">
        <v>0</v>
      </c>
      <c r="P3900" t="n">
        <v>0</v>
      </c>
      <c r="Q3900" t="n">
        <v>0</v>
      </c>
      <c r="R3900" s="2" t="inlineStr"/>
    </row>
    <row r="3901" ht="15" customHeight="1">
      <c r="A3901" t="inlineStr">
        <is>
          <t>A 33739-2025</t>
        </is>
      </c>
      <c r="B3901" s="1" t="n">
        <v>45842.34015046297</v>
      </c>
      <c r="C3901" s="1" t="n">
        <v>46185</v>
      </c>
      <c r="D3901" t="inlineStr">
        <is>
          <t>VÄSTERNORRLANDS LÄN</t>
        </is>
      </c>
      <c r="E3901" t="inlineStr">
        <is>
          <t>ÖRNSKÖLDSVIK</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44326-2025</t>
        </is>
      </c>
      <c r="B3902" s="1" t="n">
        <v>45916.40740740741</v>
      </c>
      <c r="C3902" s="1" t="n">
        <v>46185</v>
      </c>
      <c r="D3902" t="inlineStr">
        <is>
          <t>VÄSTERNORRLANDS LÄN</t>
        </is>
      </c>
      <c r="E3902" t="inlineStr">
        <is>
          <t>TIMRÅ</t>
        </is>
      </c>
      <c r="F3902" t="inlineStr">
        <is>
          <t>SCA</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44352-2025</t>
        </is>
      </c>
      <c r="B3903" s="1" t="n">
        <v>45915</v>
      </c>
      <c r="C3903" s="1" t="n">
        <v>46185</v>
      </c>
      <c r="D3903" t="inlineStr">
        <is>
          <t>VÄSTERNORRLANDS LÄN</t>
        </is>
      </c>
      <c r="E3903" t="inlineStr">
        <is>
          <t>ÖRNSKÖLDSVIK</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33738-2025</t>
        </is>
      </c>
      <c r="B3904" s="1" t="n">
        <v>45842.33795138889</v>
      </c>
      <c r="C3904" s="1" t="n">
        <v>46185</v>
      </c>
      <c r="D3904" t="inlineStr">
        <is>
          <t>VÄSTERNORRLANDS LÄN</t>
        </is>
      </c>
      <c r="E3904" t="inlineStr">
        <is>
          <t>ÅNGE</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33588-2025</t>
        </is>
      </c>
      <c r="B3905" s="1" t="n">
        <v>45841.59636574074</v>
      </c>
      <c r="C3905" s="1" t="n">
        <v>46185</v>
      </c>
      <c r="D3905" t="inlineStr">
        <is>
          <t>VÄSTERNORRLANDS LÄN</t>
        </is>
      </c>
      <c r="E3905" t="inlineStr">
        <is>
          <t>ÖRNSKÖLDSVIK</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33596-2025</t>
        </is>
      </c>
      <c r="B3906" s="1" t="n">
        <v>45841.6034375</v>
      </c>
      <c r="C3906" s="1" t="n">
        <v>46185</v>
      </c>
      <c r="D3906" t="inlineStr">
        <is>
          <t>VÄSTERNORRLANDS LÄN</t>
        </is>
      </c>
      <c r="E3906" t="inlineStr">
        <is>
          <t>ÖRNSKÖLDSVIK</t>
        </is>
      </c>
      <c r="F3906" t="inlineStr">
        <is>
          <t>Holmen skog AB</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33649-2025</t>
        </is>
      </c>
      <c r="B3907" s="1" t="n">
        <v>45841.65697916667</v>
      </c>
      <c r="C3907" s="1" t="n">
        <v>46185</v>
      </c>
      <c r="D3907" t="inlineStr">
        <is>
          <t>VÄSTERNORRLANDS LÄN</t>
        </is>
      </c>
      <c r="E3907" t="inlineStr">
        <is>
          <t>SUNDSVALL</t>
        </is>
      </c>
      <c r="F3907" t="inlineStr">
        <is>
          <t>SCA</t>
        </is>
      </c>
      <c r="G3907" t="n">
        <v>7.8</v>
      </c>
      <c r="H3907" t="n">
        <v>0</v>
      </c>
      <c r="I3907" t="n">
        <v>0</v>
      </c>
      <c r="J3907" t="n">
        <v>0</v>
      </c>
      <c r="K3907" t="n">
        <v>0</v>
      </c>
      <c r="L3907" t="n">
        <v>0</v>
      </c>
      <c r="M3907" t="n">
        <v>0</v>
      </c>
      <c r="N3907" t="n">
        <v>0</v>
      </c>
      <c r="O3907" t="n">
        <v>0</v>
      </c>
      <c r="P3907" t="n">
        <v>0</v>
      </c>
      <c r="Q3907" t="n">
        <v>0</v>
      </c>
      <c r="R3907" s="2" t="inlineStr"/>
    </row>
    <row r="3908" ht="15" customHeight="1">
      <c r="A3908" t="inlineStr">
        <is>
          <t>A 44490-2025</t>
        </is>
      </c>
      <c r="B3908" s="1" t="n">
        <v>45916.6590162037</v>
      </c>
      <c r="C3908" s="1" t="n">
        <v>46185</v>
      </c>
      <c r="D3908" t="inlineStr">
        <is>
          <t>VÄSTERNORRLANDS LÄN</t>
        </is>
      </c>
      <c r="E3908" t="inlineStr">
        <is>
          <t>ÖRNSKÖLDSVIK</t>
        </is>
      </c>
      <c r="F3908" t="inlineStr">
        <is>
          <t>Holmen skog AB</t>
        </is>
      </c>
      <c r="G3908" t="n">
        <v>18.1</v>
      </c>
      <c r="H3908" t="n">
        <v>0</v>
      </c>
      <c r="I3908" t="n">
        <v>0</v>
      </c>
      <c r="J3908" t="n">
        <v>0</v>
      </c>
      <c r="K3908" t="n">
        <v>0</v>
      </c>
      <c r="L3908" t="n">
        <v>0</v>
      </c>
      <c r="M3908" t="n">
        <v>0</v>
      </c>
      <c r="N3908" t="n">
        <v>0</v>
      </c>
      <c r="O3908" t="n">
        <v>0</v>
      </c>
      <c r="P3908" t="n">
        <v>0</v>
      </c>
      <c r="Q3908" t="n">
        <v>0</v>
      </c>
      <c r="R3908" s="2" t="inlineStr"/>
    </row>
    <row r="3909" ht="15" customHeight="1">
      <c r="A3909" t="inlineStr">
        <is>
          <t>A 33452-2025</t>
        </is>
      </c>
      <c r="B3909" s="1" t="n">
        <v>45841.46940972222</v>
      </c>
      <c r="C3909" s="1" t="n">
        <v>46185</v>
      </c>
      <c r="D3909" t="inlineStr">
        <is>
          <t>VÄSTERNORRLANDS LÄN</t>
        </is>
      </c>
      <c r="E3909" t="inlineStr">
        <is>
          <t>SOLLEFTEÅ</t>
        </is>
      </c>
      <c r="F3909" t="inlineStr">
        <is>
          <t>SCA</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33359-2025</t>
        </is>
      </c>
      <c r="B3910" s="1" t="n">
        <v>45841.38116898148</v>
      </c>
      <c r="C3910" s="1" t="n">
        <v>46185</v>
      </c>
      <c r="D3910" t="inlineStr">
        <is>
          <t>VÄSTERNORRLANDS LÄN</t>
        </is>
      </c>
      <c r="E3910" t="inlineStr">
        <is>
          <t>ÖRNSKÖLDSVIK</t>
        </is>
      </c>
      <c r="F3910" t="inlineStr">
        <is>
          <t>Holmen skog AB</t>
        </is>
      </c>
      <c r="G3910" t="n">
        <v>11.2</v>
      </c>
      <c r="H3910" t="n">
        <v>0</v>
      </c>
      <c r="I3910" t="n">
        <v>0</v>
      </c>
      <c r="J3910" t="n">
        <v>0</v>
      </c>
      <c r="K3910" t="n">
        <v>0</v>
      </c>
      <c r="L3910" t="n">
        <v>0</v>
      </c>
      <c r="M3910" t="n">
        <v>0</v>
      </c>
      <c r="N3910" t="n">
        <v>0</v>
      </c>
      <c r="O3910" t="n">
        <v>0</v>
      </c>
      <c r="P3910" t="n">
        <v>0</v>
      </c>
      <c r="Q3910" t="n">
        <v>0</v>
      </c>
      <c r="R3910" s="2" t="inlineStr"/>
    </row>
    <row r="3911" ht="15" customHeight="1">
      <c r="A3911" t="inlineStr">
        <is>
          <t>A 33852-2025</t>
        </is>
      </c>
      <c r="B3911" s="1" t="n">
        <v>45842.51079861111</v>
      </c>
      <c r="C3911" s="1" t="n">
        <v>46185</v>
      </c>
      <c r="D3911" t="inlineStr">
        <is>
          <t>VÄSTERNORRLANDS LÄN</t>
        </is>
      </c>
      <c r="E3911" t="inlineStr">
        <is>
          <t>SOLLEFTEÅ</t>
        </is>
      </c>
      <c r="F3911" t="inlineStr">
        <is>
          <t>SCA</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44033-2025</t>
        </is>
      </c>
      <c r="B3912" s="1" t="n">
        <v>45915.49049768518</v>
      </c>
      <c r="C3912" s="1" t="n">
        <v>46185</v>
      </c>
      <c r="D3912" t="inlineStr">
        <is>
          <t>VÄSTERNORRLANDS LÄN</t>
        </is>
      </c>
      <c r="E3912" t="inlineStr">
        <is>
          <t>TIMRÅ</t>
        </is>
      </c>
      <c r="F3912" t="inlineStr">
        <is>
          <t>SCA</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22729-2022</t>
        </is>
      </c>
      <c r="B3913" s="1" t="n">
        <v>44714.65461805555</v>
      </c>
      <c r="C3913" s="1" t="n">
        <v>46185</v>
      </c>
      <c r="D3913" t="inlineStr">
        <is>
          <t>VÄSTERNORRLANDS LÄN</t>
        </is>
      </c>
      <c r="E3913" t="inlineStr">
        <is>
          <t>SUNDSVALL</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44039-2025</t>
        </is>
      </c>
      <c r="B3914" s="1" t="n">
        <v>45915.49113425926</v>
      </c>
      <c r="C3914" s="1" t="n">
        <v>46185</v>
      </c>
      <c r="D3914" t="inlineStr">
        <is>
          <t>VÄSTERNORRLANDS LÄN</t>
        </is>
      </c>
      <c r="E3914" t="inlineStr">
        <is>
          <t>HÄRNÖSAND</t>
        </is>
      </c>
      <c r="F3914" t="inlineStr">
        <is>
          <t>SCA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33886-2025</t>
        </is>
      </c>
      <c r="B3915" s="1" t="n">
        <v>45842.57224537037</v>
      </c>
      <c r="C3915" s="1" t="n">
        <v>46185</v>
      </c>
      <c r="D3915" t="inlineStr">
        <is>
          <t>VÄSTERNORRLANDS LÄN</t>
        </is>
      </c>
      <c r="E3915" t="inlineStr">
        <is>
          <t>ÖRNSKÖLDSVIK</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7009-2023</t>
        </is>
      </c>
      <c r="B3916" s="1" t="n">
        <v>44967.92959490741</v>
      </c>
      <c r="C3916" s="1" t="n">
        <v>46185</v>
      </c>
      <c r="D3916" t="inlineStr">
        <is>
          <t>VÄSTERNORRLANDS LÄN</t>
        </is>
      </c>
      <c r="E3916" t="inlineStr">
        <is>
          <t>SOLLEFTEÅ</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43981-2025</t>
        </is>
      </c>
      <c r="B3917" s="1" t="n">
        <v>45915.42752314815</v>
      </c>
      <c r="C3917" s="1" t="n">
        <v>46185</v>
      </c>
      <c r="D3917" t="inlineStr">
        <is>
          <t>VÄSTERNORRLANDS LÄN</t>
        </is>
      </c>
      <c r="E3917" t="inlineStr">
        <is>
          <t>SUNDSVALL</t>
        </is>
      </c>
      <c r="F3917" t="inlineStr">
        <is>
          <t>Naturvårdsverket</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44471-2025</t>
        </is>
      </c>
      <c r="B3918" s="1" t="n">
        <v>45916.64369212963</v>
      </c>
      <c r="C3918" s="1" t="n">
        <v>46185</v>
      </c>
      <c r="D3918" t="inlineStr">
        <is>
          <t>VÄSTERNORRLANDS LÄN</t>
        </is>
      </c>
      <c r="E3918" t="inlineStr">
        <is>
          <t>ÖRNSKÖLDSVIK</t>
        </is>
      </c>
      <c r="F3918" t="inlineStr">
        <is>
          <t>Holmen skog AB</t>
        </is>
      </c>
      <c r="G3918" t="n">
        <v>13.2</v>
      </c>
      <c r="H3918" t="n">
        <v>0</v>
      </c>
      <c r="I3918" t="n">
        <v>0</v>
      </c>
      <c r="J3918" t="n">
        <v>0</v>
      </c>
      <c r="K3918" t="n">
        <v>0</v>
      </c>
      <c r="L3918" t="n">
        <v>0</v>
      </c>
      <c r="M3918" t="n">
        <v>0</v>
      </c>
      <c r="N3918" t="n">
        <v>0</v>
      </c>
      <c r="O3918" t="n">
        <v>0</v>
      </c>
      <c r="P3918" t="n">
        <v>0</v>
      </c>
      <c r="Q3918" t="n">
        <v>0</v>
      </c>
      <c r="R3918" s="2" t="inlineStr"/>
    </row>
    <row r="3919" ht="15" customHeight="1">
      <c r="A3919" t="inlineStr">
        <is>
          <t>A 51059-2024</t>
        </is>
      </c>
      <c r="B3919" s="1" t="n">
        <v>45603</v>
      </c>
      <c r="C3919" s="1" t="n">
        <v>46185</v>
      </c>
      <c r="D3919" t="inlineStr">
        <is>
          <t>VÄSTERNORRLANDS LÄN</t>
        </is>
      </c>
      <c r="E3919" t="inlineStr">
        <is>
          <t>ÅNGE</t>
        </is>
      </c>
      <c r="F3919" t="inlineStr">
        <is>
          <t>SCA</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44150-2025</t>
        </is>
      </c>
      <c r="B3920" s="1" t="n">
        <v>45915.59415509259</v>
      </c>
      <c r="C3920" s="1" t="n">
        <v>46185</v>
      </c>
      <c r="D3920" t="inlineStr">
        <is>
          <t>VÄSTERNORRLANDS LÄN</t>
        </is>
      </c>
      <c r="E3920" t="inlineStr">
        <is>
          <t>SUNDSVALL</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44151-2025</t>
        </is>
      </c>
      <c r="B3921" s="1" t="n">
        <v>45915.59424768519</v>
      </c>
      <c r="C3921" s="1" t="n">
        <v>46185</v>
      </c>
      <c r="D3921" t="inlineStr">
        <is>
          <t>VÄSTERNORRLANDS LÄN</t>
        </is>
      </c>
      <c r="E3921" t="inlineStr">
        <is>
          <t>SUNDSVALL</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34674-2024</t>
        </is>
      </c>
      <c r="B3922" s="1" t="n">
        <v>45526</v>
      </c>
      <c r="C3922" s="1" t="n">
        <v>46185</v>
      </c>
      <c r="D3922" t="inlineStr">
        <is>
          <t>VÄSTERNORRLANDS LÄN</t>
        </is>
      </c>
      <c r="E3922" t="inlineStr">
        <is>
          <t>ÖRNSKÖLDSVIK</t>
        </is>
      </c>
      <c r="F3922" t="inlineStr">
        <is>
          <t>Holmen skog AB</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44387-2025</t>
        </is>
      </c>
      <c r="B3923" s="1" t="n">
        <v>45916.48994212963</v>
      </c>
      <c r="C3923" s="1" t="n">
        <v>46185</v>
      </c>
      <c r="D3923" t="inlineStr">
        <is>
          <t>VÄSTERNORRLANDS LÄN</t>
        </is>
      </c>
      <c r="E3923" t="inlineStr">
        <is>
          <t>SOLLEFTEÅ</t>
        </is>
      </c>
      <c r="F3923" t="inlineStr">
        <is>
          <t>SCA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34428-2025</t>
        </is>
      </c>
      <c r="B3924" s="1" t="n">
        <v>45845</v>
      </c>
      <c r="C3924" s="1" t="n">
        <v>46185</v>
      </c>
      <c r="D3924" t="inlineStr">
        <is>
          <t>VÄSTERNORRLANDS LÄN</t>
        </is>
      </c>
      <c r="E3924" t="inlineStr">
        <is>
          <t>ÖRNSKÖLDSVIK</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44002-2025</t>
        </is>
      </c>
      <c r="B3925" s="1" t="n">
        <v>45915.45387731482</v>
      </c>
      <c r="C3925" s="1" t="n">
        <v>46185</v>
      </c>
      <c r="D3925" t="inlineStr">
        <is>
          <t>VÄSTERNORRLANDS LÄN</t>
        </is>
      </c>
      <c r="E3925" t="inlineStr">
        <is>
          <t>ÖRNSKÖLDSVIK</t>
        </is>
      </c>
      <c r="F3925" t="inlineStr">
        <is>
          <t>Holmen skog AB</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34229-2025</t>
        </is>
      </c>
      <c r="B3926" s="1" t="n">
        <v>45845.65732638889</v>
      </c>
      <c r="C3926" s="1" t="n">
        <v>46185</v>
      </c>
      <c r="D3926" t="inlineStr">
        <is>
          <t>VÄSTERNORRLANDS LÄN</t>
        </is>
      </c>
      <c r="E3926" t="inlineStr">
        <is>
          <t>TIMRÅ</t>
        </is>
      </c>
      <c r="F3926" t="inlineStr">
        <is>
          <t>SCA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44008-2025</t>
        </is>
      </c>
      <c r="B3927" s="1" t="n">
        <v>45915.45916666667</v>
      </c>
      <c r="C3927" s="1" t="n">
        <v>46185</v>
      </c>
      <c r="D3927" t="inlineStr">
        <is>
          <t>VÄSTERNORRLANDS LÄN</t>
        </is>
      </c>
      <c r="E3927" t="inlineStr">
        <is>
          <t>ÖRNSKÖLDSVIK</t>
        </is>
      </c>
      <c r="F3927" t="inlineStr">
        <is>
          <t>Holmen skog AB</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44123-2025</t>
        </is>
      </c>
      <c r="B3928" s="1" t="n">
        <v>45915.57984953704</v>
      </c>
      <c r="C3928" s="1" t="n">
        <v>46185</v>
      </c>
      <c r="D3928" t="inlineStr">
        <is>
          <t>VÄSTERNORRLANDS LÄN</t>
        </is>
      </c>
      <c r="E3928" t="inlineStr">
        <is>
          <t>ÖRNSKÖLDSVIK</t>
        </is>
      </c>
      <c r="F3928" t="inlineStr">
        <is>
          <t>Holmen skog AB</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44509-2025</t>
        </is>
      </c>
      <c r="B3929" s="1" t="n">
        <v>45916.68762731482</v>
      </c>
      <c r="C3929" s="1" t="n">
        <v>46185</v>
      </c>
      <c r="D3929" t="inlineStr">
        <is>
          <t>VÄSTERNORRLANDS LÄN</t>
        </is>
      </c>
      <c r="E3929" t="inlineStr">
        <is>
          <t>KRAMFORS</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34625-2024</t>
        </is>
      </c>
      <c r="B3930" s="1" t="n">
        <v>45526</v>
      </c>
      <c r="C3930" s="1" t="n">
        <v>46185</v>
      </c>
      <c r="D3930" t="inlineStr">
        <is>
          <t>VÄSTERNORRLANDS LÄN</t>
        </is>
      </c>
      <c r="E3930" t="inlineStr">
        <is>
          <t>ÖRNSKÖLDSVIK</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53856-2024</t>
        </is>
      </c>
      <c r="B3931" s="1" t="n">
        <v>45615</v>
      </c>
      <c r="C3931" s="1" t="n">
        <v>46185</v>
      </c>
      <c r="D3931" t="inlineStr">
        <is>
          <t>VÄSTERNORRLANDS LÄN</t>
        </is>
      </c>
      <c r="E3931" t="inlineStr">
        <is>
          <t>ÅNGE</t>
        </is>
      </c>
      <c r="F3931" t="inlineStr">
        <is>
          <t>SCA</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44222-2025</t>
        </is>
      </c>
      <c r="B3932" s="1" t="n">
        <v>45915.63806712963</v>
      </c>
      <c r="C3932" s="1" t="n">
        <v>46185</v>
      </c>
      <c r="D3932" t="inlineStr">
        <is>
          <t>VÄSTERNORRLANDS LÄN</t>
        </is>
      </c>
      <c r="E3932" t="inlineStr">
        <is>
          <t>ÖRNSKÖLDSVIK</t>
        </is>
      </c>
      <c r="F3932" t="inlineStr">
        <is>
          <t>Holmen skog AB</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34638-2024</t>
        </is>
      </c>
      <c r="B3933" s="1" t="n">
        <v>45526</v>
      </c>
      <c r="C3933" s="1" t="n">
        <v>46185</v>
      </c>
      <c r="D3933" t="inlineStr">
        <is>
          <t>VÄSTERNORRLANDS LÄN</t>
        </is>
      </c>
      <c r="E3933" t="inlineStr">
        <is>
          <t>SOLLEFTEÅ</t>
        </is>
      </c>
      <c r="F3933" t="inlineStr">
        <is>
          <t>SCA</t>
        </is>
      </c>
      <c r="G3933" t="n">
        <v>3.3</v>
      </c>
      <c r="H3933" t="n">
        <v>0</v>
      </c>
      <c r="I3933" t="n">
        <v>0</v>
      </c>
      <c r="J3933" t="n">
        <v>0</v>
      </c>
      <c r="K3933" t="n">
        <v>0</v>
      </c>
      <c r="L3933" t="n">
        <v>0</v>
      </c>
      <c r="M3933" t="n">
        <v>0</v>
      </c>
      <c r="N3933" t="n">
        <v>0</v>
      </c>
      <c r="O3933" t="n">
        <v>0</v>
      </c>
      <c r="P3933" t="n">
        <v>0</v>
      </c>
      <c r="Q3933" t="n">
        <v>0</v>
      </c>
      <c r="R3933" s="2" t="inlineStr"/>
      <c r="U3933">
        <f>HYPERLINK("https://klasma.github.io/Logging_2283/knärot/A 34638-2024 karta knärot.png", "A 34638-2024")</f>
        <v/>
      </c>
      <c r="V3933">
        <f>HYPERLINK("https://klasma.github.io/Logging_2283/klagomål/A 34638-2024 FSC-klagomål.docx", "A 34638-2024")</f>
        <v/>
      </c>
      <c r="W3933">
        <f>HYPERLINK("https://klasma.github.io/Logging_2283/klagomålsmail/A 34638-2024 FSC-klagomål mail.docx", "A 34638-2024")</f>
        <v/>
      </c>
      <c r="X3933">
        <f>HYPERLINK("https://klasma.github.io/Logging_2283/tillsyn/A 34638-2024 tillsynsbegäran.docx", "A 34638-2024")</f>
        <v/>
      </c>
      <c r="Y3933">
        <f>HYPERLINK("https://klasma.github.io/Logging_2283/tillsynsmail/A 34638-2024 tillsynsbegäran mail.docx", "A 34638-2024")</f>
        <v/>
      </c>
    </row>
    <row r="3934" ht="15" customHeight="1">
      <c r="A3934" t="inlineStr">
        <is>
          <t>A 34679-2024</t>
        </is>
      </c>
      <c r="B3934" s="1" t="n">
        <v>45526</v>
      </c>
      <c r="C3934" s="1" t="n">
        <v>46185</v>
      </c>
      <c r="D3934" t="inlineStr">
        <is>
          <t>VÄSTERNORRLANDS LÄN</t>
        </is>
      </c>
      <c r="E3934" t="inlineStr">
        <is>
          <t>ÅNGE</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44266-2025</t>
        </is>
      </c>
      <c r="B3935" s="1" t="n">
        <v>45916.295625</v>
      </c>
      <c r="C3935" s="1" t="n">
        <v>46185</v>
      </c>
      <c r="D3935" t="inlineStr">
        <is>
          <t>VÄSTERNORRLANDS LÄN</t>
        </is>
      </c>
      <c r="E3935" t="inlineStr">
        <is>
          <t>ÖRNSKÖLDSVIK</t>
        </is>
      </c>
      <c r="F3935" t="inlineStr">
        <is>
          <t>Holmen skog AB</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10047-2023</t>
        </is>
      </c>
      <c r="B3936" s="1" t="n">
        <v>44977</v>
      </c>
      <c r="C3936" s="1" t="n">
        <v>46185</v>
      </c>
      <c r="D3936" t="inlineStr">
        <is>
          <t>VÄSTERNORRLANDS LÄN</t>
        </is>
      </c>
      <c r="E3936" t="inlineStr">
        <is>
          <t>SUNDSVALL</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34431-2025</t>
        </is>
      </c>
      <c r="B3937" s="1" t="n">
        <v>45845</v>
      </c>
      <c r="C3937" s="1" t="n">
        <v>46185</v>
      </c>
      <c r="D3937" t="inlineStr">
        <is>
          <t>VÄSTERNORRLANDS LÄN</t>
        </is>
      </c>
      <c r="E3937" t="inlineStr">
        <is>
          <t>ÖRNSKÖLDSVIK</t>
        </is>
      </c>
      <c r="G3937" t="n">
        <v>7.4</v>
      </c>
      <c r="H3937" t="n">
        <v>0</v>
      </c>
      <c r="I3937" t="n">
        <v>0</v>
      </c>
      <c r="J3937" t="n">
        <v>0</v>
      </c>
      <c r="K3937" t="n">
        <v>0</v>
      </c>
      <c r="L3937" t="n">
        <v>0</v>
      </c>
      <c r="M3937" t="n">
        <v>0</v>
      </c>
      <c r="N3937" t="n">
        <v>0</v>
      </c>
      <c r="O3937" t="n">
        <v>0</v>
      </c>
      <c r="P3937" t="n">
        <v>0</v>
      </c>
      <c r="Q3937" t="n">
        <v>0</v>
      </c>
      <c r="R3937" s="2" t="inlineStr"/>
    </row>
    <row r="3938" ht="15" customHeight="1">
      <c r="A3938" t="inlineStr">
        <is>
          <t>A 34432-2025</t>
        </is>
      </c>
      <c r="B3938" s="1" t="n">
        <v>45845</v>
      </c>
      <c r="C3938" s="1" t="n">
        <v>46185</v>
      </c>
      <c r="D3938" t="inlineStr">
        <is>
          <t>VÄSTERNORRLANDS LÄN</t>
        </is>
      </c>
      <c r="E3938" t="inlineStr">
        <is>
          <t>ÖRNSKÖLDSVIK</t>
        </is>
      </c>
      <c r="G3938" t="n">
        <v>6.4</v>
      </c>
      <c r="H3938" t="n">
        <v>0</v>
      </c>
      <c r="I3938" t="n">
        <v>0</v>
      </c>
      <c r="J3938" t="n">
        <v>0</v>
      </c>
      <c r="K3938" t="n">
        <v>0</v>
      </c>
      <c r="L3938" t="n">
        <v>0</v>
      </c>
      <c r="M3938" t="n">
        <v>0</v>
      </c>
      <c r="N3938" t="n">
        <v>0</v>
      </c>
      <c r="O3938" t="n">
        <v>0</v>
      </c>
      <c r="P3938" t="n">
        <v>0</v>
      </c>
      <c r="Q3938" t="n">
        <v>0</v>
      </c>
      <c r="R3938" s="2" t="inlineStr"/>
    </row>
    <row r="3939" ht="15" customHeight="1">
      <c r="A3939" t="inlineStr">
        <is>
          <t>A 2836-2026</t>
        </is>
      </c>
      <c r="B3939" s="1" t="n">
        <v>46036</v>
      </c>
      <c r="C3939" s="1" t="n">
        <v>46185</v>
      </c>
      <c r="D3939" t="inlineStr">
        <is>
          <t>VÄSTERNORRLANDS LÄN</t>
        </is>
      </c>
      <c r="E3939" t="inlineStr">
        <is>
          <t>SOLLEFTEÅ</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44284-2025</t>
        </is>
      </c>
      <c r="B3940" s="1" t="n">
        <v>45916.34548611111</v>
      </c>
      <c r="C3940" s="1" t="n">
        <v>46185</v>
      </c>
      <c r="D3940" t="inlineStr">
        <is>
          <t>VÄSTERNORRLANDS LÄN</t>
        </is>
      </c>
      <c r="E3940" t="inlineStr">
        <is>
          <t>SUNDSVALL</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44426-2025</t>
        </is>
      </c>
      <c r="B3941" s="1" t="n">
        <v>45916</v>
      </c>
      <c r="C3941" s="1" t="n">
        <v>46185</v>
      </c>
      <c r="D3941" t="inlineStr">
        <is>
          <t>VÄSTERNORRLANDS LÄN</t>
        </is>
      </c>
      <c r="E3941" t="inlineStr">
        <is>
          <t>SUNDSVALL</t>
        </is>
      </c>
      <c r="G3941" t="n">
        <v>2.4</v>
      </c>
      <c r="H3941" t="n">
        <v>0</v>
      </c>
      <c r="I3941" t="n">
        <v>0</v>
      </c>
      <c r="J3941" t="n">
        <v>0</v>
      </c>
      <c r="K3941" t="n">
        <v>0</v>
      </c>
      <c r="L3941" t="n">
        <v>0</v>
      </c>
      <c r="M3941" t="n">
        <v>0</v>
      </c>
      <c r="N3941" t="n">
        <v>0</v>
      </c>
      <c r="O3941" t="n">
        <v>0</v>
      </c>
      <c r="P3941" t="n">
        <v>0</v>
      </c>
      <c r="Q3941" t="n">
        <v>0</v>
      </c>
      <c r="R3941" s="2" t="inlineStr"/>
      <c r="U3941">
        <f>HYPERLINK("https://klasma.github.io/Logging_2281/knärot/A 44426-2025 karta knärot.png", "A 44426-2025")</f>
        <v/>
      </c>
      <c r="V3941">
        <f>HYPERLINK("https://klasma.github.io/Logging_2281/klagomål/A 44426-2025 FSC-klagomål.docx", "A 44426-2025")</f>
        <v/>
      </c>
      <c r="W3941">
        <f>HYPERLINK("https://klasma.github.io/Logging_2281/klagomålsmail/A 44426-2025 FSC-klagomål mail.docx", "A 44426-2025")</f>
        <v/>
      </c>
      <c r="X3941">
        <f>HYPERLINK("https://klasma.github.io/Logging_2281/tillsyn/A 44426-2025 tillsynsbegäran.docx", "A 44426-2025")</f>
        <v/>
      </c>
      <c r="Y3941">
        <f>HYPERLINK("https://klasma.github.io/Logging_2281/tillsynsmail/A 44426-2025 tillsynsbegäran mail.docx", "A 44426-2025")</f>
        <v/>
      </c>
    </row>
    <row r="3942" ht="15" customHeight="1">
      <c r="A3942" t="inlineStr">
        <is>
          <t>A 46630-2024</t>
        </is>
      </c>
      <c r="B3942" s="1" t="n">
        <v>45583.33315972222</v>
      </c>
      <c r="C3942" s="1" t="n">
        <v>46185</v>
      </c>
      <c r="D3942" t="inlineStr">
        <is>
          <t>VÄSTERNORRLANDS LÄN</t>
        </is>
      </c>
      <c r="E3942" t="inlineStr">
        <is>
          <t>ÖRNSKÖLDSVIK</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11479-2022</t>
        </is>
      </c>
      <c r="B3943" s="1" t="n">
        <v>44630.92299768519</v>
      </c>
      <c r="C3943" s="1" t="n">
        <v>46185</v>
      </c>
      <c r="D3943" t="inlineStr">
        <is>
          <t>VÄSTERNORRLANDS LÄN</t>
        </is>
      </c>
      <c r="E3943" t="inlineStr">
        <is>
          <t>TIMRÅ</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44032-2025</t>
        </is>
      </c>
      <c r="B3944" s="1" t="n">
        <v>45915.49033564814</v>
      </c>
      <c r="C3944" s="1" t="n">
        <v>46185</v>
      </c>
      <c r="D3944" t="inlineStr">
        <is>
          <t>VÄSTERNORRLANDS LÄN</t>
        </is>
      </c>
      <c r="E3944" t="inlineStr">
        <is>
          <t>HÄRNÖSAND</t>
        </is>
      </c>
      <c r="F3944" t="inlineStr">
        <is>
          <t>SCA</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44325-2025</t>
        </is>
      </c>
      <c r="B3945" s="1" t="n">
        <v>45916.40726851852</v>
      </c>
      <c r="C3945" s="1" t="n">
        <v>46185</v>
      </c>
      <c r="D3945" t="inlineStr">
        <is>
          <t>VÄSTERNORRLANDS LÄN</t>
        </is>
      </c>
      <c r="E3945" t="inlineStr">
        <is>
          <t>TIMRÅ</t>
        </is>
      </c>
      <c r="F3945" t="inlineStr">
        <is>
          <t>SCA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58419-2022</t>
        </is>
      </c>
      <c r="B3946" s="1" t="n">
        <v>44901</v>
      </c>
      <c r="C3946" s="1" t="n">
        <v>46185</v>
      </c>
      <c r="D3946" t="inlineStr">
        <is>
          <t>VÄSTERNORRLANDS LÄN</t>
        </is>
      </c>
      <c r="E3946" t="inlineStr">
        <is>
          <t>SUNDSVALL</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58445-2022</t>
        </is>
      </c>
      <c r="B3947" s="1" t="n">
        <v>44901.95453703704</v>
      </c>
      <c r="C3947" s="1" t="n">
        <v>46185</v>
      </c>
      <c r="D3947" t="inlineStr">
        <is>
          <t>VÄSTERNORRLANDS LÄN</t>
        </is>
      </c>
      <c r="E3947" t="inlineStr">
        <is>
          <t>ÅNGE</t>
        </is>
      </c>
      <c r="F3947" t="inlineStr">
        <is>
          <t>SCA</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44105-2025</t>
        </is>
      </c>
      <c r="B3948" s="1" t="n">
        <v>45915.57025462963</v>
      </c>
      <c r="C3948" s="1" t="n">
        <v>46185</v>
      </c>
      <c r="D3948" t="inlineStr">
        <is>
          <t>VÄSTERNORRLANDS LÄN</t>
        </is>
      </c>
      <c r="E3948" t="inlineStr">
        <is>
          <t>ÖRNSKÖLDSVIK</t>
        </is>
      </c>
      <c r="F3948" t="inlineStr">
        <is>
          <t>Holmen skog AB</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34074-2025</t>
        </is>
      </c>
      <c r="B3949" s="1" t="n">
        <v>45845.44815972223</v>
      </c>
      <c r="C3949" s="1" t="n">
        <v>46185</v>
      </c>
      <c r="D3949" t="inlineStr">
        <is>
          <t>VÄSTERNORRLANDS LÄN</t>
        </is>
      </c>
      <c r="E3949" t="inlineStr">
        <is>
          <t>ÖRNSKÖLDSVIK</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34383-2025</t>
        </is>
      </c>
      <c r="B3950" s="1" t="n">
        <v>45846.55236111111</v>
      </c>
      <c r="C3950" s="1" t="n">
        <v>46185</v>
      </c>
      <c r="D3950" t="inlineStr">
        <is>
          <t>VÄSTERNORRLANDS LÄN</t>
        </is>
      </c>
      <c r="E3950" t="inlineStr">
        <is>
          <t>SUNDSVALL</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44255-2025</t>
        </is>
      </c>
      <c r="B3951" s="1" t="n">
        <v>45915.73341435185</v>
      </c>
      <c r="C3951" s="1" t="n">
        <v>46185</v>
      </c>
      <c r="D3951" t="inlineStr">
        <is>
          <t>VÄSTERNORRLANDS LÄN</t>
        </is>
      </c>
      <c r="E3951" t="inlineStr">
        <is>
          <t>ÖRNSKÖLDSVIK</t>
        </is>
      </c>
      <c r="G3951" t="n">
        <v>8.5</v>
      </c>
      <c r="H3951" t="n">
        <v>0</v>
      </c>
      <c r="I3951" t="n">
        <v>0</v>
      </c>
      <c r="J3951" t="n">
        <v>0</v>
      </c>
      <c r="K3951" t="n">
        <v>0</v>
      </c>
      <c r="L3951" t="n">
        <v>0</v>
      </c>
      <c r="M3951" t="n">
        <v>0</v>
      </c>
      <c r="N3951" t="n">
        <v>0</v>
      </c>
      <c r="O3951" t="n">
        <v>0</v>
      </c>
      <c r="P3951" t="n">
        <v>0</v>
      </c>
      <c r="Q3951" t="n">
        <v>0</v>
      </c>
      <c r="R3951" s="2" t="inlineStr"/>
    </row>
    <row r="3952" ht="15" customHeight="1">
      <c r="A3952" t="inlineStr">
        <is>
          <t>A 34427-2025</t>
        </is>
      </c>
      <c r="B3952" s="1" t="n">
        <v>45846.67054398148</v>
      </c>
      <c r="C3952" s="1" t="n">
        <v>46185</v>
      </c>
      <c r="D3952" t="inlineStr">
        <is>
          <t>VÄSTERNORRLANDS LÄN</t>
        </is>
      </c>
      <c r="E3952" t="inlineStr">
        <is>
          <t>ÖRNSKÖLDSVIK</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44358-2025</t>
        </is>
      </c>
      <c r="B3953" s="1" t="n">
        <v>45915</v>
      </c>
      <c r="C3953" s="1" t="n">
        <v>46185</v>
      </c>
      <c r="D3953" t="inlineStr">
        <is>
          <t>VÄSTERNORRLANDS LÄN</t>
        </is>
      </c>
      <c r="E3953" t="inlineStr">
        <is>
          <t>ÖRNSKÖLDSVIK</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44277-2025</t>
        </is>
      </c>
      <c r="B3954" s="1" t="n">
        <v>45916.34471064815</v>
      </c>
      <c r="C3954" s="1" t="n">
        <v>46185</v>
      </c>
      <c r="D3954" t="inlineStr">
        <is>
          <t>VÄSTERNORRLANDS LÄN</t>
        </is>
      </c>
      <c r="E3954" t="inlineStr">
        <is>
          <t>HÄRNÖSAND</t>
        </is>
      </c>
      <c r="F3954" t="inlineStr">
        <is>
          <t>SCA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44388-2025</t>
        </is>
      </c>
      <c r="B3955" s="1" t="n">
        <v>45916.49010416667</v>
      </c>
      <c r="C3955" s="1" t="n">
        <v>46185</v>
      </c>
      <c r="D3955" t="inlineStr">
        <is>
          <t>VÄSTERNORRLANDS LÄN</t>
        </is>
      </c>
      <c r="E3955" t="inlineStr">
        <is>
          <t>SUNDSVALL</t>
        </is>
      </c>
      <c r="F3955" t="inlineStr">
        <is>
          <t>Naturvårdsverket</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39795-2023</t>
        </is>
      </c>
      <c r="B3956" s="1" t="n">
        <v>45167</v>
      </c>
      <c r="C3956" s="1" t="n">
        <v>46185</v>
      </c>
      <c r="D3956" t="inlineStr">
        <is>
          <t>VÄSTERNORRLANDS LÄN</t>
        </is>
      </c>
      <c r="E3956" t="inlineStr">
        <is>
          <t>SUNDSVALL</t>
        </is>
      </c>
      <c r="G3956" t="n">
        <v>15.2</v>
      </c>
      <c r="H3956" t="n">
        <v>0</v>
      </c>
      <c r="I3956" t="n">
        <v>0</v>
      </c>
      <c r="J3956" t="n">
        <v>0</v>
      </c>
      <c r="K3956" t="n">
        <v>0</v>
      </c>
      <c r="L3956" t="n">
        <v>0</v>
      </c>
      <c r="M3956" t="n">
        <v>0</v>
      </c>
      <c r="N3956" t="n">
        <v>0</v>
      </c>
      <c r="O3956" t="n">
        <v>0</v>
      </c>
      <c r="P3956" t="n">
        <v>0</v>
      </c>
      <c r="Q3956" t="n">
        <v>0</v>
      </c>
      <c r="R3956" s="2" t="inlineStr"/>
    </row>
    <row r="3957" ht="15" customHeight="1">
      <c r="A3957" t="inlineStr">
        <is>
          <t>A 53301-2024</t>
        </is>
      </c>
      <c r="B3957" s="1" t="n">
        <v>45614.3884837963</v>
      </c>
      <c r="C3957" s="1" t="n">
        <v>46185</v>
      </c>
      <c r="D3957" t="inlineStr">
        <is>
          <t>VÄSTERNORRLANDS LÄN</t>
        </is>
      </c>
      <c r="E3957" t="inlineStr">
        <is>
          <t>TIMRÅ</t>
        </is>
      </c>
      <c r="F3957" t="inlineStr">
        <is>
          <t>SCA</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34031-2025</t>
        </is>
      </c>
      <c r="B3958" s="1" t="n">
        <v>45845.36508101852</v>
      </c>
      <c r="C3958" s="1" t="n">
        <v>46185</v>
      </c>
      <c r="D3958" t="inlineStr">
        <is>
          <t>VÄSTERNORRLANDS LÄN</t>
        </is>
      </c>
      <c r="E3958" t="inlineStr">
        <is>
          <t>ÅNGE</t>
        </is>
      </c>
      <c r="F3958" t="inlineStr">
        <is>
          <t>SCA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34063-2025</t>
        </is>
      </c>
      <c r="B3959" s="1" t="n">
        <v>45845.42737268518</v>
      </c>
      <c r="C3959" s="1" t="n">
        <v>46185</v>
      </c>
      <c r="D3959" t="inlineStr">
        <is>
          <t>VÄSTERNORRLANDS LÄN</t>
        </is>
      </c>
      <c r="E3959" t="inlineStr">
        <is>
          <t>ÖRNSKÖLDSVIK</t>
        </is>
      </c>
      <c r="G3959" t="n">
        <v>6.2</v>
      </c>
      <c r="H3959" t="n">
        <v>0</v>
      </c>
      <c r="I3959" t="n">
        <v>0</v>
      </c>
      <c r="J3959" t="n">
        <v>0</v>
      </c>
      <c r="K3959" t="n">
        <v>0</v>
      </c>
      <c r="L3959" t="n">
        <v>0</v>
      </c>
      <c r="M3959" t="n">
        <v>0</v>
      </c>
      <c r="N3959" t="n">
        <v>0</v>
      </c>
      <c r="O3959" t="n">
        <v>0</v>
      </c>
      <c r="P3959" t="n">
        <v>0</v>
      </c>
      <c r="Q3959" t="n">
        <v>0</v>
      </c>
      <c r="R3959" s="2" t="inlineStr"/>
    </row>
    <row r="3960" ht="15" customHeight="1">
      <c r="A3960" t="inlineStr">
        <is>
          <t>A 44837-2025</t>
        </is>
      </c>
      <c r="B3960" s="1" t="n">
        <v>45918.42329861111</v>
      </c>
      <c r="C3960" s="1" t="n">
        <v>46185</v>
      </c>
      <c r="D3960" t="inlineStr">
        <is>
          <t>VÄSTERNORRLANDS LÄN</t>
        </is>
      </c>
      <c r="E3960" t="inlineStr">
        <is>
          <t>SUNDSVALL</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62076-2022</t>
        </is>
      </c>
      <c r="B3961" s="1" t="n">
        <v>44918.9221412037</v>
      </c>
      <c r="C3961" s="1" t="n">
        <v>46185</v>
      </c>
      <c r="D3961" t="inlineStr">
        <is>
          <t>VÄSTERNORRLANDS LÄN</t>
        </is>
      </c>
      <c r="E3961" t="inlineStr">
        <is>
          <t>SUNDSVALL</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62091-2022</t>
        </is>
      </c>
      <c r="B3962" s="1" t="n">
        <v>44919</v>
      </c>
      <c r="C3962" s="1" t="n">
        <v>46185</v>
      </c>
      <c r="D3962" t="inlineStr">
        <is>
          <t>VÄSTERNORRLANDS LÄN</t>
        </is>
      </c>
      <c r="E3962" t="inlineStr">
        <is>
          <t>ÖRNSKÖLDSVIK</t>
        </is>
      </c>
      <c r="G3962" t="n">
        <v>44.3</v>
      </c>
      <c r="H3962" t="n">
        <v>0</v>
      </c>
      <c r="I3962" t="n">
        <v>0</v>
      </c>
      <c r="J3962" t="n">
        <v>0</v>
      </c>
      <c r="K3962" t="n">
        <v>0</v>
      </c>
      <c r="L3962" t="n">
        <v>0</v>
      </c>
      <c r="M3962" t="n">
        <v>0</v>
      </c>
      <c r="N3962" t="n">
        <v>0</v>
      </c>
      <c r="O3962" t="n">
        <v>0</v>
      </c>
      <c r="P3962" t="n">
        <v>0</v>
      </c>
      <c r="Q3962" t="n">
        <v>0</v>
      </c>
      <c r="R3962" s="2" t="inlineStr"/>
    </row>
    <row r="3963" ht="15" customHeight="1">
      <c r="A3963" t="inlineStr">
        <is>
          <t>A 44807-2025</t>
        </is>
      </c>
      <c r="B3963" s="1" t="n">
        <v>45918.36494212963</v>
      </c>
      <c r="C3963" s="1" t="n">
        <v>46185</v>
      </c>
      <c r="D3963" t="inlineStr">
        <is>
          <t>VÄSTERNORRLANDS LÄN</t>
        </is>
      </c>
      <c r="E3963" t="inlineStr">
        <is>
          <t>TIMRÅ</t>
        </is>
      </c>
      <c r="F3963" t="inlineStr">
        <is>
          <t>SCA</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44830-2025</t>
        </is>
      </c>
      <c r="B3964" s="1" t="n">
        <v>45918.4020949074</v>
      </c>
      <c r="C3964" s="1" t="n">
        <v>46185</v>
      </c>
      <c r="D3964" t="inlineStr">
        <is>
          <t>VÄSTERNORRLANDS LÄN</t>
        </is>
      </c>
      <c r="E3964" t="inlineStr">
        <is>
          <t>ÖRNSKÖLDSVIK</t>
        </is>
      </c>
      <c r="F3964" t="inlineStr">
        <is>
          <t>Holmen skog AB</t>
        </is>
      </c>
      <c r="G3964" t="n">
        <v>6.7</v>
      </c>
      <c r="H3964" t="n">
        <v>0</v>
      </c>
      <c r="I3964" t="n">
        <v>0</v>
      </c>
      <c r="J3964" t="n">
        <v>0</v>
      </c>
      <c r="K3964" t="n">
        <v>0</v>
      </c>
      <c r="L3964" t="n">
        <v>0</v>
      </c>
      <c r="M3964" t="n">
        <v>0</v>
      </c>
      <c r="N3964" t="n">
        <v>0</v>
      </c>
      <c r="O3964" t="n">
        <v>0</v>
      </c>
      <c r="P3964" t="n">
        <v>0</v>
      </c>
      <c r="Q3964" t="n">
        <v>0</v>
      </c>
      <c r="R3964" s="2" t="inlineStr"/>
    </row>
    <row r="3965" ht="15" customHeight="1">
      <c r="A3965" t="inlineStr">
        <is>
          <t>A 47283-2023</t>
        </is>
      </c>
      <c r="B3965" s="1" t="n">
        <v>45196</v>
      </c>
      <c r="C3965" s="1" t="n">
        <v>46185</v>
      </c>
      <c r="D3965" t="inlineStr">
        <is>
          <t>VÄSTERNORRLANDS LÄN</t>
        </is>
      </c>
      <c r="E3965" t="inlineStr">
        <is>
          <t>SUNDSVALL</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45028-2025</t>
        </is>
      </c>
      <c r="B3966" s="1" t="n">
        <v>45918.69828703703</v>
      </c>
      <c r="C3966" s="1" t="n">
        <v>46185</v>
      </c>
      <c r="D3966" t="inlineStr">
        <is>
          <t>VÄSTERNORRLANDS LÄN</t>
        </is>
      </c>
      <c r="E3966" t="inlineStr">
        <is>
          <t>SOLLEFTEÅ</t>
        </is>
      </c>
      <c r="F3966" t="inlineStr">
        <is>
          <t>SCA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44582-2025</t>
        </is>
      </c>
      <c r="B3967" s="1" t="n">
        <v>45917.40690972222</v>
      </c>
      <c r="C3967" s="1" t="n">
        <v>46185</v>
      </c>
      <c r="D3967" t="inlineStr">
        <is>
          <t>VÄSTERNORRLANDS LÄN</t>
        </is>
      </c>
      <c r="E3967" t="inlineStr">
        <is>
          <t>SUNDSVALL</t>
        </is>
      </c>
      <c r="F3967" t="inlineStr">
        <is>
          <t>Naturvårdsverket</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36255-2024</t>
        </is>
      </c>
      <c r="B3968" s="1" t="n">
        <v>45534.54318287037</v>
      </c>
      <c r="C3968" s="1" t="n">
        <v>46185</v>
      </c>
      <c r="D3968" t="inlineStr">
        <is>
          <t>VÄSTERNORRLANDS LÄN</t>
        </is>
      </c>
      <c r="E3968" t="inlineStr">
        <is>
          <t>ÖRNSKÖLDSVIK</t>
        </is>
      </c>
      <c r="F3968" t="inlineStr">
        <is>
          <t>Holmen skog AB</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44892-2025</t>
        </is>
      </c>
      <c r="B3969" s="1" t="n">
        <v>45918.50002314815</v>
      </c>
      <c r="C3969" s="1" t="n">
        <v>46185</v>
      </c>
      <c r="D3969" t="inlineStr">
        <is>
          <t>VÄSTERNORRLANDS LÄN</t>
        </is>
      </c>
      <c r="E3969" t="inlineStr">
        <is>
          <t>ÖRNSKÖLDSVIK</t>
        </is>
      </c>
      <c r="F3969" t="inlineStr">
        <is>
          <t>Holmen skog AB</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5267-2025</t>
        </is>
      </c>
      <c r="B3970" s="1" t="n">
        <v>45692.38988425926</v>
      </c>
      <c r="C3970" s="1" t="n">
        <v>46185</v>
      </c>
      <c r="D3970" t="inlineStr">
        <is>
          <t>VÄSTERNORRLANDS LÄN</t>
        </is>
      </c>
      <c r="E3970" t="inlineStr">
        <is>
          <t>SUNDSVALL</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34259-2025</t>
        </is>
      </c>
      <c r="B3971" s="1" t="n">
        <v>45845.71927083333</v>
      </c>
      <c r="C3971" s="1" t="n">
        <v>46185</v>
      </c>
      <c r="D3971" t="inlineStr">
        <is>
          <t>VÄSTERNORRLANDS LÄN</t>
        </is>
      </c>
      <c r="E3971" t="inlineStr">
        <is>
          <t>ÖRNSKÖLDSVIK</t>
        </is>
      </c>
      <c r="F3971" t="inlineStr">
        <is>
          <t>SCA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44746-2025</t>
        </is>
      </c>
      <c r="B3972" s="1" t="n">
        <v>45917.67760416667</v>
      </c>
      <c r="C3972" s="1" t="n">
        <v>46185</v>
      </c>
      <c r="D3972" t="inlineStr">
        <is>
          <t>VÄSTERNORRLANDS LÄN</t>
        </is>
      </c>
      <c r="E3972" t="inlineStr">
        <is>
          <t>SOLLEFTEÅ</t>
        </is>
      </c>
      <c r="F3972" t="inlineStr">
        <is>
          <t>SCA</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44765-2025</t>
        </is>
      </c>
      <c r="B3973" s="1" t="n">
        <v>45917</v>
      </c>
      <c r="C3973" s="1" t="n">
        <v>46185</v>
      </c>
      <c r="D3973" t="inlineStr">
        <is>
          <t>VÄSTERNORRLANDS LÄN</t>
        </is>
      </c>
      <c r="E3973" t="inlineStr">
        <is>
          <t>HÄRNÖSAND</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1856-2026</t>
        </is>
      </c>
      <c r="B3974" s="1" t="n">
        <v>46035</v>
      </c>
      <c r="C3974" s="1" t="n">
        <v>46185</v>
      </c>
      <c r="D3974" t="inlineStr">
        <is>
          <t>VÄSTERNORRLANDS LÄN</t>
        </is>
      </c>
      <c r="E3974" t="inlineStr">
        <is>
          <t>ÖRNSKÖLDSVIK</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44798-2025</t>
        </is>
      </c>
      <c r="B3975" s="1" t="n">
        <v>45918.35047453704</v>
      </c>
      <c r="C3975" s="1" t="n">
        <v>46185</v>
      </c>
      <c r="D3975" t="inlineStr">
        <is>
          <t>VÄSTERNORRLANDS LÄN</t>
        </is>
      </c>
      <c r="E3975" t="inlineStr">
        <is>
          <t>ÖRNSKÖLDSVIK</t>
        </is>
      </c>
      <c r="F3975" t="inlineStr">
        <is>
          <t>Holmen skog AB</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44932-2025</t>
        </is>
      </c>
      <c r="B3976" s="1" t="n">
        <v>45918.57347222222</v>
      </c>
      <c r="C3976" s="1" t="n">
        <v>46185</v>
      </c>
      <c r="D3976" t="inlineStr">
        <is>
          <t>VÄSTERNORRLANDS LÄN</t>
        </is>
      </c>
      <c r="E3976" t="inlineStr">
        <is>
          <t>SUNDSVALL</t>
        </is>
      </c>
      <c r="F3976" t="inlineStr">
        <is>
          <t>Naturvårdsverket</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34051-2025</t>
        </is>
      </c>
      <c r="B3977" s="1" t="n">
        <v>45845.40672453704</v>
      </c>
      <c r="C3977" s="1" t="n">
        <v>46185</v>
      </c>
      <c r="D3977" t="inlineStr">
        <is>
          <t>VÄSTERNORRLANDS LÄN</t>
        </is>
      </c>
      <c r="E3977" t="inlineStr">
        <is>
          <t>SOLLEFTEÅ</t>
        </is>
      </c>
      <c r="F3977" t="inlineStr">
        <is>
          <t>SCA</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61049-2022</t>
        </is>
      </c>
      <c r="B3978" s="1" t="n">
        <v>44914.97056712963</v>
      </c>
      <c r="C3978" s="1" t="n">
        <v>46185</v>
      </c>
      <c r="D3978" t="inlineStr">
        <is>
          <t>VÄSTERNORRLANDS LÄN</t>
        </is>
      </c>
      <c r="E3978" t="inlineStr">
        <is>
          <t>SUNDSVALL</t>
        </is>
      </c>
      <c r="F3978" t="inlineStr">
        <is>
          <t>SCA</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45026-2025</t>
        </is>
      </c>
      <c r="B3979" s="1" t="n">
        <v>45918.69408564815</v>
      </c>
      <c r="C3979" s="1" t="n">
        <v>46185</v>
      </c>
      <c r="D3979" t="inlineStr">
        <is>
          <t>VÄSTERNORRLANDS LÄN</t>
        </is>
      </c>
      <c r="E3979" t="inlineStr">
        <is>
          <t>ÖRNSKÖLDSVIK</t>
        </is>
      </c>
      <c r="F3979" t="inlineStr">
        <is>
          <t>Holmen skog AB</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15809-2024</t>
        </is>
      </c>
      <c r="B3980" s="1" t="n">
        <v>45404</v>
      </c>
      <c r="C3980" s="1" t="n">
        <v>46185</v>
      </c>
      <c r="D3980" t="inlineStr">
        <is>
          <t>VÄSTERNORRLANDS LÄN</t>
        </is>
      </c>
      <c r="E3980" t="inlineStr">
        <is>
          <t>ÖRNSKÖLDSVIK</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34448-2025</t>
        </is>
      </c>
      <c r="B3981" s="1" t="n">
        <v>45845</v>
      </c>
      <c r="C3981" s="1" t="n">
        <v>46185</v>
      </c>
      <c r="D3981" t="inlineStr">
        <is>
          <t>VÄSTERNORRLANDS LÄN</t>
        </is>
      </c>
      <c r="E3981" t="inlineStr">
        <is>
          <t>ÖRNSKÖLDSVIK</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36169-2023</t>
        </is>
      </c>
      <c r="B3982" s="1" t="n">
        <v>45149.63590277778</v>
      </c>
      <c r="C3982" s="1" t="n">
        <v>46185</v>
      </c>
      <c r="D3982" t="inlineStr">
        <is>
          <t>VÄSTERNORRLANDS LÄN</t>
        </is>
      </c>
      <c r="E3982" t="inlineStr">
        <is>
          <t>ÖRNSKÖLDSVIK</t>
        </is>
      </c>
      <c r="F3982" t="inlineStr">
        <is>
          <t>Holmen skog AB</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36203-2023</t>
        </is>
      </c>
      <c r="B3983" s="1" t="n">
        <v>45149</v>
      </c>
      <c r="C3983" s="1" t="n">
        <v>46185</v>
      </c>
      <c r="D3983" t="inlineStr">
        <is>
          <t>VÄSTERNORRLANDS LÄN</t>
        </is>
      </c>
      <c r="E3983" t="inlineStr">
        <is>
          <t>SUNDSVALL</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34594-2025</t>
        </is>
      </c>
      <c r="B3984" s="1" t="n">
        <v>45846</v>
      </c>
      <c r="C3984" s="1" t="n">
        <v>46185</v>
      </c>
      <c r="D3984" t="inlineStr">
        <is>
          <t>VÄSTERNORRLANDS LÄN</t>
        </is>
      </c>
      <c r="E3984" t="inlineStr">
        <is>
          <t>ÖRNSKÖLDSVIK</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45041-2025</t>
        </is>
      </c>
      <c r="B3985" s="1" t="n">
        <v>45918</v>
      </c>
      <c r="C3985" s="1" t="n">
        <v>46185</v>
      </c>
      <c r="D3985" t="inlineStr">
        <is>
          <t>VÄSTERNORRLANDS LÄN</t>
        </is>
      </c>
      <c r="E3985" t="inlineStr">
        <is>
          <t>KRAMFORS</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45042-2025</t>
        </is>
      </c>
      <c r="B3986" s="1" t="n">
        <v>45918</v>
      </c>
      <c r="C3986" s="1" t="n">
        <v>46185</v>
      </c>
      <c r="D3986" t="inlineStr">
        <is>
          <t>VÄSTERNORRLANDS LÄN</t>
        </is>
      </c>
      <c r="E3986" t="inlineStr">
        <is>
          <t>KRAMFORS</t>
        </is>
      </c>
      <c r="G3986" t="n">
        <v>8.6</v>
      </c>
      <c r="H3986" t="n">
        <v>0</v>
      </c>
      <c r="I3986" t="n">
        <v>0</v>
      </c>
      <c r="J3986" t="n">
        <v>0</v>
      </c>
      <c r="K3986" t="n">
        <v>0</v>
      </c>
      <c r="L3986" t="n">
        <v>0</v>
      </c>
      <c r="M3986" t="n">
        <v>0</v>
      </c>
      <c r="N3986" t="n">
        <v>0</v>
      </c>
      <c r="O3986" t="n">
        <v>0</v>
      </c>
      <c r="P3986" t="n">
        <v>0</v>
      </c>
      <c r="Q3986" t="n">
        <v>0</v>
      </c>
      <c r="R3986" s="2" t="inlineStr"/>
    </row>
    <row r="3987" ht="15" customHeight="1">
      <c r="A3987" t="inlineStr">
        <is>
          <t>A 61699-2024</t>
        </is>
      </c>
      <c r="B3987" s="1" t="n">
        <v>45647.81799768518</v>
      </c>
      <c r="C3987" s="1" t="n">
        <v>46185</v>
      </c>
      <c r="D3987" t="inlineStr">
        <is>
          <t>VÄSTERNORRLANDS LÄN</t>
        </is>
      </c>
      <c r="E3987" t="inlineStr">
        <is>
          <t>ÖRNSKÖLDSVIK</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34476-2025</t>
        </is>
      </c>
      <c r="B3988" s="1" t="n">
        <v>45847.36752314815</v>
      </c>
      <c r="C3988" s="1" t="n">
        <v>46185</v>
      </c>
      <c r="D3988" t="inlineStr">
        <is>
          <t>VÄSTERNORRLANDS LÄN</t>
        </is>
      </c>
      <c r="E3988" t="inlineStr">
        <is>
          <t>SOLLEFTEÅ</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4272-2024</t>
        </is>
      </c>
      <c r="B3989" s="1" t="n">
        <v>45324</v>
      </c>
      <c r="C3989" s="1" t="n">
        <v>46185</v>
      </c>
      <c r="D3989" t="inlineStr">
        <is>
          <t>VÄSTERNORRLANDS LÄN</t>
        </is>
      </c>
      <c r="E3989" t="inlineStr">
        <is>
          <t>KRAMFORS</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17357-2022</t>
        </is>
      </c>
      <c r="B3990" s="1" t="n">
        <v>44678</v>
      </c>
      <c r="C3990" s="1" t="n">
        <v>46185</v>
      </c>
      <c r="D3990" t="inlineStr">
        <is>
          <t>VÄSTERNORRLANDS LÄN</t>
        </is>
      </c>
      <c r="E3990" t="inlineStr">
        <is>
          <t>ÖRNSKÖLDSVIK</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45673-2024</t>
        </is>
      </c>
      <c r="B3991" s="1" t="n">
        <v>45579.51072916666</v>
      </c>
      <c r="C3991" s="1" t="n">
        <v>46185</v>
      </c>
      <c r="D3991" t="inlineStr">
        <is>
          <t>VÄSTERNORRLANDS LÄN</t>
        </is>
      </c>
      <c r="E3991" t="inlineStr">
        <is>
          <t>TIMRÅ</t>
        </is>
      </c>
      <c r="F3991" t="inlineStr">
        <is>
          <t>SCA</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44829-2025</t>
        </is>
      </c>
      <c r="B3992" s="1" t="n">
        <v>45918</v>
      </c>
      <c r="C3992" s="1" t="n">
        <v>46185</v>
      </c>
      <c r="D3992" t="inlineStr">
        <is>
          <t>VÄSTERNORRLANDS LÄN</t>
        </is>
      </c>
      <c r="E3992" t="inlineStr">
        <is>
          <t>KRAMFORS</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34704-2025</t>
        </is>
      </c>
      <c r="B3993" s="1" t="n">
        <v>45848.48954861111</v>
      </c>
      <c r="C3993" s="1" t="n">
        <v>46185</v>
      </c>
      <c r="D3993" t="inlineStr">
        <is>
          <t>VÄSTERNORRLANDS LÄN</t>
        </is>
      </c>
      <c r="E3993" t="inlineStr">
        <is>
          <t>ÖRNSKÖLDSVIK</t>
        </is>
      </c>
      <c r="G3993" t="n">
        <v>12.2</v>
      </c>
      <c r="H3993" t="n">
        <v>0</v>
      </c>
      <c r="I3993" t="n">
        <v>0</v>
      </c>
      <c r="J3993" t="n">
        <v>0</v>
      </c>
      <c r="K3993" t="n">
        <v>0</v>
      </c>
      <c r="L3993" t="n">
        <v>0</v>
      </c>
      <c r="M3993" t="n">
        <v>0</v>
      </c>
      <c r="N3993" t="n">
        <v>0</v>
      </c>
      <c r="O3993" t="n">
        <v>0</v>
      </c>
      <c r="P3993" t="n">
        <v>0</v>
      </c>
      <c r="Q3993" t="n">
        <v>0</v>
      </c>
      <c r="R3993" s="2" t="inlineStr"/>
    </row>
    <row r="3994" ht="15" customHeight="1">
      <c r="A3994" t="inlineStr">
        <is>
          <t>A 44839-2025</t>
        </is>
      </c>
      <c r="B3994" s="1" t="n">
        <v>45918.42751157407</v>
      </c>
      <c r="C3994" s="1" t="n">
        <v>46185</v>
      </c>
      <c r="D3994" t="inlineStr">
        <is>
          <t>VÄSTERNORRLANDS LÄN</t>
        </is>
      </c>
      <c r="E3994" t="inlineStr">
        <is>
          <t>SOLLEFTEÅ</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34736-2025</t>
        </is>
      </c>
      <c r="B3995" s="1" t="n">
        <v>45848.60254629629</v>
      </c>
      <c r="C3995" s="1" t="n">
        <v>46185</v>
      </c>
      <c r="D3995" t="inlineStr">
        <is>
          <t>VÄSTERNORRLANDS LÄN</t>
        </is>
      </c>
      <c r="E3995" t="inlineStr">
        <is>
          <t>HÄRNÖSAND</t>
        </is>
      </c>
      <c r="G3995" t="n">
        <v>7.9</v>
      </c>
      <c r="H3995" t="n">
        <v>0</v>
      </c>
      <c r="I3995" t="n">
        <v>0</v>
      </c>
      <c r="J3995" t="n">
        <v>0</v>
      </c>
      <c r="K3995" t="n">
        <v>0</v>
      </c>
      <c r="L3995" t="n">
        <v>0</v>
      </c>
      <c r="M3995" t="n">
        <v>0</v>
      </c>
      <c r="N3995" t="n">
        <v>0</v>
      </c>
      <c r="O3995" t="n">
        <v>0</v>
      </c>
      <c r="P3995" t="n">
        <v>0</v>
      </c>
      <c r="Q3995" t="n">
        <v>0</v>
      </c>
      <c r="R3995" s="2" t="inlineStr"/>
    </row>
    <row r="3996" ht="15" customHeight="1">
      <c r="A3996" t="inlineStr">
        <is>
          <t>A 24552-2023</t>
        </is>
      </c>
      <c r="B3996" s="1" t="n">
        <v>45082.94226851852</v>
      </c>
      <c r="C3996" s="1" t="n">
        <v>46185</v>
      </c>
      <c r="D3996" t="inlineStr">
        <is>
          <t>VÄSTERNORRLANDS LÄN</t>
        </is>
      </c>
      <c r="E3996" t="inlineStr">
        <is>
          <t>ÅNGE</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1483-2023</t>
        </is>
      </c>
      <c r="B3997" s="1" t="n">
        <v>44937.46645833334</v>
      </c>
      <c r="C3997" s="1" t="n">
        <v>46185</v>
      </c>
      <c r="D3997" t="inlineStr">
        <is>
          <t>VÄSTERNORRLANDS LÄN</t>
        </is>
      </c>
      <c r="E3997" t="inlineStr">
        <is>
          <t>SUNDSVALL</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2263-2026</t>
        </is>
      </c>
      <c r="B3998" s="1" t="n">
        <v>46036.56760416667</v>
      </c>
      <c r="C3998" s="1" t="n">
        <v>46185</v>
      </c>
      <c r="D3998" t="inlineStr">
        <is>
          <t>VÄSTERNORRLANDS LÄN</t>
        </is>
      </c>
      <c r="E3998" t="inlineStr">
        <is>
          <t>SOLLEFTEÅ</t>
        </is>
      </c>
      <c r="G3998" t="n">
        <v>14.3</v>
      </c>
      <c r="H3998" t="n">
        <v>0</v>
      </c>
      <c r="I3998" t="n">
        <v>0</v>
      </c>
      <c r="J3998" t="n">
        <v>0</v>
      </c>
      <c r="K3998" t="n">
        <v>0</v>
      </c>
      <c r="L3998" t="n">
        <v>0</v>
      </c>
      <c r="M3998" t="n">
        <v>0</v>
      </c>
      <c r="N3998" t="n">
        <v>0</v>
      </c>
      <c r="O3998" t="n">
        <v>0</v>
      </c>
      <c r="P3998" t="n">
        <v>0</v>
      </c>
      <c r="Q3998" t="n">
        <v>0</v>
      </c>
      <c r="R3998" s="2" t="inlineStr"/>
    </row>
    <row r="3999" ht="15" customHeight="1">
      <c r="A3999" t="inlineStr">
        <is>
          <t>A 4623-2023</t>
        </is>
      </c>
      <c r="B3999" s="1" t="n">
        <v>44956.94013888889</v>
      </c>
      <c r="C3999" s="1" t="n">
        <v>46185</v>
      </c>
      <c r="D3999" t="inlineStr">
        <is>
          <t>VÄSTERNORRLANDS LÄN</t>
        </is>
      </c>
      <c r="E3999" t="inlineStr">
        <is>
          <t>SOLLEFTEÅ</t>
        </is>
      </c>
      <c r="F3999" t="inlineStr">
        <is>
          <t>SCA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49156-2024</t>
        </is>
      </c>
      <c r="B4000" s="1" t="n">
        <v>45594.834375</v>
      </c>
      <c r="C4000" s="1" t="n">
        <v>46185</v>
      </c>
      <c r="D4000" t="inlineStr">
        <is>
          <t>VÄSTERNORRLANDS LÄN</t>
        </is>
      </c>
      <c r="E4000" t="inlineStr">
        <is>
          <t>SOLLEFTEÅ</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7721-2023</t>
        </is>
      </c>
      <c r="B4001" s="1" t="n">
        <v>44972.94123842593</v>
      </c>
      <c r="C4001" s="1" t="n">
        <v>46185</v>
      </c>
      <c r="D4001" t="inlineStr">
        <is>
          <t>VÄSTERNORRLANDS LÄN</t>
        </is>
      </c>
      <c r="E4001" t="inlineStr">
        <is>
          <t>SOLLEFTEÅ</t>
        </is>
      </c>
      <c r="F4001" t="inlineStr">
        <is>
          <t>SCA</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45018-2025</t>
        </is>
      </c>
      <c r="B4002" s="1" t="n">
        <v>45918.67739583334</v>
      </c>
      <c r="C4002" s="1" t="n">
        <v>46185</v>
      </c>
      <c r="D4002" t="inlineStr">
        <is>
          <t>VÄSTERNORRLANDS LÄN</t>
        </is>
      </c>
      <c r="E4002" t="inlineStr">
        <is>
          <t>SUNDSVALL</t>
        </is>
      </c>
      <c r="F4002" t="inlineStr">
        <is>
          <t>SCA</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34731-2025</t>
        </is>
      </c>
      <c r="B4003" s="1" t="n">
        <v>45848</v>
      </c>
      <c r="C4003" s="1" t="n">
        <v>46185</v>
      </c>
      <c r="D4003" t="inlineStr">
        <is>
          <t>VÄSTERNORRLANDS LÄN</t>
        </is>
      </c>
      <c r="E4003" t="inlineStr">
        <is>
          <t>ÖRNSKÖLDSVIK</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34751-2025</t>
        </is>
      </c>
      <c r="B4004" s="1" t="n">
        <v>45848.61704861111</v>
      </c>
      <c r="C4004" s="1" t="n">
        <v>46185</v>
      </c>
      <c r="D4004" t="inlineStr">
        <is>
          <t>VÄSTERNORRLANDS LÄN</t>
        </is>
      </c>
      <c r="E4004" t="inlineStr">
        <is>
          <t>HÄRNÖSAND</t>
        </is>
      </c>
      <c r="G4004" t="n">
        <v>8.699999999999999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44738-2025</t>
        </is>
      </c>
      <c r="B4005" s="1" t="n">
        <v>45917.65997685185</v>
      </c>
      <c r="C4005" s="1" t="n">
        <v>46185</v>
      </c>
      <c r="D4005" t="inlineStr">
        <is>
          <t>VÄSTERNORRLANDS LÄN</t>
        </is>
      </c>
      <c r="E4005" t="inlineStr">
        <is>
          <t>ÖRNSKÖLDSVIK</t>
        </is>
      </c>
      <c r="F4005" t="inlineStr">
        <is>
          <t>Holmen skog AB</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44689-2025</t>
        </is>
      </c>
      <c r="B4006" s="1" t="n">
        <v>45917.59104166667</v>
      </c>
      <c r="C4006" s="1" t="n">
        <v>46185</v>
      </c>
      <c r="D4006" t="inlineStr">
        <is>
          <t>VÄSTERNORRLANDS LÄN</t>
        </is>
      </c>
      <c r="E4006" t="inlineStr">
        <is>
          <t>ÖRNSKÖLDSVIK</t>
        </is>
      </c>
      <c r="F4006" t="inlineStr">
        <is>
          <t>Holmen skog AB</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56723-2022</t>
        </is>
      </c>
      <c r="B4007" s="1" t="n">
        <v>44893.9297337963</v>
      </c>
      <c r="C4007" s="1" t="n">
        <v>46185</v>
      </c>
      <c r="D4007" t="inlineStr">
        <is>
          <t>VÄSTERNORRLANDS LÄN</t>
        </is>
      </c>
      <c r="E4007" t="inlineStr">
        <is>
          <t>TIMRÅ</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44947-2025</t>
        </is>
      </c>
      <c r="B4008" s="1" t="n">
        <v>45918.60491898148</v>
      </c>
      <c r="C4008" s="1" t="n">
        <v>46185</v>
      </c>
      <c r="D4008" t="inlineStr">
        <is>
          <t>VÄSTERNORRLANDS LÄN</t>
        </is>
      </c>
      <c r="E4008" t="inlineStr">
        <is>
          <t>ÖRNSKÖLDSVIK</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44952-2025</t>
        </is>
      </c>
      <c r="B4009" s="1" t="n">
        <v>45918.60824074074</v>
      </c>
      <c r="C4009" s="1" t="n">
        <v>46185</v>
      </c>
      <c r="D4009" t="inlineStr">
        <is>
          <t>VÄSTERNORRLANDS LÄN</t>
        </is>
      </c>
      <c r="E4009" t="inlineStr">
        <is>
          <t>ÖRNSKÖLDSVIK</t>
        </is>
      </c>
      <c r="F4009" t="inlineStr">
        <is>
          <t>Holmen skog AB</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44907-2025</t>
        </is>
      </c>
      <c r="B4010" s="1" t="n">
        <v>45918.531875</v>
      </c>
      <c r="C4010" s="1" t="n">
        <v>46185</v>
      </c>
      <c r="D4010" t="inlineStr">
        <is>
          <t>VÄSTERNORRLANDS LÄN</t>
        </is>
      </c>
      <c r="E4010" t="inlineStr">
        <is>
          <t>SOLLEFTEÅ</t>
        </is>
      </c>
      <c r="F4010" t="inlineStr">
        <is>
          <t>SCA</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56753-2022</t>
        </is>
      </c>
      <c r="B4011" s="1" t="n">
        <v>44894</v>
      </c>
      <c r="C4011" s="1" t="n">
        <v>46185</v>
      </c>
      <c r="D4011" t="inlineStr">
        <is>
          <t>VÄSTERNORRLANDS LÄN</t>
        </is>
      </c>
      <c r="E4011" t="inlineStr">
        <is>
          <t>KRAMFORS</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34558-2025</t>
        </is>
      </c>
      <c r="B4012" s="1" t="n">
        <v>45847.57377314815</v>
      </c>
      <c r="C4012" s="1" t="n">
        <v>46185</v>
      </c>
      <c r="D4012" t="inlineStr">
        <is>
          <t>VÄSTERNORRLANDS LÄN</t>
        </is>
      </c>
      <c r="E4012" t="inlineStr">
        <is>
          <t>SUNDSVALL</t>
        </is>
      </c>
      <c r="F4012" t="inlineStr">
        <is>
          <t>SCA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44906-2025</t>
        </is>
      </c>
      <c r="B4013" s="1" t="n">
        <v>45918.53174768519</v>
      </c>
      <c r="C4013" s="1" t="n">
        <v>46185</v>
      </c>
      <c r="D4013" t="inlineStr">
        <is>
          <t>VÄSTERNORRLANDS LÄN</t>
        </is>
      </c>
      <c r="E4013" t="inlineStr">
        <is>
          <t>SOLLEFTEÅ</t>
        </is>
      </c>
      <c r="F4013" t="inlineStr">
        <is>
          <t>SCA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34905-2024</t>
        </is>
      </c>
      <c r="B4014" s="1" t="n">
        <v>45527</v>
      </c>
      <c r="C4014" s="1" t="n">
        <v>46185</v>
      </c>
      <c r="D4014" t="inlineStr">
        <is>
          <t>VÄSTERNORRLANDS LÄN</t>
        </is>
      </c>
      <c r="E4014" t="inlineStr">
        <is>
          <t>ÖRNSKÖLDSVIK</t>
        </is>
      </c>
      <c r="F4014" t="inlineStr">
        <is>
          <t>Holmen skog AB</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45571-2025</t>
        </is>
      </c>
      <c r="B4015" s="1" t="n">
        <v>45922.65731481482</v>
      </c>
      <c r="C4015" s="1" t="n">
        <v>46185</v>
      </c>
      <c r="D4015" t="inlineStr">
        <is>
          <t>VÄSTERNORRLANDS LÄN</t>
        </is>
      </c>
      <c r="E4015" t="inlineStr">
        <is>
          <t>SUNDSVALL</t>
        </is>
      </c>
      <c r="F4015" t="inlineStr">
        <is>
          <t>SCA</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42478-2025</t>
        </is>
      </c>
      <c r="B4016" s="1" t="n">
        <v>45905</v>
      </c>
      <c r="C4016" s="1" t="n">
        <v>46185</v>
      </c>
      <c r="D4016" t="inlineStr">
        <is>
          <t>VÄSTERNORRLANDS LÄN</t>
        </is>
      </c>
      <c r="E4016" t="inlineStr">
        <is>
          <t>SOLLEFTEÅ</t>
        </is>
      </c>
      <c r="F4016" t="inlineStr">
        <is>
          <t>SCA</t>
        </is>
      </c>
      <c r="G4016" t="n">
        <v>9.300000000000001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44011-2024</t>
        </is>
      </c>
      <c r="B4017" s="1" t="n">
        <v>45572.55322916667</v>
      </c>
      <c r="C4017" s="1" t="n">
        <v>46185</v>
      </c>
      <c r="D4017" t="inlineStr">
        <is>
          <t>VÄSTERNORRLANDS LÄN</t>
        </is>
      </c>
      <c r="E4017" t="inlineStr">
        <is>
          <t>TIMRÅ</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45404-2025</t>
        </is>
      </c>
      <c r="B4018" s="1" t="n">
        <v>45922.42820601852</v>
      </c>
      <c r="C4018" s="1" t="n">
        <v>46185</v>
      </c>
      <c r="D4018" t="inlineStr">
        <is>
          <t>VÄSTERNORRLANDS LÄN</t>
        </is>
      </c>
      <c r="E4018" t="inlineStr">
        <is>
          <t>ÅNGE</t>
        </is>
      </c>
      <c r="F4018" t="inlineStr">
        <is>
          <t>SCA</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34668-2025</t>
        </is>
      </c>
      <c r="B4019" s="1" t="n">
        <v>45848.38586805556</v>
      </c>
      <c r="C4019" s="1" t="n">
        <v>46185</v>
      </c>
      <c r="D4019" t="inlineStr">
        <is>
          <t>VÄSTERNORRLANDS LÄN</t>
        </is>
      </c>
      <c r="E4019" t="inlineStr">
        <is>
          <t>SUNDSVALL</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34459-2025</t>
        </is>
      </c>
      <c r="B4020" s="1" t="n">
        <v>45847.34442129629</v>
      </c>
      <c r="C4020" s="1" t="n">
        <v>46185</v>
      </c>
      <c r="D4020" t="inlineStr">
        <is>
          <t>VÄSTERNORRLANDS LÄN</t>
        </is>
      </c>
      <c r="E4020" t="inlineStr">
        <is>
          <t>SOLLEFTEÅ</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38714-2024</t>
        </is>
      </c>
      <c r="B4021" s="1" t="n">
        <v>45547.38568287037</v>
      </c>
      <c r="C4021" s="1" t="n">
        <v>46185</v>
      </c>
      <c r="D4021" t="inlineStr">
        <is>
          <t>VÄSTERNORRLANDS LÄN</t>
        </is>
      </c>
      <c r="E4021" t="inlineStr">
        <is>
          <t>ÖRNSKÖLDSVIK</t>
        </is>
      </c>
      <c r="F4021" t="inlineStr">
        <is>
          <t>Holmen skog AB</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1969-2026</t>
        </is>
      </c>
      <c r="B4022" s="1" t="n">
        <v>46035.64024305555</v>
      </c>
      <c r="C4022" s="1" t="n">
        <v>46185</v>
      </c>
      <c r="D4022" t="inlineStr">
        <is>
          <t>VÄSTERNORRLANDS LÄN</t>
        </is>
      </c>
      <c r="E4022" t="inlineStr">
        <is>
          <t>ÅNGE</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2010-2026</t>
        </is>
      </c>
      <c r="B4023" s="1" t="n">
        <v>46035</v>
      </c>
      <c r="C4023" s="1" t="n">
        <v>46185</v>
      </c>
      <c r="D4023" t="inlineStr">
        <is>
          <t>VÄSTERNORRLANDS LÄN</t>
        </is>
      </c>
      <c r="E4023" t="inlineStr">
        <is>
          <t>ÖRNSKÖLDSVIK</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34498-2025</t>
        </is>
      </c>
      <c r="B4024" s="1" t="n">
        <v>45847.42768518518</v>
      </c>
      <c r="C4024" s="1" t="n">
        <v>46185</v>
      </c>
      <c r="D4024" t="inlineStr">
        <is>
          <t>VÄSTERNORRLANDS LÄN</t>
        </is>
      </c>
      <c r="E4024" t="inlineStr">
        <is>
          <t>TIMRÅ</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34556-2025</t>
        </is>
      </c>
      <c r="B4025" s="1" t="n">
        <v>45847.57347222222</v>
      </c>
      <c r="C4025" s="1" t="n">
        <v>46185</v>
      </c>
      <c r="D4025" t="inlineStr">
        <is>
          <t>VÄSTERNORRLANDS LÄN</t>
        </is>
      </c>
      <c r="E4025" t="inlineStr">
        <is>
          <t>SUNDSVALL</t>
        </is>
      </c>
      <c r="F4025" t="inlineStr">
        <is>
          <t>SCA</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34557-2025</t>
        </is>
      </c>
      <c r="B4026" s="1" t="n">
        <v>45847.57372685185</v>
      </c>
      <c r="C4026" s="1" t="n">
        <v>46185</v>
      </c>
      <c r="D4026" t="inlineStr">
        <is>
          <t>VÄSTERNORRLANDS LÄN</t>
        </is>
      </c>
      <c r="E4026" t="inlineStr">
        <is>
          <t>SUNDSVALL</t>
        </is>
      </c>
      <c r="F4026" t="inlineStr">
        <is>
          <t>SCA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47718-2024</t>
        </is>
      </c>
      <c r="B4027" s="1" t="n">
        <v>45588.48990740741</v>
      </c>
      <c r="C4027" s="1" t="n">
        <v>46185</v>
      </c>
      <c r="D4027" t="inlineStr">
        <is>
          <t>VÄSTERNORRLANDS LÄN</t>
        </is>
      </c>
      <c r="E4027" t="inlineStr">
        <is>
          <t>SUNDSVALL</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45252-2025</t>
        </is>
      </c>
      <c r="B4028" s="1" t="n">
        <v>45919.61493055556</v>
      </c>
      <c r="C4028" s="1" t="n">
        <v>46185</v>
      </c>
      <c r="D4028" t="inlineStr">
        <is>
          <t>VÄSTERNORRLANDS LÄN</t>
        </is>
      </c>
      <c r="E4028" t="inlineStr">
        <is>
          <t>SOLLEFTEÅ</t>
        </is>
      </c>
      <c r="F4028" t="inlineStr">
        <is>
          <t>SCA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11021-2025</t>
        </is>
      </c>
      <c r="B4029" s="1" t="n">
        <v>45723</v>
      </c>
      <c r="C4029" s="1" t="n">
        <v>46185</v>
      </c>
      <c r="D4029" t="inlineStr">
        <is>
          <t>VÄSTERNORRLANDS LÄN</t>
        </is>
      </c>
      <c r="E4029" t="inlineStr">
        <is>
          <t>KRAMFORS</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43104-2025</t>
        </is>
      </c>
      <c r="B4030" s="1" t="n">
        <v>45909</v>
      </c>
      <c r="C4030" s="1" t="n">
        <v>46185</v>
      </c>
      <c r="D4030" t="inlineStr">
        <is>
          <t>VÄSTERNORRLANDS LÄN</t>
        </is>
      </c>
      <c r="E4030" t="inlineStr">
        <is>
          <t>ÖRNSKÖLDSVIK</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1807-2026</t>
        </is>
      </c>
      <c r="B4031" s="1" t="n">
        <v>46035.33141203703</v>
      </c>
      <c r="C4031" s="1" t="n">
        <v>46185</v>
      </c>
      <c r="D4031" t="inlineStr">
        <is>
          <t>VÄSTERNORRLANDS LÄN</t>
        </is>
      </c>
      <c r="E4031" t="inlineStr">
        <is>
          <t>ÖRNSKÖLDSVIK</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1812-2026</t>
        </is>
      </c>
      <c r="B4032" s="1" t="n">
        <v>46035.34425925926</v>
      </c>
      <c r="C4032" s="1" t="n">
        <v>46185</v>
      </c>
      <c r="D4032" t="inlineStr">
        <is>
          <t>VÄSTERNORRLANDS LÄN</t>
        </is>
      </c>
      <c r="E4032" t="inlineStr">
        <is>
          <t>SOLLEFTEÅ</t>
        </is>
      </c>
      <c r="F4032" t="inlineStr">
        <is>
          <t>SCA</t>
        </is>
      </c>
      <c r="G4032" t="n">
        <v>25.8</v>
      </c>
      <c r="H4032" t="n">
        <v>0</v>
      </c>
      <c r="I4032" t="n">
        <v>0</v>
      </c>
      <c r="J4032" t="n">
        <v>0</v>
      </c>
      <c r="K4032" t="n">
        <v>0</v>
      </c>
      <c r="L4032" t="n">
        <v>0</v>
      </c>
      <c r="M4032" t="n">
        <v>0</v>
      </c>
      <c r="N4032" t="n">
        <v>0</v>
      </c>
      <c r="O4032" t="n">
        <v>0</v>
      </c>
      <c r="P4032" t="n">
        <v>0</v>
      </c>
      <c r="Q4032" t="n">
        <v>0</v>
      </c>
      <c r="R4032" s="2" t="inlineStr"/>
    </row>
    <row r="4033" ht="15" customHeight="1">
      <c r="A4033" t="inlineStr">
        <is>
          <t>A 48189-2023</t>
        </is>
      </c>
      <c r="B4033" s="1" t="n">
        <v>45205.45768518518</v>
      </c>
      <c r="C4033" s="1" t="n">
        <v>46185</v>
      </c>
      <c r="D4033" t="inlineStr">
        <is>
          <t>VÄSTERNORRLANDS LÄN</t>
        </is>
      </c>
      <c r="E4033" t="inlineStr">
        <is>
          <t>ÖRNSKÖLDSVIK</t>
        </is>
      </c>
      <c r="F4033" t="inlineStr">
        <is>
          <t>Holmen skog AB</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45063-2025</t>
        </is>
      </c>
      <c r="B4034" s="1" t="n">
        <v>45919.34494212963</v>
      </c>
      <c r="C4034" s="1" t="n">
        <v>46185</v>
      </c>
      <c r="D4034" t="inlineStr">
        <is>
          <t>VÄSTERNORRLANDS LÄN</t>
        </is>
      </c>
      <c r="E4034" t="inlineStr">
        <is>
          <t>HÄRNÖSAND</t>
        </is>
      </c>
      <c r="F4034" t="inlineStr">
        <is>
          <t>SCA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34506-2025</t>
        </is>
      </c>
      <c r="B4035" s="1" t="n">
        <v>45847.44273148148</v>
      </c>
      <c r="C4035" s="1" t="n">
        <v>46185</v>
      </c>
      <c r="D4035" t="inlineStr">
        <is>
          <t>VÄSTERNORRLANDS LÄN</t>
        </is>
      </c>
      <c r="E4035" t="inlineStr">
        <is>
          <t>ÖRNSKÖLDSVIK</t>
        </is>
      </c>
      <c r="F4035" t="inlineStr">
        <is>
          <t>Holmen skog AB</t>
        </is>
      </c>
      <c r="G4035" t="n">
        <v>6.3</v>
      </c>
      <c r="H4035" t="n">
        <v>0</v>
      </c>
      <c r="I4035" t="n">
        <v>0</v>
      </c>
      <c r="J4035" t="n">
        <v>0</v>
      </c>
      <c r="K4035" t="n">
        <v>0</v>
      </c>
      <c r="L4035" t="n">
        <v>0</v>
      </c>
      <c r="M4035" t="n">
        <v>0</v>
      </c>
      <c r="N4035" t="n">
        <v>0</v>
      </c>
      <c r="O4035" t="n">
        <v>0</v>
      </c>
      <c r="P4035" t="n">
        <v>0</v>
      </c>
      <c r="Q4035" t="n">
        <v>0</v>
      </c>
      <c r="R4035" s="2" t="inlineStr"/>
    </row>
    <row r="4036" ht="15" customHeight="1">
      <c r="A4036" t="inlineStr">
        <is>
          <t>A 45341-2025</t>
        </is>
      </c>
      <c r="B4036" s="1" t="n">
        <v>45922.34427083333</v>
      </c>
      <c r="C4036" s="1" t="n">
        <v>46185</v>
      </c>
      <c r="D4036" t="inlineStr">
        <is>
          <t>VÄSTERNORRLANDS LÄN</t>
        </is>
      </c>
      <c r="E4036" t="inlineStr">
        <is>
          <t>HÄRNÖSAND</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34591-2025</t>
        </is>
      </c>
      <c r="B4037" s="1" t="n">
        <v>45847.62920138889</v>
      </c>
      <c r="C4037" s="1" t="n">
        <v>46185</v>
      </c>
      <c r="D4037" t="inlineStr">
        <is>
          <t>VÄSTERNORRLANDS LÄN</t>
        </is>
      </c>
      <c r="E4037" t="inlineStr">
        <is>
          <t>ÅNGE</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34462-2025</t>
        </is>
      </c>
      <c r="B4038" s="1" t="n">
        <v>45847.34498842592</v>
      </c>
      <c r="C4038" s="1" t="n">
        <v>46185</v>
      </c>
      <c r="D4038" t="inlineStr">
        <is>
          <t>VÄSTERNORRLANDS LÄN</t>
        </is>
      </c>
      <c r="E4038" t="inlineStr">
        <is>
          <t>SOLLEFTEÅ</t>
        </is>
      </c>
      <c r="F4038" t="inlineStr">
        <is>
          <t>SCA</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34499-2025</t>
        </is>
      </c>
      <c r="B4039" s="1" t="n">
        <v>45847.42783564814</v>
      </c>
      <c r="C4039" s="1" t="n">
        <v>46185</v>
      </c>
      <c r="D4039" t="inlineStr">
        <is>
          <t>VÄSTERNORRLANDS LÄN</t>
        </is>
      </c>
      <c r="E4039" t="inlineStr">
        <is>
          <t>TIMRÅ</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45339-2025</t>
        </is>
      </c>
      <c r="B4040" s="1" t="n">
        <v>45922.34416666667</v>
      </c>
      <c r="C4040" s="1" t="n">
        <v>46185</v>
      </c>
      <c r="D4040" t="inlineStr">
        <is>
          <t>VÄSTERNORRLANDS LÄN</t>
        </is>
      </c>
      <c r="E4040" t="inlineStr">
        <is>
          <t>TIMRÅ</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59113-2024</t>
        </is>
      </c>
      <c r="B4041" s="1" t="n">
        <v>45637.36509259259</v>
      </c>
      <c r="C4041" s="1" t="n">
        <v>46185</v>
      </c>
      <c r="D4041" t="inlineStr">
        <is>
          <t>VÄSTERNORRLANDS LÄN</t>
        </is>
      </c>
      <c r="E4041" t="inlineStr">
        <is>
          <t>HÄRNÖSAND</t>
        </is>
      </c>
      <c r="F4041" t="inlineStr">
        <is>
          <t>SCA</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35261-2025</t>
        </is>
      </c>
      <c r="B4042" s="1" t="n">
        <v>45853</v>
      </c>
      <c r="C4042" s="1" t="n">
        <v>46185</v>
      </c>
      <c r="D4042" t="inlineStr">
        <is>
          <t>VÄSTERNORRLANDS LÄN</t>
        </is>
      </c>
      <c r="E4042" t="inlineStr">
        <is>
          <t>SOLLEFTEÅ</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45060-2025</t>
        </is>
      </c>
      <c r="B4043" s="1" t="n">
        <v>45919.34434027778</v>
      </c>
      <c r="C4043" s="1" t="n">
        <v>46185</v>
      </c>
      <c r="D4043" t="inlineStr">
        <is>
          <t>VÄSTERNORRLANDS LÄN</t>
        </is>
      </c>
      <c r="E4043" t="inlineStr">
        <is>
          <t>HÄRNÖSAND</t>
        </is>
      </c>
      <c r="F4043" t="inlineStr">
        <is>
          <t>SCA</t>
        </is>
      </c>
      <c r="G4043" t="n">
        <v>7.4</v>
      </c>
      <c r="H4043" t="n">
        <v>0</v>
      </c>
      <c r="I4043" t="n">
        <v>0</v>
      </c>
      <c r="J4043" t="n">
        <v>0</v>
      </c>
      <c r="K4043" t="n">
        <v>0</v>
      </c>
      <c r="L4043" t="n">
        <v>0</v>
      </c>
      <c r="M4043" t="n">
        <v>0</v>
      </c>
      <c r="N4043" t="n">
        <v>0</v>
      </c>
      <c r="O4043" t="n">
        <v>0</v>
      </c>
      <c r="P4043" t="n">
        <v>0</v>
      </c>
      <c r="Q4043" t="n">
        <v>0</v>
      </c>
      <c r="R4043" s="2" t="inlineStr"/>
    </row>
    <row r="4044" ht="15" customHeight="1">
      <c r="A4044" t="inlineStr">
        <is>
          <t>A 45461-2025</t>
        </is>
      </c>
      <c r="B4044" s="1" t="n">
        <v>45922.49494212963</v>
      </c>
      <c r="C4044" s="1" t="n">
        <v>46185</v>
      </c>
      <c r="D4044" t="inlineStr">
        <is>
          <t>VÄSTERNORRLANDS LÄN</t>
        </is>
      </c>
      <c r="E4044" t="inlineStr">
        <is>
          <t>ÖRNSKÖLDSVIK</t>
        </is>
      </c>
      <c r="F4044" t="inlineStr">
        <is>
          <t>Holmen skog AB</t>
        </is>
      </c>
      <c r="G4044" t="n">
        <v>9.6</v>
      </c>
      <c r="H4044" t="n">
        <v>0</v>
      </c>
      <c r="I4044" t="n">
        <v>0</v>
      </c>
      <c r="J4044" t="n">
        <v>0</v>
      </c>
      <c r="K4044" t="n">
        <v>0</v>
      </c>
      <c r="L4044" t="n">
        <v>0</v>
      </c>
      <c r="M4044" t="n">
        <v>0</v>
      </c>
      <c r="N4044" t="n">
        <v>0</v>
      </c>
      <c r="O4044" t="n">
        <v>0</v>
      </c>
      <c r="P4044" t="n">
        <v>0</v>
      </c>
      <c r="Q4044" t="n">
        <v>0</v>
      </c>
      <c r="R4044" s="2" t="inlineStr"/>
    </row>
    <row r="4045" ht="15" customHeight="1">
      <c r="A4045" t="inlineStr">
        <is>
          <t>A 45451-2025</t>
        </is>
      </c>
      <c r="B4045" s="1" t="n">
        <v>45922.48488425926</v>
      </c>
      <c r="C4045" s="1" t="n">
        <v>46185</v>
      </c>
      <c r="D4045" t="inlineStr">
        <is>
          <t>VÄSTERNORRLANDS LÄN</t>
        </is>
      </c>
      <c r="E4045" t="inlineStr">
        <is>
          <t>ÖRNSKÖLDSVIK</t>
        </is>
      </c>
      <c r="G4045" t="n">
        <v>8.1</v>
      </c>
      <c r="H4045" t="n">
        <v>0</v>
      </c>
      <c r="I4045" t="n">
        <v>0</v>
      </c>
      <c r="J4045" t="n">
        <v>0</v>
      </c>
      <c r="K4045" t="n">
        <v>0</v>
      </c>
      <c r="L4045" t="n">
        <v>0</v>
      </c>
      <c r="M4045" t="n">
        <v>0</v>
      </c>
      <c r="N4045" t="n">
        <v>0</v>
      </c>
      <c r="O4045" t="n">
        <v>0</v>
      </c>
      <c r="P4045" t="n">
        <v>0</v>
      </c>
      <c r="Q4045" t="n">
        <v>0</v>
      </c>
      <c r="R4045" s="2" t="inlineStr"/>
    </row>
    <row r="4046" ht="15" customHeight="1">
      <c r="A4046" t="inlineStr">
        <is>
          <t>A 69183-2021</t>
        </is>
      </c>
      <c r="B4046" s="1" t="n">
        <v>44531.32788194445</v>
      </c>
      <c r="C4046" s="1" t="n">
        <v>46185</v>
      </c>
      <c r="D4046" t="inlineStr">
        <is>
          <t>VÄSTERNORRLANDS LÄN</t>
        </is>
      </c>
      <c r="E4046" t="inlineStr">
        <is>
          <t>ÖRNSKÖLDSVIK</t>
        </is>
      </c>
      <c r="F4046" t="inlineStr">
        <is>
          <t>Holmen skog AB</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34483-2025</t>
        </is>
      </c>
      <c r="B4047" s="1" t="n">
        <v>45847.38934027778</v>
      </c>
      <c r="C4047" s="1" t="n">
        <v>46185</v>
      </c>
      <c r="D4047" t="inlineStr">
        <is>
          <t>VÄSTERNORRLANDS LÄN</t>
        </is>
      </c>
      <c r="E4047" t="inlineStr">
        <is>
          <t>ÖRNSKÖLDSVIK</t>
        </is>
      </c>
      <c r="F4047" t="inlineStr">
        <is>
          <t>Holmen skog AB</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34487-2025</t>
        </is>
      </c>
      <c r="B4048" s="1" t="n">
        <v>45847.40361111111</v>
      </c>
      <c r="C4048" s="1" t="n">
        <v>46185</v>
      </c>
      <c r="D4048" t="inlineStr">
        <is>
          <t>VÄSTERNORRLANDS LÄN</t>
        </is>
      </c>
      <c r="E4048" t="inlineStr">
        <is>
          <t>ÖRNSKÖLDSVIK</t>
        </is>
      </c>
      <c r="F4048" t="inlineStr">
        <is>
          <t>Holmen skog AB</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45095-2025</t>
        </is>
      </c>
      <c r="B4049" s="1" t="n">
        <v>45919.3859375</v>
      </c>
      <c r="C4049" s="1" t="n">
        <v>46185</v>
      </c>
      <c r="D4049" t="inlineStr">
        <is>
          <t>VÄSTERNORRLANDS LÄN</t>
        </is>
      </c>
      <c r="E4049" t="inlineStr">
        <is>
          <t>ÖRNSKÖLDSVIK</t>
        </is>
      </c>
      <c r="F4049" t="inlineStr">
        <is>
          <t>SCA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34473-2025</t>
        </is>
      </c>
      <c r="B4050" s="1" t="n">
        <v>45847.36511574074</v>
      </c>
      <c r="C4050" s="1" t="n">
        <v>46185</v>
      </c>
      <c r="D4050" t="inlineStr">
        <is>
          <t>VÄSTERNORRLANDS LÄN</t>
        </is>
      </c>
      <c r="E4050" t="inlineStr">
        <is>
          <t>SOLLEFTEÅ</t>
        </is>
      </c>
      <c r="F4050" t="inlineStr">
        <is>
          <t>SCA</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45401-2025</t>
        </is>
      </c>
      <c r="B4051" s="1" t="n">
        <v>45922.42767361111</v>
      </c>
      <c r="C4051" s="1" t="n">
        <v>46185</v>
      </c>
      <c r="D4051" t="inlineStr">
        <is>
          <t>VÄSTERNORRLANDS LÄN</t>
        </is>
      </c>
      <c r="E4051" t="inlineStr">
        <is>
          <t>ÅNGE</t>
        </is>
      </c>
      <c r="F4051" t="inlineStr">
        <is>
          <t>SCA</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45532-2025</t>
        </is>
      </c>
      <c r="B4052" s="1" t="n">
        <v>45922.6052199074</v>
      </c>
      <c r="C4052" s="1" t="n">
        <v>46185</v>
      </c>
      <c r="D4052" t="inlineStr">
        <is>
          <t>VÄSTERNORRLANDS LÄN</t>
        </is>
      </c>
      <c r="E4052" t="inlineStr">
        <is>
          <t>ÖRNSKÖLDSVIK</t>
        </is>
      </c>
      <c r="F4052" t="inlineStr">
        <is>
          <t>Holmen skog AB</t>
        </is>
      </c>
      <c r="G4052" t="n">
        <v>6.9</v>
      </c>
      <c r="H4052" t="n">
        <v>0</v>
      </c>
      <c r="I4052" t="n">
        <v>0</v>
      </c>
      <c r="J4052" t="n">
        <v>0</v>
      </c>
      <c r="K4052" t="n">
        <v>0</v>
      </c>
      <c r="L4052" t="n">
        <v>0</v>
      </c>
      <c r="M4052" t="n">
        <v>0</v>
      </c>
      <c r="N4052" t="n">
        <v>0</v>
      </c>
      <c r="O4052" t="n">
        <v>0</v>
      </c>
      <c r="P4052" t="n">
        <v>0</v>
      </c>
      <c r="Q4052" t="n">
        <v>0</v>
      </c>
      <c r="R4052" s="2" t="inlineStr"/>
    </row>
    <row r="4053" ht="15" customHeight="1">
      <c r="A4053" t="inlineStr">
        <is>
          <t>A 18655-2025</t>
        </is>
      </c>
      <c r="B4053" s="1" t="n">
        <v>45763</v>
      </c>
      <c r="C4053" s="1" t="n">
        <v>46185</v>
      </c>
      <c r="D4053" t="inlineStr">
        <is>
          <t>VÄSTERNORRLANDS LÄN</t>
        </is>
      </c>
      <c r="E4053" t="inlineStr">
        <is>
          <t>KRAMFORS</t>
        </is>
      </c>
      <c r="F4053" t="inlineStr">
        <is>
          <t>SCA</t>
        </is>
      </c>
      <c r="G4053" t="n">
        <v>10.5</v>
      </c>
      <c r="H4053" t="n">
        <v>0</v>
      </c>
      <c r="I4053" t="n">
        <v>0</v>
      </c>
      <c r="J4053" t="n">
        <v>0</v>
      </c>
      <c r="K4053" t="n">
        <v>0</v>
      </c>
      <c r="L4053" t="n">
        <v>0</v>
      </c>
      <c r="M4053" t="n">
        <v>0</v>
      </c>
      <c r="N4053" t="n">
        <v>0</v>
      </c>
      <c r="O4053" t="n">
        <v>0</v>
      </c>
      <c r="P4053" t="n">
        <v>0</v>
      </c>
      <c r="Q4053" t="n">
        <v>0</v>
      </c>
      <c r="R4053" s="2" t="inlineStr"/>
    </row>
    <row r="4054" ht="15" customHeight="1">
      <c r="A4054" t="inlineStr">
        <is>
          <t>A 35041-2025</t>
        </is>
      </c>
      <c r="B4054" s="1" t="n">
        <v>45852.3443287037</v>
      </c>
      <c r="C4054" s="1" t="n">
        <v>46185</v>
      </c>
      <c r="D4054" t="inlineStr">
        <is>
          <t>VÄSTERNORRLANDS LÄN</t>
        </is>
      </c>
      <c r="E4054" t="inlineStr">
        <is>
          <t>SOLLEFTEÅ</t>
        </is>
      </c>
      <c r="F4054" t="inlineStr">
        <is>
          <t>SCA</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43842-2025</t>
        </is>
      </c>
      <c r="B4055" s="1" t="n">
        <v>45912.63587962963</v>
      </c>
      <c r="C4055" s="1" t="n">
        <v>46185</v>
      </c>
      <c r="D4055" t="inlineStr">
        <is>
          <t>VÄSTERNORRLANDS LÄN</t>
        </is>
      </c>
      <c r="E4055" t="inlineStr">
        <is>
          <t>SOLLEFTEÅ</t>
        </is>
      </c>
      <c r="F4055" t="inlineStr">
        <is>
          <t>SCA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45220-2025</t>
        </is>
      </c>
      <c r="B4056" s="1" t="n">
        <v>45919.57651620371</v>
      </c>
      <c r="C4056" s="1" t="n">
        <v>46185</v>
      </c>
      <c r="D4056" t="inlineStr">
        <is>
          <t>VÄSTERNORRLANDS LÄN</t>
        </is>
      </c>
      <c r="E4056" t="inlineStr">
        <is>
          <t>ÖRNSKÖLDSVIK</t>
        </is>
      </c>
      <c r="F4056" t="inlineStr">
        <is>
          <t>Holmen skog AB</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45094-2025</t>
        </is>
      </c>
      <c r="B4057" s="1" t="n">
        <v>45919.38578703703</v>
      </c>
      <c r="C4057" s="1" t="n">
        <v>46185</v>
      </c>
      <c r="D4057" t="inlineStr">
        <is>
          <t>VÄSTERNORRLANDS LÄN</t>
        </is>
      </c>
      <c r="E4057" t="inlineStr">
        <is>
          <t>SUNDSVALL</t>
        </is>
      </c>
      <c r="F4057" t="inlineStr">
        <is>
          <t>SCA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34879-2025</t>
        </is>
      </c>
      <c r="B4058" s="1" t="n">
        <v>45849.46824074074</v>
      </c>
      <c r="C4058" s="1" t="n">
        <v>46185</v>
      </c>
      <c r="D4058" t="inlineStr">
        <is>
          <t>VÄSTERNORRLANDS LÄN</t>
        </is>
      </c>
      <c r="E4058" t="inlineStr">
        <is>
          <t>TIMRÅ</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61144-2023</t>
        </is>
      </c>
      <c r="B4059" s="1" t="n">
        <v>45261.96729166667</v>
      </c>
      <c r="C4059" s="1" t="n">
        <v>46185</v>
      </c>
      <c r="D4059" t="inlineStr">
        <is>
          <t>VÄSTERNORRLANDS LÄN</t>
        </is>
      </c>
      <c r="E4059" t="inlineStr">
        <is>
          <t>ÖRNSKÖLDSVIK</t>
        </is>
      </c>
      <c r="F4059" t="inlineStr">
        <is>
          <t>SCA</t>
        </is>
      </c>
      <c r="G4059" t="n">
        <v>10.5</v>
      </c>
      <c r="H4059" t="n">
        <v>0</v>
      </c>
      <c r="I4059" t="n">
        <v>0</v>
      </c>
      <c r="J4059" t="n">
        <v>0</v>
      </c>
      <c r="K4059" t="n">
        <v>0</v>
      </c>
      <c r="L4059" t="n">
        <v>0</v>
      </c>
      <c r="M4059" t="n">
        <v>0</v>
      </c>
      <c r="N4059" t="n">
        <v>0</v>
      </c>
      <c r="O4059" t="n">
        <v>0</v>
      </c>
      <c r="P4059" t="n">
        <v>0</v>
      </c>
      <c r="Q4059" t="n">
        <v>0</v>
      </c>
      <c r="R4059" s="2" t="inlineStr"/>
    </row>
    <row r="4060" ht="15" customHeight="1">
      <c r="A4060" t="inlineStr">
        <is>
          <t>A 10725-2025</t>
        </is>
      </c>
      <c r="B4060" s="1" t="n">
        <v>45722</v>
      </c>
      <c r="C4060" s="1" t="n">
        <v>46185</v>
      </c>
      <c r="D4060" t="inlineStr">
        <is>
          <t>VÄSTERNORRLANDS LÄN</t>
        </is>
      </c>
      <c r="E4060" t="inlineStr">
        <is>
          <t>SOLLEFTEÅ</t>
        </is>
      </c>
      <c r="F4060" t="inlineStr">
        <is>
          <t>SCA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1833-2026</t>
        </is>
      </c>
      <c r="B4061" s="1" t="n">
        <v>46035.3860300926</v>
      </c>
      <c r="C4061" s="1" t="n">
        <v>46185</v>
      </c>
      <c r="D4061" t="inlineStr">
        <is>
          <t>VÄSTERNORRLANDS LÄN</t>
        </is>
      </c>
      <c r="E4061" t="inlineStr">
        <is>
          <t>ÖRNSKÖLDSVIK</t>
        </is>
      </c>
      <c r="F4061" t="inlineStr">
        <is>
          <t>SCA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45236-2025</t>
        </is>
      </c>
      <c r="B4062" s="1" t="n">
        <v>45919.59450231482</v>
      </c>
      <c r="C4062" s="1" t="n">
        <v>46185</v>
      </c>
      <c r="D4062" t="inlineStr">
        <is>
          <t>VÄSTERNORRLANDS LÄN</t>
        </is>
      </c>
      <c r="E4062" t="inlineStr">
        <is>
          <t>SOLLEFTEÅ</t>
        </is>
      </c>
      <c r="F4062" t="inlineStr">
        <is>
          <t>SCA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45569-2025</t>
        </is>
      </c>
      <c r="B4063" s="1" t="n">
        <v>45922.65694444445</v>
      </c>
      <c r="C4063" s="1" t="n">
        <v>46185</v>
      </c>
      <c r="D4063" t="inlineStr">
        <is>
          <t>VÄSTERNORRLANDS LÄN</t>
        </is>
      </c>
      <c r="E4063" t="inlineStr">
        <is>
          <t>SOLLEFTEÅ</t>
        </is>
      </c>
      <c r="F4063" t="inlineStr">
        <is>
          <t>SCA</t>
        </is>
      </c>
      <c r="G4063" t="n">
        <v>6.3</v>
      </c>
      <c r="H4063" t="n">
        <v>0</v>
      </c>
      <c r="I4063" t="n">
        <v>0</v>
      </c>
      <c r="J4063" t="n">
        <v>0</v>
      </c>
      <c r="K4063" t="n">
        <v>0</v>
      </c>
      <c r="L4063" t="n">
        <v>0</v>
      </c>
      <c r="M4063" t="n">
        <v>0</v>
      </c>
      <c r="N4063" t="n">
        <v>0</v>
      </c>
      <c r="O4063" t="n">
        <v>0</v>
      </c>
      <c r="P4063" t="n">
        <v>0</v>
      </c>
      <c r="Q4063" t="n">
        <v>0</v>
      </c>
      <c r="R4063" s="2" t="inlineStr"/>
    </row>
    <row r="4064" ht="15" customHeight="1">
      <c r="A4064" t="inlineStr">
        <is>
          <t>A 35086-2025</t>
        </is>
      </c>
      <c r="B4064" s="1" t="n">
        <v>45852.51719907407</v>
      </c>
      <c r="C4064" s="1" t="n">
        <v>46185</v>
      </c>
      <c r="D4064" t="inlineStr">
        <is>
          <t>VÄSTERNORRLANDS LÄN</t>
        </is>
      </c>
      <c r="E4064" t="inlineStr">
        <is>
          <t>SOLLEFTEÅ</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2391-2026</t>
        </is>
      </c>
      <c r="B4065" s="1" t="n">
        <v>46035</v>
      </c>
      <c r="C4065" s="1" t="n">
        <v>46185</v>
      </c>
      <c r="D4065" t="inlineStr">
        <is>
          <t>VÄSTERNORRLANDS LÄN</t>
        </is>
      </c>
      <c r="E4065" t="inlineStr">
        <is>
          <t>SOLLEFTEÅ</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51575-2025</t>
        </is>
      </c>
      <c r="B4066" s="1" t="n">
        <v>45951.34452546296</v>
      </c>
      <c r="C4066" s="1" t="n">
        <v>46185</v>
      </c>
      <c r="D4066" t="inlineStr">
        <is>
          <t>VÄSTERNORRLANDS LÄN</t>
        </is>
      </c>
      <c r="E4066" t="inlineStr">
        <is>
          <t>SOLLEFTEÅ</t>
        </is>
      </c>
      <c r="F4066" t="inlineStr">
        <is>
          <t>SCA</t>
        </is>
      </c>
      <c r="G4066" t="n">
        <v>35.4</v>
      </c>
      <c r="H4066" t="n">
        <v>0</v>
      </c>
      <c r="I4066" t="n">
        <v>0</v>
      </c>
      <c r="J4066" t="n">
        <v>0</v>
      </c>
      <c r="K4066" t="n">
        <v>0</v>
      </c>
      <c r="L4066" t="n">
        <v>0</v>
      </c>
      <c r="M4066" t="n">
        <v>0</v>
      </c>
      <c r="N4066" t="n">
        <v>0</v>
      </c>
      <c r="O4066" t="n">
        <v>0</v>
      </c>
      <c r="P4066" t="n">
        <v>0</v>
      </c>
      <c r="Q4066" t="n">
        <v>0</v>
      </c>
      <c r="R4066" s="2" t="inlineStr"/>
    </row>
    <row r="4067" ht="15" customHeight="1">
      <c r="A4067" t="inlineStr">
        <is>
          <t>A 10737-2025</t>
        </is>
      </c>
      <c r="B4067" s="1" t="n">
        <v>45722</v>
      </c>
      <c r="C4067" s="1" t="n">
        <v>46185</v>
      </c>
      <c r="D4067" t="inlineStr">
        <is>
          <t>VÄSTERNORRLANDS LÄN</t>
        </is>
      </c>
      <c r="E4067" t="inlineStr">
        <is>
          <t>SOLLEFTEÅ</t>
        </is>
      </c>
      <c r="F4067" t="inlineStr">
        <is>
          <t>SCA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49260-2023</t>
        </is>
      </c>
      <c r="B4068" s="1" t="n">
        <v>45210.67532407407</v>
      </c>
      <c r="C4068" s="1" t="n">
        <v>46185</v>
      </c>
      <c r="D4068" t="inlineStr">
        <is>
          <t>VÄSTERNORRLANDS LÄN</t>
        </is>
      </c>
      <c r="E4068" t="inlineStr">
        <is>
          <t>ÖRNSKÖLDSVIK</t>
        </is>
      </c>
      <c r="F4068" t="inlineStr">
        <is>
          <t>Holmen skog AB</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58745-2023</t>
        </is>
      </c>
      <c r="B4069" s="1" t="n">
        <v>45251</v>
      </c>
      <c r="C4069" s="1" t="n">
        <v>46185</v>
      </c>
      <c r="D4069" t="inlineStr">
        <is>
          <t>VÄSTERNORRLANDS LÄN</t>
        </is>
      </c>
      <c r="E4069" t="inlineStr">
        <is>
          <t>SUNDSVALL</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45445-2025</t>
        </is>
      </c>
      <c r="B4070" s="1" t="n">
        <v>45922.48077546297</v>
      </c>
      <c r="C4070" s="1" t="n">
        <v>46185</v>
      </c>
      <c r="D4070" t="inlineStr">
        <is>
          <t>VÄSTERNORRLANDS LÄN</t>
        </is>
      </c>
      <c r="E4070" t="inlineStr">
        <is>
          <t>ÖRNSKÖLDSVIK</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54853-2023</t>
        </is>
      </c>
      <c r="B4071" s="1" t="n">
        <v>45236</v>
      </c>
      <c r="C4071" s="1" t="n">
        <v>46185</v>
      </c>
      <c r="D4071" t="inlineStr">
        <is>
          <t>VÄSTERNORRLANDS LÄN</t>
        </is>
      </c>
      <c r="E4071" t="inlineStr">
        <is>
          <t>ÖRNSKÖLDSVIK</t>
        </is>
      </c>
      <c r="F4071" t="inlineStr">
        <is>
          <t>Holmen skog AB</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35044-2025</t>
        </is>
      </c>
      <c r="B4072" s="1" t="n">
        <v>45852.3446412037</v>
      </c>
      <c r="C4072" s="1" t="n">
        <v>46185</v>
      </c>
      <c r="D4072" t="inlineStr">
        <is>
          <t>VÄSTERNORRLANDS LÄN</t>
        </is>
      </c>
      <c r="E4072" t="inlineStr">
        <is>
          <t>KRAMFORS</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45592-2025</t>
        </is>
      </c>
      <c r="B4073" s="1" t="n">
        <v>45922.67767361111</v>
      </c>
      <c r="C4073" s="1" t="n">
        <v>46185</v>
      </c>
      <c r="D4073" t="inlineStr">
        <is>
          <t>VÄSTERNORRLANDS LÄN</t>
        </is>
      </c>
      <c r="E4073" t="inlineStr">
        <is>
          <t>ÖRNSKÖLDSVIK</t>
        </is>
      </c>
      <c r="F4073" t="inlineStr">
        <is>
          <t>SCA</t>
        </is>
      </c>
      <c r="G4073" t="n">
        <v>25.8</v>
      </c>
      <c r="H4073" t="n">
        <v>0</v>
      </c>
      <c r="I4073" t="n">
        <v>0</v>
      </c>
      <c r="J4073" t="n">
        <v>0</v>
      </c>
      <c r="K4073" t="n">
        <v>0</v>
      </c>
      <c r="L4073" t="n">
        <v>0</v>
      </c>
      <c r="M4073" t="n">
        <v>0</v>
      </c>
      <c r="N4073" t="n">
        <v>0</v>
      </c>
      <c r="O4073" t="n">
        <v>0</v>
      </c>
      <c r="P4073" t="n">
        <v>0</v>
      </c>
      <c r="Q4073" t="n">
        <v>0</v>
      </c>
      <c r="R4073" s="2" t="inlineStr"/>
    </row>
    <row r="4074" ht="15" customHeight="1">
      <c r="A4074" t="inlineStr">
        <is>
          <t>A 6886-2025</t>
        </is>
      </c>
      <c r="B4074" s="1" t="n">
        <v>45701.34599537037</v>
      </c>
      <c r="C4074" s="1" t="n">
        <v>46185</v>
      </c>
      <c r="D4074" t="inlineStr">
        <is>
          <t>VÄSTERNORRLANDS LÄN</t>
        </is>
      </c>
      <c r="E4074" t="inlineStr">
        <is>
          <t>HÄRNÖSAND</t>
        </is>
      </c>
      <c r="F4074" t="inlineStr">
        <is>
          <t>SCA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45246-2025</t>
        </is>
      </c>
      <c r="B4075" s="1" t="n">
        <v>45919.60696759259</v>
      </c>
      <c r="C4075" s="1" t="n">
        <v>46185</v>
      </c>
      <c r="D4075" t="inlineStr">
        <is>
          <t>VÄSTERNORRLANDS LÄN</t>
        </is>
      </c>
      <c r="E4075" t="inlineStr">
        <is>
          <t>ÖRNSKÖLDSVIK</t>
        </is>
      </c>
      <c r="F4075" t="inlineStr">
        <is>
          <t>Holmen skog AB</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23652-2025</t>
        </is>
      </c>
      <c r="B4076" s="1" t="n">
        <v>45792</v>
      </c>
      <c r="C4076" s="1" t="n">
        <v>46185</v>
      </c>
      <c r="D4076" t="inlineStr">
        <is>
          <t>VÄSTERNORRLANDS LÄN</t>
        </is>
      </c>
      <c r="E4076" t="inlineStr">
        <is>
          <t>SUNDSVALL</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45229-2025</t>
        </is>
      </c>
      <c r="B4077" s="1" t="n">
        <v>45919.58902777778</v>
      </c>
      <c r="C4077" s="1" t="n">
        <v>46185</v>
      </c>
      <c r="D4077" t="inlineStr">
        <is>
          <t>VÄSTERNORRLANDS LÄN</t>
        </is>
      </c>
      <c r="E4077" t="inlineStr">
        <is>
          <t>ÖRNSKÖLDSVIK</t>
        </is>
      </c>
      <c r="F4077" t="inlineStr">
        <is>
          <t>Holmen skog AB</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45354-2025</t>
        </is>
      </c>
      <c r="B4078" s="1" t="n">
        <v>45922.36494212963</v>
      </c>
      <c r="C4078" s="1" t="n">
        <v>46185</v>
      </c>
      <c r="D4078" t="inlineStr">
        <is>
          <t>VÄSTERNORRLANDS LÄN</t>
        </is>
      </c>
      <c r="E4078" t="inlineStr">
        <is>
          <t>HÄRNÖSAND</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22473-2023</t>
        </is>
      </c>
      <c r="B4079" s="1" t="n">
        <v>45070</v>
      </c>
      <c r="C4079" s="1" t="n">
        <v>46185</v>
      </c>
      <c r="D4079" t="inlineStr">
        <is>
          <t>VÄSTERNORRLANDS LÄN</t>
        </is>
      </c>
      <c r="E4079" t="inlineStr">
        <is>
          <t>SUNDSVALL</t>
        </is>
      </c>
      <c r="F4079" t="inlineStr">
        <is>
          <t>SCA</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42879-2025</t>
        </is>
      </c>
      <c r="B4080" s="1" t="n">
        <v>45908</v>
      </c>
      <c r="C4080" s="1" t="n">
        <v>46185</v>
      </c>
      <c r="D4080" t="inlineStr">
        <is>
          <t>VÄSTERNORRLANDS LÄN</t>
        </is>
      </c>
      <c r="E4080" t="inlineStr">
        <is>
          <t>SOLLEFTEÅ</t>
        </is>
      </c>
      <c r="F4080" t="inlineStr">
        <is>
          <t>SCA</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22532-2023</t>
        </is>
      </c>
      <c r="B4081" s="1" t="n">
        <v>45069</v>
      </c>
      <c r="C4081" s="1" t="n">
        <v>46185</v>
      </c>
      <c r="D4081" t="inlineStr">
        <is>
          <t>VÄSTERNORRLANDS LÄN</t>
        </is>
      </c>
      <c r="E4081" t="inlineStr">
        <is>
          <t>ÖRNSKÖLDSVIK</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12750-2025</t>
        </is>
      </c>
      <c r="B4082" s="1" t="n">
        <v>45733.55538194445</v>
      </c>
      <c r="C4082" s="1" t="n">
        <v>46185</v>
      </c>
      <c r="D4082" t="inlineStr">
        <is>
          <t>VÄSTERNORRLANDS LÄN</t>
        </is>
      </c>
      <c r="E4082" t="inlineStr">
        <is>
          <t>ÖRNSKÖLDSVIK</t>
        </is>
      </c>
      <c r="F4082" t="inlineStr">
        <is>
          <t>Holmen skog AB</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2014-2026</t>
        </is>
      </c>
      <c r="B4083" s="1" t="n">
        <v>46035</v>
      </c>
      <c r="C4083" s="1" t="n">
        <v>46185</v>
      </c>
      <c r="D4083" t="inlineStr">
        <is>
          <t>VÄSTERNORRLANDS LÄN</t>
        </is>
      </c>
      <c r="E4083" t="inlineStr">
        <is>
          <t>TIMRÅ</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1832-2026</t>
        </is>
      </c>
      <c r="B4084" s="1" t="n">
        <v>46035.38560185185</v>
      </c>
      <c r="C4084" s="1" t="n">
        <v>46185</v>
      </c>
      <c r="D4084" t="inlineStr">
        <is>
          <t>VÄSTERNORRLANDS LÄN</t>
        </is>
      </c>
      <c r="E4084" t="inlineStr">
        <is>
          <t>HÄRNÖSAND</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2027-2026</t>
        </is>
      </c>
      <c r="B4085" s="1" t="n">
        <v>46035.72739583333</v>
      </c>
      <c r="C4085" s="1" t="n">
        <v>46185</v>
      </c>
      <c r="D4085" t="inlineStr">
        <is>
          <t>VÄSTERNORRLANDS LÄN</t>
        </is>
      </c>
      <c r="E4085" t="inlineStr">
        <is>
          <t>SOLLEFTEÅ</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2331-2026</t>
        </is>
      </c>
      <c r="B4086" s="1" t="n">
        <v>46036</v>
      </c>
      <c r="C4086" s="1" t="n">
        <v>46185</v>
      </c>
      <c r="D4086" t="inlineStr">
        <is>
          <t>VÄSTERNORRLANDS LÄN</t>
        </is>
      </c>
      <c r="E4086" t="inlineStr">
        <is>
          <t>KRAMFORS</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45801-2025</t>
        </is>
      </c>
      <c r="B4087" s="1" t="n">
        <v>45923.57716435185</v>
      </c>
      <c r="C4087" s="1" t="n">
        <v>46185</v>
      </c>
      <c r="D4087" t="inlineStr">
        <is>
          <t>VÄSTERNORRLANDS LÄN</t>
        </is>
      </c>
      <c r="E4087" t="inlineStr">
        <is>
          <t>ÖRNSKÖLDSVIK</t>
        </is>
      </c>
      <c r="F4087" t="inlineStr">
        <is>
          <t>Holmen skog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17040-2022</t>
        </is>
      </c>
      <c r="B4088" s="1" t="n">
        <v>44676</v>
      </c>
      <c r="C4088" s="1" t="n">
        <v>46185</v>
      </c>
      <c r="D4088" t="inlineStr">
        <is>
          <t>VÄSTERNORRLANDS LÄN</t>
        </is>
      </c>
      <c r="E4088" t="inlineStr">
        <is>
          <t>TIMRÅ</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45817-2025</t>
        </is>
      </c>
      <c r="B4089" s="1" t="n">
        <v>45923.59423611111</v>
      </c>
      <c r="C4089" s="1" t="n">
        <v>46185</v>
      </c>
      <c r="D4089" t="inlineStr">
        <is>
          <t>VÄSTERNORRLANDS LÄN</t>
        </is>
      </c>
      <c r="E4089" t="inlineStr">
        <is>
          <t>ÖRNSKÖLDSVIK</t>
        </is>
      </c>
      <c r="F4089" t="inlineStr">
        <is>
          <t>Holmen skog AB</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45845-2025</t>
        </is>
      </c>
      <c r="B4090" s="1" t="n">
        <v>45923.61579861111</v>
      </c>
      <c r="C4090" s="1" t="n">
        <v>46185</v>
      </c>
      <c r="D4090" t="inlineStr">
        <is>
          <t>VÄSTERNORRLANDS LÄN</t>
        </is>
      </c>
      <c r="E4090" t="inlineStr">
        <is>
          <t>SUNDSVALL</t>
        </is>
      </c>
      <c r="F4090" t="inlineStr">
        <is>
          <t>SCA</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41586-2024</t>
        </is>
      </c>
      <c r="B4091" s="1" t="n">
        <v>45560.56089120371</v>
      </c>
      <c r="C4091" s="1" t="n">
        <v>46185</v>
      </c>
      <c r="D4091" t="inlineStr">
        <is>
          <t>VÄSTERNORRLANDS LÄN</t>
        </is>
      </c>
      <c r="E4091" t="inlineStr">
        <is>
          <t>ÅNGE</t>
        </is>
      </c>
      <c r="F4091" t="inlineStr">
        <is>
          <t>Holmen skog AB</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41596-2024</t>
        </is>
      </c>
      <c r="B4092" s="1" t="n">
        <v>45560.57388888889</v>
      </c>
      <c r="C4092" s="1" t="n">
        <v>46185</v>
      </c>
      <c r="D4092" t="inlineStr">
        <is>
          <t>VÄSTERNORRLANDS LÄN</t>
        </is>
      </c>
      <c r="E4092" t="inlineStr">
        <is>
          <t>TIMRÅ</t>
        </is>
      </c>
      <c r="F4092" t="inlineStr">
        <is>
          <t>SCA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45739-2025</t>
        </is>
      </c>
      <c r="B4093" s="1" t="n">
        <v>45923.46921296296</v>
      </c>
      <c r="C4093" s="1" t="n">
        <v>46185</v>
      </c>
      <c r="D4093" t="inlineStr">
        <is>
          <t>VÄSTERNORRLANDS LÄN</t>
        </is>
      </c>
      <c r="E4093" t="inlineStr">
        <is>
          <t>HÄRNÖSAND</t>
        </is>
      </c>
      <c r="F4093" t="inlineStr">
        <is>
          <t>SCA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45515-2021</t>
        </is>
      </c>
      <c r="B4094" s="1" t="n">
        <v>44440.58136574074</v>
      </c>
      <c r="C4094" s="1" t="n">
        <v>46185</v>
      </c>
      <c r="D4094" t="inlineStr">
        <is>
          <t>VÄSTERNORRLANDS LÄN</t>
        </is>
      </c>
      <c r="E4094" t="inlineStr">
        <is>
          <t>SUNDSVALL</t>
        </is>
      </c>
      <c r="G4094" t="n">
        <v>7.3</v>
      </c>
      <c r="H4094" t="n">
        <v>0</v>
      </c>
      <c r="I4094" t="n">
        <v>0</v>
      </c>
      <c r="J4094" t="n">
        <v>0</v>
      </c>
      <c r="K4094" t="n">
        <v>0</v>
      </c>
      <c r="L4094" t="n">
        <v>0</v>
      </c>
      <c r="M4094" t="n">
        <v>0</v>
      </c>
      <c r="N4094" t="n">
        <v>0</v>
      </c>
      <c r="O4094" t="n">
        <v>0</v>
      </c>
      <c r="P4094" t="n">
        <v>0</v>
      </c>
      <c r="Q4094" t="n">
        <v>0</v>
      </c>
      <c r="R4094" s="2" t="inlineStr"/>
    </row>
    <row r="4095" ht="15" customHeight="1">
      <c r="A4095" t="inlineStr">
        <is>
          <t>A 45768-2025</t>
        </is>
      </c>
      <c r="B4095" s="1" t="n">
        <v>45923.53170138889</v>
      </c>
      <c r="C4095" s="1" t="n">
        <v>46185</v>
      </c>
      <c r="D4095" t="inlineStr">
        <is>
          <t>VÄSTERNORRLANDS LÄN</t>
        </is>
      </c>
      <c r="E4095" t="inlineStr">
        <is>
          <t>SUNDSVALL</t>
        </is>
      </c>
      <c r="F4095" t="inlineStr">
        <is>
          <t>SCA</t>
        </is>
      </c>
      <c r="G4095" t="n">
        <v>9.5</v>
      </c>
      <c r="H4095" t="n">
        <v>0</v>
      </c>
      <c r="I4095" t="n">
        <v>0</v>
      </c>
      <c r="J4095" t="n">
        <v>0</v>
      </c>
      <c r="K4095" t="n">
        <v>0</v>
      </c>
      <c r="L4095" t="n">
        <v>0</v>
      </c>
      <c r="M4095" t="n">
        <v>0</v>
      </c>
      <c r="N4095" t="n">
        <v>0</v>
      </c>
      <c r="O4095" t="n">
        <v>0</v>
      </c>
      <c r="P4095" t="n">
        <v>0</v>
      </c>
      <c r="Q4095" t="n">
        <v>0</v>
      </c>
      <c r="R4095" s="2" t="inlineStr"/>
      <c r="U4095">
        <f>HYPERLINK("https://klasma.github.io/Logging_2281/knärot/A 45768-2025 karta knärot.png", "A 45768-2025")</f>
        <v/>
      </c>
      <c r="V4095">
        <f>HYPERLINK("https://klasma.github.io/Logging_2281/klagomål/A 45768-2025 FSC-klagomål.docx", "A 45768-2025")</f>
        <v/>
      </c>
      <c r="W4095">
        <f>HYPERLINK("https://klasma.github.io/Logging_2281/klagomålsmail/A 45768-2025 FSC-klagomål mail.docx", "A 45768-2025")</f>
        <v/>
      </c>
      <c r="X4095">
        <f>HYPERLINK("https://klasma.github.io/Logging_2281/tillsyn/A 45768-2025 tillsynsbegäran.docx", "A 45768-2025")</f>
        <v/>
      </c>
      <c r="Y4095">
        <f>HYPERLINK("https://klasma.github.io/Logging_2281/tillsynsmail/A 45768-2025 tillsynsbegäran mail.docx", "A 45768-2025")</f>
        <v/>
      </c>
    </row>
    <row r="4096" ht="15" customHeight="1">
      <c r="A4096" t="inlineStr">
        <is>
          <t>A 45875-2025</t>
        </is>
      </c>
      <c r="B4096" s="1" t="n">
        <v>45923.65690972222</v>
      </c>
      <c r="C4096" s="1" t="n">
        <v>46185</v>
      </c>
      <c r="D4096" t="inlineStr">
        <is>
          <t>VÄSTERNORRLANDS LÄN</t>
        </is>
      </c>
      <c r="E4096" t="inlineStr">
        <is>
          <t>ÅNGE</t>
        </is>
      </c>
      <c r="F4096" t="inlineStr">
        <is>
          <t>SCA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16220-2025</t>
        </is>
      </c>
      <c r="B4097" s="1" t="n">
        <v>45749</v>
      </c>
      <c r="C4097" s="1" t="n">
        <v>46185</v>
      </c>
      <c r="D4097" t="inlineStr">
        <is>
          <t>VÄSTERNORRLANDS LÄN</t>
        </is>
      </c>
      <c r="E4097" t="inlineStr">
        <is>
          <t>HÄRNÖSAND</t>
        </is>
      </c>
      <c r="G4097" t="n">
        <v>10.3</v>
      </c>
      <c r="H4097" t="n">
        <v>0</v>
      </c>
      <c r="I4097" t="n">
        <v>0</v>
      </c>
      <c r="J4097" t="n">
        <v>0</v>
      </c>
      <c r="K4097" t="n">
        <v>0</v>
      </c>
      <c r="L4097" t="n">
        <v>0</v>
      </c>
      <c r="M4097" t="n">
        <v>0</v>
      </c>
      <c r="N4097" t="n">
        <v>0</v>
      </c>
      <c r="O4097" t="n">
        <v>0</v>
      </c>
      <c r="P4097" t="n">
        <v>0</v>
      </c>
      <c r="Q4097" t="n">
        <v>0</v>
      </c>
      <c r="R4097" s="2" t="inlineStr"/>
    </row>
    <row r="4098" ht="15" customHeight="1">
      <c r="A4098" t="inlineStr">
        <is>
          <t>A 27293-2024</t>
        </is>
      </c>
      <c r="B4098" s="1" t="n">
        <v>45471.94259259259</v>
      </c>
      <c r="C4098" s="1" t="n">
        <v>46185</v>
      </c>
      <c r="D4098" t="inlineStr">
        <is>
          <t>VÄSTERNORRLANDS LÄN</t>
        </is>
      </c>
      <c r="E4098" t="inlineStr">
        <is>
          <t>SOLLEFTEÅ</t>
        </is>
      </c>
      <c r="F4098" t="inlineStr">
        <is>
          <t>SCA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34375-2025</t>
        </is>
      </c>
      <c r="B4099" s="1" t="n">
        <v>45846</v>
      </c>
      <c r="C4099" s="1" t="n">
        <v>46185</v>
      </c>
      <c r="D4099" t="inlineStr">
        <is>
          <t>VÄSTERNORRLANDS LÄN</t>
        </is>
      </c>
      <c r="E4099" t="inlineStr">
        <is>
          <t>SUNDSVALL</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3188-2025</t>
        </is>
      </c>
      <c r="B4100" s="1" t="n">
        <v>45679.40740740741</v>
      </c>
      <c r="C4100" s="1" t="n">
        <v>46185</v>
      </c>
      <c r="D4100" t="inlineStr">
        <is>
          <t>VÄSTERNORRLANDS LÄN</t>
        </is>
      </c>
      <c r="E4100" t="inlineStr">
        <is>
          <t>SUNDSVALL</t>
        </is>
      </c>
      <c r="F4100" t="inlineStr">
        <is>
          <t>SCA</t>
        </is>
      </c>
      <c r="G4100" t="n">
        <v>7.8</v>
      </c>
      <c r="H4100" t="n">
        <v>0</v>
      </c>
      <c r="I4100" t="n">
        <v>0</v>
      </c>
      <c r="J4100" t="n">
        <v>0</v>
      </c>
      <c r="K4100" t="n">
        <v>0</v>
      </c>
      <c r="L4100" t="n">
        <v>0</v>
      </c>
      <c r="M4100" t="n">
        <v>0</v>
      </c>
      <c r="N4100" t="n">
        <v>0</v>
      </c>
      <c r="O4100" t="n">
        <v>0</v>
      </c>
      <c r="P4100" t="n">
        <v>0</v>
      </c>
      <c r="Q4100" t="n">
        <v>0</v>
      </c>
      <c r="R4100" s="2" t="inlineStr"/>
    </row>
    <row r="4101" ht="15" customHeight="1">
      <c r="A4101" t="inlineStr">
        <is>
          <t>A 3215-2025</t>
        </is>
      </c>
      <c r="B4101" s="1" t="n">
        <v>45679</v>
      </c>
      <c r="C4101" s="1" t="n">
        <v>46185</v>
      </c>
      <c r="D4101" t="inlineStr">
        <is>
          <t>VÄSTERNORRLANDS LÄN</t>
        </is>
      </c>
      <c r="E4101" t="inlineStr">
        <is>
          <t>SUNDSVALL</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45979-2025</t>
        </is>
      </c>
      <c r="B4102" s="1" t="n">
        <v>45924.37559027778</v>
      </c>
      <c r="C4102" s="1" t="n">
        <v>46185</v>
      </c>
      <c r="D4102" t="inlineStr">
        <is>
          <t>VÄSTERNORRLANDS LÄN</t>
        </is>
      </c>
      <c r="E4102" t="inlineStr">
        <is>
          <t>ÖRNSKÖLDSVIK</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46137-2025</t>
        </is>
      </c>
      <c r="B4103" s="1" t="n">
        <v>45924.59915509259</v>
      </c>
      <c r="C4103" s="1" t="n">
        <v>46185</v>
      </c>
      <c r="D4103" t="inlineStr">
        <is>
          <t>VÄSTERNORRLANDS LÄN</t>
        </is>
      </c>
      <c r="E4103" t="inlineStr">
        <is>
          <t>ÖRNSKÖLDSVIK</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45874-2025</t>
        </is>
      </c>
      <c r="B4104" s="1" t="n">
        <v>45923.65667824074</v>
      </c>
      <c r="C4104" s="1" t="n">
        <v>46185</v>
      </c>
      <c r="D4104" t="inlineStr">
        <is>
          <t>VÄSTERNORRLANDS LÄN</t>
        </is>
      </c>
      <c r="E4104" t="inlineStr">
        <is>
          <t>SUNDSVALL</t>
        </is>
      </c>
      <c r="F4104" t="inlineStr">
        <is>
          <t>SCA</t>
        </is>
      </c>
      <c r="G4104" t="n">
        <v>16.3</v>
      </c>
      <c r="H4104" t="n">
        <v>0</v>
      </c>
      <c r="I4104" t="n">
        <v>0</v>
      </c>
      <c r="J4104" t="n">
        <v>0</v>
      </c>
      <c r="K4104" t="n">
        <v>0</v>
      </c>
      <c r="L4104" t="n">
        <v>0</v>
      </c>
      <c r="M4104" t="n">
        <v>0</v>
      </c>
      <c r="N4104" t="n">
        <v>0</v>
      </c>
      <c r="O4104" t="n">
        <v>0</v>
      </c>
      <c r="P4104" t="n">
        <v>0</v>
      </c>
      <c r="Q4104" t="n">
        <v>0</v>
      </c>
      <c r="R4104" s="2" t="inlineStr"/>
    </row>
    <row r="4105" ht="15" customHeight="1">
      <c r="A4105" t="inlineStr">
        <is>
          <t>A 45660-2025</t>
        </is>
      </c>
      <c r="B4105" s="1" t="n">
        <v>45923.34494212963</v>
      </c>
      <c r="C4105" s="1" t="n">
        <v>46185</v>
      </c>
      <c r="D4105" t="inlineStr">
        <is>
          <t>VÄSTERNORRLANDS LÄN</t>
        </is>
      </c>
      <c r="E4105" t="inlineStr">
        <is>
          <t>ÅNGE</t>
        </is>
      </c>
      <c r="F4105" t="inlineStr">
        <is>
          <t>SCA</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31508-2025</t>
        </is>
      </c>
      <c r="B4106" s="1" t="n">
        <v>45833</v>
      </c>
      <c r="C4106" s="1" t="n">
        <v>46185</v>
      </c>
      <c r="D4106" t="inlineStr">
        <is>
          <t>VÄSTERNORRLANDS LÄN</t>
        </is>
      </c>
      <c r="E4106" t="inlineStr">
        <is>
          <t>TIMRÅ</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45975-2025</t>
        </is>
      </c>
      <c r="B4107" s="1" t="n">
        <v>45924.36947916666</v>
      </c>
      <c r="C4107" s="1" t="n">
        <v>46185</v>
      </c>
      <c r="D4107" t="inlineStr">
        <is>
          <t>VÄSTERNORRLANDS LÄN</t>
        </is>
      </c>
      <c r="E4107" t="inlineStr">
        <is>
          <t>ÖRNSKÖLDSVIK</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46003-2025</t>
        </is>
      </c>
      <c r="B4108" s="1" t="n">
        <v>45924.40726851852</v>
      </c>
      <c r="C4108" s="1" t="n">
        <v>46185</v>
      </c>
      <c r="D4108" t="inlineStr">
        <is>
          <t>VÄSTERNORRLANDS LÄN</t>
        </is>
      </c>
      <c r="E4108" t="inlineStr">
        <is>
          <t>SOLLEFTEÅ</t>
        </is>
      </c>
      <c r="F4108" t="inlineStr">
        <is>
          <t>SCA</t>
        </is>
      </c>
      <c r="G4108" t="n">
        <v>6.3</v>
      </c>
      <c r="H4108" t="n">
        <v>0</v>
      </c>
      <c r="I4108" t="n">
        <v>0</v>
      </c>
      <c r="J4108" t="n">
        <v>0</v>
      </c>
      <c r="K4108" t="n">
        <v>0</v>
      </c>
      <c r="L4108" t="n">
        <v>0</v>
      </c>
      <c r="M4108" t="n">
        <v>0</v>
      </c>
      <c r="N4108" t="n">
        <v>0</v>
      </c>
      <c r="O4108" t="n">
        <v>0</v>
      </c>
      <c r="P4108" t="n">
        <v>0</v>
      </c>
      <c r="Q4108" t="n">
        <v>0</v>
      </c>
      <c r="R4108" s="2" t="inlineStr"/>
    </row>
    <row r="4109" ht="15" customHeight="1">
      <c r="A4109" t="inlineStr">
        <is>
          <t>A 46010-2025</t>
        </is>
      </c>
      <c r="B4109" s="1" t="n">
        <v>45924.41118055556</v>
      </c>
      <c r="C4109" s="1" t="n">
        <v>46185</v>
      </c>
      <c r="D4109" t="inlineStr">
        <is>
          <t>VÄSTERNORRLANDS LÄN</t>
        </is>
      </c>
      <c r="E4109" t="inlineStr">
        <is>
          <t>HÄRNÖSAND</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48441-2024</t>
        </is>
      </c>
      <c r="B4110" s="1" t="n">
        <v>45590.67782407408</v>
      </c>
      <c r="C4110" s="1" t="n">
        <v>46185</v>
      </c>
      <c r="D4110" t="inlineStr">
        <is>
          <t>VÄSTERNORRLANDS LÄN</t>
        </is>
      </c>
      <c r="E4110" t="inlineStr">
        <is>
          <t>SUNDSVALL</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48442-2024</t>
        </is>
      </c>
      <c r="B4111" s="1" t="n">
        <v>45590.67783564814</v>
      </c>
      <c r="C4111" s="1" t="n">
        <v>46185</v>
      </c>
      <c r="D4111" t="inlineStr">
        <is>
          <t>VÄSTERNORRLANDS LÄN</t>
        </is>
      </c>
      <c r="E4111" t="inlineStr">
        <is>
          <t>SUNDSVALL</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46174-2025</t>
        </is>
      </c>
      <c r="B4112" s="1" t="n">
        <v>45924.64704861111</v>
      </c>
      <c r="C4112" s="1" t="n">
        <v>46185</v>
      </c>
      <c r="D4112" t="inlineStr">
        <is>
          <t>VÄSTERNORRLANDS LÄN</t>
        </is>
      </c>
      <c r="E4112" t="inlineStr">
        <is>
          <t>SOLLEFTEÅ</t>
        </is>
      </c>
      <c r="F4112" t="inlineStr">
        <is>
          <t>Holmen skog AB</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46187-2025</t>
        </is>
      </c>
      <c r="B4113" s="1" t="n">
        <v>45924.66307870371</v>
      </c>
      <c r="C4113" s="1" t="n">
        <v>46185</v>
      </c>
      <c r="D4113" t="inlineStr">
        <is>
          <t>VÄSTERNORRLANDS LÄN</t>
        </is>
      </c>
      <c r="E4113" t="inlineStr">
        <is>
          <t>SUNDSVALL</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46111-2025</t>
        </is>
      </c>
      <c r="B4114" s="1" t="n">
        <v>45924.56684027778</v>
      </c>
      <c r="C4114" s="1" t="n">
        <v>46185</v>
      </c>
      <c r="D4114" t="inlineStr">
        <is>
          <t>VÄSTERNORRLANDS LÄN</t>
        </is>
      </c>
      <c r="E4114" t="inlineStr">
        <is>
          <t>ÅNGE</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35061-2025</t>
        </is>
      </c>
      <c r="B4115" s="1" t="n">
        <v>45852</v>
      </c>
      <c r="C4115" s="1" t="n">
        <v>46185</v>
      </c>
      <c r="D4115" t="inlineStr">
        <is>
          <t>VÄSTERNORRLANDS LÄN</t>
        </is>
      </c>
      <c r="E4115" t="inlineStr">
        <is>
          <t>ÅNGE</t>
        </is>
      </c>
      <c r="F4115" t="inlineStr">
        <is>
          <t>SCA</t>
        </is>
      </c>
      <c r="G4115" t="n">
        <v>5.6</v>
      </c>
      <c r="H4115" t="n">
        <v>0</v>
      </c>
      <c r="I4115" t="n">
        <v>0</v>
      </c>
      <c r="J4115" t="n">
        <v>0</v>
      </c>
      <c r="K4115" t="n">
        <v>0</v>
      </c>
      <c r="L4115" t="n">
        <v>0</v>
      </c>
      <c r="M4115" t="n">
        <v>0</v>
      </c>
      <c r="N4115" t="n">
        <v>0</v>
      </c>
      <c r="O4115" t="n">
        <v>0</v>
      </c>
      <c r="P4115" t="n">
        <v>0</v>
      </c>
      <c r="Q4115" t="n">
        <v>0</v>
      </c>
      <c r="R4115" s="2" t="inlineStr"/>
    </row>
    <row r="4116" ht="15" customHeight="1">
      <c r="A4116" t="inlineStr">
        <is>
          <t>A 20101-2025</t>
        </is>
      </c>
      <c r="B4116" s="1" t="n">
        <v>45772</v>
      </c>
      <c r="C4116" s="1" t="n">
        <v>46185</v>
      </c>
      <c r="D4116" t="inlineStr">
        <is>
          <t>VÄSTERNORRLANDS LÄN</t>
        </is>
      </c>
      <c r="E4116" t="inlineStr">
        <is>
          <t>SOLLEFTEÅ</t>
        </is>
      </c>
      <c r="F4116" t="inlineStr">
        <is>
          <t>SCA</t>
        </is>
      </c>
      <c r="G4116" t="n">
        <v>13.5</v>
      </c>
      <c r="H4116" t="n">
        <v>0</v>
      </c>
      <c r="I4116" t="n">
        <v>0</v>
      </c>
      <c r="J4116" t="n">
        <v>0</v>
      </c>
      <c r="K4116" t="n">
        <v>0</v>
      </c>
      <c r="L4116" t="n">
        <v>0</v>
      </c>
      <c r="M4116" t="n">
        <v>0</v>
      </c>
      <c r="N4116" t="n">
        <v>0</v>
      </c>
      <c r="O4116" t="n">
        <v>0</v>
      </c>
      <c r="P4116" t="n">
        <v>0</v>
      </c>
      <c r="Q4116" t="n">
        <v>0</v>
      </c>
      <c r="R4116" s="2" t="inlineStr"/>
    </row>
    <row r="4117" ht="15" customHeight="1">
      <c r="A4117" t="inlineStr">
        <is>
          <t>A 46082-2025</t>
        </is>
      </c>
      <c r="B4117" s="1" t="n">
        <v>45924.51133101852</v>
      </c>
      <c r="C4117" s="1" t="n">
        <v>46185</v>
      </c>
      <c r="D4117" t="inlineStr">
        <is>
          <t>VÄSTERNORRLANDS LÄN</t>
        </is>
      </c>
      <c r="E4117" t="inlineStr">
        <is>
          <t>ÖRNSKÖLDSVIK</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34820-2025</t>
        </is>
      </c>
      <c r="B4118" s="1" t="n">
        <v>45849</v>
      </c>
      <c r="C4118" s="1" t="n">
        <v>46185</v>
      </c>
      <c r="D4118" t="inlineStr">
        <is>
          <t>VÄSTERNORRLANDS LÄN</t>
        </is>
      </c>
      <c r="E4118" t="inlineStr">
        <is>
          <t>ÖRNSKÖLDSVIK</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45997-2025</t>
        </is>
      </c>
      <c r="B4119" s="1" t="n">
        <v>45924</v>
      </c>
      <c r="C4119" s="1" t="n">
        <v>46185</v>
      </c>
      <c r="D4119" t="inlineStr">
        <is>
          <t>VÄSTERNORRLANDS LÄN</t>
        </is>
      </c>
      <c r="E4119" t="inlineStr">
        <is>
          <t>HÄRNÖSAND</t>
        </is>
      </c>
      <c r="G4119" t="n">
        <v>6.6</v>
      </c>
      <c r="H4119" t="n">
        <v>0</v>
      </c>
      <c r="I4119" t="n">
        <v>0</v>
      </c>
      <c r="J4119" t="n">
        <v>0</v>
      </c>
      <c r="K4119" t="n">
        <v>0</v>
      </c>
      <c r="L4119" t="n">
        <v>0</v>
      </c>
      <c r="M4119" t="n">
        <v>0</v>
      </c>
      <c r="N4119" t="n">
        <v>0</v>
      </c>
      <c r="O4119" t="n">
        <v>0</v>
      </c>
      <c r="P4119" t="n">
        <v>0</v>
      </c>
      <c r="Q4119" t="n">
        <v>0</v>
      </c>
      <c r="R4119" s="2" t="inlineStr"/>
    </row>
    <row r="4120" ht="15" customHeight="1">
      <c r="A4120" t="inlineStr">
        <is>
          <t>A 46016-2025</t>
        </is>
      </c>
      <c r="B4120" s="1" t="n">
        <v>45924.42755787037</v>
      </c>
      <c r="C4120" s="1" t="n">
        <v>46185</v>
      </c>
      <c r="D4120" t="inlineStr">
        <is>
          <t>VÄSTERNORRLANDS LÄN</t>
        </is>
      </c>
      <c r="E4120" t="inlineStr">
        <is>
          <t>TIMRÅ</t>
        </is>
      </c>
      <c r="F4120" t="inlineStr">
        <is>
          <t>SCA</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45653-2025</t>
        </is>
      </c>
      <c r="B4121" s="1" t="n">
        <v>45923.33116898148</v>
      </c>
      <c r="C4121" s="1" t="n">
        <v>46185</v>
      </c>
      <c r="D4121" t="inlineStr">
        <is>
          <t>VÄSTERNORRLANDS LÄN</t>
        </is>
      </c>
      <c r="E4121" t="inlineStr">
        <is>
          <t>ÖRNSKÖLDSVIK</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44934-2021</t>
        </is>
      </c>
      <c r="B4122" s="1" t="n">
        <v>44438</v>
      </c>
      <c r="C4122" s="1" t="n">
        <v>46185</v>
      </c>
      <c r="D4122" t="inlineStr">
        <is>
          <t>VÄSTERNORRLANDS LÄN</t>
        </is>
      </c>
      <c r="E4122" t="inlineStr">
        <is>
          <t>SUNDSVALL</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46707-2024</t>
        </is>
      </c>
      <c r="B4123" s="1" t="n">
        <v>45583.44405092593</v>
      </c>
      <c r="C4123" s="1" t="n">
        <v>46185</v>
      </c>
      <c r="D4123" t="inlineStr">
        <is>
          <t>VÄSTERNORRLANDS LÄN</t>
        </is>
      </c>
      <c r="E4123" t="inlineStr">
        <is>
          <t>HÄRNÖSAND</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46759-2024</t>
        </is>
      </c>
      <c r="B4124" s="1" t="n">
        <v>45583.49101851852</v>
      </c>
      <c r="C4124" s="1" t="n">
        <v>46185</v>
      </c>
      <c r="D4124" t="inlineStr">
        <is>
          <t>VÄSTERNORRLANDS LÄN</t>
        </is>
      </c>
      <c r="E4124" t="inlineStr">
        <is>
          <t>SOLLEFTEÅ</t>
        </is>
      </c>
      <c r="F4124" t="inlineStr">
        <is>
          <t>SCA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46048-2025</t>
        </is>
      </c>
      <c r="B4125" s="1" t="n">
        <v>45924</v>
      </c>
      <c r="C4125" s="1" t="n">
        <v>46185</v>
      </c>
      <c r="D4125" t="inlineStr">
        <is>
          <t>VÄSTERNORRLANDS LÄN</t>
        </is>
      </c>
      <c r="E4125" t="inlineStr">
        <is>
          <t>ÖRNSKÖLDSVIK</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374-2025</t>
        </is>
      </c>
      <c r="B4126" s="1" t="n">
        <v>45661.64950231482</v>
      </c>
      <c r="C4126" s="1" t="n">
        <v>46185</v>
      </c>
      <c r="D4126" t="inlineStr">
        <is>
          <t>VÄSTERNORRLANDS LÄN</t>
        </is>
      </c>
      <c r="E4126" t="inlineStr">
        <is>
          <t>ÖRNSKÖLDSVIK</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46105-2025</t>
        </is>
      </c>
      <c r="B4127" s="1" t="n">
        <v>45924.55243055556</v>
      </c>
      <c r="C4127" s="1" t="n">
        <v>46185</v>
      </c>
      <c r="D4127" t="inlineStr">
        <is>
          <t>VÄSTERNORRLANDS LÄN</t>
        </is>
      </c>
      <c r="E4127" t="inlineStr">
        <is>
          <t>ÖRNSKÖLDSVIK</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46109-2025</t>
        </is>
      </c>
      <c r="B4128" s="1" t="n">
        <v>45924.5596412037</v>
      </c>
      <c r="C4128" s="1" t="n">
        <v>46185</v>
      </c>
      <c r="D4128" t="inlineStr">
        <is>
          <t>VÄSTERNORRLANDS LÄN</t>
        </is>
      </c>
      <c r="E4128" t="inlineStr">
        <is>
          <t>ÅNGE</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8488-2025</t>
        </is>
      </c>
      <c r="B4129" s="1" t="n">
        <v>45709.50527777777</v>
      </c>
      <c r="C4129" s="1" t="n">
        <v>46185</v>
      </c>
      <c r="D4129" t="inlineStr">
        <is>
          <t>VÄSTERNORRLANDS LÄN</t>
        </is>
      </c>
      <c r="E4129" t="inlineStr">
        <is>
          <t>SUNDSVALL</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48946-2024</t>
        </is>
      </c>
      <c r="B4130" s="1" t="n">
        <v>45594.42736111111</v>
      </c>
      <c r="C4130" s="1" t="n">
        <v>46185</v>
      </c>
      <c r="D4130" t="inlineStr">
        <is>
          <t>VÄSTERNORRLANDS LÄN</t>
        </is>
      </c>
      <c r="E4130" t="inlineStr">
        <is>
          <t>ÅNGE</t>
        </is>
      </c>
      <c r="F4130" t="inlineStr">
        <is>
          <t>SCA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45840-2025</t>
        </is>
      </c>
      <c r="B4131" s="1" t="n">
        <v>45923.61502314815</v>
      </c>
      <c r="C4131" s="1" t="n">
        <v>46185</v>
      </c>
      <c r="D4131" t="inlineStr">
        <is>
          <t>VÄSTERNORRLANDS LÄN</t>
        </is>
      </c>
      <c r="E4131" t="inlineStr">
        <is>
          <t>SUNDSVALL</t>
        </is>
      </c>
      <c r="F4131" t="inlineStr">
        <is>
          <t>SCA</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45846-2025</t>
        </is>
      </c>
      <c r="B4132" s="1" t="n">
        <v>45923.61597222222</v>
      </c>
      <c r="C4132" s="1" t="n">
        <v>46185</v>
      </c>
      <c r="D4132" t="inlineStr">
        <is>
          <t>VÄSTERNORRLANDS LÄN</t>
        </is>
      </c>
      <c r="E4132" t="inlineStr">
        <is>
          <t>SUNDSVALL</t>
        </is>
      </c>
      <c r="F4132" t="inlineStr">
        <is>
          <t>SCA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48950-2024</t>
        </is>
      </c>
      <c r="B4133" s="1" t="n">
        <v>45594.42883101852</v>
      </c>
      <c r="C4133" s="1" t="n">
        <v>46185</v>
      </c>
      <c r="D4133" t="inlineStr">
        <is>
          <t>VÄSTERNORRLANDS LÄN</t>
        </is>
      </c>
      <c r="E4133" t="inlineStr">
        <is>
          <t>SUNDSVALL</t>
        </is>
      </c>
      <c r="F4133" t="inlineStr">
        <is>
          <t>SCA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45990-2025</t>
        </is>
      </c>
      <c r="B4134" s="1" t="n">
        <v>45924</v>
      </c>
      <c r="C4134" s="1" t="n">
        <v>46185</v>
      </c>
      <c r="D4134" t="inlineStr">
        <is>
          <t>VÄSTERNORRLANDS LÄN</t>
        </is>
      </c>
      <c r="E4134" t="inlineStr">
        <is>
          <t>HÄRNÖSAND</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47631-2024</t>
        </is>
      </c>
      <c r="B4135" s="1" t="n">
        <v>45588.34465277778</v>
      </c>
      <c r="C4135" s="1" t="n">
        <v>46185</v>
      </c>
      <c r="D4135" t="inlineStr">
        <is>
          <t>VÄSTERNORRLANDS LÄN</t>
        </is>
      </c>
      <c r="E4135" t="inlineStr">
        <is>
          <t>SOLLEFTEÅ</t>
        </is>
      </c>
      <c r="F4135" t="inlineStr">
        <is>
          <t>SCA</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47639-2024</t>
        </is>
      </c>
      <c r="B4136" s="1" t="n">
        <v>45588.36490740741</v>
      </c>
      <c r="C4136" s="1" t="n">
        <v>46185</v>
      </c>
      <c r="D4136" t="inlineStr">
        <is>
          <t>VÄSTERNORRLANDS LÄN</t>
        </is>
      </c>
      <c r="E4136" t="inlineStr">
        <is>
          <t>HÄRNÖSAND</t>
        </is>
      </c>
      <c r="F4136" t="inlineStr">
        <is>
          <t>SCA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46146-2025</t>
        </is>
      </c>
      <c r="B4137" s="1" t="n">
        <v>45924.60825231481</v>
      </c>
      <c r="C4137" s="1" t="n">
        <v>46185</v>
      </c>
      <c r="D4137" t="inlineStr">
        <is>
          <t>VÄSTERNORRLANDS LÄN</t>
        </is>
      </c>
      <c r="E4137" t="inlineStr">
        <is>
          <t>ÖRNSKÖLDSVIK</t>
        </is>
      </c>
      <c r="F4137" t="inlineStr">
        <is>
          <t>Holmen skog AB</t>
        </is>
      </c>
      <c r="G4137" t="n">
        <v>28.7</v>
      </c>
      <c r="H4137" t="n">
        <v>0</v>
      </c>
      <c r="I4137" t="n">
        <v>0</v>
      </c>
      <c r="J4137" t="n">
        <v>0</v>
      </c>
      <c r="K4137" t="n">
        <v>0</v>
      </c>
      <c r="L4137" t="n">
        <v>0</v>
      </c>
      <c r="M4137" t="n">
        <v>0</v>
      </c>
      <c r="N4137" t="n">
        <v>0</v>
      </c>
      <c r="O4137" t="n">
        <v>0</v>
      </c>
      <c r="P4137" t="n">
        <v>0</v>
      </c>
      <c r="Q4137" t="n">
        <v>0</v>
      </c>
      <c r="R4137" s="2" t="inlineStr"/>
    </row>
    <row r="4138" ht="15" customHeight="1">
      <c r="A4138" t="inlineStr">
        <is>
          <t>A 46037-2025</t>
        </is>
      </c>
      <c r="B4138" s="1" t="n">
        <v>45924.44836805556</v>
      </c>
      <c r="C4138" s="1" t="n">
        <v>46185</v>
      </c>
      <c r="D4138" t="inlineStr">
        <is>
          <t>VÄSTERNORRLANDS LÄN</t>
        </is>
      </c>
      <c r="E4138" t="inlineStr">
        <is>
          <t>SOLLEFTEÅ</t>
        </is>
      </c>
      <c r="F4138" t="inlineStr">
        <is>
          <t>SCA</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46826-2024</t>
        </is>
      </c>
      <c r="B4139" s="1" t="n">
        <v>45583.58082175926</v>
      </c>
      <c r="C4139" s="1" t="n">
        <v>46185</v>
      </c>
      <c r="D4139" t="inlineStr">
        <is>
          <t>VÄSTERNORRLANDS LÄN</t>
        </is>
      </c>
      <c r="E4139" t="inlineStr">
        <is>
          <t>ÖRNSKÖLDSVIK</t>
        </is>
      </c>
      <c r="F4139" t="inlineStr">
        <is>
          <t>Holmen skog AB</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46130-2025</t>
        </is>
      </c>
      <c r="B4140" s="1" t="n">
        <v>45924.59452546296</v>
      </c>
      <c r="C4140" s="1" t="n">
        <v>46185</v>
      </c>
      <c r="D4140" t="inlineStr">
        <is>
          <t>VÄSTERNORRLANDS LÄN</t>
        </is>
      </c>
      <c r="E4140" t="inlineStr">
        <is>
          <t>ÖRNSKÖLDSVIK</t>
        </is>
      </c>
      <c r="F4140" t="inlineStr">
        <is>
          <t>SCA</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54570-2024</t>
        </is>
      </c>
      <c r="B4141" s="1" t="n">
        <v>45617.64739583333</v>
      </c>
      <c r="C4141" s="1" t="n">
        <v>46185</v>
      </c>
      <c r="D4141" t="inlineStr">
        <is>
          <t>VÄSTERNORRLANDS LÄN</t>
        </is>
      </c>
      <c r="E4141" t="inlineStr">
        <is>
          <t>SUNDSVALL</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54575-2024</t>
        </is>
      </c>
      <c r="B4142" s="1" t="n">
        <v>45617.65232638889</v>
      </c>
      <c r="C4142" s="1" t="n">
        <v>46185</v>
      </c>
      <c r="D4142" t="inlineStr">
        <is>
          <t>VÄSTERNORRLANDS LÄN</t>
        </is>
      </c>
      <c r="E4142" t="inlineStr">
        <is>
          <t>SOLLEFTEÅ</t>
        </is>
      </c>
      <c r="F4142" t="inlineStr">
        <is>
          <t>Holmen skog AB</t>
        </is>
      </c>
      <c r="G4142" t="n">
        <v>1.7</v>
      </c>
      <c r="H4142" t="n">
        <v>0</v>
      </c>
      <c r="I4142" t="n">
        <v>0</v>
      </c>
      <c r="J4142" t="n">
        <v>0</v>
      </c>
      <c r="K4142" t="n">
        <v>0</v>
      </c>
      <c r="L4142" t="n">
        <v>0</v>
      </c>
      <c r="M4142" t="n">
        <v>0</v>
      </c>
      <c r="N4142" t="n">
        <v>0</v>
      </c>
      <c r="O4142" t="n">
        <v>0</v>
      </c>
      <c r="P4142" t="n">
        <v>0</v>
      </c>
      <c r="Q4142" t="n">
        <v>0</v>
      </c>
      <c r="R4142" s="2" t="inlineStr"/>
      <c r="U4142">
        <f>HYPERLINK("https://klasma.github.io/Logging_2283/knärot/A 54575-2024 karta knärot.png", "A 54575-2024")</f>
        <v/>
      </c>
      <c r="V4142">
        <f>HYPERLINK("https://klasma.github.io/Logging_2283/klagomål/A 54575-2024 FSC-klagomål.docx", "A 54575-2024")</f>
        <v/>
      </c>
      <c r="W4142">
        <f>HYPERLINK("https://klasma.github.io/Logging_2283/klagomålsmail/A 54575-2024 FSC-klagomål mail.docx", "A 54575-2024")</f>
        <v/>
      </c>
      <c r="X4142">
        <f>HYPERLINK("https://klasma.github.io/Logging_2283/tillsyn/A 54575-2024 tillsynsbegäran.docx", "A 54575-2024")</f>
        <v/>
      </c>
      <c r="Y4142">
        <f>HYPERLINK("https://klasma.github.io/Logging_2283/tillsynsmail/A 54575-2024 tillsynsbegäran mail.docx", "A 54575-2024")</f>
        <v/>
      </c>
    </row>
    <row r="4143" ht="15" customHeight="1">
      <c r="A4143" t="inlineStr">
        <is>
          <t>A 40875-2023</t>
        </is>
      </c>
      <c r="B4143" s="1" t="n">
        <v>45173</v>
      </c>
      <c r="C4143" s="1" t="n">
        <v>46185</v>
      </c>
      <c r="D4143" t="inlineStr">
        <is>
          <t>VÄSTERNORRLANDS LÄN</t>
        </is>
      </c>
      <c r="E4143" t="inlineStr">
        <is>
          <t>KRAMFORS</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45880-2025</t>
        </is>
      </c>
      <c r="B4144" s="1" t="n">
        <v>45923.6609837963</v>
      </c>
      <c r="C4144" s="1" t="n">
        <v>46185</v>
      </c>
      <c r="D4144" t="inlineStr">
        <is>
          <t>VÄSTERNORRLANDS LÄN</t>
        </is>
      </c>
      <c r="E4144" t="inlineStr">
        <is>
          <t>ÖRNSKÖLDSVIK</t>
        </is>
      </c>
      <c r="F4144" t="inlineStr">
        <is>
          <t>Holmen skog AB</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62224-2022</t>
        </is>
      </c>
      <c r="B4145" s="1" t="n">
        <v>44916</v>
      </c>
      <c r="C4145" s="1" t="n">
        <v>46185</v>
      </c>
      <c r="D4145" t="inlineStr">
        <is>
          <t>VÄSTERNORRLANDS LÄN</t>
        </is>
      </c>
      <c r="E4145" t="inlineStr">
        <is>
          <t>KRAMFORS</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2548-2026</t>
        </is>
      </c>
      <c r="B4146" s="1" t="n">
        <v>46037.46987268519</v>
      </c>
      <c r="C4146" s="1" t="n">
        <v>46185</v>
      </c>
      <c r="D4146" t="inlineStr">
        <is>
          <t>VÄSTERNORRLANDS LÄN</t>
        </is>
      </c>
      <c r="E4146" t="inlineStr">
        <is>
          <t>SUNDSVALL</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12379-2025</t>
        </is>
      </c>
      <c r="B4147" s="1" t="n">
        <v>45730</v>
      </c>
      <c r="C4147" s="1" t="n">
        <v>46185</v>
      </c>
      <c r="D4147" t="inlineStr">
        <is>
          <t>VÄSTERNORRLANDS LÄN</t>
        </is>
      </c>
      <c r="E4147" t="inlineStr">
        <is>
          <t>SOLLEFTEÅ</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62342-2022</t>
        </is>
      </c>
      <c r="B4148" s="1" t="n">
        <v>44916</v>
      </c>
      <c r="C4148" s="1" t="n">
        <v>46185</v>
      </c>
      <c r="D4148" t="inlineStr">
        <is>
          <t>VÄSTERNORRLANDS LÄN</t>
        </is>
      </c>
      <c r="E4148" t="inlineStr">
        <is>
          <t>ÖRNSKÖLDSVIK</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42764-2023</t>
        </is>
      </c>
      <c r="B4149" s="1" t="n">
        <v>45181.71112268518</v>
      </c>
      <c r="C4149" s="1" t="n">
        <v>46185</v>
      </c>
      <c r="D4149" t="inlineStr">
        <is>
          <t>VÄSTERNORRLANDS LÄN</t>
        </is>
      </c>
      <c r="E4149" t="inlineStr">
        <is>
          <t>ÖRNSKÖLDSVIK</t>
        </is>
      </c>
      <c r="F4149" t="inlineStr">
        <is>
          <t>Holmen skog AB</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3501-2023</t>
        </is>
      </c>
      <c r="B4150" s="1" t="n">
        <v>44949</v>
      </c>
      <c r="C4150" s="1" t="n">
        <v>46185</v>
      </c>
      <c r="D4150" t="inlineStr">
        <is>
          <t>VÄSTERNORRLANDS LÄN</t>
        </is>
      </c>
      <c r="E4150" t="inlineStr">
        <is>
          <t>KRAMFORS</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57363-2022</t>
        </is>
      </c>
      <c r="B4151" s="1" t="n">
        <v>44896.43229166666</v>
      </c>
      <c r="C4151" s="1" t="n">
        <v>46185</v>
      </c>
      <c r="D4151" t="inlineStr">
        <is>
          <t>VÄSTERNORRLANDS LÄN</t>
        </is>
      </c>
      <c r="E4151" t="inlineStr">
        <is>
          <t>SUNDSVALL</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1686-2023</t>
        </is>
      </c>
      <c r="B4152" s="1" t="n">
        <v>44936</v>
      </c>
      <c r="C4152" s="1" t="n">
        <v>46185</v>
      </c>
      <c r="D4152" t="inlineStr">
        <is>
          <t>VÄSTERNORRLANDS LÄN</t>
        </is>
      </c>
      <c r="E4152" t="inlineStr">
        <is>
          <t>ÖRNSKÖLDSVIK</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35189-2025</t>
        </is>
      </c>
      <c r="B4153" s="1" t="n">
        <v>45853.34439814815</v>
      </c>
      <c r="C4153" s="1" t="n">
        <v>46185</v>
      </c>
      <c r="D4153" t="inlineStr">
        <is>
          <t>VÄSTERNORRLANDS LÄN</t>
        </is>
      </c>
      <c r="E4153" t="inlineStr">
        <is>
          <t>HÄRNÖSAND</t>
        </is>
      </c>
      <c r="F4153" t="inlineStr">
        <is>
          <t>SCA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46038-2025</t>
        </is>
      </c>
      <c r="B4154" s="1" t="n">
        <v>45924.44872685185</v>
      </c>
      <c r="C4154" s="1" t="n">
        <v>46185</v>
      </c>
      <c r="D4154" t="inlineStr">
        <is>
          <t>VÄSTERNORRLANDS LÄN</t>
        </is>
      </c>
      <c r="E4154" t="inlineStr">
        <is>
          <t>ÖRNSKÖLDSVIK</t>
        </is>
      </c>
      <c r="G4154" t="n">
        <v>6.3</v>
      </c>
      <c r="H4154" t="n">
        <v>0</v>
      </c>
      <c r="I4154" t="n">
        <v>0</v>
      </c>
      <c r="J4154" t="n">
        <v>0</v>
      </c>
      <c r="K4154" t="n">
        <v>0</v>
      </c>
      <c r="L4154" t="n">
        <v>0</v>
      </c>
      <c r="M4154" t="n">
        <v>0</v>
      </c>
      <c r="N4154" t="n">
        <v>0</v>
      </c>
      <c r="O4154" t="n">
        <v>0</v>
      </c>
      <c r="P4154" t="n">
        <v>0</v>
      </c>
      <c r="Q4154" t="n">
        <v>0</v>
      </c>
      <c r="R4154" s="2" t="inlineStr"/>
    </row>
    <row r="4155" ht="15" customHeight="1">
      <c r="A4155" t="inlineStr">
        <is>
          <t>A 46039-2025</t>
        </is>
      </c>
      <c r="B4155" s="1" t="n">
        <v>45924.44880787037</v>
      </c>
      <c r="C4155" s="1" t="n">
        <v>46185</v>
      </c>
      <c r="D4155" t="inlineStr">
        <is>
          <t>VÄSTERNORRLANDS LÄN</t>
        </is>
      </c>
      <c r="E4155" t="inlineStr">
        <is>
          <t>ÖRNSKÖLDSVIK</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45753-2025</t>
        </is>
      </c>
      <c r="B4156" s="1" t="n">
        <v>45923.49008101852</v>
      </c>
      <c r="C4156" s="1" t="n">
        <v>46185</v>
      </c>
      <c r="D4156" t="inlineStr">
        <is>
          <t>VÄSTERNORRLANDS LÄN</t>
        </is>
      </c>
      <c r="E4156" t="inlineStr">
        <is>
          <t>SUNDSVALL</t>
        </is>
      </c>
      <c r="F4156" t="inlineStr">
        <is>
          <t>SCA</t>
        </is>
      </c>
      <c r="G4156" t="n">
        <v>14.5</v>
      </c>
      <c r="H4156" t="n">
        <v>0</v>
      </c>
      <c r="I4156" t="n">
        <v>0</v>
      </c>
      <c r="J4156" t="n">
        <v>0</v>
      </c>
      <c r="K4156" t="n">
        <v>0</v>
      </c>
      <c r="L4156" t="n">
        <v>0</v>
      </c>
      <c r="M4156" t="n">
        <v>0</v>
      </c>
      <c r="N4156" t="n">
        <v>0</v>
      </c>
      <c r="O4156" t="n">
        <v>0</v>
      </c>
      <c r="P4156" t="n">
        <v>0</v>
      </c>
      <c r="Q4156" t="n">
        <v>0</v>
      </c>
      <c r="R4156" s="2" t="inlineStr"/>
    </row>
    <row r="4157" ht="15" customHeight="1">
      <c r="A4157" t="inlineStr">
        <is>
          <t>A 17462-2025</t>
        </is>
      </c>
      <c r="B4157" s="1" t="n">
        <v>45757.45752314815</v>
      </c>
      <c r="C4157" s="1" t="n">
        <v>46185</v>
      </c>
      <c r="D4157" t="inlineStr">
        <is>
          <t>VÄSTERNORRLANDS LÄN</t>
        </is>
      </c>
      <c r="E4157" t="inlineStr">
        <is>
          <t>ÖRNSKÖLDSVIK</t>
        </is>
      </c>
      <c r="F4157" t="inlineStr">
        <is>
          <t>Holmen skog AB</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2492-2026</t>
        </is>
      </c>
      <c r="B4158" s="1" t="n">
        <v>46037.39542824074</v>
      </c>
      <c r="C4158" s="1" t="n">
        <v>46185</v>
      </c>
      <c r="D4158" t="inlineStr">
        <is>
          <t>VÄSTERNORRLANDS LÄN</t>
        </is>
      </c>
      <c r="E4158" t="inlineStr">
        <is>
          <t>KRAMFORS</t>
        </is>
      </c>
      <c r="G4158" t="n">
        <v>36.4</v>
      </c>
      <c r="H4158" t="n">
        <v>0</v>
      </c>
      <c r="I4158" t="n">
        <v>0</v>
      </c>
      <c r="J4158" t="n">
        <v>0</v>
      </c>
      <c r="K4158" t="n">
        <v>0</v>
      </c>
      <c r="L4158" t="n">
        <v>0</v>
      </c>
      <c r="M4158" t="n">
        <v>0</v>
      </c>
      <c r="N4158" t="n">
        <v>0</v>
      </c>
      <c r="O4158" t="n">
        <v>0</v>
      </c>
      <c r="P4158" t="n">
        <v>0</v>
      </c>
      <c r="Q4158" t="n">
        <v>0</v>
      </c>
      <c r="R4158" s="2" t="inlineStr"/>
    </row>
    <row r="4159" ht="15" customHeight="1">
      <c r="A4159" t="inlineStr">
        <is>
          <t>A 46068-2025</t>
        </is>
      </c>
      <c r="B4159" s="1" t="n">
        <v>45924.48935185185</v>
      </c>
      <c r="C4159" s="1" t="n">
        <v>46185</v>
      </c>
      <c r="D4159" t="inlineStr">
        <is>
          <t>VÄSTERNORRLANDS LÄN</t>
        </is>
      </c>
      <c r="E4159" t="inlineStr">
        <is>
          <t>ÖRNSKÖLDSVIK</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35286-2025</t>
        </is>
      </c>
      <c r="B4160" s="1" t="n">
        <v>45854.36512731481</v>
      </c>
      <c r="C4160" s="1" t="n">
        <v>46185</v>
      </c>
      <c r="D4160" t="inlineStr">
        <is>
          <t>VÄSTERNORRLANDS LÄN</t>
        </is>
      </c>
      <c r="E4160" t="inlineStr">
        <is>
          <t>SOLLEFTEÅ</t>
        </is>
      </c>
      <c r="F4160" t="inlineStr">
        <is>
          <t>SCA</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46101-2025</t>
        </is>
      </c>
      <c r="B4161" s="1" t="n">
        <v>45924.54756944445</v>
      </c>
      <c r="C4161" s="1" t="n">
        <v>46185</v>
      </c>
      <c r="D4161" t="inlineStr">
        <is>
          <t>VÄSTERNORRLANDS LÄN</t>
        </is>
      </c>
      <c r="E4161" t="inlineStr">
        <is>
          <t>HÄRNÖSAND</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17524-2025</t>
        </is>
      </c>
      <c r="B4162" s="1" t="n">
        <v>45757.58121527778</v>
      </c>
      <c r="C4162" s="1" t="n">
        <v>46185</v>
      </c>
      <c r="D4162" t="inlineStr">
        <is>
          <t>VÄSTERNORRLANDS LÄN</t>
        </is>
      </c>
      <c r="E4162" t="inlineStr">
        <is>
          <t>HÄRNÖSAND</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46107-2025</t>
        </is>
      </c>
      <c r="B4163" s="1" t="n">
        <v>45924.55260416667</v>
      </c>
      <c r="C4163" s="1" t="n">
        <v>46185</v>
      </c>
      <c r="D4163" t="inlineStr">
        <is>
          <t>VÄSTERNORRLANDS LÄN</t>
        </is>
      </c>
      <c r="E4163" t="inlineStr">
        <is>
          <t>ÖRNSKÖLDSVIK</t>
        </is>
      </c>
      <c r="G4163" t="n">
        <v>12.2</v>
      </c>
      <c r="H4163" t="n">
        <v>0</v>
      </c>
      <c r="I4163" t="n">
        <v>0</v>
      </c>
      <c r="J4163" t="n">
        <v>0</v>
      </c>
      <c r="K4163" t="n">
        <v>0</v>
      </c>
      <c r="L4163" t="n">
        <v>0</v>
      </c>
      <c r="M4163" t="n">
        <v>0</v>
      </c>
      <c r="N4163" t="n">
        <v>0</v>
      </c>
      <c r="O4163" t="n">
        <v>0</v>
      </c>
      <c r="P4163" t="n">
        <v>0</v>
      </c>
      <c r="Q4163" t="n">
        <v>0</v>
      </c>
      <c r="R4163" s="2" t="inlineStr"/>
    </row>
    <row r="4164" ht="15" customHeight="1">
      <c r="A4164" t="inlineStr">
        <is>
          <t>A 46112-2025</t>
        </is>
      </c>
      <c r="B4164" s="1" t="n">
        <v>45924.56881944444</v>
      </c>
      <c r="C4164" s="1" t="n">
        <v>46185</v>
      </c>
      <c r="D4164" t="inlineStr">
        <is>
          <t>VÄSTERNORRLANDS LÄN</t>
        </is>
      </c>
      <c r="E4164" t="inlineStr">
        <is>
          <t>ÖRNSKÖLDSVIK</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46115-2025</t>
        </is>
      </c>
      <c r="B4165" s="1" t="n">
        <v>45924.57280092593</v>
      </c>
      <c r="C4165" s="1" t="n">
        <v>46185</v>
      </c>
      <c r="D4165" t="inlineStr">
        <is>
          <t>VÄSTERNORRLANDS LÄN</t>
        </is>
      </c>
      <c r="E4165" t="inlineStr">
        <is>
          <t>KRAMFORS</t>
        </is>
      </c>
      <c r="G4165" t="n">
        <v>0.5</v>
      </c>
      <c r="H4165" t="n">
        <v>0</v>
      </c>
      <c r="I4165" t="n">
        <v>0</v>
      </c>
      <c r="J4165" t="n">
        <v>0</v>
      </c>
      <c r="K4165" t="n">
        <v>0</v>
      </c>
      <c r="L4165" t="n">
        <v>0</v>
      </c>
      <c r="M4165" t="n">
        <v>0</v>
      </c>
      <c r="N4165" t="n">
        <v>0</v>
      </c>
      <c r="O4165" t="n">
        <v>0</v>
      </c>
      <c r="P4165" t="n">
        <v>0</v>
      </c>
      <c r="Q4165" t="n">
        <v>0</v>
      </c>
      <c r="R4165" s="2" t="inlineStr"/>
      <c r="U4165">
        <f>HYPERLINK("https://klasma.github.io/Logging_2282/knärot/A 46115-2025 karta knärot.png", "A 46115-2025")</f>
        <v/>
      </c>
      <c r="V4165">
        <f>HYPERLINK("https://klasma.github.io/Logging_2282/klagomål/A 46115-2025 FSC-klagomål.docx", "A 46115-2025")</f>
        <v/>
      </c>
      <c r="W4165">
        <f>HYPERLINK("https://klasma.github.io/Logging_2282/klagomålsmail/A 46115-2025 FSC-klagomål mail.docx", "A 46115-2025")</f>
        <v/>
      </c>
      <c r="X4165">
        <f>HYPERLINK("https://klasma.github.io/Logging_2282/tillsyn/A 46115-2025 tillsynsbegäran.docx", "A 46115-2025")</f>
        <v/>
      </c>
      <c r="Y4165">
        <f>HYPERLINK("https://klasma.github.io/Logging_2282/tillsynsmail/A 46115-2025 tillsynsbegäran mail.docx", "A 46115-2025")</f>
        <v/>
      </c>
    </row>
    <row r="4166" ht="15" customHeight="1">
      <c r="A4166" t="inlineStr">
        <is>
          <t>A 3023-2023</t>
        </is>
      </c>
      <c r="B4166" s="1" t="n">
        <v>44945</v>
      </c>
      <c r="C4166" s="1" t="n">
        <v>46185</v>
      </c>
      <c r="D4166" t="inlineStr">
        <is>
          <t>VÄSTERNORRLANDS LÄN</t>
        </is>
      </c>
      <c r="E4166" t="inlineStr">
        <is>
          <t>ÅNGE</t>
        </is>
      </c>
      <c r="F4166" t="inlineStr">
        <is>
          <t>SCA</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3025-2023</t>
        </is>
      </c>
      <c r="B4167" s="1" t="n">
        <v>44945</v>
      </c>
      <c r="C4167" s="1" t="n">
        <v>46185</v>
      </c>
      <c r="D4167" t="inlineStr">
        <is>
          <t>VÄSTERNORRLANDS LÄN</t>
        </is>
      </c>
      <c r="E4167" t="inlineStr">
        <is>
          <t>ÅNGE</t>
        </is>
      </c>
      <c r="F4167" t="inlineStr">
        <is>
          <t>SCA</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3026-2023</t>
        </is>
      </c>
      <c r="B4168" s="1" t="n">
        <v>44945</v>
      </c>
      <c r="C4168" s="1" t="n">
        <v>46185</v>
      </c>
      <c r="D4168" t="inlineStr">
        <is>
          <t>VÄSTERNORRLANDS LÄN</t>
        </is>
      </c>
      <c r="E4168" t="inlineStr">
        <is>
          <t>ÖRNSKÖLDSVIK</t>
        </is>
      </c>
      <c r="F4168" t="inlineStr">
        <is>
          <t>SCA</t>
        </is>
      </c>
      <c r="G4168" t="n">
        <v>7.6</v>
      </c>
      <c r="H4168" t="n">
        <v>0</v>
      </c>
      <c r="I4168" t="n">
        <v>0</v>
      </c>
      <c r="J4168" t="n">
        <v>0</v>
      </c>
      <c r="K4168" t="n">
        <v>0</v>
      </c>
      <c r="L4168" t="n">
        <v>0</v>
      </c>
      <c r="M4168" t="n">
        <v>0</v>
      </c>
      <c r="N4168" t="n">
        <v>0</v>
      </c>
      <c r="O4168" t="n">
        <v>0</v>
      </c>
      <c r="P4168" t="n">
        <v>0</v>
      </c>
      <c r="Q4168" t="n">
        <v>0</v>
      </c>
      <c r="R4168" s="2" t="inlineStr"/>
    </row>
    <row r="4169" ht="15" customHeight="1">
      <c r="A4169" t="inlineStr">
        <is>
          <t>A 45977-2025</t>
        </is>
      </c>
      <c r="B4169" s="1" t="n">
        <v>45924.37170138889</v>
      </c>
      <c r="C4169" s="1" t="n">
        <v>46185</v>
      </c>
      <c r="D4169" t="inlineStr">
        <is>
          <t>VÄSTERNORRLANDS LÄN</t>
        </is>
      </c>
      <c r="E4169" t="inlineStr">
        <is>
          <t>SOLLEFTEÅ</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45793-2025</t>
        </is>
      </c>
      <c r="B4170" s="1" t="n">
        <v>45923.57356481482</v>
      </c>
      <c r="C4170" s="1" t="n">
        <v>46185</v>
      </c>
      <c r="D4170" t="inlineStr">
        <is>
          <t>VÄSTERNORRLANDS LÄN</t>
        </is>
      </c>
      <c r="E4170" t="inlineStr">
        <is>
          <t>ÖRNSKÖLDSVIK</t>
        </is>
      </c>
      <c r="F4170" t="inlineStr">
        <is>
          <t>SCA</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45794-2025</t>
        </is>
      </c>
      <c r="B4171" s="1" t="n">
        <v>45923.57380787037</v>
      </c>
      <c r="C4171" s="1" t="n">
        <v>46185</v>
      </c>
      <c r="D4171" t="inlineStr">
        <is>
          <t>VÄSTERNORRLANDS LÄN</t>
        </is>
      </c>
      <c r="E4171" t="inlineStr">
        <is>
          <t>SOLLEFTEÅ</t>
        </is>
      </c>
      <c r="F4171" t="inlineStr">
        <is>
          <t>SCA</t>
        </is>
      </c>
      <c r="G4171" t="n">
        <v>34.9</v>
      </c>
      <c r="H4171" t="n">
        <v>0</v>
      </c>
      <c r="I4171" t="n">
        <v>0</v>
      </c>
      <c r="J4171" t="n">
        <v>0</v>
      </c>
      <c r="K4171" t="n">
        <v>0</v>
      </c>
      <c r="L4171" t="n">
        <v>0</v>
      </c>
      <c r="M4171" t="n">
        <v>0</v>
      </c>
      <c r="N4171" t="n">
        <v>0</v>
      </c>
      <c r="O4171" t="n">
        <v>0</v>
      </c>
      <c r="P4171" t="n">
        <v>0</v>
      </c>
      <c r="Q4171" t="n">
        <v>0</v>
      </c>
      <c r="R4171" s="2" t="inlineStr"/>
    </row>
    <row r="4172" ht="15" customHeight="1">
      <c r="A4172" t="inlineStr">
        <is>
          <t>A 45652-2025</t>
        </is>
      </c>
      <c r="B4172" s="1" t="n">
        <v>45923.33097222223</v>
      </c>
      <c r="C4172" s="1" t="n">
        <v>46185</v>
      </c>
      <c r="D4172" t="inlineStr">
        <is>
          <t>VÄSTERNORRLANDS LÄN</t>
        </is>
      </c>
      <c r="E4172" t="inlineStr">
        <is>
          <t>ÖRNSKÖLDSVIK</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45659-2025</t>
        </is>
      </c>
      <c r="B4173" s="1" t="n">
        <v>45923.34471064815</v>
      </c>
      <c r="C4173" s="1" t="n">
        <v>46185</v>
      </c>
      <c r="D4173" t="inlineStr">
        <is>
          <t>VÄSTERNORRLANDS LÄN</t>
        </is>
      </c>
      <c r="E4173" t="inlineStr">
        <is>
          <t>ÅNGE</t>
        </is>
      </c>
      <c r="F4173" t="inlineStr">
        <is>
          <t>SCA</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45667-2025</t>
        </is>
      </c>
      <c r="B4174" s="1" t="n">
        <v>45923.35010416667</v>
      </c>
      <c r="C4174" s="1" t="n">
        <v>46185</v>
      </c>
      <c r="D4174" t="inlineStr">
        <is>
          <t>VÄSTERNORRLANDS LÄN</t>
        </is>
      </c>
      <c r="E4174" t="inlineStr">
        <is>
          <t>ÖRNSKÖLDSVIK</t>
        </is>
      </c>
      <c r="F4174" t="inlineStr">
        <is>
          <t>Holmen skog AB</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13604-2024</t>
        </is>
      </c>
      <c r="B4175" s="1" t="n">
        <v>45390</v>
      </c>
      <c r="C4175" s="1" t="n">
        <v>46185</v>
      </c>
      <c r="D4175" t="inlineStr">
        <is>
          <t>VÄSTERNORRLANDS LÄN</t>
        </is>
      </c>
      <c r="E4175" t="inlineStr">
        <is>
          <t>HÄRNÖSAND</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35572-2025</t>
        </is>
      </c>
      <c r="B4176" s="1" t="n">
        <v>45856.59423611111</v>
      </c>
      <c r="C4176" s="1" t="n">
        <v>46185</v>
      </c>
      <c r="D4176" t="inlineStr">
        <is>
          <t>VÄSTERNORRLANDS LÄN</t>
        </is>
      </c>
      <c r="E4176" t="inlineStr">
        <is>
          <t>SOLLEFTEÅ</t>
        </is>
      </c>
      <c r="F4176" t="inlineStr">
        <is>
          <t>SCA</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41287-2024</t>
        </is>
      </c>
      <c r="B4177" s="1" t="n">
        <v>45559</v>
      </c>
      <c r="C4177" s="1" t="n">
        <v>46185</v>
      </c>
      <c r="D4177" t="inlineStr">
        <is>
          <t>VÄSTERNORRLANDS LÄN</t>
        </is>
      </c>
      <c r="E4177" t="inlineStr">
        <is>
          <t>SUNDSVALL</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45970-2025</t>
        </is>
      </c>
      <c r="B4178" s="1" t="n">
        <v>45924.36519675926</v>
      </c>
      <c r="C4178" s="1" t="n">
        <v>46185</v>
      </c>
      <c r="D4178" t="inlineStr">
        <is>
          <t>VÄSTERNORRLANDS LÄN</t>
        </is>
      </c>
      <c r="E4178" t="inlineStr">
        <is>
          <t>ÅNGE</t>
        </is>
      </c>
      <c r="F4178" t="inlineStr">
        <is>
          <t>SCA</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45972-2025</t>
        </is>
      </c>
      <c r="B4179" s="1" t="n">
        <v>45924</v>
      </c>
      <c r="C4179" s="1" t="n">
        <v>46185</v>
      </c>
      <c r="D4179" t="inlineStr">
        <is>
          <t>VÄSTERNORRLANDS LÄN</t>
        </is>
      </c>
      <c r="E4179" t="inlineStr">
        <is>
          <t>SUNDSVALL</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45981-2025</t>
        </is>
      </c>
      <c r="B4180" s="1" t="n">
        <v>45924</v>
      </c>
      <c r="C4180" s="1" t="n">
        <v>46185</v>
      </c>
      <c r="D4180" t="inlineStr">
        <is>
          <t>VÄSTERNORRLANDS LÄN</t>
        </is>
      </c>
      <c r="E4180" t="inlineStr">
        <is>
          <t>HÄRNÖSAND</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46019-2025</t>
        </is>
      </c>
      <c r="B4181" s="1" t="n">
        <v>45924.42788194444</v>
      </c>
      <c r="C4181" s="1" t="n">
        <v>46185</v>
      </c>
      <c r="D4181" t="inlineStr">
        <is>
          <t>VÄSTERNORRLANDS LÄN</t>
        </is>
      </c>
      <c r="E4181" t="inlineStr">
        <is>
          <t>TIMRÅ</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7220-2024</t>
        </is>
      </c>
      <c r="B4182" s="1" t="n">
        <v>45344.63797453704</v>
      </c>
      <c r="C4182" s="1" t="n">
        <v>46185</v>
      </c>
      <c r="D4182" t="inlineStr">
        <is>
          <t>VÄSTERNORRLANDS LÄN</t>
        </is>
      </c>
      <c r="E4182" t="inlineStr">
        <is>
          <t>SUNDSVALL</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56214-2024</t>
        </is>
      </c>
      <c r="B4183" s="1" t="n">
        <v>45624</v>
      </c>
      <c r="C4183" s="1" t="n">
        <v>46185</v>
      </c>
      <c r="D4183" t="inlineStr">
        <is>
          <t>VÄSTERNORRLANDS LÄN</t>
        </is>
      </c>
      <c r="E4183" t="inlineStr">
        <is>
          <t>SUNDSVALL</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46021-2025</t>
        </is>
      </c>
      <c r="B4184" s="1" t="n">
        <v>45924</v>
      </c>
      <c r="C4184" s="1" t="n">
        <v>46185</v>
      </c>
      <c r="D4184" t="inlineStr">
        <is>
          <t>VÄSTERNORRLANDS LÄN</t>
        </is>
      </c>
      <c r="E4184" t="inlineStr">
        <is>
          <t>HÄRNÖSAND</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7261-2024</t>
        </is>
      </c>
      <c r="B4185" s="1" t="n">
        <v>45344</v>
      </c>
      <c r="C4185" s="1" t="n">
        <v>46185</v>
      </c>
      <c r="D4185" t="inlineStr">
        <is>
          <t>VÄSTERNORRLANDS LÄN</t>
        </is>
      </c>
      <c r="E4185" t="inlineStr">
        <is>
          <t>SOLLEFTEÅ</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2990-2026</t>
        </is>
      </c>
      <c r="B4186" s="1" t="n">
        <v>46038.63623842593</v>
      </c>
      <c r="C4186" s="1" t="n">
        <v>46185</v>
      </c>
      <c r="D4186" t="inlineStr">
        <is>
          <t>VÄSTERNORRLANDS LÄN</t>
        </is>
      </c>
      <c r="E4186" t="inlineStr">
        <is>
          <t>SUNDSVALL</t>
        </is>
      </c>
      <c r="F4186" t="inlineStr">
        <is>
          <t>SCA</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12101-2024</t>
        </is>
      </c>
      <c r="B4187" s="1" t="n">
        <v>45376</v>
      </c>
      <c r="C4187" s="1" t="n">
        <v>46185</v>
      </c>
      <c r="D4187" t="inlineStr">
        <is>
          <t>VÄSTERNORRLANDS LÄN</t>
        </is>
      </c>
      <c r="E4187" t="inlineStr">
        <is>
          <t>SUNDSVALL</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35503-2025</t>
        </is>
      </c>
      <c r="B4188" s="1" t="n">
        <v>45856</v>
      </c>
      <c r="C4188" s="1" t="n">
        <v>46185</v>
      </c>
      <c r="D4188" t="inlineStr">
        <is>
          <t>VÄSTERNORRLANDS LÄN</t>
        </is>
      </c>
      <c r="E4188" t="inlineStr">
        <is>
          <t>ÅNGE</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35476-2025</t>
        </is>
      </c>
      <c r="B4189" s="1" t="n">
        <v>45855.67744212963</v>
      </c>
      <c r="C4189" s="1" t="n">
        <v>46185</v>
      </c>
      <c r="D4189" t="inlineStr">
        <is>
          <t>VÄSTERNORRLANDS LÄN</t>
        </is>
      </c>
      <c r="E4189" t="inlineStr">
        <is>
          <t>TIMRÅ</t>
        </is>
      </c>
      <c r="F4189" t="inlineStr">
        <is>
          <t>SCA</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35506-2025</t>
        </is>
      </c>
      <c r="B4190" s="1" t="n">
        <v>45856</v>
      </c>
      <c r="C4190" s="1" t="n">
        <v>46185</v>
      </c>
      <c r="D4190" t="inlineStr">
        <is>
          <t>VÄSTERNORRLANDS LÄN</t>
        </is>
      </c>
      <c r="E4190" t="inlineStr">
        <is>
          <t>SOLLEFTEÅ</t>
        </is>
      </c>
      <c r="F4190" t="inlineStr">
        <is>
          <t>SCA</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35513-2025</t>
        </is>
      </c>
      <c r="B4191" s="1" t="n">
        <v>45856.36520833334</v>
      </c>
      <c r="C4191" s="1" t="n">
        <v>46185</v>
      </c>
      <c r="D4191" t="inlineStr">
        <is>
          <t>VÄSTERNORRLANDS LÄN</t>
        </is>
      </c>
      <c r="E4191" t="inlineStr">
        <is>
          <t>SOLLEFTEÅ</t>
        </is>
      </c>
      <c r="F4191" t="inlineStr">
        <is>
          <t>SCA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35548-2025</t>
        </is>
      </c>
      <c r="B4192" s="1" t="n">
        <v>45856.48995370371</v>
      </c>
      <c r="C4192" s="1" t="n">
        <v>46185</v>
      </c>
      <c r="D4192" t="inlineStr">
        <is>
          <t>VÄSTERNORRLANDS LÄN</t>
        </is>
      </c>
      <c r="E4192" t="inlineStr">
        <is>
          <t>ÅNGE</t>
        </is>
      </c>
      <c r="F4192" t="inlineStr">
        <is>
          <t>SCA</t>
        </is>
      </c>
      <c r="G4192" t="n">
        <v>14.6</v>
      </c>
      <c r="H4192" t="n">
        <v>0</v>
      </c>
      <c r="I4192" t="n">
        <v>0</v>
      </c>
      <c r="J4192" t="n">
        <v>0</v>
      </c>
      <c r="K4192" t="n">
        <v>0</v>
      </c>
      <c r="L4192" t="n">
        <v>0</v>
      </c>
      <c r="M4192" t="n">
        <v>0</v>
      </c>
      <c r="N4192" t="n">
        <v>0</v>
      </c>
      <c r="O4192" t="n">
        <v>0</v>
      </c>
      <c r="P4192" t="n">
        <v>0</v>
      </c>
      <c r="Q4192" t="n">
        <v>0</v>
      </c>
      <c r="R4192" s="2" t="inlineStr"/>
    </row>
    <row r="4193" ht="15" customHeight="1">
      <c r="A4193" t="inlineStr">
        <is>
          <t>A 43424-2021</t>
        </is>
      </c>
      <c r="B4193" s="1" t="n">
        <v>44432</v>
      </c>
      <c r="C4193" s="1" t="n">
        <v>46185</v>
      </c>
      <c r="D4193" t="inlineStr">
        <is>
          <t>VÄSTERNORRLANDS LÄN</t>
        </is>
      </c>
      <c r="E4193" t="inlineStr">
        <is>
          <t>ÖRNSKÖLDSVIK</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35575-2025</t>
        </is>
      </c>
      <c r="B4194" s="1" t="n">
        <v>45856.63591435185</v>
      </c>
      <c r="C4194" s="1" t="n">
        <v>46185</v>
      </c>
      <c r="D4194" t="inlineStr">
        <is>
          <t>VÄSTERNORRLANDS LÄN</t>
        </is>
      </c>
      <c r="E4194" t="inlineStr">
        <is>
          <t>ÅNGE</t>
        </is>
      </c>
      <c r="F4194" t="inlineStr">
        <is>
          <t>SCA</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3689-2023</t>
        </is>
      </c>
      <c r="B4195" s="1" t="n">
        <v>44950</v>
      </c>
      <c r="C4195" s="1" t="n">
        <v>46185</v>
      </c>
      <c r="D4195" t="inlineStr">
        <is>
          <t>VÄSTERNORRLANDS LÄN</t>
        </is>
      </c>
      <c r="E4195" t="inlineStr">
        <is>
          <t>SOLLEFTEÅ</t>
        </is>
      </c>
      <c r="F4195" t="inlineStr">
        <is>
          <t>SCA</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38939-2024</t>
        </is>
      </c>
      <c r="B4196" s="1" t="n">
        <v>45548.34457175926</v>
      </c>
      <c r="C4196" s="1" t="n">
        <v>46185</v>
      </c>
      <c r="D4196" t="inlineStr">
        <is>
          <t>VÄSTERNORRLANDS LÄN</t>
        </is>
      </c>
      <c r="E4196" t="inlineStr">
        <is>
          <t>SUNDSVALL</t>
        </is>
      </c>
      <c r="F4196" t="inlineStr">
        <is>
          <t>SCA</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38942-2024</t>
        </is>
      </c>
      <c r="B4197" s="1" t="n">
        <v>45548.34482638889</v>
      </c>
      <c r="C4197" s="1" t="n">
        <v>46185</v>
      </c>
      <c r="D4197" t="inlineStr">
        <is>
          <t>VÄSTERNORRLANDS LÄN</t>
        </is>
      </c>
      <c r="E4197" t="inlineStr">
        <is>
          <t>SUNDSVALL</t>
        </is>
      </c>
      <c r="F4197" t="inlineStr">
        <is>
          <t>SCA</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35497-2025</t>
        </is>
      </c>
      <c r="B4198" s="1" t="n">
        <v>45856.29752314815</v>
      </c>
      <c r="C4198" s="1" t="n">
        <v>46185</v>
      </c>
      <c r="D4198" t="inlineStr">
        <is>
          <t>VÄSTERNORRLANDS LÄN</t>
        </is>
      </c>
      <c r="E4198" t="inlineStr">
        <is>
          <t>ÅNGE</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46204-2024</t>
        </is>
      </c>
      <c r="B4199" s="1" t="n">
        <v>45581.53958333333</v>
      </c>
      <c r="C4199" s="1" t="n">
        <v>46185</v>
      </c>
      <c r="D4199" t="inlineStr">
        <is>
          <t>VÄSTERNORRLANDS LÄN</t>
        </is>
      </c>
      <c r="E4199" t="inlineStr">
        <is>
          <t>ÖRNSKÖLDSVIK</t>
        </is>
      </c>
      <c r="G4199" t="n">
        <v>0.2</v>
      </c>
      <c r="H4199" t="n">
        <v>0</v>
      </c>
      <c r="I4199" t="n">
        <v>0</v>
      </c>
      <c r="J4199" t="n">
        <v>0</v>
      </c>
      <c r="K4199" t="n">
        <v>0</v>
      </c>
      <c r="L4199" t="n">
        <v>0</v>
      </c>
      <c r="M4199" t="n">
        <v>0</v>
      </c>
      <c r="N4199" t="n">
        <v>0</v>
      </c>
      <c r="O4199" t="n">
        <v>0</v>
      </c>
      <c r="P4199" t="n">
        <v>0</v>
      </c>
      <c r="Q4199" t="n">
        <v>0</v>
      </c>
      <c r="R4199" s="2" t="inlineStr"/>
    </row>
    <row r="4200" ht="15" customHeight="1">
      <c r="A4200" t="inlineStr">
        <is>
          <t>A 35394-2025</t>
        </is>
      </c>
      <c r="B4200" s="1" t="n">
        <v>45855.32358796296</v>
      </c>
      <c r="C4200" s="1" t="n">
        <v>46185</v>
      </c>
      <c r="D4200" t="inlineStr">
        <is>
          <t>VÄSTERNORRLANDS LÄN</t>
        </is>
      </c>
      <c r="E4200" t="inlineStr">
        <is>
          <t>KRAMFORS</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38002-2024</t>
        </is>
      </c>
      <c r="B4201" s="1" t="n">
        <v>45544.61484953704</v>
      </c>
      <c r="C4201" s="1" t="n">
        <v>46185</v>
      </c>
      <c r="D4201" t="inlineStr">
        <is>
          <t>VÄSTERNORRLANDS LÄN</t>
        </is>
      </c>
      <c r="E4201" t="inlineStr">
        <is>
          <t>ÅNGE</t>
        </is>
      </c>
      <c r="F4201" t="inlineStr">
        <is>
          <t>SCA</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31546-2024</t>
        </is>
      </c>
      <c r="B4202" s="1" t="n">
        <v>45505</v>
      </c>
      <c r="C4202" s="1" t="n">
        <v>46185</v>
      </c>
      <c r="D4202" t="inlineStr">
        <is>
          <t>VÄSTERNORRLANDS LÄN</t>
        </is>
      </c>
      <c r="E4202" t="inlineStr">
        <is>
          <t>HÄRNÖSAND</t>
        </is>
      </c>
      <c r="F4202" t="inlineStr">
        <is>
          <t>SCA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23650-2025</t>
        </is>
      </c>
      <c r="B4203" s="1" t="n">
        <v>45792</v>
      </c>
      <c r="C4203" s="1" t="n">
        <v>46185</v>
      </c>
      <c r="D4203" t="inlineStr">
        <is>
          <t>VÄSTERNORRLANDS LÄN</t>
        </is>
      </c>
      <c r="E4203" t="inlineStr">
        <is>
          <t>SUNDSVALL</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31555-2024</t>
        </is>
      </c>
      <c r="B4204" s="1" t="n">
        <v>45505.96484953703</v>
      </c>
      <c r="C4204" s="1" t="n">
        <v>46185</v>
      </c>
      <c r="D4204" t="inlineStr">
        <is>
          <t>VÄSTERNORRLANDS LÄN</t>
        </is>
      </c>
      <c r="E4204" t="inlineStr">
        <is>
          <t>SOLLEFTEÅ</t>
        </is>
      </c>
      <c r="F4204" t="inlineStr">
        <is>
          <t>SCA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31568-2024</t>
        </is>
      </c>
      <c r="B4205" s="1" t="n">
        <v>45505.96721064814</v>
      </c>
      <c r="C4205" s="1" t="n">
        <v>46185</v>
      </c>
      <c r="D4205" t="inlineStr">
        <is>
          <t>VÄSTERNORRLANDS LÄN</t>
        </is>
      </c>
      <c r="E4205" t="inlineStr">
        <is>
          <t>ÅNGE</t>
        </is>
      </c>
      <c r="F4205" t="inlineStr">
        <is>
          <t>SCA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6063-2024</t>
        </is>
      </c>
      <c r="B4206" s="1" t="n">
        <v>45336.86584490741</v>
      </c>
      <c r="C4206" s="1" t="n">
        <v>46185</v>
      </c>
      <c r="D4206" t="inlineStr">
        <is>
          <t>VÄSTERNORRLANDS LÄN</t>
        </is>
      </c>
      <c r="E4206" t="inlineStr">
        <is>
          <t>SOLLEFTEÅ</t>
        </is>
      </c>
      <c r="F4206" t="inlineStr">
        <is>
          <t>Övriga Aktiebolag</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29181-2025</t>
        </is>
      </c>
      <c r="B4207" s="1" t="n">
        <v>45821</v>
      </c>
      <c r="C4207" s="1" t="n">
        <v>46185</v>
      </c>
      <c r="D4207" t="inlineStr">
        <is>
          <t>VÄSTERNORRLANDS LÄN</t>
        </is>
      </c>
      <c r="E4207" t="inlineStr">
        <is>
          <t>ÖRNSKÖLDSVIK</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35432-2025</t>
        </is>
      </c>
      <c r="B4208" s="1" t="n">
        <v>45855.44831018519</v>
      </c>
      <c r="C4208" s="1" t="n">
        <v>46185</v>
      </c>
      <c r="D4208" t="inlineStr">
        <is>
          <t>VÄSTERNORRLANDS LÄN</t>
        </is>
      </c>
      <c r="E4208" t="inlineStr">
        <is>
          <t>ÅNGE</t>
        </is>
      </c>
      <c r="F4208" t="inlineStr">
        <is>
          <t>SCA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46619-2025</t>
        </is>
      </c>
      <c r="B4209" s="1" t="n">
        <v>45926.43356481481</v>
      </c>
      <c r="C4209" s="1" t="n">
        <v>46185</v>
      </c>
      <c r="D4209" t="inlineStr">
        <is>
          <t>VÄSTERNORRLANDS LÄN</t>
        </is>
      </c>
      <c r="E4209" t="inlineStr">
        <is>
          <t>ÖRNSKÖLDSVIK</t>
        </is>
      </c>
      <c r="F4209" t="inlineStr">
        <is>
          <t>Holmen skog AB</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35577-2025</t>
        </is>
      </c>
      <c r="B4210" s="1" t="n">
        <v>45856.67762731481</v>
      </c>
      <c r="C4210" s="1" t="n">
        <v>46185</v>
      </c>
      <c r="D4210" t="inlineStr">
        <is>
          <t>VÄSTERNORRLANDS LÄN</t>
        </is>
      </c>
      <c r="E4210" t="inlineStr">
        <is>
          <t>ÅNGE</t>
        </is>
      </c>
      <c r="F4210" t="inlineStr">
        <is>
          <t>SCA</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46664-2025</t>
        </is>
      </c>
      <c r="B4211" s="1" t="n">
        <v>45926.50829861111</v>
      </c>
      <c r="C4211" s="1" t="n">
        <v>46185</v>
      </c>
      <c r="D4211" t="inlineStr">
        <is>
          <t>VÄSTERNORRLANDS LÄN</t>
        </is>
      </c>
      <c r="E4211" t="inlineStr">
        <is>
          <t>ÖRNSKÖLDSVIK</t>
        </is>
      </c>
      <c r="F4211" t="inlineStr">
        <is>
          <t>Holmen skog AB</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45630-2024</t>
        </is>
      </c>
      <c r="B4212" s="1" t="n">
        <v>45579.46971064815</v>
      </c>
      <c r="C4212" s="1" t="n">
        <v>46185</v>
      </c>
      <c r="D4212" t="inlineStr">
        <is>
          <t>VÄSTERNORRLANDS LÄN</t>
        </is>
      </c>
      <c r="E4212" t="inlineStr">
        <is>
          <t>TIMRÅ</t>
        </is>
      </c>
      <c r="F4212" t="inlineStr">
        <is>
          <t>SCA</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34822-2024</t>
        </is>
      </c>
      <c r="B4213" s="1" t="n">
        <v>45526.71462962963</v>
      </c>
      <c r="C4213" s="1" t="n">
        <v>46185</v>
      </c>
      <c r="D4213" t="inlineStr">
        <is>
          <t>VÄSTERNORRLANDS LÄN</t>
        </is>
      </c>
      <c r="E4213" t="inlineStr">
        <is>
          <t>SUNDSVALL</t>
        </is>
      </c>
      <c r="F4213" t="inlineStr">
        <is>
          <t>SCA</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20488-2023</t>
        </is>
      </c>
      <c r="B4214" s="1" t="n">
        <v>45057</v>
      </c>
      <c r="C4214" s="1" t="n">
        <v>46185</v>
      </c>
      <c r="D4214" t="inlineStr">
        <is>
          <t>VÄSTERNORRLANDS LÄN</t>
        </is>
      </c>
      <c r="E4214" t="inlineStr">
        <is>
          <t>ÖRNSKÖLDSVIK</t>
        </is>
      </c>
      <c r="G4214" t="n">
        <v>8.800000000000001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35738-2025</t>
        </is>
      </c>
      <c r="B4215" s="1" t="n">
        <v>45860.51138888889</v>
      </c>
      <c r="C4215" s="1" t="n">
        <v>46185</v>
      </c>
      <c r="D4215" t="inlineStr">
        <is>
          <t>VÄSTERNORRLANDS LÄN</t>
        </is>
      </c>
      <c r="E4215" t="inlineStr">
        <is>
          <t>ÖRNSKÖLDSVIK</t>
        </is>
      </c>
      <c r="F4215" t="inlineStr">
        <is>
          <t>Holmen skog AB</t>
        </is>
      </c>
      <c r="G4215" t="n">
        <v>9.699999999999999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46694-2025</t>
        </is>
      </c>
      <c r="B4216" s="1" t="n">
        <v>45926.55835648148</v>
      </c>
      <c r="C4216" s="1" t="n">
        <v>46185</v>
      </c>
      <c r="D4216" t="inlineStr">
        <is>
          <t>VÄSTERNORRLANDS LÄN</t>
        </is>
      </c>
      <c r="E4216" t="inlineStr">
        <is>
          <t>ÖRNSKÖLDSVIK</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46711-2025</t>
        </is>
      </c>
      <c r="B4217" s="1" t="n">
        <v>45926.57376157407</v>
      </c>
      <c r="C4217" s="1" t="n">
        <v>46185</v>
      </c>
      <c r="D4217" t="inlineStr">
        <is>
          <t>VÄSTERNORRLANDS LÄN</t>
        </is>
      </c>
      <c r="E4217" t="inlineStr">
        <is>
          <t>ÖRNSKÖLDSVIK</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23160-2025</t>
        </is>
      </c>
      <c r="B4218" s="1" t="n">
        <v>45791.40760416666</v>
      </c>
      <c r="C4218" s="1" t="n">
        <v>46185</v>
      </c>
      <c r="D4218" t="inlineStr">
        <is>
          <t>VÄSTERNORRLANDS LÄN</t>
        </is>
      </c>
      <c r="E4218" t="inlineStr">
        <is>
          <t>SOLLEFTEÅ</t>
        </is>
      </c>
      <c r="F4218" t="inlineStr">
        <is>
          <t>SCA</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23805-2025</t>
        </is>
      </c>
      <c r="B4219" s="1" t="n">
        <v>45793</v>
      </c>
      <c r="C4219" s="1" t="n">
        <v>46185</v>
      </c>
      <c r="D4219" t="inlineStr">
        <is>
          <t>VÄSTERNORRLANDS LÄN</t>
        </is>
      </c>
      <c r="E4219" t="inlineStr">
        <is>
          <t>HÄRNÖSAND</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44035-2024</t>
        </is>
      </c>
      <c r="B4220" s="1" t="n">
        <v>45572.57914351852</v>
      </c>
      <c r="C4220" s="1" t="n">
        <v>46185</v>
      </c>
      <c r="D4220" t="inlineStr">
        <is>
          <t>VÄSTERNORRLANDS LÄN</t>
        </is>
      </c>
      <c r="E4220" t="inlineStr">
        <is>
          <t>SUNDSVALL</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44565-2024</t>
        </is>
      </c>
      <c r="B4221" s="1" t="n">
        <v>45574.47518518518</v>
      </c>
      <c r="C4221" s="1" t="n">
        <v>46185</v>
      </c>
      <c r="D4221" t="inlineStr">
        <is>
          <t>VÄSTERNORRLANDS LÄN</t>
        </is>
      </c>
      <c r="E4221" t="inlineStr">
        <is>
          <t>ÅNGE</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17301-2025</t>
        </is>
      </c>
      <c r="B4222" s="1" t="n">
        <v>45756</v>
      </c>
      <c r="C4222" s="1" t="n">
        <v>46185</v>
      </c>
      <c r="D4222" t="inlineStr">
        <is>
          <t>VÄSTERNORRLANDS LÄN</t>
        </is>
      </c>
      <c r="E4222" t="inlineStr">
        <is>
          <t>ÖRNSKÖLDSVIK</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46419-2025</t>
        </is>
      </c>
      <c r="B4223" s="1" t="n">
        <v>45925.5949537037</v>
      </c>
      <c r="C4223" s="1" t="n">
        <v>46185</v>
      </c>
      <c r="D4223" t="inlineStr">
        <is>
          <t>VÄSTERNORRLANDS LÄN</t>
        </is>
      </c>
      <c r="E4223" t="inlineStr">
        <is>
          <t>ÅNGE</t>
        </is>
      </c>
      <c r="F4223" t="inlineStr">
        <is>
          <t>SCA</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34376-2024</t>
        </is>
      </c>
      <c r="B4224" s="1" t="n">
        <v>45525</v>
      </c>
      <c r="C4224" s="1" t="n">
        <v>46185</v>
      </c>
      <c r="D4224" t="inlineStr">
        <is>
          <t>VÄSTERNORRLANDS LÄN</t>
        </is>
      </c>
      <c r="E4224" t="inlineStr">
        <is>
          <t>SOLLEFTEÅ</t>
        </is>
      </c>
      <c r="F4224" t="inlineStr">
        <is>
          <t>Övriga statliga verk och myndigheter</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26263-2024</t>
        </is>
      </c>
      <c r="B4225" s="1" t="n">
        <v>45468</v>
      </c>
      <c r="C4225" s="1" t="n">
        <v>46185</v>
      </c>
      <c r="D4225" t="inlineStr">
        <is>
          <t>VÄSTERNORRLANDS LÄN</t>
        </is>
      </c>
      <c r="E4225" t="inlineStr">
        <is>
          <t>ÖRNSKÖLDSVIK</t>
        </is>
      </c>
      <c r="F4225" t="inlineStr">
        <is>
          <t>Holmen skog AB</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35690-2025</t>
        </is>
      </c>
      <c r="B4226" s="1" t="n">
        <v>45860.34421296296</v>
      </c>
      <c r="C4226" s="1" t="n">
        <v>46185</v>
      </c>
      <c r="D4226" t="inlineStr">
        <is>
          <t>VÄSTERNORRLANDS LÄN</t>
        </is>
      </c>
      <c r="E4226" t="inlineStr">
        <is>
          <t>ÅNGE</t>
        </is>
      </c>
      <c r="F4226" t="inlineStr">
        <is>
          <t>SCA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24843-2025</t>
        </is>
      </c>
      <c r="B4227" s="1" t="n">
        <v>45799.46606481481</v>
      </c>
      <c r="C4227" s="1" t="n">
        <v>46185</v>
      </c>
      <c r="D4227" t="inlineStr">
        <is>
          <t>VÄSTERNORRLANDS LÄN</t>
        </is>
      </c>
      <c r="E4227" t="inlineStr">
        <is>
          <t>KRAMFORS</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35716-2025</t>
        </is>
      </c>
      <c r="B4228" s="1" t="n">
        <v>45860.42753472222</v>
      </c>
      <c r="C4228" s="1" t="n">
        <v>46185</v>
      </c>
      <c r="D4228" t="inlineStr">
        <is>
          <t>VÄSTERNORRLANDS LÄN</t>
        </is>
      </c>
      <c r="E4228" t="inlineStr">
        <is>
          <t>SUNDSVALL</t>
        </is>
      </c>
      <c r="F4228" t="inlineStr">
        <is>
          <t>SCA</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46352-2025</t>
        </is>
      </c>
      <c r="B4229" s="1" t="n">
        <v>45925.4865162037</v>
      </c>
      <c r="C4229" s="1" t="n">
        <v>46185</v>
      </c>
      <c r="D4229" t="inlineStr">
        <is>
          <t>VÄSTERNORRLANDS LÄN</t>
        </is>
      </c>
      <c r="E4229" t="inlineStr">
        <is>
          <t>ÖRNSKÖLDSVIK</t>
        </is>
      </c>
      <c r="G4229" t="n">
        <v>14.7</v>
      </c>
      <c r="H4229" t="n">
        <v>0</v>
      </c>
      <c r="I4229" t="n">
        <v>0</v>
      </c>
      <c r="J4229" t="n">
        <v>0</v>
      </c>
      <c r="K4229" t="n">
        <v>0</v>
      </c>
      <c r="L4229" t="n">
        <v>0</v>
      </c>
      <c r="M4229" t="n">
        <v>0</v>
      </c>
      <c r="N4229" t="n">
        <v>0</v>
      </c>
      <c r="O4229" t="n">
        <v>0</v>
      </c>
      <c r="P4229" t="n">
        <v>0</v>
      </c>
      <c r="Q4229" t="n">
        <v>0</v>
      </c>
      <c r="R4229" s="2" t="inlineStr"/>
    </row>
    <row r="4230" ht="15" customHeight="1">
      <c r="A4230" t="inlineStr">
        <is>
          <t>A 46416-2025</t>
        </is>
      </c>
      <c r="B4230" s="1" t="n">
        <v>45925.594375</v>
      </c>
      <c r="C4230" s="1" t="n">
        <v>46185</v>
      </c>
      <c r="D4230" t="inlineStr">
        <is>
          <t>VÄSTERNORRLANDS LÄN</t>
        </is>
      </c>
      <c r="E4230" t="inlineStr">
        <is>
          <t>ÅNGE</t>
        </is>
      </c>
      <c r="F4230" t="inlineStr">
        <is>
          <t>SCA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36101-2024</t>
        </is>
      </c>
      <c r="B4231" s="1" t="n">
        <v>45533</v>
      </c>
      <c r="C4231" s="1" t="n">
        <v>46185</v>
      </c>
      <c r="D4231" t="inlineStr">
        <is>
          <t>VÄSTERNORRLANDS LÄN</t>
        </is>
      </c>
      <c r="E4231" t="inlineStr">
        <is>
          <t>SUNDSVALL</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19997-2023</t>
        </is>
      </c>
      <c r="B4232" s="1" t="n">
        <v>45054</v>
      </c>
      <c r="C4232" s="1" t="n">
        <v>46185</v>
      </c>
      <c r="D4232" t="inlineStr">
        <is>
          <t>VÄSTERNORRLANDS LÄN</t>
        </is>
      </c>
      <c r="E4232" t="inlineStr">
        <is>
          <t>ÅNGE</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36139-2024</t>
        </is>
      </c>
      <c r="B4233" s="1" t="n">
        <v>45534.35474537037</v>
      </c>
      <c r="C4233" s="1" t="n">
        <v>46185</v>
      </c>
      <c r="D4233" t="inlineStr">
        <is>
          <t>VÄSTERNORRLANDS LÄN</t>
        </is>
      </c>
      <c r="E4233" t="inlineStr">
        <is>
          <t>SOLLEFTEÅ</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36144-2024</t>
        </is>
      </c>
      <c r="B4234" s="1" t="n">
        <v>45534.36309027778</v>
      </c>
      <c r="C4234" s="1" t="n">
        <v>46185</v>
      </c>
      <c r="D4234" t="inlineStr">
        <is>
          <t>VÄSTERNORRLANDS LÄN</t>
        </is>
      </c>
      <c r="E4234" t="inlineStr">
        <is>
          <t>SOLLEFTEÅ</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35696-2025</t>
        </is>
      </c>
      <c r="B4235" s="1" t="n">
        <v>45860.34473379629</v>
      </c>
      <c r="C4235" s="1" t="n">
        <v>46185</v>
      </c>
      <c r="D4235" t="inlineStr">
        <is>
          <t>VÄSTERNORRLANDS LÄN</t>
        </is>
      </c>
      <c r="E4235" t="inlineStr">
        <is>
          <t>ÖRNSKÖLDSVIK</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35703-2025</t>
        </is>
      </c>
      <c r="B4236" s="1" t="n">
        <v>45860.36497685185</v>
      </c>
      <c r="C4236" s="1" t="n">
        <v>46185</v>
      </c>
      <c r="D4236" t="inlineStr">
        <is>
          <t>VÄSTERNORRLANDS LÄN</t>
        </is>
      </c>
      <c r="E4236" t="inlineStr">
        <is>
          <t>SOLLEFTEÅ</t>
        </is>
      </c>
      <c r="F4236" t="inlineStr">
        <is>
          <t>SCA</t>
        </is>
      </c>
      <c r="G4236" t="n">
        <v>16.5</v>
      </c>
      <c r="H4236" t="n">
        <v>0</v>
      </c>
      <c r="I4236" t="n">
        <v>0</v>
      </c>
      <c r="J4236" t="n">
        <v>0</v>
      </c>
      <c r="K4236" t="n">
        <v>0</v>
      </c>
      <c r="L4236" t="n">
        <v>0</v>
      </c>
      <c r="M4236" t="n">
        <v>0</v>
      </c>
      <c r="N4236" t="n">
        <v>0</v>
      </c>
      <c r="O4236" t="n">
        <v>0</v>
      </c>
      <c r="P4236" t="n">
        <v>0</v>
      </c>
      <c r="Q4236" t="n">
        <v>0</v>
      </c>
      <c r="R4236" s="2" t="inlineStr"/>
    </row>
    <row r="4237" ht="15" customHeight="1">
      <c r="A4237" t="inlineStr">
        <is>
          <t>A 35704-2025</t>
        </is>
      </c>
      <c r="B4237" s="1" t="n">
        <v>45860.36518518518</v>
      </c>
      <c r="C4237" s="1" t="n">
        <v>46185</v>
      </c>
      <c r="D4237" t="inlineStr">
        <is>
          <t>VÄSTERNORRLANDS LÄN</t>
        </is>
      </c>
      <c r="E4237" t="inlineStr">
        <is>
          <t>SOLLEFTEÅ</t>
        </is>
      </c>
      <c r="F4237" t="inlineStr">
        <is>
          <t>SCA</t>
        </is>
      </c>
      <c r="G4237" t="n">
        <v>8</v>
      </c>
      <c r="H4237" t="n">
        <v>0</v>
      </c>
      <c r="I4237" t="n">
        <v>0</v>
      </c>
      <c r="J4237" t="n">
        <v>0</v>
      </c>
      <c r="K4237" t="n">
        <v>0</v>
      </c>
      <c r="L4237" t="n">
        <v>0</v>
      </c>
      <c r="M4237" t="n">
        <v>0</v>
      </c>
      <c r="N4237" t="n">
        <v>0</v>
      </c>
      <c r="O4237" t="n">
        <v>0</v>
      </c>
      <c r="P4237" t="n">
        <v>0</v>
      </c>
      <c r="Q4237" t="n">
        <v>0</v>
      </c>
      <c r="R4237" s="2" t="inlineStr"/>
    </row>
    <row r="4238" ht="15" customHeight="1">
      <c r="A4238" t="inlineStr">
        <is>
          <t>A 8632-2023</t>
        </is>
      </c>
      <c r="B4238" s="1" t="n">
        <v>44977.934375</v>
      </c>
      <c r="C4238" s="1" t="n">
        <v>46185</v>
      </c>
      <c r="D4238" t="inlineStr">
        <is>
          <t>VÄSTERNORRLANDS LÄN</t>
        </is>
      </c>
      <c r="E4238" t="inlineStr">
        <is>
          <t>TIMRÅ</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12150-2025</t>
        </is>
      </c>
      <c r="B4239" s="1" t="n">
        <v>45729.40675925926</v>
      </c>
      <c r="C4239" s="1" t="n">
        <v>46185</v>
      </c>
      <c r="D4239" t="inlineStr">
        <is>
          <t>VÄSTERNORRLANDS LÄN</t>
        </is>
      </c>
      <c r="E4239" t="inlineStr">
        <is>
          <t>HÄRNÖSAND</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46792-2025</t>
        </is>
      </c>
      <c r="B4240" s="1" t="n">
        <v>45926.65543981481</v>
      </c>
      <c r="C4240" s="1" t="n">
        <v>46185</v>
      </c>
      <c r="D4240" t="inlineStr">
        <is>
          <t>VÄSTERNORRLANDS LÄN</t>
        </is>
      </c>
      <c r="E4240" t="inlineStr">
        <is>
          <t>SUNDSVALL</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14494-2025</t>
        </is>
      </c>
      <c r="B4241" s="1" t="n">
        <v>45741.61486111111</v>
      </c>
      <c r="C4241" s="1" t="n">
        <v>46185</v>
      </c>
      <c r="D4241" t="inlineStr">
        <is>
          <t>VÄSTERNORRLANDS LÄN</t>
        </is>
      </c>
      <c r="E4241" t="inlineStr">
        <is>
          <t>HÄRNÖSAND</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12310-2024</t>
        </is>
      </c>
      <c r="B4242" s="1" t="n">
        <v>45377</v>
      </c>
      <c r="C4242" s="1" t="n">
        <v>46185</v>
      </c>
      <c r="D4242" t="inlineStr">
        <is>
          <t>VÄSTERNORRLANDS LÄN</t>
        </is>
      </c>
      <c r="E4242" t="inlineStr">
        <is>
          <t>SUNDSVALL</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35644-2025</t>
        </is>
      </c>
      <c r="B4243" s="1" t="n">
        <v>45859.49021990741</v>
      </c>
      <c r="C4243" s="1" t="n">
        <v>46185</v>
      </c>
      <c r="D4243" t="inlineStr">
        <is>
          <t>VÄSTERNORRLANDS LÄN</t>
        </is>
      </c>
      <c r="E4243" t="inlineStr">
        <is>
          <t>HÄRNÖSAND</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35692-2025</t>
        </is>
      </c>
      <c r="B4244" s="1" t="n">
        <v>45860.34452546296</v>
      </c>
      <c r="C4244" s="1" t="n">
        <v>46185</v>
      </c>
      <c r="D4244" t="inlineStr">
        <is>
          <t>VÄSTERNORRLANDS LÄN</t>
        </is>
      </c>
      <c r="E4244" t="inlineStr">
        <is>
          <t>ÖRNSKÖLDSVIK</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35777-2025</t>
        </is>
      </c>
      <c r="B4245" s="1" t="n">
        <v>45860.69244212963</v>
      </c>
      <c r="C4245" s="1" t="n">
        <v>46185</v>
      </c>
      <c r="D4245" t="inlineStr">
        <is>
          <t>VÄSTERNORRLANDS LÄN</t>
        </is>
      </c>
      <c r="E4245" t="inlineStr">
        <is>
          <t>ÖRNSKÖLDSVIK</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46385-2025</t>
        </is>
      </c>
      <c r="B4246" s="1" t="n">
        <v>45925.53165509259</v>
      </c>
      <c r="C4246" s="1" t="n">
        <v>46185</v>
      </c>
      <c r="D4246" t="inlineStr">
        <is>
          <t>VÄSTERNORRLANDS LÄN</t>
        </is>
      </c>
      <c r="E4246" t="inlineStr">
        <is>
          <t>SUNDSVALL</t>
        </is>
      </c>
      <c r="F4246" t="inlineStr">
        <is>
          <t>SCA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35758-2025</t>
        </is>
      </c>
      <c r="B4247" s="1" t="n">
        <v>45860.59990740741</v>
      </c>
      <c r="C4247" s="1" t="n">
        <v>46185</v>
      </c>
      <c r="D4247" t="inlineStr">
        <is>
          <t>VÄSTERNORRLANDS LÄN</t>
        </is>
      </c>
      <c r="E4247" t="inlineStr">
        <is>
          <t>KRAMFORS</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40280-2025</t>
        </is>
      </c>
      <c r="B4248" s="1" t="n">
        <v>45895</v>
      </c>
      <c r="C4248" s="1" t="n">
        <v>46185</v>
      </c>
      <c r="D4248" t="inlineStr">
        <is>
          <t>VÄSTERNORRLANDS LÄN</t>
        </is>
      </c>
      <c r="E4248" t="inlineStr">
        <is>
          <t>SOLLEFTEÅ</t>
        </is>
      </c>
      <c r="F4248" t="inlineStr">
        <is>
          <t>SCA</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22468-2024</t>
        </is>
      </c>
      <c r="B4249" s="1" t="n">
        <v>45446.95068287037</v>
      </c>
      <c r="C4249" s="1" t="n">
        <v>46185</v>
      </c>
      <c r="D4249" t="inlineStr">
        <is>
          <t>VÄSTERNORRLANDS LÄN</t>
        </is>
      </c>
      <c r="E4249" t="inlineStr">
        <is>
          <t>SOLLEFTEÅ</t>
        </is>
      </c>
      <c r="F4249" t="inlineStr">
        <is>
          <t>SCA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22486-2024</t>
        </is>
      </c>
      <c r="B4250" s="1" t="n">
        <v>45446</v>
      </c>
      <c r="C4250" s="1" t="n">
        <v>46185</v>
      </c>
      <c r="D4250" t="inlineStr">
        <is>
          <t>VÄSTERNORRLANDS LÄN</t>
        </is>
      </c>
      <c r="E4250" t="inlineStr">
        <is>
          <t>TIMRÅ</t>
        </is>
      </c>
      <c r="G4250" t="n">
        <v>6.8</v>
      </c>
      <c r="H4250" t="n">
        <v>0</v>
      </c>
      <c r="I4250" t="n">
        <v>0</v>
      </c>
      <c r="J4250" t="n">
        <v>0</v>
      </c>
      <c r="K4250" t="n">
        <v>0</v>
      </c>
      <c r="L4250" t="n">
        <v>0</v>
      </c>
      <c r="M4250" t="n">
        <v>0</v>
      </c>
      <c r="N4250" t="n">
        <v>0</v>
      </c>
      <c r="O4250" t="n">
        <v>0</v>
      </c>
      <c r="P4250" t="n">
        <v>0</v>
      </c>
      <c r="Q4250" t="n">
        <v>0</v>
      </c>
      <c r="R4250" s="2" t="inlineStr"/>
    </row>
    <row r="4251" ht="15" customHeight="1">
      <c r="A4251" t="inlineStr">
        <is>
          <t>A 46322-2025</t>
        </is>
      </c>
      <c r="B4251" s="1" t="n">
        <v>45925.44989583334</v>
      </c>
      <c r="C4251" s="1" t="n">
        <v>46185</v>
      </c>
      <c r="D4251" t="inlineStr">
        <is>
          <t>VÄSTERNORRLANDS LÄN</t>
        </is>
      </c>
      <c r="E4251" t="inlineStr">
        <is>
          <t>ÖRNSKÖLDSVIK</t>
        </is>
      </c>
      <c r="F4251" t="inlineStr">
        <is>
          <t>Holmen skog AB</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35645-2025</t>
        </is>
      </c>
      <c r="B4252" s="1" t="n">
        <v>45859.4903125</v>
      </c>
      <c r="C4252" s="1" t="n">
        <v>46185</v>
      </c>
      <c r="D4252" t="inlineStr">
        <is>
          <t>VÄSTERNORRLANDS LÄN</t>
        </is>
      </c>
      <c r="E4252" t="inlineStr">
        <is>
          <t>KRAMFORS</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35653-2025</t>
        </is>
      </c>
      <c r="B4253" s="1" t="n">
        <v>45859.54060185186</v>
      </c>
      <c r="C4253" s="1" t="n">
        <v>46185</v>
      </c>
      <c r="D4253" t="inlineStr">
        <is>
          <t>VÄSTERNORRLANDS LÄN</t>
        </is>
      </c>
      <c r="E4253" t="inlineStr">
        <is>
          <t>ÖRNSKÖLDSVIK</t>
        </is>
      </c>
      <c r="F4253" t="inlineStr">
        <is>
          <t>Holmen skog AB</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35659-2025</t>
        </is>
      </c>
      <c r="B4254" s="1" t="n">
        <v>45859.59447916667</v>
      </c>
      <c r="C4254" s="1" t="n">
        <v>46185</v>
      </c>
      <c r="D4254" t="inlineStr">
        <is>
          <t>VÄSTERNORRLANDS LÄN</t>
        </is>
      </c>
      <c r="E4254" t="inlineStr">
        <is>
          <t>TIMRÅ</t>
        </is>
      </c>
      <c r="G4254" t="n">
        <v>8.6</v>
      </c>
      <c r="H4254" t="n">
        <v>0</v>
      </c>
      <c r="I4254" t="n">
        <v>0</v>
      </c>
      <c r="J4254" t="n">
        <v>0</v>
      </c>
      <c r="K4254" t="n">
        <v>0</v>
      </c>
      <c r="L4254" t="n">
        <v>0</v>
      </c>
      <c r="M4254" t="n">
        <v>0</v>
      </c>
      <c r="N4254" t="n">
        <v>0</v>
      </c>
      <c r="O4254" t="n">
        <v>0</v>
      </c>
      <c r="P4254" t="n">
        <v>0</v>
      </c>
      <c r="Q4254" t="n">
        <v>0</v>
      </c>
      <c r="R4254" s="2" t="inlineStr"/>
    </row>
    <row r="4255" ht="15" customHeight="1">
      <c r="A4255" t="inlineStr">
        <is>
          <t>A 13343-2024</t>
        </is>
      </c>
      <c r="B4255" s="1" t="n">
        <v>45386.94517361111</v>
      </c>
      <c r="C4255" s="1" t="n">
        <v>46185</v>
      </c>
      <c r="D4255" t="inlineStr">
        <is>
          <t>VÄSTERNORRLANDS LÄN</t>
        </is>
      </c>
      <c r="E4255" t="inlineStr">
        <is>
          <t>TIMRÅ</t>
        </is>
      </c>
      <c r="F4255" t="inlineStr">
        <is>
          <t>SCA</t>
        </is>
      </c>
      <c r="G4255" t="n">
        <v>6.8</v>
      </c>
      <c r="H4255" t="n">
        <v>0</v>
      </c>
      <c r="I4255" t="n">
        <v>0</v>
      </c>
      <c r="J4255" t="n">
        <v>0</v>
      </c>
      <c r="K4255" t="n">
        <v>0</v>
      </c>
      <c r="L4255" t="n">
        <v>0</v>
      </c>
      <c r="M4255" t="n">
        <v>0</v>
      </c>
      <c r="N4255" t="n">
        <v>0</v>
      </c>
      <c r="O4255" t="n">
        <v>0</v>
      </c>
      <c r="P4255" t="n">
        <v>0</v>
      </c>
      <c r="Q4255" t="n">
        <v>0</v>
      </c>
      <c r="R4255" s="2" t="inlineStr"/>
    </row>
    <row r="4256" ht="15" customHeight="1">
      <c r="A4256" t="inlineStr">
        <is>
          <t>A 46709-2025</t>
        </is>
      </c>
      <c r="B4256" s="1" t="n">
        <v>45926.57254629629</v>
      </c>
      <c r="C4256" s="1" t="n">
        <v>46185</v>
      </c>
      <c r="D4256" t="inlineStr">
        <is>
          <t>VÄSTERNORRLANDS LÄN</t>
        </is>
      </c>
      <c r="E4256" t="inlineStr">
        <is>
          <t>ÖRNSKÖLDSVIK</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46734-2025</t>
        </is>
      </c>
      <c r="B4257" s="1" t="n">
        <v>45926.59780092593</v>
      </c>
      <c r="C4257" s="1" t="n">
        <v>46185</v>
      </c>
      <c r="D4257" t="inlineStr">
        <is>
          <t>VÄSTERNORRLANDS LÄN</t>
        </is>
      </c>
      <c r="E4257" t="inlineStr">
        <is>
          <t>ÖRNSKÖLDSVIK</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46784-2025</t>
        </is>
      </c>
      <c r="B4258" s="1" t="n">
        <v>45926</v>
      </c>
      <c r="C4258" s="1" t="n">
        <v>46185</v>
      </c>
      <c r="D4258" t="inlineStr">
        <is>
          <t>VÄSTERNORRLANDS LÄN</t>
        </is>
      </c>
      <c r="E4258" t="inlineStr">
        <is>
          <t>SOLLEFTEÅ</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25190-2025</t>
        </is>
      </c>
      <c r="B4259" s="1" t="n">
        <v>45798</v>
      </c>
      <c r="C4259" s="1" t="n">
        <v>46185</v>
      </c>
      <c r="D4259" t="inlineStr">
        <is>
          <t>VÄSTERNORRLANDS LÄN</t>
        </is>
      </c>
      <c r="E4259" t="inlineStr">
        <is>
          <t>TIMRÅ</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8023-2023</t>
        </is>
      </c>
      <c r="B4260" s="1" t="n">
        <v>44973</v>
      </c>
      <c r="C4260" s="1" t="n">
        <v>46185</v>
      </c>
      <c r="D4260" t="inlineStr">
        <is>
          <t>VÄSTERNORRLANDS LÄN</t>
        </is>
      </c>
      <c r="E4260" t="inlineStr">
        <is>
          <t>HÄRNÖSAND</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34959-2023</t>
        </is>
      </c>
      <c r="B4261" s="1" t="n">
        <v>45142</v>
      </c>
      <c r="C4261" s="1" t="n">
        <v>46185</v>
      </c>
      <c r="D4261" t="inlineStr">
        <is>
          <t>VÄSTERNORRLANDS LÄN</t>
        </is>
      </c>
      <c r="E4261" t="inlineStr">
        <is>
          <t>ÅNGE</t>
        </is>
      </c>
      <c r="F4261" t="inlineStr">
        <is>
          <t>Sveaskog</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14150-2024</t>
        </is>
      </c>
      <c r="B4262" s="1" t="n">
        <v>45392</v>
      </c>
      <c r="C4262" s="1" t="n">
        <v>46185</v>
      </c>
      <c r="D4262" t="inlineStr">
        <is>
          <t>VÄSTERNORRLANDS LÄN</t>
        </is>
      </c>
      <c r="E4262" t="inlineStr">
        <is>
          <t>KRAMFORS</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2475-2026</t>
        </is>
      </c>
      <c r="B4263" s="1" t="n">
        <v>46037.37815972222</v>
      </c>
      <c r="C4263" s="1" t="n">
        <v>46185</v>
      </c>
      <c r="D4263" t="inlineStr">
        <is>
          <t>VÄSTERNORRLANDS LÄN</t>
        </is>
      </c>
      <c r="E4263" t="inlineStr">
        <is>
          <t>SUNDSVALL</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35665-2025</t>
        </is>
      </c>
      <c r="B4264" s="1" t="n">
        <v>45859</v>
      </c>
      <c r="C4264" s="1" t="n">
        <v>46185</v>
      </c>
      <c r="D4264" t="inlineStr">
        <is>
          <t>VÄSTERNORRLANDS LÄN</t>
        </is>
      </c>
      <c r="E4264" t="inlineStr">
        <is>
          <t>TIMRÅ</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35666-2025</t>
        </is>
      </c>
      <c r="B4265" s="1" t="n">
        <v>45859.61543981481</v>
      </c>
      <c r="C4265" s="1" t="n">
        <v>46185</v>
      </c>
      <c r="D4265" t="inlineStr">
        <is>
          <t>VÄSTERNORRLANDS LÄN</t>
        </is>
      </c>
      <c r="E4265" t="inlineStr">
        <is>
          <t>TIMRÅ</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35667-2025</t>
        </is>
      </c>
      <c r="B4266" s="1" t="n">
        <v>45859.61546296296</v>
      </c>
      <c r="C4266" s="1" t="n">
        <v>46185</v>
      </c>
      <c r="D4266" t="inlineStr">
        <is>
          <t>VÄSTERNORRLANDS LÄN</t>
        </is>
      </c>
      <c r="E4266" t="inlineStr">
        <is>
          <t>TIMRÅ</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46556-2025</t>
        </is>
      </c>
      <c r="B4267" s="1" t="n">
        <v>45926.32258101852</v>
      </c>
      <c r="C4267" s="1" t="n">
        <v>46185</v>
      </c>
      <c r="D4267" t="inlineStr">
        <is>
          <t>VÄSTERNORRLANDS LÄN</t>
        </is>
      </c>
      <c r="E4267" t="inlineStr">
        <is>
          <t>KRAMFORS</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44615-2023</t>
        </is>
      </c>
      <c r="B4268" s="1" t="n">
        <v>45189.63652777778</v>
      </c>
      <c r="C4268" s="1" t="n">
        <v>46185</v>
      </c>
      <c r="D4268" t="inlineStr">
        <is>
          <t>VÄSTERNORRLANDS LÄN</t>
        </is>
      </c>
      <c r="E4268" t="inlineStr">
        <is>
          <t>KRAMFORS</t>
        </is>
      </c>
      <c r="G4268" t="n">
        <v>10</v>
      </c>
      <c r="H4268" t="n">
        <v>0</v>
      </c>
      <c r="I4268" t="n">
        <v>0</v>
      </c>
      <c r="J4268" t="n">
        <v>0</v>
      </c>
      <c r="K4268" t="n">
        <v>0</v>
      </c>
      <c r="L4268" t="n">
        <v>0</v>
      </c>
      <c r="M4268" t="n">
        <v>0</v>
      </c>
      <c r="N4268" t="n">
        <v>0</v>
      </c>
      <c r="O4268" t="n">
        <v>0</v>
      </c>
      <c r="P4268" t="n">
        <v>0</v>
      </c>
      <c r="Q4268" t="n">
        <v>0</v>
      </c>
      <c r="R4268" s="2" t="inlineStr"/>
    </row>
    <row r="4269" ht="15" customHeight="1">
      <c r="A4269" t="inlineStr">
        <is>
          <t>A 46568-2025</t>
        </is>
      </c>
      <c r="B4269" s="1" t="n">
        <v>45926.36578703704</v>
      </c>
      <c r="C4269" s="1" t="n">
        <v>46185</v>
      </c>
      <c r="D4269" t="inlineStr">
        <is>
          <t>VÄSTERNORRLANDS LÄN</t>
        </is>
      </c>
      <c r="E4269" t="inlineStr">
        <is>
          <t>KRAMFORS</t>
        </is>
      </c>
      <c r="G4269" t="n">
        <v>16.4</v>
      </c>
      <c r="H4269" t="n">
        <v>0</v>
      </c>
      <c r="I4269" t="n">
        <v>0</v>
      </c>
      <c r="J4269" t="n">
        <v>0</v>
      </c>
      <c r="K4269" t="n">
        <v>0</v>
      </c>
      <c r="L4269" t="n">
        <v>0</v>
      </c>
      <c r="M4269" t="n">
        <v>0</v>
      </c>
      <c r="N4269" t="n">
        <v>0</v>
      </c>
      <c r="O4269" t="n">
        <v>0</v>
      </c>
      <c r="P4269" t="n">
        <v>0</v>
      </c>
      <c r="Q4269" t="n">
        <v>0</v>
      </c>
      <c r="R4269" s="2" t="inlineStr"/>
    </row>
    <row r="4270" ht="15" customHeight="1">
      <c r="A4270" t="inlineStr">
        <is>
          <t>A 46791-2025</t>
        </is>
      </c>
      <c r="B4270" s="1" t="n">
        <v>45926.65502314815</v>
      </c>
      <c r="C4270" s="1" t="n">
        <v>46185</v>
      </c>
      <c r="D4270" t="inlineStr">
        <is>
          <t>VÄSTERNORRLANDS LÄN</t>
        </is>
      </c>
      <c r="E4270" t="inlineStr">
        <is>
          <t>SUNDSVALL</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46296-2025</t>
        </is>
      </c>
      <c r="B4271" s="1" t="n">
        <v>45925.39752314815</v>
      </c>
      <c r="C4271" s="1" t="n">
        <v>46185</v>
      </c>
      <c r="D4271" t="inlineStr">
        <is>
          <t>VÄSTERNORRLANDS LÄN</t>
        </is>
      </c>
      <c r="E4271" t="inlineStr">
        <is>
          <t>ÖRNSKÖLDSVIK</t>
        </is>
      </c>
      <c r="F4271" t="inlineStr">
        <is>
          <t>Holmen skog AB</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2576-2026</t>
        </is>
      </c>
      <c r="B4272" s="1" t="n">
        <v>46037.51560185185</v>
      </c>
      <c r="C4272" s="1" t="n">
        <v>46185</v>
      </c>
      <c r="D4272" t="inlineStr">
        <is>
          <t>VÄSTERNORRLANDS LÄN</t>
        </is>
      </c>
      <c r="E4272" t="inlineStr">
        <is>
          <t>SUNDSVALL</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2586-2026</t>
        </is>
      </c>
      <c r="B4273" s="1" t="n">
        <v>46037.54326388889</v>
      </c>
      <c r="C4273" s="1" t="n">
        <v>46185</v>
      </c>
      <c r="D4273" t="inlineStr">
        <is>
          <t>VÄSTERNORRLANDS LÄN</t>
        </is>
      </c>
      <c r="E4273" t="inlineStr">
        <is>
          <t>SUNDSVALL</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10077-2023</t>
        </is>
      </c>
      <c r="B4274" s="1" t="n">
        <v>44985.94408564815</v>
      </c>
      <c r="C4274" s="1" t="n">
        <v>46185</v>
      </c>
      <c r="D4274" t="inlineStr">
        <is>
          <t>VÄSTERNORRLANDS LÄN</t>
        </is>
      </c>
      <c r="E4274" t="inlineStr">
        <is>
          <t>SOLLEFTEÅ</t>
        </is>
      </c>
      <c r="F4274" t="inlineStr">
        <is>
          <t>SCA</t>
        </is>
      </c>
      <c r="G4274" t="n">
        <v>10.8</v>
      </c>
      <c r="H4274" t="n">
        <v>0</v>
      </c>
      <c r="I4274" t="n">
        <v>0</v>
      </c>
      <c r="J4274" t="n">
        <v>0</v>
      </c>
      <c r="K4274" t="n">
        <v>0</v>
      </c>
      <c r="L4274" t="n">
        <v>0</v>
      </c>
      <c r="M4274" t="n">
        <v>0</v>
      </c>
      <c r="N4274" t="n">
        <v>0</v>
      </c>
      <c r="O4274" t="n">
        <v>0</v>
      </c>
      <c r="P4274" t="n">
        <v>0</v>
      </c>
      <c r="Q4274" t="n">
        <v>0</v>
      </c>
      <c r="R4274" s="2" t="inlineStr"/>
    </row>
    <row r="4275" ht="15" customHeight="1">
      <c r="A4275" t="inlineStr">
        <is>
          <t>A 35924-2025</t>
        </is>
      </c>
      <c r="B4275" s="1" t="n">
        <v>45862.57326388889</v>
      </c>
      <c r="C4275" s="1" t="n">
        <v>46185</v>
      </c>
      <c r="D4275" t="inlineStr">
        <is>
          <t>VÄSTERNORRLANDS LÄN</t>
        </is>
      </c>
      <c r="E4275" t="inlineStr">
        <is>
          <t>SOLLEFTEÅ</t>
        </is>
      </c>
      <c r="F4275" t="inlineStr">
        <is>
          <t>SCA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2817-2026</t>
        </is>
      </c>
      <c r="B4276" s="1" t="n">
        <v>46038.42966435185</v>
      </c>
      <c r="C4276" s="1" t="n">
        <v>46185</v>
      </c>
      <c r="D4276" t="inlineStr">
        <is>
          <t>VÄSTERNORRLANDS LÄN</t>
        </is>
      </c>
      <c r="E4276" t="inlineStr">
        <is>
          <t>HÄRNÖSAND</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55339-2023</t>
        </is>
      </c>
      <c r="B4277" s="1" t="n">
        <v>45237.97483796296</v>
      </c>
      <c r="C4277" s="1" t="n">
        <v>46185</v>
      </c>
      <c r="D4277" t="inlineStr">
        <is>
          <t>VÄSTERNORRLANDS LÄN</t>
        </is>
      </c>
      <c r="E4277" t="inlineStr">
        <is>
          <t>SUNDSVALL</t>
        </is>
      </c>
      <c r="F4277" t="inlineStr">
        <is>
          <t>SCA</t>
        </is>
      </c>
      <c r="G4277" t="n">
        <v>12.1</v>
      </c>
      <c r="H4277" t="n">
        <v>0</v>
      </c>
      <c r="I4277" t="n">
        <v>0</v>
      </c>
      <c r="J4277" t="n">
        <v>0</v>
      </c>
      <c r="K4277" t="n">
        <v>0</v>
      </c>
      <c r="L4277" t="n">
        <v>0</v>
      </c>
      <c r="M4277" t="n">
        <v>0</v>
      </c>
      <c r="N4277" t="n">
        <v>0</v>
      </c>
      <c r="O4277" t="n">
        <v>0</v>
      </c>
      <c r="P4277" t="n">
        <v>0</v>
      </c>
      <c r="Q4277" t="n">
        <v>0</v>
      </c>
      <c r="R4277" s="2" t="inlineStr"/>
    </row>
    <row r="4278" ht="15" customHeight="1">
      <c r="A4278" t="inlineStr">
        <is>
          <t>A 7582-2025</t>
        </is>
      </c>
      <c r="B4278" s="1" t="n">
        <v>45705</v>
      </c>
      <c r="C4278" s="1" t="n">
        <v>46185</v>
      </c>
      <c r="D4278" t="inlineStr">
        <is>
          <t>VÄSTERNORRLANDS LÄN</t>
        </is>
      </c>
      <c r="E4278" t="inlineStr">
        <is>
          <t>ÖRNSKÖLDSVIK</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24957-2025</t>
        </is>
      </c>
      <c r="B4279" s="1" t="n">
        <v>45799.57431712963</v>
      </c>
      <c r="C4279" s="1" t="n">
        <v>46185</v>
      </c>
      <c r="D4279" t="inlineStr">
        <is>
          <t>VÄSTERNORRLANDS LÄN</t>
        </is>
      </c>
      <c r="E4279" t="inlineStr">
        <is>
          <t>KRAMFORS</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35826-2025</t>
        </is>
      </c>
      <c r="B4280" s="1" t="n">
        <v>45861.48997685185</v>
      </c>
      <c r="C4280" s="1" t="n">
        <v>46185</v>
      </c>
      <c r="D4280" t="inlineStr">
        <is>
          <t>VÄSTERNORRLANDS LÄN</t>
        </is>
      </c>
      <c r="E4280" t="inlineStr">
        <is>
          <t>ÅNGE</t>
        </is>
      </c>
      <c r="G4280" t="n">
        <v>2.5</v>
      </c>
      <c r="H4280" t="n">
        <v>0</v>
      </c>
      <c r="I4280" t="n">
        <v>0</v>
      </c>
      <c r="J4280" t="n">
        <v>0</v>
      </c>
      <c r="K4280" t="n">
        <v>0</v>
      </c>
      <c r="L4280" t="n">
        <v>0</v>
      </c>
      <c r="M4280" t="n">
        <v>0</v>
      </c>
      <c r="N4280" t="n">
        <v>0</v>
      </c>
      <c r="O4280" t="n">
        <v>0</v>
      </c>
      <c r="P4280" t="n">
        <v>0</v>
      </c>
      <c r="Q4280" t="n">
        <v>0</v>
      </c>
      <c r="R4280" s="2" t="inlineStr"/>
      <c r="U4280">
        <f>HYPERLINK("https://klasma.github.io/Logging_2260/knärot/A 35826-2025 karta knärot.png", "A 35826-2025")</f>
        <v/>
      </c>
      <c r="V4280">
        <f>HYPERLINK("https://klasma.github.io/Logging_2260/klagomål/A 35826-2025 FSC-klagomål.docx", "A 35826-2025")</f>
        <v/>
      </c>
      <c r="W4280">
        <f>HYPERLINK("https://klasma.github.io/Logging_2260/klagomålsmail/A 35826-2025 FSC-klagomål mail.docx", "A 35826-2025")</f>
        <v/>
      </c>
      <c r="X4280">
        <f>HYPERLINK("https://klasma.github.io/Logging_2260/tillsyn/A 35826-2025 tillsynsbegäran.docx", "A 35826-2025")</f>
        <v/>
      </c>
      <c r="Y4280">
        <f>HYPERLINK("https://klasma.github.io/Logging_2260/tillsynsmail/A 35826-2025 tillsynsbegäran mail.docx", "A 35826-2025")</f>
        <v/>
      </c>
    </row>
    <row r="4281" ht="15" customHeight="1">
      <c r="A4281" t="inlineStr">
        <is>
          <t>A 29813-2022</t>
        </is>
      </c>
      <c r="B4281" s="1" t="n">
        <v>44755</v>
      </c>
      <c r="C4281" s="1" t="n">
        <v>46185</v>
      </c>
      <c r="D4281" t="inlineStr">
        <is>
          <t>VÄSTERNORRLANDS LÄN</t>
        </is>
      </c>
      <c r="E4281" t="inlineStr">
        <is>
          <t>HÄRNÖSAND</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47149-2025</t>
        </is>
      </c>
      <c r="B4282" s="1" t="n">
        <v>45929.71913194445</v>
      </c>
      <c r="C4282" s="1" t="n">
        <v>46185</v>
      </c>
      <c r="D4282" t="inlineStr">
        <is>
          <t>VÄSTERNORRLANDS LÄN</t>
        </is>
      </c>
      <c r="E4282" t="inlineStr">
        <is>
          <t>SUNDSVALL</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54330-2023</t>
        </is>
      </c>
      <c r="B4283" s="1" t="n">
        <v>45232.95814814815</v>
      </c>
      <c r="C4283" s="1" t="n">
        <v>46185</v>
      </c>
      <c r="D4283" t="inlineStr">
        <is>
          <t>VÄSTERNORRLANDS LÄN</t>
        </is>
      </c>
      <c r="E4283" t="inlineStr">
        <is>
          <t>SOLLEFTEÅ</t>
        </is>
      </c>
      <c r="F4283" t="inlineStr">
        <is>
          <t>SCA</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47066-2025</t>
        </is>
      </c>
      <c r="B4284" s="1" t="n">
        <v>45929.63315972222</v>
      </c>
      <c r="C4284" s="1" t="n">
        <v>46185</v>
      </c>
      <c r="D4284" t="inlineStr">
        <is>
          <t>VÄSTERNORRLANDS LÄN</t>
        </is>
      </c>
      <c r="E4284" t="inlineStr">
        <is>
          <t>ÖRNSKÖLDSVIK</t>
        </is>
      </c>
      <c r="F4284" t="inlineStr">
        <is>
          <t>Holmen skog AB</t>
        </is>
      </c>
      <c r="G4284" t="n">
        <v>19.4</v>
      </c>
      <c r="H4284" t="n">
        <v>0</v>
      </c>
      <c r="I4284" t="n">
        <v>0</v>
      </c>
      <c r="J4284" t="n">
        <v>0</v>
      </c>
      <c r="K4284" t="n">
        <v>0</v>
      </c>
      <c r="L4284" t="n">
        <v>0</v>
      </c>
      <c r="M4284" t="n">
        <v>0</v>
      </c>
      <c r="N4284" t="n">
        <v>0</v>
      </c>
      <c r="O4284" t="n">
        <v>0</v>
      </c>
      <c r="P4284" t="n">
        <v>0</v>
      </c>
      <c r="Q4284" t="n">
        <v>0</v>
      </c>
      <c r="R4284" s="2" t="inlineStr"/>
    </row>
    <row r="4285" ht="15" customHeight="1">
      <c r="A4285" t="inlineStr">
        <is>
          <t>A 47266-2025</t>
        </is>
      </c>
      <c r="B4285" s="1" t="n">
        <v>45930.45737268519</v>
      </c>
      <c r="C4285" s="1" t="n">
        <v>46185</v>
      </c>
      <c r="D4285" t="inlineStr">
        <is>
          <t>VÄSTERNORRLANDS LÄN</t>
        </is>
      </c>
      <c r="E4285" t="inlineStr">
        <is>
          <t>ÖRNSKÖLDSVIK</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2467-2026</t>
        </is>
      </c>
      <c r="B4286" s="1" t="n">
        <v>46037.36523148148</v>
      </c>
      <c r="C4286" s="1" t="n">
        <v>46185</v>
      </c>
      <c r="D4286" t="inlineStr">
        <is>
          <t>VÄSTERNORRLANDS LÄN</t>
        </is>
      </c>
      <c r="E4286" t="inlineStr">
        <is>
          <t>SUNDSVALL</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25213-2025</t>
        </is>
      </c>
      <c r="B4287" s="1" t="n">
        <v>45800</v>
      </c>
      <c r="C4287" s="1" t="n">
        <v>46185</v>
      </c>
      <c r="D4287" t="inlineStr">
        <is>
          <t>VÄSTERNORRLANDS LÄN</t>
        </is>
      </c>
      <c r="E4287" t="inlineStr">
        <is>
          <t>ÖRNSKÖLDSVIK</t>
        </is>
      </c>
      <c r="F4287" t="inlineStr">
        <is>
          <t>Holmen skog AB</t>
        </is>
      </c>
      <c r="G4287" t="n">
        <v>5.3</v>
      </c>
      <c r="H4287" t="n">
        <v>0</v>
      </c>
      <c r="I4287" t="n">
        <v>0</v>
      </c>
      <c r="J4287" t="n">
        <v>0</v>
      </c>
      <c r="K4287" t="n">
        <v>0</v>
      </c>
      <c r="L4287" t="n">
        <v>0</v>
      </c>
      <c r="M4287" t="n">
        <v>0</v>
      </c>
      <c r="N4287" t="n">
        <v>0</v>
      </c>
      <c r="O4287" t="n">
        <v>0</v>
      </c>
      <c r="P4287" t="n">
        <v>0</v>
      </c>
      <c r="Q4287" t="n">
        <v>0</v>
      </c>
      <c r="R4287" s="2" t="inlineStr"/>
    </row>
    <row r="4288" ht="15" customHeight="1">
      <c r="A4288" t="inlineStr">
        <is>
          <t>A 29795-2022</t>
        </is>
      </c>
      <c r="B4288" s="1" t="n">
        <v>44755</v>
      </c>
      <c r="C4288" s="1" t="n">
        <v>46185</v>
      </c>
      <c r="D4288" t="inlineStr">
        <is>
          <t>VÄSTERNORRLANDS LÄN</t>
        </is>
      </c>
      <c r="E4288" t="inlineStr">
        <is>
          <t>ÖRNSKÖLDSVIK</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7382-2025</t>
        </is>
      </c>
      <c r="B4289" s="1" t="n">
        <v>45705.32261574074</v>
      </c>
      <c r="C4289" s="1" t="n">
        <v>46185</v>
      </c>
      <c r="D4289" t="inlineStr">
        <is>
          <t>VÄSTERNORRLANDS LÄN</t>
        </is>
      </c>
      <c r="E4289" t="inlineStr">
        <is>
          <t>ÖRNSKÖLDSVIK</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2868-2026</t>
        </is>
      </c>
      <c r="B4290" s="1" t="n">
        <v>46038.50125</v>
      </c>
      <c r="C4290" s="1" t="n">
        <v>46185</v>
      </c>
      <c r="D4290" t="inlineStr">
        <is>
          <t>VÄSTERNORRLANDS LÄN</t>
        </is>
      </c>
      <c r="E4290" t="inlineStr">
        <is>
          <t>ÖRNSKÖLDSVIK</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38446-2023</t>
        </is>
      </c>
      <c r="B4291" s="1" t="n">
        <v>45162</v>
      </c>
      <c r="C4291" s="1" t="n">
        <v>46185</v>
      </c>
      <c r="D4291" t="inlineStr">
        <is>
          <t>VÄSTERNORRLANDS LÄN</t>
        </is>
      </c>
      <c r="E4291" t="inlineStr">
        <is>
          <t>KRAMFORS</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38448-2023</t>
        </is>
      </c>
      <c r="B4292" s="1" t="n">
        <v>45162</v>
      </c>
      <c r="C4292" s="1" t="n">
        <v>46185</v>
      </c>
      <c r="D4292" t="inlineStr">
        <is>
          <t>VÄSTERNORRLANDS LÄN</t>
        </is>
      </c>
      <c r="E4292" t="inlineStr">
        <is>
          <t>KRAMFORS</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32850-2022</t>
        </is>
      </c>
      <c r="B4293" s="1" t="n">
        <v>44784</v>
      </c>
      <c r="C4293" s="1" t="n">
        <v>46185</v>
      </c>
      <c r="D4293" t="inlineStr">
        <is>
          <t>VÄSTERNORRLANDS LÄN</t>
        </is>
      </c>
      <c r="E4293" t="inlineStr">
        <is>
          <t>ÖRNSKÖLDSVIK</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2453-2026</t>
        </is>
      </c>
      <c r="B4294" s="1" t="n">
        <v>46037.34457175926</v>
      </c>
      <c r="C4294" s="1" t="n">
        <v>46185</v>
      </c>
      <c r="D4294" t="inlineStr">
        <is>
          <t>VÄSTERNORRLANDS LÄN</t>
        </is>
      </c>
      <c r="E4294" t="inlineStr">
        <is>
          <t>SOLLEFTEÅ</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31451-2025</t>
        </is>
      </c>
      <c r="B4295" s="1" t="n">
        <v>45833.53167824074</v>
      </c>
      <c r="C4295" s="1" t="n">
        <v>46185</v>
      </c>
      <c r="D4295" t="inlineStr">
        <is>
          <t>VÄSTERNORRLANDS LÄN</t>
        </is>
      </c>
      <c r="E4295" t="inlineStr">
        <is>
          <t>SOLLEFTEÅ</t>
        </is>
      </c>
      <c r="G4295" t="n">
        <v>4.8</v>
      </c>
      <c r="H4295" t="n">
        <v>0</v>
      </c>
      <c r="I4295" t="n">
        <v>0</v>
      </c>
      <c r="J4295" t="n">
        <v>0</v>
      </c>
      <c r="K4295" t="n">
        <v>0</v>
      </c>
      <c r="L4295" t="n">
        <v>0</v>
      </c>
      <c r="M4295" t="n">
        <v>0</v>
      </c>
      <c r="N4295" t="n">
        <v>0</v>
      </c>
      <c r="O4295" t="n">
        <v>0</v>
      </c>
      <c r="P4295" t="n">
        <v>0</v>
      </c>
      <c r="Q4295" t="n">
        <v>0</v>
      </c>
      <c r="R4295" s="2" t="inlineStr"/>
    </row>
    <row r="4296" ht="15" customHeight="1">
      <c r="A4296" t="inlineStr">
        <is>
          <t>A 47053-2025</t>
        </is>
      </c>
      <c r="B4296" s="1" t="n">
        <v>45929.61850694445</v>
      </c>
      <c r="C4296" s="1" t="n">
        <v>46185</v>
      </c>
      <c r="D4296" t="inlineStr">
        <is>
          <t>VÄSTERNORRLANDS LÄN</t>
        </is>
      </c>
      <c r="E4296" t="inlineStr">
        <is>
          <t>ÖRNSKÖLDSVIK</t>
        </is>
      </c>
      <c r="F4296" t="inlineStr">
        <is>
          <t>Holmen skog AB</t>
        </is>
      </c>
      <c r="G4296" t="n">
        <v>8.800000000000001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35807-2025</t>
        </is>
      </c>
      <c r="B4297" s="1" t="n">
        <v>45861.40663194445</v>
      </c>
      <c r="C4297" s="1" t="n">
        <v>46185</v>
      </c>
      <c r="D4297" t="inlineStr">
        <is>
          <t>VÄSTERNORRLANDS LÄN</t>
        </is>
      </c>
      <c r="E4297" t="inlineStr">
        <is>
          <t>SOLLEFTEÅ</t>
        </is>
      </c>
      <c r="F4297" t="inlineStr">
        <is>
          <t>SCA</t>
        </is>
      </c>
      <c r="G4297" t="n">
        <v>16.7</v>
      </c>
      <c r="H4297" t="n">
        <v>0</v>
      </c>
      <c r="I4297" t="n">
        <v>0</v>
      </c>
      <c r="J4297" t="n">
        <v>0</v>
      </c>
      <c r="K4297" t="n">
        <v>0</v>
      </c>
      <c r="L4297" t="n">
        <v>0</v>
      </c>
      <c r="M4297" t="n">
        <v>0</v>
      </c>
      <c r="N4297" t="n">
        <v>0</v>
      </c>
      <c r="O4297" t="n">
        <v>0</v>
      </c>
      <c r="P4297" t="n">
        <v>0</v>
      </c>
      <c r="Q4297" t="n">
        <v>0</v>
      </c>
      <c r="R4297" s="2" t="inlineStr"/>
    </row>
    <row r="4298" ht="15" customHeight="1">
      <c r="A4298" t="inlineStr">
        <is>
          <t>A 2963-2026</t>
        </is>
      </c>
      <c r="B4298" s="1" t="n">
        <v>46038.61508101852</v>
      </c>
      <c r="C4298" s="1" t="n">
        <v>46185</v>
      </c>
      <c r="D4298" t="inlineStr">
        <is>
          <t>VÄSTERNORRLANDS LÄN</t>
        </is>
      </c>
      <c r="E4298" t="inlineStr">
        <is>
          <t>ÖRNSKÖLDSVIK</t>
        </is>
      </c>
      <c r="F4298" t="inlineStr">
        <is>
          <t>SCA</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35827-2025</t>
        </is>
      </c>
      <c r="B4299" s="1" t="n">
        <v>45861.49017361111</v>
      </c>
      <c r="C4299" s="1" t="n">
        <v>46185</v>
      </c>
      <c r="D4299" t="inlineStr">
        <is>
          <t>VÄSTERNORRLANDS LÄN</t>
        </is>
      </c>
      <c r="E4299" t="inlineStr">
        <is>
          <t>ÅNGE</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35828-2025</t>
        </is>
      </c>
      <c r="B4300" s="1" t="n">
        <v>45861.49105324074</v>
      </c>
      <c r="C4300" s="1" t="n">
        <v>46185</v>
      </c>
      <c r="D4300" t="inlineStr">
        <is>
          <t>VÄSTERNORRLANDS LÄN</t>
        </is>
      </c>
      <c r="E4300" t="inlineStr">
        <is>
          <t>ÖRNSKÖLDSVIK</t>
        </is>
      </c>
      <c r="F4300" t="inlineStr">
        <is>
          <t>Holmen skog AB</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19341-2025</t>
        </is>
      </c>
      <c r="B4301" s="1" t="n">
        <v>45769.59504629629</v>
      </c>
      <c r="C4301" s="1" t="n">
        <v>46185</v>
      </c>
      <c r="D4301" t="inlineStr">
        <is>
          <t>VÄSTERNORRLANDS LÄN</t>
        </is>
      </c>
      <c r="E4301" t="inlineStr">
        <is>
          <t>TIMRÅ</t>
        </is>
      </c>
      <c r="F4301" t="inlineStr">
        <is>
          <t>SCA</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35901-2025</t>
        </is>
      </c>
      <c r="B4302" s="1" t="n">
        <v>45862.48984953704</v>
      </c>
      <c r="C4302" s="1" t="n">
        <v>46185</v>
      </c>
      <c r="D4302" t="inlineStr">
        <is>
          <t>VÄSTERNORRLANDS LÄN</t>
        </is>
      </c>
      <c r="E4302" t="inlineStr">
        <is>
          <t>SUNDSVALL</t>
        </is>
      </c>
      <c r="G4302" t="n">
        <v>5.9</v>
      </c>
      <c r="H4302" t="n">
        <v>0</v>
      </c>
      <c r="I4302" t="n">
        <v>0</v>
      </c>
      <c r="J4302" t="n">
        <v>0</v>
      </c>
      <c r="K4302" t="n">
        <v>0</v>
      </c>
      <c r="L4302" t="n">
        <v>0</v>
      </c>
      <c r="M4302" t="n">
        <v>0</v>
      </c>
      <c r="N4302" t="n">
        <v>0</v>
      </c>
      <c r="O4302" t="n">
        <v>0</v>
      </c>
      <c r="P4302" t="n">
        <v>0</v>
      </c>
      <c r="Q4302" t="n">
        <v>0</v>
      </c>
      <c r="R4302" s="2" t="inlineStr"/>
    </row>
    <row r="4303" ht="15" customHeight="1">
      <c r="A4303" t="inlineStr">
        <is>
          <t>A 35861-2025</t>
        </is>
      </c>
      <c r="B4303" s="1" t="n">
        <v>45861.65689814815</v>
      </c>
      <c r="C4303" s="1" t="n">
        <v>46185</v>
      </c>
      <c r="D4303" t="inlineStr">
        <is>
          <t>VÄSTERNORRLANDS LÄN</t>
        </is>
      </c>
      <c r="E4303" t="inlineStr">
        <is>
          <t>SUNDSVALL</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6284-2025</t>
        </is>
      </c>
      <c r="B4304" s="1" t="n">
        <v>45698.63611111111</v>
      </c>
      <c r="C4304" s="1" t="n">
        <v>46185</v>
      </c>
      <c r="D4304" t="inlineStr">
        <is>
          <t>VÄSTERNORRLANDS LÄN</t>
        </is>
      </c>
      <c r="E4304" t="inlineStr">
        <is>
          <t>SOLLEFTEÅ</t>
        </is>
      </c>
      <c r="F4304" t="inlineStr">
        <is>
          <t>SCA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62357-2023</t>
        </is>
      </c>
      <c r="B4305" s="1" t="n">
        <v>45267.95109953704</v>
      </c>
      <c r="C4305" s="1" t="n">
        <v>46185</v>
      </c>
      <c r="D4305" t="inlineStr">
        <is>
          <t>VÄSTERNORRLANDS LÄN</t>
        </is>
      </c>
      <c r="E4305" t="inlineStr">
        <is>
          <t>SOLLEFTEÅ</t>
        </is>
      </c>
      <c r="F4305" t="inlineStr">
        <is>
          <t>SCA</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47218-2025</t>
        </is>
      </c>
      <c r="B4306" s="1" t="n">
        <v>45930.38640046296</v>
      </c>
      <c r="C4306" s="1" t="n">
        <v>46185</v>
      </c>
      <c r="D4306" t="inlineStr">
        <is>
          <t>VÄSTERNORRLANDS LÄN</t>
        </is>
      </c>
      <c r="E4306" t="inlineStr">
        <is>
          <t>SOLLEFTEÅ</t>
        </is>
      </c>
      <c r="G4306" t="n">
        <v>10.3</v>
      </c>
      <c r="H4306" t="n">
        <v>0</v>
      </c>
      <c r="I4306" t="n">
        <v>0</v>
      </c>
      <c r="J4306" t="n">
        <v>0</v>
      </c>
      <c r="K4306" t="n">
        <v>0</v>
      </c>
      <c r="L4306" t="n">
        <v>0</v>
      </c>
      <c r="M4306" t="n">
        <v>0</v>
      </c>
      <c r="N4306" t="n">
        <v>0</v>
      </c>
      <c r="O4306" t="n">
        <v>0</v>
      </c>
      <c r="P4306" t="n">
        <v>0</v>
      </c>
      <c r="Q4306" t="n">
        <v>0</v>
      </c>
      <c r="R4306" s="2" t="inlineStr"/>
    </row>
    <row r="4307" ht="15" customHeight="1">
      <c r="A4307" t="inlineStr">
        <is>
          <t>A 47219-2025</t>
        </is>
      </c>
      <c r="B4307" s="1" t="n">
        <v>45930.38649305556</v>
      </c>
      <c r="C4307" s="1" t="n">
        <v>46185</v>
      </c>
      <c r="D4307" t="inlineStr">
        <is>
          <t>VÄSTERNORRLANDS LÄN</t>
        </is>
      </c>
      <c r="E4307" t="inlineStr">
        <is>
          <t>SOLLEFTEÅ</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47272-2025</t>
        </is>
      </c>
      <c r="B4308" s="1" t="n">
        <v>45930</v>
      </c>
      <c r="C4308" s="1" t="n">
        <v>46185</v>
      </c>
      <c r="D4308" t="inlineStr">
        <is>
          <t>VÄSTERNORRLANDS LÄN</t>
        </is>
      </c>
      <c r="E4308" t="inlineStr">
        <is>
          <t>TIMRÅ</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52517-2023</t>
        </is>
      </c>
      <c r="B4309" s="1" t="n">
        <v>45225.49472222223</v>
      </c>
      <c r="C4309" s="1" t="n">
        <v>46185</v>
      </c>
      <c r="D4309" t="inlineStr">
        <is>
          <t>VÄSTERNORRLANDS LÄN</t>
        </is>
      </c>
      <c r="E4309" t="inlineStr">
        <is>
          <t>SUNDSVALL</t>
        </is>
      </c>
      <c r="F4309" t="inlineStr">
        <is>
          <t>Kommuner</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62467-2023</t>
        </is>
      </c>
      <c r="B4310" s="1" t="n">
        <v>45267</v>
      </c>
      <c r="C4310" s="1" t="n">
        <v>46185</v>
      </c>
      <c r="D4310" t="inlineStr">
        <is>
          <t>VÄSTERNORRLANDS LÄN</t>
        </is>
      </c>
      <c r="E4310" t="inlineStr">
        <is>
          <t>ÖRNSKÖLDSVIK</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30683-2024</t>
        </is>
      </c>
      <c r="B4311" s="1" t="n">
        <v>45495</v>
      </c>
      <c r="C4311" s="1" t="n">
        <v>46185</v>
      </c>
      <c r="D4311" t="inlineStr">
        <is>
          <t>VÄSTERNORRLANDS LÄN</t>
        </is>
      </c>
      <c r="E4311" t="inlineStr">
        <is>
          <t>ÅNGE</t>
        </is>
      </c>
      <c r="F4311" t="inlineStr">
        <is>
          <t>SCA</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47440-2025</t>
        </is>
      </c>
      <c r="B4312" s="1" t="n">
        <v>45930.63766203704</v>
      </c>
      <c r="C4312" s="1" t="n">
        <v>46185</v>
      </c>
      <c r="D4312" t="inlineStr">
        <is>
          <t>VÄSTERNORRLANDS LÄN</t>
        </is>
      </c>
      <c r="E4312" t="inlineStr">
        <is>
          <t>ÅNGE</t>
        </is>
      </c>
      <c r="F4312" t="inlineStr">
        <is>
          <t>SCA</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47378-2025</t>
        </is>
      </c>
      <c r="B4313" s="1" t="n">
        <v>45930.59487268519</v>
      </c>
      <c r="C4313" s="1" t="n">
        <v>46185</v>
      </c>
      <c r="D4313" t="inlineStr">
        <is>
          <t>VÄSTERNORRLANDS LÄN</t>
        </is>
      </c>
      <c r="E4313" t="inlineStr">
        <is>
          <t>SUNDSVALL</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55058-2023</t>
        </is>
      </c>
      <c r="B4314" s="1" t="n">
        <v>45229</v>
      </c>
      <c r="C4314" s="1" t="n">
        <v>46185</v>
      </c>
      <c r="D4314" t="inlineStr">
        <is>
          <t>VÄSTERNORRLANDS LÄN</t>
        </is>
      </c>
      <c r="E4314" t="inlineStr">
        <is>
          <t>HÄRNÖSAND</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47291-2025</t>
        </is>
      </c>
      <c r="B4315" s="1" t="n">
        <v>45930.49019675926</v>
      </c>
      <c r="C4315" s="1" t="n">
        <v>46185</v>
      </c>
      <c r="D4315" t="inlineStr">
        <is>
          <t>VÄSTERNORRLANDS LÄN</t>
        </is>
      </c>
      <c r="E4315" t="inlineStr">
        <is>
          <t>SOLLEFTEÅ</t>
        </is>
      </c>
      <c r="F4315" t="inlineStr">
        <is>
          <t>SCA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47301-2025</t>
        </is>
      </c>
      <c r="B4316" s="1" t="n">
        <v>45930.50574074074</v>
      </c>
      <c r="C4316" s="1" t="n">
        <v>46185</v>
      </c>
      <c r="D4316" t="inlineStr">
        <is>
          <t>VÄSTERNORRLANDS LÄN</t>
        </is>
      </c>
      <c r="E4316" t="inlineStr">
        <is>
          <t>ÖRNSKÖLDSVIK</t>
        </is>
      </c>
      <c r="F4316" t="inlineStr">
        <is>
          <t>Holmen skog AB</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13694-2023</t>
        </is>
      </c>
      <c r="B4317" s="1" t="n">
        <v>45006</v>
      </c>
      <c r="C4317" s="1" t="n">
        <v>46185</v>
      </c>
      <c r="D4317" t="inlineStr">
        <is>
          <t>VÄSTERNORRLANDS LÄN</t>
        </is>
      </c>
      <c r="E4317" t="inlineStr">
        <is>
          <t>SUNDSVALL</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14730-2025</t>
        </is>
      </c>
      <c r="B4318" s="1" t="n">
        <v>45742.63587962963</v>
      </c>
      <c r="C4318" s="1" t="n">
        <v>46185</v>
      </c>
      <c r="D4318" t="inlineStr">
        <is>
          <t>VÄSTERNORRLANDS LÄN</t>
        </is>
      </c>
      <c r="E4318" t="inlineStr">
        <is>
          <t>SOLLEFTEÅ</t>
        </is>
      </c>
      <c r="F4318" t="inlineStr">
        <is>
          <t>SCA</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33495-2025</t>
        </is>
      </c>
      <c r="B4319" s="1" t="n">
        <v>45841</v>
      </c>
      <c r="C4319" s="1" t="n">
        <v>46185</v>
      </c>
      <c r="D4319" t="inlineStr">
        <is>
          <t>VÄSTERNORRLANDS LÄN</t>
        </is>
      </c>
      <c r="E4319" t="inlineStr">
        <is>
          <t>SOLLEFTEÅ</t>
        </is>
      </c>
      <c r="F4319" t="inlineStr">
        <is>
          <t>SCA</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36068-2025</t>
        </is>
      </c>
      <c r="B4320" s="1" t="n">
        <v>45866.42752314815</v>
      </c>
      <c r="C4320" s="1" t="n">
        <v>46185</v>
      </c>
      <c r="D4320" t="inlineStr">
        <is>
          <t>VÄSTERNORRLANDS LÄN</t>
        </is>
      </c>
      <c r="E4320" t="inlineStr">
        <is>
          <t>SOLLEFTEÅ</t>
        </is>
      </c>
      <c r="F4320" t="inlineStr">
        <is>
          <t>SCA</t>
        </is>
      </c>
      <c r="G4320" t="n">
        <v>5.7</v>
      </c>
      <c r="H4320" t="n">
        <v>0</v>
      </c>
      <c r="I4320" t="n">
        <v>0</v>
      </c>
      <c r="J4320" t="n">
        <v>0</v>
      </c>
      <c r="K4320" t="n">
        <v>0</v>
      </c>
      <c r="L4320" t="n">
        <v>0</v>
      </c>
      <c r="M4320" t="n">
        <v>0</v>
      </c>
      <c r="N4320" t="n">
        <v>0</v>
      </c>
      <c r="O4320" t="n">
        <v>0</v>
      </c>
      <c r="P4320" t="n">
        <v>0</v>
      </c>
      <c r="Q4320" t="n">
        <v>0</v>
      </c>
      <c r="R4320" s="2" t="inlineStr"/>
    </row>
    <row r="4321" ht="15" customHeight="1">
      <c r="A4321" t="inlineStr">
        <is>
          <t>A 36073-2025</t>
        </is>
      </c>
      <c r="B4321" s="1" t="n">
        <v>45866.4346412037</v>
      </c>
      <c r="C4321" s="1" t="n">
        <v>46185</v>
      </c>
      <c r="D4321" t="inlineStr">
        <is>
          <t>VÄSTERNORRLANDS LÄN</t>
        </is>
      </c>
      <c r="E4321" t="inlineStr">
        <is>
          <t>SUNDSVALL</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47448-2025</t>
        </is>
      </c>
      <c r="B4322" s="1" t="n">
        <v>45930.64592592593</v>
      </c>
      <c r="C4322" s="1" t="n">
        <v>46185</v>
      </c>
      <c r="D4322" t="inlineStr">
        <is>
          <t>VÄSTERNORRLANDS LÄN</t>
        </is>
      </c>
      <c r="E4322" t="inlineStr">
        <is>
          <t>SOLLEFTEÅ</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55328-2023</t>
        </is>
      </c>
      <c r="B4323" s="1" t="n">
        <v>45237</v>
      </c>
      <c r="C4323" s="1" t="n">
        <v>46185</v>
      </c>
      <c r="D4323" t="inlineStr">
        <is>
          <t>VÄSTERNORRLANDS LÄN</t>
        </is>
      </c>
      <c r="E4323" t="inlineStr">
        <is>
          <t>ÅNGE</t>
        </is>
      </c>
      <c r="F4323" t="inlineStr">
        <is>
          <t>SCA</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47196-2025</t>
        </is>
      </c>
      <c r="B4324" s="1" t="n">
        <v>45930.34520833333</v>
      </c>
      <c r="C4324" s="1" t="n">
        <v>46185</v>
      </c>
      <c r="D4324" t="inlineStr">
        <is>
          <t>VÄSTERNORRLANDS LÄN</t>
        </is>
      </c>
      <c r="E4324" t="inlineStr">
        <is>
          <t>ÅNGE</t>
        </is>
      </c>
      <c r="F4324" t="inlineStr">
        <is>
          <t>SCA</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46968-2025</t>
        </is>
      </c>
      <c r="B4325" s="1" t="n">
        <v>45929.50158564815</v>
      </c>
      <c r="C4325" s="1" t="n">
        <v>46185</v>
      </c>
      <c r="D4325" t="inlineStr">
        <is>
          <t>VÄSTERNORRLANDS LÄN</t>
        </is>
      </c>
      <c r="E4325" t="inlineStr">
        <is>
          <t>SOLLEFTEÅ</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46973-2025</t>
        </is>
      </c>
      <c r="B4326" s="1" t="n">
        <v>45929.51083333333</v>
      </c>
      <c r="C4326" s="1" t="n">
        <v>46185</v>
      </c>
      <c r="D4326" t="inlineStr">
        <is>
          <t>VÄSTERNORRLANDS LÄN</t>
        </is>
      </c>
      <c r="E4326" t="inlineStr">
        <is>
          <t>SOLLEFTEÅ</t>
        </is>
      </c>
      <c r="F4326" t="inlineStr">
        <is>
          <t>SCA</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29584-2025</t>
        </is>
      </c>
      <c r="B4327" s="1" t="n">
        <v>45825.38572916666</v>
      </c>
      <c r="C4327" s="1" t="n">
        <v>46185</v>
      </c>
      <c r="D4327" t="inlineStr">
        <is>
          <t>VÄSTERNORRLANDS LÄN</t>
        </is>
      </c>
      <c r="E4327" t="inlineStr">
        <is>
          <t>KRAMFORS</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33496-2025</t>
        </is>
      </c>
      <c r="B4328" s="1" t="n">
        <v>45841</v>
      </c>
      <c r="C4328" s="1" t="n">
        <v>46185</v>
      </c>
      <c r="D4328" t="inlineStr">
        <is>
          <t>VÄSTERNORRLANDS LÄN</t>
        </is>
      </c>
      <c r="E4328" t="inlineStr">
        <is>
          <t>SOLLEFTEÅ</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13690-2023</t>
        </is>
      </c>
      <c r="B4329" s="1" t="n">
        <v>45006.94331018518</v>
      </c>
      <c r="C4329" s="1" t="n">
        <v>46185</v>
      </c>
      <c r="D4329" t="inlineStr">
        <is>
          <t>VÄSTERNORRLANDS LÄN</t>
        </is>
      </c>
      <c r="E4329" t="inlineStr">
        <is>
          <t>SUNDSVALL</t>
        </is>
      </c>
      <c r="F4329" t="inlineStr">
        <is>
          <t>SCA</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13815-2023</t>
        </is>
      </c>
      <c r="B4330" s="1" t="n">
        <v>45007.57248842593</v>
      </c>
      <c r="C4330" s="1" t="n">
        <v>46185</v>
      </c>
      <c r="D4330" t="inlineStr">
        <is>
          <t>VÄSTERNORRLANDS LÄN</t>
        </is>
      </c>
      <c r="E4330" t="inlineStr">
        <is>
          <t>ÖRNSKÖLDSVIK</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36135-2025</t>
        </is>
      </c>
      <c r="B4331" s="1" t="n">
        <v>45866.63594907407</v>
      </c>
      <c r="C4331" s="1" t="n">
        <v>46185</v>
      </c>
      <c r="D4331" t="inlineStr">
        <is>
          <t>VÄSTERNORRLANDS LÄN</t>
        </is>
      </c>
      <c r="E4331" t="inlineStr">
        <is>
          <t>SOLLEFTEÅ</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2417-2026</t>
        </is>
      </c>
      <c r="B4332" s="1" t="n">
        <v>46036.76967592593</v>
      </c>
      <c r="C4332" s="1" t="n">
        <v>46185</v>
      </c>
      <c r="D4332" t="inlineStr">
        <is>
          <t>VÄSTERNORRLANDS LÄN</t>
        </is>
      </c>
      <c r="E4332" t="inlineStr">
        <is>
          <t>SUNDSVALL</t>
        </is>
      </c>
      <c r="G4332" t="n">
        <v>14.1</v>
      </c>
      <c r="H4332" t="n">
        <v>0</v>
      </c>
      <c r="I4332" t="n">
        <v>0</v>
      </c>
      <c r="J4332" t="n">
        <v>0</v>
      </c>
      <c r="K4332" t="n">
        <v>0</v>
      </c>
      <c r="L4332" t="n">
        <v>0</v>
      </c>
      <c r="M4332" t="n">
        <v>0</v>
      </c>
      <c r="N4332" t="n">
        <v>0</v>
      </c>
      <c r="O4332" t="n">
        <v>0</v>
      </c>
      <c r="P4332" t="n">
        <v>0</v>
      </c>
      <c r="Q4332" t="n">
        <v>0</v>
      </c>
      <c r="R4332" s="2" t="inlineStr"/>
    </row>
    <row r="4333" ht="15" customHeight="1">
      <c r="A4333" t="inlineStr">
        <is>
          <t>A 46873-2025</t>
        </is>
      </c>
      <c r="B4333" s="1" t="n">
        <v>45929.34421296296</v>
      </c>
      <c r="C4333" s="1" t="n">
        <v>46185</v>
      </c>
      <c r="D4333" t="inlineStr">
        <is>
          <t>VÄSTERNORRLANDS LÄN</t>
        </is>
      </c>
      <c r="E4333" t="inlineStr">
        <is>
          <t>SOLLEFTEÅ</t>
        </is>
      </c>
      <c r="F4333" t="inlineStr">
        <is>
          <t>SCA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46941-2025</t>
        </is>
      </c>
      <c r="B4334" s="1" t="n">
        <v>45929.45567129629</v>
      </c>
      <c r="C4334" s="1" t="n">
        <v>46185</v>
      </c>
      <c r="D4334" t="inlineStr">
        <is>
          <t>VÄSTERNORRLANDS LÄN</t>
        </is>
      </c>
      <c r="E4334" t="inlineStr">
        <is>
          <t>ÖRNSKÖLDSVIK</t>
        </is>
      </c>
      <c r="F4334" t="inlineStr">
        <is>
          <t>Holmen skog AB</t>
        </is>
      </c>
      <c r="G4334" t="n">
        <v>10.8</v>
      </c>
      <c r="H4334" t="n">
        <v>0</v>
      </c>
      <c r="I4334" t="n">
        <v>0</v>
      </c>
      <c r="J4334" t="n">
        <v>0</v>
      </c>
      <c r="K4334" t="n">
        <v>0</v>
      </c>
      <c r="L4334" t="n">
        <v>0</v>
      </c>
      <c r="M4334" t="n">
        <v>0</v>
      </c>
      <c r="N4334" t="n">
        <v>0</v>
      </c>
      <c r="O4334" t="n">
        <v>0</v>
      </c>
      <c r="P4334" t="n">
        <v>0</v>
      </c>
      <c r="Q4334" t="n">
        <v>0</v>
      </c>
      <c r="R4334" s="2" t="inlineStr"/>
    </row>
    <row r="4335" ht="15" customHeight="1">
      <c r="A4335" t="inlineStr">
        <is>
          <t>A 15147-2024</t>
        </is>
      </c>
      <c r="B4335" s="1" t="n">
        <v>45399.94372685185</v>
      </c>
      <c r="C4335" s="1" t="n">
        <v>46185</v>
      </c>
      <c r="D4335" t="inlineStr">
        <is>
          <t>VÄSTERNORRLANDS LÄN</t>
        </is>
      </c>
      <c r="E4335" t="inlineStr">
        <is>
          <t>SOLLEFTEÅ</t>
        </is>
      </c>
      <c r="F4335" t="inlineStr">
        <is>
          <t>SCA</t>
        </is>
      </c>
      <c r="G4335" t="n">
        <v>7.7</v>
      </c>
      <c r="H4335" t="n">
        <v>0</v>
      </c>
      <c r="I4335" t="n">
        <v>0</v>
      </c>
      <c r="J4335" t="n">
        <v>0</v>
      </c>
      <c r="K4335" t="n">
        <v>0</v>
      </c>
      <c r="L4335" t="n">
        <v>0</v>
      </c>
      <c r="M4335" t="n">
        <v>0</v>
      </c>
      <c r="N4335" t="n">
        <v>0</v>
      </c>
      <c r="O4335" t="n">
        <v>0</v>
      </c>
      <c r="P4335" t="n">
        <v>0</v>
      </c>
      <c r="Q4335" t="n">
        <v>0</v>
      </c>
      <c r="R4335" s="2" t="inlineStr"/>
    </row>
    <row r="4336" ht="15" customHeight="1">
      <c r="A4336" t="inlineStr">
        <is>
          <t>A 47479-2025</t>
        </is>
      </c>
      <c r="B4336" s="1" t="n">
        <v>45930</v>
      </c>
      <c r="C4336" s="1" t="n">
        <v>46185</v>
      </c>
      <c r="D4336" t="inlineStr">
        <is>
          <t>VÄSTERNORRLANDS LÄN</t>
        </is>
      </c>
      <c r="E4336" t="inlineStr">
        <is>
          <t>TIMRÅ</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50202-2024</t>
        </is>
      </c>
      <c r="B4337" s="1" t="n">
        <v>45600.49368055556</v>
      </c>
      <c r="C4337" s="1" t="n">
        <v>46185</v>
      </c>
      <c r="D4337" t="inlineStr">
        <is>
          <t>VÄSTERNORRLANDS LÄN</t>
        </is>
      </c>
      <c r="E4337" t="inlineStr">
        <is>
          <t>SUNDSVALL</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50204-2024</t>
        </is>
      </c>
      <c r="B4338" s="1" t="n">
        <v>45600.49379629629</v>
      </c>
      <c r="C4338" s="1" t="n">
        <v>46185</v>
      </c>
      <c r="D4338" t="inlineStr">
        <is>
          <t>VÄSTERNORRLANDS LÄN</t>
        </is>
      </c>
      <c r="E4338" t="inlineStr">
        <is>
          <t>SUNDSVALL</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40764-2024</t>
        </is>
      </c>
      <c r="B4339" s="1" t="n">
        <v>45558.469375</v>
      </c>
      <c r="C4339" s="1" t="n">
        <v>46185</v>
      </c>
      <c r="D4339" t="inlineStr">
        <is>
          <t>VÄSTERNORRLANDS LÄN</t>
        </is>
      </c>
      <c r="E4339" t="inlineStr">
        <is>
          <t>ÖRNSKÖLDSVIK</t>
        </is>
      </c>
      <c r="G4339" t="n">
        <v>5.5</v>
      </c>
      <c r="H4339" t="n">
        <v>0</v>
      </c>
      <c r="I4339" t="n">
        <v>0</v>
      </c>
      <c r="J4339" t="n">
        <v>0</v>
      </c>
      <c r="K4339" t="n">
        <v>0</v>
      </c>
      <c r="L4339" t="n">
        <v>0</v>
      </c>
      <c r="M4339" t="n">
        <v>0</v>
      </c>
      <c r="N4339" t="n">
        <v>0</v>
      </c>
      <c r="O4339" t="n">
        <v>0</v>
      </c>
      <c r="P4339" t="n">
        <v>0</v>
      </c>
      <c r="Q4339" t="n">
        <v>0</v>
      </c>
      <c r="R4339" s="2" t="inlineStr"/>
    </row>
    <row r="4340" ht="15" customHeight="1">
      <c r="A4340" t="inlineStr">
        <is>
          <t>A 41238-2024</t>
        </is>
      </c>
      <c r="B4340" s="1" t="n">
        <v>45558</v>
      </c>
      <c r="C4340" s="1" t="n">
        <v>46185</v>
      </c>
      <c r="D4340" t="inlineStr">
        <is>
          <t>VÄSTERNORRLANDS LÄN</t>
        </is>
      </c>
      <c r="E4340" t="inlineStr">
        <is>
          <t>ÖRNSKÖLDSVIK</t>
        </is>
      </c>
      <c r="G4340" t="n">
        <v>7.5</v>
      </c>
      <c r="H4340" t="n">
        <v>0</v>
      </c>
      <c r="I4340" t="n">
        <v>0</v>
      </c>
      <c r="J4340" t="n">
        <v>0</v>
      </c>
      <c r="K4340" t="n">
        <v>0</v>
      </c>
      <c r="L4340" t="n">
        <v>0</v>
      </c>
      <c r="M4340" t="n">
        <v>0</v>
      </c>
      <c r="N4340" t="n">
        <v>0</v>
      </c>
      <c r="O4340" t="n">
        <v>0</v>
      </c>
      <c r="P4340" t="n">
        <v>0</v>
      </c>
      <c r="Q4340" t="n">
        <v>0</v>
      </c>
      <c r="R4340" s="2" t="inlineStr"/>
    </row>
    <row r="4341" ht="15" customHeight="1">
      <c r="A4341" t="inlineStr">
        <is>
          <t>A 44459-2024</t>
        </is>
      </c>
      <c r="B4341" s="1" t="n">
        <v>45574.35724537037</v>
      </c>
      <c r="C4341" s="1" t="n">
        <v>46185</v>
      </c>
      <c r="D4341" t="inlineStr">
        <is>
          <t>VÄSTERNORRLANDS LÄN</t>
        </is>
      </c>
      <c r="E4341" t="inlineStr">
        <is>
          <t>HÄRNÖSAND</t>
        </is>
      </c>
      <c r="G4341" t="n">
        <v>9.5</v>
      </c>
      <c r="H4341" t="n">
        <v>0</v>
      </c>
      <c r="I4341" t="n">
        <v>0</v>
      </c>
      <c r="J4341" t="n">
        <v>0</v>
      </c>
      <c r="K4341" t="n">
        <v>0</v>
      </c>
      <c r="L4341" t="n">
        <v>0</v>
      </c>
      <c r="M4341" t="n">
        <v>0</v>
      </c>
      <c r="N4341" t="n">
        <v>0</v>
      </c>
      <c r="O4341" t="n">
        <v>0</v>
      </c>
      <c r="P4341" t="n">
        <v>0</v>
      </c>
      <c r="Q4341" t="n">
        <v>0</v>
      </c>
      <c r="R4341" s="2" t="inlineStr"/>
    </row>
    <row r="4342" ht="15" customHeight="1">
      <c r="A4342" t="inlineStr">
        <is>
          <t>A 16057-2025</t>
        </is>
      </c>
      <c r="B4342" s="1" t="n">
        <v>45749</v>
      </c>
      <c r="C4342" s="1" t="n">
        <v>46185</v>
      </c>
      <c r="D4342" t="inlineStr">
        <is>
          <t>VÄSTERNORRLANDS LÄN</t>
        </is>
      </c>
      <c r="E4342" t="inlineStr">
        <is>
          <t>KRAMFORS</t>
        </is>
      </c>
      <c r="G4342" t="n">
        <v>9.6</v>
      </c>
      <c r="H4342" t="n">
        <v>0</v>
      </c>
      <c r="I4342" t="n">
        <v>0</v>
      </c>
      <c r="J4342" t="n">
        <v>0</v>
      </c>
      <c r="K4342" t="n">
        <v>0</v>
      </c>
      <c r="L4342" t="n">
        <v>0</v>
      </c>
      <c r="M4342" t="n">
        <v>0</v>
      </c>
      <c r="N4342" t="n">
        <v>0</v>
      </c>
      <c r="O4342" t="n">
        <v>0</v>
      </c>
      <c r="P4342" t="n">
        <v>0</v>
      </c>
      <c r="Q4342" t="n">
        <v>0</v>
      </c>
      <c r="R4342" s="2" t="inlineStr"/>
    </row>
    <row r="4343" ht="15" customHeight="1">
      <c r="A4343" t="inlineStr">
        <is>
          <t>A 47198-2025</t>
        </is>
      </c>
      <c r="B4343" s="1" t="n">
        <v>45930.34550925926</v>
      </c>
      <c r="C4343" s="1" t="n">
        <v>46185</v>
      </c>
      <c r="D4343" t="inlineStr">
        <is>
          <t>VÄSTERNORRLANDS LÄN</t>
        </is>
      </c>
      <c r="E4343" t="inlineStr">
        <is>
          <t>KRAMFORS</t>
        </is>
      </c>
      <c r="G4343" t="n">
        <v>8</v>
      </c>
      <c r="H4343" t="n">
        <v>0</v>
      </c>
      <c r="I4343" t="n">
        <v>0</v>
      </c>
      <c r="J4343" t="n">
        <v>0</v>
      </c>
      <c r="K4343" t="n">
        <v>0</v>
      </c>
      <c r="L4343" t="n">
        <v>0</v>
      </c>
      <c r="M4343" t="n">
        <v>0</v>
      </c>
      <c r="N4343" t="n">
        <v>0</v>
      </c>
      <c r="O4343" t="n">
        <v>0</v>
      </c>
      <c r="P4343" t="n">
        <v>0</v>
      </c>
      <c r="Q4343" t="n">
        <v>0</v>
      </c>
      <c r="R4343" s="2" t="inlineStr"/>
    </row>
    <row r="4344" ht="15" customHeight="1">
      <c r="A4344" t="inlineStr">
        <is>
          <t>A 22890-2022</t>
        </is>
      </c>
      <c r="B4344" s="1" t="n">
        <v>44715</v>
      </c>
      <c r="C4344" s="1" t="n">
        <v>46185</v>
      </c>
      <c r="D4344" t="inlineStr">
        <is>
          <t>VÄSTERNORRLANDS LÄN</t>
        </is>
      </c>
      <c r="E4344" t="inlineStr">
        <is>
          <t>SUNDSVALL</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4428-2023</t>
        </is>
      </c>
      <c r="B4345" s="1" t="n">
        <v>44956</v>
      </c>
      <c r="C4345" s="1" t="n">
        <v>46185</v>
      </c>
      <c r="D4345" t="inlineStr">
        <is>
          <t>VÄSTERNORRLANDS LÄN</t>
        </is>
      </c>
      <c r="E4345" t="inlineStr">
        <is>
          <t>ÖRNSKÖLDSVIK</t>
        </is>
      </c>
      <c r="F4345" t="inlineStr">
        <is>
          <t>Kyrkan</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48218-2023</t>
        </is>
      </c>
      <c r="B4346" s="1" t="n">
        <v>45205.48504629629</v>
      </c>
      <c r="C4346" s="1" t="n">
        <v>46185</v>
      </c>
      <c r="D4346" t="inlineStr">
        <is>
          <t>VÄSTERNORRLANDS LÄN</t>
        </is>
      </c>
      <c r="E4346" t="inlineStr">
        <is>
          <t>ÖRNSKÖLDSVIK</t>
        </is>
      </c>
      <c r="F4346" t="inlineStr">
        <is>
          <t>Holmen skog AB</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47488-2025</t>
        </is>
      </c>
      <c r="B4347" s="1" t="n">
        <v>45930.69890046296</v>
      </c>
      <c r="C4347" s="1" t="n">
        <v>46185</v>
      </c>
      <c r="D4347" t="inlineStr">
        <is>
          <t>VÄSTERNORRLANDS LÄN</t>
        </is>
      </c>
      <c r="E4347" t="inlineStr">
        <is>
          <t>ÅNGE</t>
        </is>
      </c>
      <c r="F4347" t="inlineStr">
        <is>
          <t>SCA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28536-2022</t>
        </is>
      </c>
      <c r="B4348" s="1" t="n">
        <v>44748</v>
      </c>
      <c r="C4348" s="1" t="n">
        <v>46185</v>
      </c>
      <c r="D4348" t="inlineStr">
        <is>
          <t>VÄSTERNORRLANDS LÄN</t>
        </is>
      </c>
      <c r="E4348" t="inlineStr">
        <is>
          <t>SUNDSVALL</t>
        </is>
      </c>
      <c r="G4348" t="n">
        <v>8.9</v>
      </c>
      <c r="H4348" t="n">
        <v>0</v>
      </c>
      <c r="I4348" t="n">
        <v>0</v>
      </c>
      <c r="J4348" t="n">
        <v>0</v>
      </c>
      <c r="K4348" t="n">
        <v>0</v>
      </c>
      <c r="L4348" t="n">
        <v>0</v>
      </c>
      <c r="M4348" t="n">
        <v>0</v>
      </c>
      <c r="N4348" t="n">
        <v>0</v>
      </c>
      <c r="O4348" t="n">
        <v>0</v>
      </c>
      <c r="P4348" t="n">
        <v>0</v>
      </c>
      <c r="Q4348" t="n">
        <v>0</v>
      </c>
      <c r="R4348" s="2" t="inlineStr"/>
    </row>
    <row r="4349" ht="15" customHeight="1">
      <c r="A4349" t="inlineStr">
        <is>
          <t>A 56755-2021</t>
        </is>
      </c>
      <c r="B4349" s="1" t="n">
        <v>44481</v>
      </c>
      <c r="C4349" s="1" t="n">
        <v>46185</v>
      </c>
      <c r="D4349" t="inlineStr">
        <is>
          <t>VÄSTERNORRLANDS LÄN</t>
        </is>
      </c>
      <c r="E4349" t="inlineStr">
        <is>
          <t>SUNDSVALL</t>
        </is>
      </c>
      <c r="F4349" t="inlineStr">
        <is>
          <t>Kommuner</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46905-2025</t>
        </is>
      </c>
      <c r="B4350" s="1" t="n">
        <v>45929.40055555556</v>
      </c>
      <c r="C4350" s="1" t="n">
        <v>46185</v>
      </c>
      <c r="D4350" t="inlineStr">
        <is>
          <t>VÄSTERNORRLANDS LÄN</t>
        </is>
      </c>
      <c r="E4350" t="inlineStr">
        <is>
          <t>SOLLEFTEÅ</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46911-2025</t>
        </is>
      </c>
      <c r="B4351" s="1" t="n">
        <v>45929.41128472222</v>
      </c>
      <c r="C4351" s="1" t="n">
        <v>46185</v>
      </c>
      <c r="D4351" t="inlineStr">
        <is>
          <t>VÄSTERNORRLANDS LÄN</t>
        </is>
      </c>
      <c r="E4351" t="inlineStr">
        <is>
          <t>ÖRNSKÖLDSVIK</t>
        </is>
      </c>
      <c r="F4351" t="inlineStr">
        <is>
          <t>Holmen skog AB</t>
        </is>
      </c>
      <c r="G4351" t="n">
        <v>25.2</v>
      </c>
      <c r="H4351" t="n">
        <v>0</v>
      </c>
      <c r="I4351" t="n">
        <v>0</v>
      </c>
      <c r="J4351" t="n">
        <v>0</v>
      </c>
      <c r="K4351" t="n">
        <v>0</v>
      </c>
      <c r="L4351" t="n">
        <v>0</v>
      </c>
      <c r="M4351" t="n">
        <v>0</v>
      </c>
      <c r="N4351" t="n">
        <v>0</v>
      </c>
      <c r="O4351" t="n">
        <v>0</v>
      </c>
      <c r="P4351" t="n">
        <v>0</v>
      </c>
      <c r="Q4351" t="n">
        <v>0</v>
      </c>
      <c r="R4351" s="2" t="inlineStr"/>
    </row>
    <row r="4352" ht="15" customHeight="1">
      <c r="A4352" t="inlineStr">
        <is>
          <t>A 11531-2023</t>
        </is>
      </c>
      <c r="B4352" s="1" t="n">
        <v>44993.77038194444</v>
      </c>
      <c r="C4352" s="1" t="n">
        <v>46185</v>
      </c>
      <c r="D4352" t="inlineStr">
        <is>
          <t>VÄSTERNORRLANDS LÄN</t>
        </is>
      </c>
      <c r="E4352" t="inlineStr">
        <is>
          <t>ÅNGE</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11532-2023</t>
        </is>
      </c>
      <c r="B4353" s="1" t="n">
        <v>44993.77212962963</v>
      </c>
      <c r="C4353" s="1" t="n">
        <v>46185</v>
      </c>
      <c r="D4353" t="inlineStr">
        <is>
          <t>VÄSTERNORRLANDS LÄN</t>
        </is>
      </c>
      <c r="E4353" t="inlineStr">
        <is>
          <t>ÅNGE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50829-2023</t>
        </is>
      </c>
      <c r="B4354" s="1" t="n">
        <v>45217</v>
      </c>
      <c r="C4354" s="1" t="n">
        <v>46185</v>
      </c>
      <c r="D4354" t="inlineStr">
        <is>
          <t>VÄSTERNORRLANDS LÄN</t>
        </is>
      </c>
      <c r="E4354" t="inlineStr">
        <is>
          <t>SUNDSVALL</t>
        </is>
      </c>
      <c r="F4354" t="inlineStr">
        <is>
          <t>SCA</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41355-2024</t>
        </is>
      </c>
      <c r="B4355" s="1" t="n">
        <v>45559.69833333333</v>
      </c>
      <c r="C4355" s="1" t="n">
        <v>46185</v>
      </c>
      <c r="D4355" t="inlineStr">
        <is>
          <t>VÄSTERNORRLANDS LÄN</t>
        </is>
      </c>
      <c r="E4355" t="inlineStr">
        <is>
          <t>ÅNGE</t>
        </is>
      </c>
      <c r="F4355" t="inlineStr">
        <is>
          <t>SCA</t>
        </is>
      </c>
      <c r="G4355" t="n">
        <v>6.1</v>
      </c>
      <c r="H4355" t="n">
        <v>0</v>
      </c>
      <c r="I4355" t="n">
        <v>0</v>
      </c>
      <c r="J4355" t="n">
        <v>0</v>
      </c>
      <c r="K4355" t="n">
        <v>0</v>
      </c>
      <c r="L4355" t="n">
        <v>0</v>
      </c>
      <c r="M4355" t="n">
        <v>0</v>
      </c>
      <c r="N4355" t="n">
        <v>0</v>
      </c>
      <c r="O4355" t="n">
        <v>0</v>
      </c>
      <c r="P4355" t="n">
        <v>0</v>
      </c>
      <c r="Q4355" t="n">
        <v>0</v>
      </c>
      <c r="R4355" s="2" t="inlineStr"/>
    </row>
    <row r="4356" ht="15" customHeight="1">
      <c r="A4356" t="inlineStr">
        <is>
          <t>A 47453-2025</t>
        </is>
      </c>
      <c r="B4356" s="1" t="n">
        <v>45930.65217592593</v>
      </c>
      <c r="C4356" s="1" t="n">
        <v>46185</v>
      </c>
      <c r="D4356" t="inlineStr">
        <is>
          <t>VÄSTERNORRLANDS LÄN</t>
        </is>
      </c>
      <c r="E4356" t="inlineStr">
        <is>
          <t>ÖRNSKÖLDSVIK</t>
        </is>
      </c>
      <c r="F4356" t="inlineStr">
        <is>
          <t>Holmen skog AB</t>
        </is>
      </c>
      <c r="G4356" t="n">
        <v>6.2</v>
      </c>
      <c r="H4356" t="n">
        <v>0</v>
      </c>
      <c r="I4356" t="n">
        <v>0</v>
      </c>
      <c r="J4356" t="n">
        <v>0</v>
      </c>
      <c r="K4356" t="n">
        <v>0</v>
      </c>
      <c r="L4356" t="n">
        <v>0</v>
      </c>
      <c r="M4356" t="n">
        <v>0</v>
      </c>
      <c r="N4356" t="n">
        <v>0</v>
      </c>
      <c r="O4356" t="n">
        <v>0</v>
      </c>
      <c r="P4356" t="n">
        <v>0</v>
      </c>
      <c r="Q4356" t="n">
        <v>0</v>
      </c>
      <c r="R4356" s="2" t="inlineStr"/>
    </row>
    <row r="4357" ht="15" customHeight="1">
      <c r="A4357" t="inlineStr">
        <is>
          <t>A 47482-2025</t>
        </is>
      </c>
      <c r="B4357" s="1" t="n">
        <v>45930</v>
      </c>
      <c r="C4357" s="1" t="n">
        <v>46185</v>
      </c>
      <c r="D4357" t="inlineStr">
        <is>
          <t>VÄSTERNORRLANDS LÄN</t>
        </is>
      </c>
      <c r="E4357" t="inlineStr">
        <is>
          <t>SUNDSVALL</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52626-2024</t>
        </is>
      </c>
      <c r="B4358" s="1" t="n">
        <v>45609.90972222222</v>
      </c>
      <c r="C4358" s="1" t="n">
        <v>46185</v>
      </c>
      <c r="D4358" t="inlineStr">
        <is>
          <t>VÄSTERNORRLANDS LÄN</t>
        </is>
      </c>
      <c r="E4358" t="inlineStr">
        <is>
          <t>ÖRNSKÖLDSVIK</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47377-2025</t>
        </is>
      </c>
      <c r="B4359" s="1" t="n">
        <v>45930.59469907408</v>
      </c>
      <c r="C4359" s="1" t="n">
        <v>46185</v>
      </c>
      <c r="D4359" t="inlineStr">
        <is>
          <t>VÄSTERNORRLANDS LÄN</t>
        </is>
      </c>
      <c r="E4359" t="inlineStr">
        <is>
          <t>ÅNGE</t>
        </is>
      </c>
      <c r="F4359" t="inlineStr">
        <is>
          <t>SCA</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34706-2024</t>
        </is>
      </c>
      <c r="B4360" s="1" t="n">
        <v>45526</v>
      </c>
      <c r="C4360" s="1" t="n">
        <v>46185</v>
      </c>
      <c r="D4360" t="inlineStr">
        <is>
          <t>VÄSTERNORRLANDS LÄN</t>
        </is>
      </c>
      <c r="E4360" t="inlineStr">
        <is>
          <t>SUNDSVALL</t>
        </is>
      </c>
      <c r="F4360" t="inlineStr">
        <is>
          <t>SCA</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47305-2025</t>
        </is>
      </c>
      <c r="B4361" s="1" t="n">
        <v>45930</v>
      </c>
      <c r="C4361" s="1" t="n">
        <v>46185</v>
      </c>
      <c r="D4361" t="inlineStr">
        <is>
          <t>VÄSTERNORRLANDS LÄN</t>
        </is>
      </c>
      <c r="E4361" t="inlineStr">
        <is>
          <t>ÅNGE</t>
        </is>
      </c>
      <c r="G4361" t="n">
        <v>10.9</v>
      </c>
      <c r="H4361" t="n">
        <v>0</v>
      </c>
      <c r="I4361" t="n">
        <v>0</v>
      </c>
      <c r="J4361" t="n">
        <v>0</v>
      </c>
      <c r="K4361" t="n">
        <v>0</v>
      </c>
      <c r="L4361" t="n">
        <v>0</v>
      </c>
      <c r="M4361" t="n">
        <v>0</v>
      </c>
      <c r="N4361" t="n">
        <v>0</v>
      </c>
      <c r="O4361" t="n">
        <v>0</v>
      </c>
      <c r="P4361" t="n">
        <v>0</v>
      </c>
      <c r="Q4361" t="n">
        <v>0</v>
      </c>
      <c r="R4361" s="2" t="inlineStr"/>
    </row>
    <row r="4362" ht="15" customHeight="1">
      <c r="A4362" t="inlineStr">
        <is>
          <t>A 46910-2025</t>
        </is>
      </c>
      <c r="B4362" s="1" t="n">
        <v>45929.40678240741</v>
      </c>
      <c r="C4362" s="1" t="n">
        <v>46185</v>
      </c>
      <c r="D4362" t="inlineStr">
        <is>
          <t>VÄSTERNORRLANDS LÄN</t>
        </is>
      </c>
      <c r="E4362" t="inlineStr">
        <is>
          <t>ÖRNSKÖLDSVIK</t>
        </is>
      </c>
      <c r="F4362" t="inlineStr">
        <is>
          <t>Holmen skog AB</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29125-2025</t>
        </is>
      </c>
      <c r="B4363" s="1" t="n">
        <v>45821.59459490741</v>
      </c>
      <c r="C4363" s="1" t="n">
        <v>46185</v>
      </c>
      <c r="D4363" t="inlineStr">
        <is>
          <t>VÄSTERNORRLANDS LÄN</t>
        </is>
      </c>
      <c r="E4363" t="inlineStr">
        <is>
          <t>SOLLEFTEÅ</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36063-2025</t>
        </is>
      </c>
      <c r="B4364" s="1" t="n">
        <v>45866</v>
      </c>
      <c r="C4364" s="1" t="n">
        <v>46185</v>
      </c>
      <c r="D4364" t="inlineStr">
        <is>
          <t>VÄSTERNORRLANDS LÄN</t>
        </is>
      </c>
      <c r="E4364" t="inlineStr">
        <is>
          <t>SOLLEFTEÅ</t>
        </is>
      </c>
      <c r="F4364" t="inlineStr">
        <is>
          <t>SCA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36064-2025</t>
        </is>
      </c>
      <c r="B4365" s="1" t="n">
        <v>45866</v>
      </c>
      <c r="C4365" s="1" t="n">
        <v>46185</v>
      </c>
      <c r="D4365" t="inlineStr">
        <is>
          <t>VÄSTERNORRLANDS LÄN</t>
        </is>
      </c>
      <c r="E4365" t="inlineStr">
        <is>
          <t>SOLLEFTEÅ</t>
        </is>
      </c>
      <c r="F4365" t="inlineStr">
        <is>
          <t>SCA</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43004-2024</t>
        </is>
      </c>
      <c r="B4366" s="1" t="n">
        <v>45567.37616898148</v>
      </c>
      <c r="C4366" s="1" t="n">
        <v>46185</v>
      </c>
      <c r="D4366" t="inlineStr">
        <is>
          <t>VÄSTERNORRLANDS LÄN</t>
        </is>
      </c>
      <c r="E4366" t="inlineStr">
        <is>
          <t>SUNDSVALL</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46987-2025</t>
        </is>
      </c>
      <c r="B4367" s="1" t="n">
        <v>45929.53701388889</v>
      </c>
      <c r="C4367" s="1" t="n">
        <v>46185</v>
      </c>
      <c r="D4367" t="inlineStr">
        <is>
          <t>VÄSTERNORRLANDS LÄN</t>
        </is>
      </c>
      <c r="E4367" t="inlineStr">
        <is>
          <t>ÖRNSKÖLDSVIK</t>
        </is>
      </c>
      <c r="F4367" t="inlineStr">
        <is>
          <t>Holmen skog AB</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47224-2025</t>
        </is>
      </c>
      <c r="B4368" s="1" t="n">
        <v>45930</v>
      </c>
      <c r="C4368" s="1" t="n">
        <v>46185</v>
      </c>
      <c r="D4368" t="inlineStr">
        <is>
          <t>VÄSTERNORRLANDS LÄN</t>
        </is>
      </c>
      <c r="E4368" t="inlineStr">
        <is>
          <t>HÄRNÖSAND</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14495-2025</t>
        </is>
      </c>
      <c r="B4369" s="1" t="n">
        <v>45741.61488425926</v>
      </c>
      <c r="C4369" s="1" t="n">
        <v>46185</v>
      </c>
      <c r="D4369" t="inlineStr">
        <is>
          <t>VÄSTERNORRLANDS LÄN</t>
        </is>
      </c>
      <c r="E4369" t="inlineStr">
        <is>
          <t>HÄRNÖSAND</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53831-2024</t>
        </is>
      </c>
      <c r="B4370" s="1" t="n">
        <v>45615.61575231481</v>
      </c>
      <c r="C4370" s="1" t="n">
        <v>46185</v>
      </c>
      <c r="D4370" t="inlineStr">
        <is>
          <t>VÄSTERNORRLANDS LÄN</t>
        </is>
      </c>
      <c r="E4370" t="inlineStr">
        <is>
          <t>SOLLEFTEÅ</t>
        </is>
      </c>
      <c r="F4370" t="inlineStr">
        <is>
          <t>SCA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47217-2025</t>
        </is>
      </c>
      <c r="B4371" s="1" t="n">
        <v>45930.38625</v>
      </c>
      <c r="C4371" s="1" t="n">
        <v>46185</v>
      </c>
      <c r="D4371" t="inlineStr">
        <is>
          <t>VÄSTERNORRLANDS LÄN</t>
        </is>
      </c>
      <c r="E4371" t="inlineStr">
        <is>
          <t>SOLLEFTEÅ</t>
        </is>
      </c>
      <c r="F4371" t="inlineStr">
        <is>
          <t>SCA</t>
        </is>
      </c>
      <c r="G4371" t="n">
        <v>9</v>
      </c>
      <c r="H4371" t="n">
        <v>0</v>
      </c>
      <c r="I4371" t="n">
        <v>0</v>
      </c>
      <c r="J4371" t="n">
        <v>0</v>
      </c>
      <c r="K4371" t="n">
        <v>0</v>
      </c>
      <c r="L4371" t="n">
        <v>0</v>
      </c>
      <c r="M4371" t="n">
        <v>0</v>
      </c>
      <c r="N4371" t="n">
        <v>0</v>
      </c>
      <c r="O4371" t="n">
        <v>0</v>
      </c>
      <c r="P4371" t="n">
        <v>0</v>
      </c>
      <c r="Q4371" t="n">
        <v>0</v>
      </c>
      <c r="R4371" s="2" t="inlineStr"/>
    </row>
    <row r="4372" ht="15" customHeight="1">
      <c r="A4372" t="inlineStr">
        <is>
          <t>A 47069-2025</t>
        </is>
      </c>
      <c r="B4372" s="1" t="n">
        <v>45929.63596064815</v>
      </c>
      <c r="C4372" s="1" t="n">
        <v>46185</v>
      </c>
      <c r="D4372" t="inlineStr">
        <is>
          <t>VÄSTERNORRLANDS LÄN</t>
        </is>
      </c>
      <c r="E4372" t="inlineStr">
        <is>
          <t>SOLLEFTEÅ</t>
        </is>
      </c>
      <c r="F4372" t="inlineStr">
        <is>
          <t>SCA</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45435-2024</t>
        </is>
      </c>
      <c r="B4373" s="1" t="n">
        <v>45576.61538194444</v>
      </c>
      <c r="C4373" s="1" t="n">
        <v>46185</v>
      </c>
      <c r="D4373" t="inlineStr">
        <is>
          <t>VÄSTERNORRLANDS LÄN</t>
        </is>
      </c>
      <c r="E4373" t="inlineStr">
        <is>
          <t>SOLLEFTEÅ</t>
        </is>
      </c>
      <c r="F4373" t="inlineStr">
        <is>
          <t>SCA</t>
        </is>
      </c>
      <c r="G4373" t="n">
        <v>8.9</v>
      </c>
      <c r="H4373" t="n">
        <v>0</v>
      </c>
      <c r="I4373" t="n">
        <v>0</v>
      </c>
      <c r="J4373" t="n">
        <v>0</v>
      </c>
      <c r="K4373" t="n">
        <v>0</v>
      </c>
      <c r="L4373" t="n">
        <v>0</v>
      </c>
      <c r="M4373" t="n">
        <v>0</v>
      </c>
      <c r="N4373" t="n">
        <v>0</v>
      </c>
      <c r="O4373" t="n">
        <v>0</v>
      </c>
      <c r="P4373" t="n">
        <v>0</v>
      </c>
      <c r="Q4373" t="n">
        <v>0</v>
      </c>
      <c r="R4373" s="2" t="inlineStr"/>
    </row>
    <row r="4374" ht="15" customHeight="1">
      <c r="A4374" t="inlineStr">
        <is>
          <t>A 46895-2025</t>
        </is>
      </c>
      <c r="B4374" s="1" t="n">
        <v>45929.38577546296</v>
      </c>
      <c r="C4374" s="1" t="n">
        <v>46185</v>
      </c>
      <c r="D4374" t="inlineStr">
        <is>
          <t>VÄSTERNORRLANDS LÄN</t>
        </is>
      </c>
      <c r="E4374" t="inlineStr">
        <is>
          <t>ÖRNSKÖLDSVIK</t>
        </is>
      </c>
      <c r="F4374" t="inlineStr">
        <is>
          <t>SCA</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47292-2025</t>
        </is>
      </c>
      <c r="B4375" s="1" t="n">
        <v>45930.4903125</v>
      </c>
      <c r="C4375" s="1" t="n">
        <v>46185</v>
      </c>
      <c r="D4375" t="inlineStr">
        <is>
          <t>VÄSTERNORRLANDS LÄN</t>
        </is>
      </c>
      <c r="E4375" t="inlineStr">
        <is>
          <t>SOLLEFTEÅ</t>
        </is>
      </c>
      <c r="F4375" t="inlineStr">
        <is>
          <t>SCA</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47293-2025</t>
        </is>
      </c>
      <c r="B4376" s="1" t="n">
        <v>45930.49034722222</v>
      </c>
      <c r="C4376" s="1" t="n">
        <v>46185</v>
      </c>
      <c r="D4376" t="inlineStr">
        <is>
          <t>VÄSTERNORRLANDS LÄN</t>
        </is>
      </c>
      <c r="E4376" t="inlineStr">
        <is>
          <t>SOLLEFTEÅ</t>
        </is>
      </c>
      <c r="F4376" t="inlineStr">
        <is>
          <t>SCA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47489-2025</t>
        </is>
      </c>
      <c r="B4377" s="1" t="n">
        <v>45930.69912037037</v>
      </c>
      <c r="C4377" s="1" t="n">
        <v>46185</v>
      </c>
      <c r="D4377" t="inlineStr">
        <is>
          <t>VÄSTERNORRLANDS LÄN</t>
        </is>
      </c>
      <c r="E4377" t="inlineStr">
        <is>
          <t>SOLLEFTEÅ</t>
        </is>
      </c>
      <c r="F4377" t="inlineStr">
        <is>
          <t>SCA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47490-2025</t>
        </is>
      </c>
      <c r="B4378" s="1" t="n">
        <v>45930.69918981481</v>
      </c>
      <c r="C4378" s="1" t="n">
        <v>46185</v>
      </c>
      <c r="D4378" t="inlineStr">
        <is>
          <t>VÄSTERNORRLANDS LÄN</t>
        </is>
      </c>
      <c r="E4378" t="inlineStr">
        <is>
          <t>SOLLEFTEÅ</t>
        </is>
      </c>
      <c r="F4378" t="inlineStr">
        <is>
          <t>SCA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46933-2025</t>
        </is>
      </c>
      <c r="B4379" s="1" t="n">
        <v>45929.44645833333</v>
      </c>
      <c r="C4379" s="1" t="n">
        <v>46185</v>
      </c>
      <c r="D4379" t="inlineStr">
        <is>
          <t>VÄSTERNORRLANDS LÄN</t>
        </is>
      </c>
      <c r="E4379" t="inlineStr">
        <is>
          <t>ÅNGE</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43568-2024</t>
        </is>
      </c>
      <c r="B4380" s="1" t="n">
        <v>45569.40684027778</v>
      </c>
      <c r="C4380" s="1" t="n">
        <v>46185</v>
      </c>
      <c r="D4380" t="inlineStr">
        <is>
          <t>VÄSTERNORRLANDS LÄN</t>
        </is>
      </c>
      <c r="E4380" t="inlineStr">
        <is>
          <t>TIMRÅ</t>
        </is>
      </c>
      <c r="F4380" t="inlineStr">
        <is>
          <t>SCA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43585-2024</t>
        </is>
      </c>
      <c r="B4381" s="1" t="n">
        <v>45569.42770833334</v>
      </c>
      <c r="C4381" s="1" t="n">
        <v>46185</v>
      </c>
      <c r="D4381" t="inlineStr">
        <is>
          <t>VÄSTERNORRLANDS LÄN</t>
        </is>
      </c>
      <c r="E4381" t="inlineStr">
        <is>
          <t>SOLLEFTEÅ</t>
        </is>
      </c>
      <c r="G4381" t="n">
        <v>0.1</v>
      </c>
      <c r="H4381" t="n">
        <v>0</v>
      </c>
      <c r="I4381" t="n">
        <v>0</v>
      </c>
      <c r="J4381" t="n">
        <v>0</v>
      </c>
      <c r="K4381" t="n">
        <v>0</v>
      </c>
      <c r="L4381" t="n">
        <v>0</v>
      </c>
      <c r="M4381" t="n">
        <v>0</v>
      </c>
      <c r="N4381" t="n">
        <v>0</v>
      </c>
      <c r="O4381" t="n">
        <v>0</v>
      </c>
      <c r="P4381" t="n">
        <v>0</v>
      </c>
      <c r="Q4381" t="n">
        <v>0</v>
      </c>
      <c r="R4381" s="2" t="inlineStr"/>
    </row>
    <row r="4382" ht="15" customHeight="1">
      <c r="A4382" t="inlineStr">
        <is>
          <t>A 43628-2024</t>
        </is>
      </c>
      <c r="B4382" s="1" t="n">
        <v>45569.49033564814</v>
      </c>
      <c r="C4382" s="1" t="n">
        <v>46185</v>
      </c>
      <c r="D4382" t="inlineStr">
        <is>
          <t>VÄSTERNORRLANDS LÄN</t>
        </is>
      </c>
      <c r="E4382" t="inlineStr">
        <is>
          <t>ÖRNSKÖLDSVIK</t>
        </is>
      </c>
      <c r="F4382" t="inlineStr">
        <is>
          <t>SCA</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47702-2025</t>
        </is>
      </c>
      <c r="B4383" s="1" t="n">
        <v>45931.60685185185</v>
      </c>
      <c r="C4383" s="1" t="n">
        <v>46185</v>
      </c>
      <c r="D4383" t="inlineStr">
        <is>
          <t>VÄSTERNORRLANDS LÄN</t>
        </is>
      </c>
      <c r="E4383" t="inlineStr">
        <is>
          <t>SOLLEFTEÅ</t>
        </is>
      </c>
      <c r="F4383" t="inlineStr">
        <is>
          <t>Holmen skog AB</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36373-2025</t>
        </is>
      </c>
      <c r="B4384" s="1" t="n">
        <v>45868.55256944444</v>
      </c>
      <c r="C4384" s="1" t="n">
        <v>46185</v>
      </c>
      <c r="D4384" t="inlineStr">
        <is>
          <t>VÄSTERNORRLANDS LÄN</t>
        </is>
      </c>
      <c r="E4384" t="inlineStr">
        <is>
          <t>SOLLEFTEÅ</t>
        </is>
      </c>
      <c r="F4384" t="inlineStr">
        <is>
          <t>SCA</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36240-2025</t>
        </is>
      </c>
      <c r="B4385" s="1" t="n">
        <v>45867.55298611111</v>
      </c>
      <c r="C4385" s="1" t="n">
        <v>46185</v>
      </c>
      <c r="D4385" t="inlineStr">
        <is>
          <t>VÄSTERNORRLANDS LÄN</t>
        </is>
      </c>
      <c r="E4385" t="inlineStr">
        <is>
          <t>ÅNGE</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23097-2023</t>
        </is>
      </c>
      <c r="B4386" s="1" t="n">
        <v>45075</v>
      </c>
      <c r="C4386" s="1" t="n">
        <v>46185</v>
      </c>
      <c r="D4386" t="inlineStr">
        <is>
          <t>VÄSTERNORRLANDS LÄN</t>
        </is>
      </c>
      <c r="E4386" t="inlineStr">
        <is>
          <t>ÖRNSKÖLDSVIK</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36156-2025</t>
        </is>
      </c>
      <c r="B4387" s="1" t="n">
        <v>45867</v>
      </c>
      <c r="C4387" s="1" t="n">
        <v>46185</v>
      </c>
      <c r="D4387" t="inlineStr">
        <is>
          <t>VÄSTERNORRLANDS LÄN</t>
        </is>
      </c>
      <c r="E4387" t="inlineStr">
        <is>
          <t>ÖRNSKÖLDSVIK</t>
        </is>
      </c>
      <c r="F4387" t="inlineStr">
        <is>
          <t>Holmen skog AB</t>
        </is>
      </c>
      <c r="G4387" t="n">
        <v>5.1</v>
      </c>
      <c r="H4387" t="n">
        <v>0</v>
      </c>
      <c r="I4387" t="n">
        <v>0</v>
      </c>
      <c r="J4387" t="n">
        <v>0</v>
      </c>
      <c r="K4387" t="n">
        <v>0</v>
      </c>
      <c r="L4387" t="n">
        <v>0</v>
      </c>
      <c r="M4387" t="n">
        <v>0</v>
      </c>
      <c r="N4387" t="n">
        <v>0</v>
      </c>
      <c r="O4387" t="n">
        <v>0</v>
      </c>
      <c r="P4387" t="n">
        <v>0</v>
      </c>
      <c r="Q4387" t="n">
        <v>0</v>
      </c>
      <c r="R4387" s="2" t="inlineStr"/>
    </row>
    <row r="4388" ht="15" customHeight="1">
      <c r="A4388" t="inlineStr">
        <is>
          <t>A 36236-2025</t>
        </is>
      </c>
      <c r="B4388" s="1" t="n">
        <v>45867.55245370371</v>
      </c>
      <c r="C4388" s="1" t="n">
        <v>46185</v>
      </c>
      <c r="D4388" t="inlineStr">
        <is>
          <t>VÄSTERNORRLANDS LÄN</t>
        </is>
      </c>
      <c r="E4388" t="inlineStr">
        <is>
          <t>ÅNGE</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45338-2025</t>
        </is>
      </c>
      <c r="B4389" s="1" t="n">
        <v>45922</v>
      </c>
      <c r="C4389" s="1" t="n">
        <v>46185</v>
      </c>
      <c r="D4389" t="inlineStr">
        <is>
          <t>VÄSTERNORRLANDS LÄN</t>
        </is>
      </c>
      <c r="E4389" t="inlineStr">
        <is>
          <t>TIMRÅ</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48127-2024</t>
        </is>
      </c>
      <c r="B4390" s="1" t="n">
        <v>45589.64355324074</v>
      </c>
      <c r="C4390" s="1" t="n">
        <v>46185</v>
      </c>
      <c r="D4390" t="inlineStr">
        <is>
          <t>VÄSTERNORRLANDS LÄN</t>
        </is>
      </c>
      <c r="E4390" t="inlineStr">
        <is>
          <t>KRAMFORS</t>
        </is>
      </c>
      <c r="G4390" t="n">
        <v>6.3</v>
      </c>
      <c r="H4390" t="n">
        <v>0</v>
      </c>
      <c r="I4390" t="n">
        <v>0</v>
      </c>
      <c r="J4390" t="n">
        <v>0</v>
      </c>
      <c r="K4390" t="n">
        <v>0</v>
      </c>
      <c r="L4390" t="n">
        <v>0</v>
      </c>
      <c r="M4390" t="n">
        <v>0</v>
      </c>
      <c r="N4390" t="n">
        <v>0</v>
      </c>
      <c r="O4390" t="n">
        <v>0</v>
      </c>
      <c r="P4390" t="n">
        <v>0</v>
      </c>
      <c r="Q4390" t="n">
        <v>0</v>
      </c>
      <c r="R4390" s="2" t="inlineStr"/>
    </row>
    <row r="4391" ht="15" customHeight="1">
      <c r="A4391" t="inlineStr">
        <is>
          <t>A 36324-2025</t>
        </is>
      </c>
      <c r="B4391" s="1" t="n">
        <v>45868.40707175926</v>
      </c>
      <c r="C4391" s="1" t="n">
        <v>46185</v>
      </c>
      <c r="D4391" t="inlineStr">
        <is>
          <t>VÄSTERNORRLANDS LÄN</t>
        </is>
      </c>
      <c r="E4391" t="inlineStr">
        <is>
          <t>SOLLEFTEÅ</t>
        </is>
      </c>
      <c r="F4391" t="inlineStr">
        <is>
          <t>SCA</t>
        </is>
      </c>
      <c r="G4391" t="n">
        <v>5.3</v>
      </c>
      <c r="H4391" t="n">
        <v>0</v>
      </c>
      <c r="I4391" t="n">
        <v>0</v>
      </c>
      <c r="J4391" t="n">
        <v>0</v>
      </c>
      <c r="K4391" t="n">
        <v>0</v>
      </c>
      <c r="L4391" t="n">
        <v>0</v>
      </c>
      <c r="M4391" t="n">
        <v>0</v>
      </c>
      <c r="N4391" t="n">
        <v>0</v>
      </c>
      <c r="O4391" t="n">
        <v>0</v>
      </c>
      <c r="P4391" t="n">
        <v>0</v>
      </c>
      <c r="Q4391" t="n">
        <v>0</v>
      </c>
      <c r="R4391" s="2" t="inlineStr"/>
    </row>
    <row r="4392" ht="15" customHeight="1">
      <c r="A4392" t="inlineStr">
        <is>
          <t>A 2987-2026</t>
        </is>
      </c>
      <c r="B4392" s="1" t="n">
        <v>46038.63591435185</v>
      </c>
      <c r="C4392" s="1" t="n">
        <v>46185</v>
      </c>
      <c r="D4392" t="inlineStr">
        <is>
          <t>VÄSTERNORRLANDS LÄN</t>
        </is>
      </c>
      <c r="E4392" t="inlineStr">
        <is>
          <t>SOLLEFTEÅ</t>
        </is>
      </c>
      <c r="F4392" t="inlineStr">
        <is>
          <t>SCA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36401-2025</t>
        </is>
      </c>
      <c r="B4393" s="1" t="n">
        <v>45868.64728009259</v>
      </c>
      <c r="C4393" s="1" t="n">
        <v>46185</v>
      </c>
      <c r="D4393" t="inlineStr">
        <is>
          <t>VÄSTERNORRLANDS LÄN</t>
        </is>
      </c>
      <c r="E4393" t="inlineStr">
        <is>
          <t>ÖRNSKÖLDSVIK</t>
        </is>
      </c>
      <c r="F4393" t="inlineStr">
        <is>
          <t>Holmen skog AB</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26521-2022</t>
        </is>
      </c>
      <c r="B4394" s="1" t="n">
        <v>44739</v>
      </c>
      <c r="C4394" s="1" t="n">
        <v>46185</v>
      </c>
      <c r="D4394" t="inlineStr">
        <is>
          <t>VÄSTERNORRLANDS LÄN</t>
        </is>
      </c>
      <c r="E4394" t="inlineStr">
        <is>
          <t>ÖRNSKÖLDSVIK</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36248-2025</t>
        </is>
      </c>
      <c r="B4395" s="1" t="n">
        <v>45867.57326388889</v>
      </c>
      <c r="C4395" s="1" t="n">
        <v>46185</v>
      </c>
      <c r="D4395" t="inlineStr">
        <is>
          <t>VÄSTERNORRLANDS LÄN</t>
        </is>
      </c>
      <c r="E4395" t="inlineStr">
        <is>
          <t>ÅNGE</t>
        </is>
      </c>
      <c r="F4395" t="inlineStr">
        <is>
          <t>SCA</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52438-2024</t>
        </is>
      </c>
      <c r="B4396" s="1" t="n">
        <v>45609.48300925926</v>
      </c>
      <c r="C4396" s="1" t="n">
        <v>46185</v>
      </c>
      <c r="D4396" t="inlineStr">
        <is>
          <t>VÄSTERNORRLANDS LÄN</t>
        </is>
      </c>
      <c r="E4396" t="inlineStr">
        <is>
          <t>SOLLEFTEÅ</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12311-2023</t>
        </is>
      </c>
      <c r="B4397" s="1" t="n">
        <v>44995</v>
      </c>
      <c r="C4397" s="1" t="n">
        <v>46185</v>
      </c>
      <c r="D4397" t="inlineStr">
        <is>
          <t>VÄSTERNORRLANDS LÄN</t>
        </is>
      </c>
      <c r="E4397" t="inlineStr">
        <is>
          <t>SOLLEFTEÅ</t>
        </is>
      </c>
      <c r="G4397" t="n">
        <v>16.8</v>
      </c>
      <c r="H4397" t="n">
        <v>0</v>
      </c>
      <c r="I4397" t="n">
        <v>0</v>
      </c>
      <c r="J4397" t="n">
        <v>0</v>
      </c>
      <c r="K4397" t="n">
        <v>0</v>
      </c>
      <c r="L4397" t="n">
        <v>0</v>
      </c>
      <c r="M4397" t="n">
        <v>0</v>
      </c>
      <c r="N4397" t="n">
        <v>0</v>
      </c>
      <c r="O4397" t="n">
        <v>0</v>
      </c>
      <c r="P4397" t="n">
        <v>0</v>
      </c>
      <c r="Q4397" t="n">
        <v>0</v>
      </c>
      <c r="R4397" s="2" t="inlineStr"/>
    </row>
    <row r="4398" ht="15" customHeight="1">
      <c r="A4398" t="inlineStr">
        <is>
          <t>A 47671-2025</t>
        </is>
      </c>
      <c r="B4398" s="1" t="n">
        <v>45931.57368055556</v>
      </c>
      <c r="C4398" s="1" t="n">
        <v>46185</v>
      </c>
      <c r="D4398" t="inlineStr">
        <is>
          <t>VÄSTERNORRLANDS LÄN</t>
        </is>
      </c>
      <c r="E4398" t="inlineStr">
        <is>
          <t>SUNDSVALL</t>
        </is>
      </c>
      <c r="F4398" t="inlineStr">
        <is>
          <t>SCA</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12764-2022</t>
        </is>
      </c>
      <c r="B4399" s="1" t="n">
        <v>44641.93445601852</v>
      </c>
      <c r="C4399" s="1" t="n">
        <v>46185</v>
      </c>
      <c r="D4399" t="inlineStr">
        <is>
          <t>VÄSTERNORRLANDS LÄN</t>
        </is>
      </c>
      <c r="E4399" t="inlineStr">
        <is>
          <t>SOLLEFTEÅ</t>
        </is>
      </c>
      <c r="F4399" t="inlineStr">
        <is>
          <t>SCA</t>
        </is>
      </c>
      <c r="G4399" t="n">
        <v>13.7</v>
      </c>
      <c r="H4399" t="n">
        <v>0</v>
      </c>
      <c r="I4399" t="n">
        <v>0</v>
      </c>
      <c r="J4399" t="n">
        <v>0</v>
      </c>
      <c r="K4399" t="n">
        <v>0</v>
      </c>
      <c r="L4399" t="n">
        <v>0</v>
      </c>
      <c r="M4399" t="n">
        <v>0</v>
      </c>
      <c r="N4399" t="n">
        <v>0</v>
      </c>
      <c r="O4399" t="n">
        <v>0</v>
      </c>
      <c r="P4399" t="n">
        <v>0</v>
      </c>
      <c r="Q4399" t="n">
        <v>0</v>
      </c>
      <c r="R4399" s="2" t="inlineStr"/>
    </row>
    <row r="4400" ht="15" customHeight="1">
      <c r="A4400" t="inlineStr">
        <is>
          <t>A 47824-2025</t>
        </is>
      </c>
      <c r="B4400" s="1" t="n">
        <v>45932.34465277778</v>
      </c>
      <c r="C4400" s="1" t="n">
        <v>46185</v>
      </c>
      <c r="D4400" t="inlineStr">
        <is>
          <t>VÄSTERNORRLANDS LÄN</t>
        </is>
      </c>
      <c r="E4400" t="inlineStr">
        <is>
          <t>SUNDSVALL</t>
        </is>
      </c>
      <c r="F4400" t="inlineStr">
        <is>
          <t>SCA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47851-2025</t>
        </is>
      </c>
      <c r="B4401" s="1" t="n">
        <v>45932.38645833333</v>
      </c>
      <c r="C4401" s="1" t="n">
        <v>46185</v>
      </c>
      <c r="D4401" t="inlineStr">
        <is>
          <t>VÄSTERNORRLANDS LÄN</t>
        </is>
      </c>
      <c r="E4401" t="inlineStr">
        <is>
          <t>SOLLEFTEÅ</t>
        </is>
      </c>
      <c r="F4401" t="inlineStr">
        <is>
          <t>SCA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19011-2025</t>
        </is>
      </c>
      <c r="B4402" s="1" t="n">
        <v>45764.59440972222</v>
      </c>
      <c r="C4402" s="1" t="n">
        <v>46185</v>
      </c>
      <c r="D4402" t="inlineStr">
        <is>
          <t>VÄSTERNORRLANDS LÄN</t>
        </is>
      </c>
      <c r="E4402" t="inlineStr">
        <is>
          <t>SUNDSVALL</t>
        </is>
      </c>
      <c r="F4402" t="inlineStr">
        <is>
          <t>SCA</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47610-2025</t>
        </is>
      </c>
      <c r="B4403" s="1" t="n">
        <v>45931.46916666667</v>
      </c>
      <c r="C4403" s="1" t="n">
        <v>46185</v>
      </c>
      <c r="D4403" t="inlineStr">
        <is>
          <t>VÄSTERNORRLANDS LÄN</t>
        </is>
      </c>
      <c r="E4403" t="inlineStr">
        <is>
          <t>ÖRNSKÖLDSVIK</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13494-2023</t>
        </is>
      </c>
      <c r="B4404" s="1" t="n">
        <v>45005.93950231482</v>
      </c>
      <c r="C4404" s="1" t="n">
        <v>46185</v>
      </c>
      <c r="D4404" t="inlineStr">
        <is>
          <t>VÄSTERNORRLANDS LÄN</t>
        </is>
      </c>
      <c r="E4404" t="inlineStr">
        <is>
          <t>ÖRNSKÖLDSVIK</t>
        </is>
      </c>
      <c r="F4404" t="inlineStr">
        <is>
          <t>SCA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50008-2024</t>
        </is>
      </c>
      <c r="B4405" s="1" t="n">
        <v>45598.57908564815</v>
      </c>
      <c r="C4405" s="1" t="n">
        <v>46185</v>
      </c>
      <c r="D4405" t="inlineStr">
        <is>
          <t>VÄSTERNORRLANDS LÄN</t>
        </is>
      </c>
      <c r="E4405" t="inlineStr">
        <is>
          <t>SOLLEFTEÅ</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36300-2025</t>
        </is>
      </c>
      <c r="B4406" s="1" t="n">
        <v>45867.6984375</v>
      </c>
      <c r="C4406" s="1" t="n">
        <v>46185</v>
      </c>
      <c r="D4406" t="inlineStr">
        <is>
          <t>VÄSTERNORRLANDS LÄN</t>
        </is>
      </c>
      <c r="E4406" t="inlineStr">
        <is>
          <t>SOLLEFTEÅ</t>
        </is>
      </c>
      <c r="F4406" t="inlineStr">
        <is>
          <t>SCA</t>
        </is>
      </c>
      <c r="G4406" t="n">
        <v>6</v>
      </c>
      <c r="H4406" t="n">
        <v>0</v>
      </c>
      <c r="I4406" t="n">
        <v>0</v>
      </c>
      <c r="J4406" t="n">
        <v>0</v>
      </c>
      <c r="K4406" t="n">
        <v>0</v>
      </c>
      <c r="L4406" t="n">
        <v>0</v>
      </c>
      <c r="M4406" t="n">
        <v>0</v>
      </c>
      <c r="N4406" t="n">
        <v>0</v>
      </c>
      <c r="O4406" t="n">
        <v>0</v>
      </c>
      <c r="P4406" t="n">
        <v>0</v>
      </c>
      <c r="Q4406" t="n">
        <v>0</v>
      </c>
      <c r="R4406" s="2" t="inlineStr"/>
    </row>
    <row r="4407" ht="15" customHeight="1">
      <c r="A4407" t="inlineStr">
        <is>
          <t>A 36312-2025</t>
        </is>
      </c>
      <c r="B4407" s="1" t="n">
        <v>45868.34444444445</v>
      </c>
      <c r="C4407" s="1" t="n">
        <v>46185</v>
      </c>
      <c r="D4407" t="inlineStr">
        <is>
          <t>VÄSTERNORRLANDS LÄN</t>
        </is>
      </c>
      <c r="E4407" t="inlineStr">
        <is>
          <t>SOLLEFTEÅ</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8983-2025</t>
        </is>
      </c>
      <c r="B4408" s="1" t="n">
        <v>45713.53502314815</v>
      </c>
      <c r="C4408" s="1" t="n">
        <v>46185</v>
      </c>
      <c r="D4408" t="inlineStr">
        <is>
          <t>VÄSTERNORRLANDS LÄN</t>
        </is>
      </c>
      <c r="E4408" t="inlineStr">
        <is>
          <t>ÖRNSKÖLDSVIK</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9009-2025</t>
        </is>
      </c>
      <c r="B4409" s="1" t="n">
        <v>45713</v>
      </c>
      <c r="C4409" s="1" t="n">
        <v>46185</v>
      </c>
      <c r="D4409" t="inlineStr">
        <is>
          <t>VÄSTERNORRLANDS LÄN</t>
        </is>
      </c>
      <c r="E4409" t="inlineStr">
        <is>
          <t>KRAMFORS</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2485-2026</t>
        </is>
      </c>
      <c r="B4410" s="1" t="n">
        <v>46037.38591435185</v>
      </c>
      <c r="C4410" s="1" t="n">
        <v>46185</v>
      </c>
      <c r="D4410" t="inlineStr">
        <is>
          <t>VÄSTERNORRLANDS LÄN</t>
        </is>
      </c>
      <c r="E4410" t="inlineStr">
        <is>
          <t>ÅNGE</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47908-2025</t>
        </is>
      </c>
      <c r="B4411" s="1" t="n">
        <v>45932.5109837963</v>
      </c>
      <c r="C4411" s="1" t="n">
        <v>46185</v>
      </c>
      <c r="D4411" t="inlineStr">
        <is>
          <t>VÄSTERNORRLANDS LÄN</t>
        </is>
      </c>
      <c r="E4411" t="inlineStr">
        <is>
          <t>TIMRÅ</t>
        </is>
      </c>
      <c r="F4411" t="inlineStr">
        <is>
          <t>SCA</t>
        </is>
      </c>
      <c r="G4411" t="n">
        <v>9.300000000000001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35540-2025</t>
        </is>
      </c>
      <c r="B4412" s="1" t="n">
        <v>45856.46912037037</v>
      </c>
      <c r="C4412" s="1" t="n">
        <v>46185</v>
      </c>
      <c r="D4412" t="inlineStr">
        <is>
          <t>VÄSTERNORRLANDS LÄN</t>
        </is>
      </c>
      <c r="E4412" t="inlineStr">
        <is>
          <t>ÅNGE</t>
        </is>
      </c>
      <c r="F4412" t="inlineStr">
        <is>
          <t>SCA</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27005-2022</t>
        </is>
      </c>
      <c r="B4413" s="1" t="n">
        <v>44740</v>
      </c>
      <c r="C4413" s="1" t="n">
        <v>46185</v>
      </c>
      <c r="D4413" t="inlineStr">
        <is>
          <t>VÄSTERNORRLANDS LÄN</t>
        </is>
      </c>
      <c r="E4413" t="inlineStr">
        <is>
          <t>SUNDSVALL</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11026-2025</t>
        </is>
      </c>
      <c r="B4414" s="1" t="n">
        <v>45723.46961805555</v>
      </c>
      <c r="C4414" s="1" t="n">
        <v>46185</v>
      </c>
      <c r="D4414" t="inlineStr">
        <is>
          <t>VÄSTERNORRLANDS LÄN</t>
        </is>
      </c>
      <c r="E4414" t="inlineStr">
        <is>
          <t>SOLLEFTEÅ</t>
        </is>
      </c>
      <c r="F4414" t="inlineStr">
        <is>
          <t>SCA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18828-2025</t>
        </is>
      </c>
      <c r="B4415" s="1" t="n">
        <v>45764.38630787037</v>
      </c>
      <c r="C4415" s="1" t="n">
        <v>46185</v>
      </c>
      <c r="D4415" t="inlineStr">
        <is>
          <t>VÄSTERNORRLANDS LÄN</t>
        </is>
      </c>
      <c r="E4415" t="inlineStr">
        <is>
          <t>HÄRNÖSAND</t>
        </is>
      </c>
      <c r="F4415" t="inlineStr">
        <is>
          <t>SCA</t>
        </is>
      </c>
      <c r="G4415" t="n">
        <v>32.6</v>
      </c>
      <c r="H4415" t="n">
        <v>0</v>
      </c>
      <c r="I4415" t="n">
        <v>0</v>
      </c>
      <c r="J4415" t="n">
        <v>0</v>
      </c>
      <c r="K4415" t="n">
        <v>0</v>
      </c>
      <c r="L4415" t="n">
        <v>0</v>
      </c>
      <c r="M4415" t="n">
        <v>0</v>
      </c>
      <c r="N4415" t="n">
        <v>0</v>
      </c>
      <c r="O4415" t="n">
        <v>0</v>
      </c>
      <c r="P4415" t="n">
        <v>0</v>
      </c>
      <c r="Q4415" t="n">
        <v>0</v>
      </c>
      <c r="R4415" s="2" t="inlineStr"/>
    </row>
    <row r="4416" ht="15" customHeight="1">
      <c r="A4416" t="inlineStr">
        <is>
          <t>A 48048-2025</t>
        </is>
      </c>
      <c r="B4416" s="1" t="n">
        <v>45932.67753472222</v>
      </c>
      <c r="C4416" s="1" t="n">
        <v>46185</v>
      </c>
      <c r="D4416" t="inlineStr">
        <is>
          <t>VÄSTERNORRLANDS LÄN</t>
        </is>
      </c>
      <c r="E4416" t="inlineStr">
        <is>
          <t>SUNDSVALL</t>
        </is>
      </c>
      <c r="F4416" t="inlineStr">
        <is>
          <t>SCA</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36457-2025</t>
        </is>
      </c>
      <c r="B4417" s="1" t="n">
        <v>45869.44842592593</v>
      </c>
      <c r="C4417" s="1" t="n">
        <v>46185</v>
      </c>
      <c r="D4417" t="inlineStr">
        <is>
          <t>VÄSTERNORRLANDS LÄN</t>
        </is>
      </c>
      <c r="E4417" t="inlineStr">
        <is>
          <t>ÅNGE</t>
        </is>
      </c>
      <c r="F4417" t="inlineStr">
        <is>
          <t>SCA</t>
        </is>
      </c>
      <c r="G4417" t="n">
        <v>6.3</v>
      </c>
      <c r="H4417" t="n">
        <v>0</v>
      </c>
      <c r="I4417" t="n">
        <v>0</v>
      </c>
      <c r="J4417" t="n">
        <v>0</v>
      </c>
      <c r="K4417" t="n">
        <v>0</v>
      </c>
      <c r="L4417" t="n">
        <v>0</v>
      </c>
      <c r="M4417" t="n">
        <v>0</v>
      </c>
      <c r="N4417" t="n">
        <v>0</v>
      </c>
      <c r="O4417" t="n">
        <v>0</v>
      </c>
      <c r="P4417" t="n">
        <v>0</v>
      </c>
      <c r="Q4417" t="n">
        <v>0</v>
      </c>
      <c r="R4417" s="2" t="inlineStr"/>
    </row>
    <row r="4418" ht="15" customHeight="1">
      <c r="A4418" t="inlineStr">
        <is>
          <t>A 12496-2022</t>
        </is>
      </c>
      <c r="B4418" s="1" t="n">
        <v>44638.51076388889</v>
      </c>
      <c r="C4418" s="1" t="n">
        <v>46185</v>
      </c>
      <c r="D4418" t="inlineStr">
        <is>
          <t>VÄSTERNORRLANDS LÄN</t>
        </is>
      </c>
      <c r="E4418" t="inlineStr">
        <is>
          <t>SUNDSVALL</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36561-2025</t>
        </is>
      </c>
      <c r="B4419" s="1" t="n">
        <v>45870.36722222222</v>
      </c>
      <c r="C4419" s="1" t="n">
        <v>46185</v>
      </c>
      <c r="D4419" t="inlineStr">
        <is>
          <t>VÄSTERNORRLANDS LÄN</t>
        </is>
      </c>
      <c r="E4419" t="inlineStr">
        <is>
          <t>SOLLEFTEÅ</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47536-2025</t>
        </is>
      </c>
      <c r="B4420" s="1" t="n">
        <v>45931.34695601852</v>
      </c>
      <c r="C4420" s="1" t="n">
        <v>46185</v>
      </c>
      <c r="D4420" t="inlineStr">
        <is>
          <t>VÄSTERNORRLANDS LÄN</t>
        </is>
      </c>
      <c r="E4420" t="inlineStr">
        <is>
          <t>SOLLEFTEÅ</t>
        </is>
      </c>
      <c r="F4420" t="inlineStr">
        <is>
          <t>SCA</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47550-2025</t>
        </is>
      </c>
      <c r="B4421" s="1" t="n">
        <v>45931.36900462963</v>
      </c>
      <c r="C4421" s="1" t="n">
        <v>46185</v>
      </c>
      <c r="D4421" t="inlineStr">
        <is>
          <t>VÄSTERNORRLANDS LÄN</t>
        </is>
      </c>
      <c r="E4421" t="inlineStr">
        <is>
          <t>ÖRNSKÖLDSVIK</t>
        </is>
      </c>
      <c r="F4421" t="inlineStr">
        <is>
          <t>Holmen skog AB</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45631-2021</t>
        </is>
      </c>
      <c r="B4422" s="1" t="n">
        <v>44440.98045138889</v>
      </c>
      <c r="C4422" s="1" t="n">
        <v>46185</v>
      </c>
      <c r="D4422" t="inlineStr">
        <is>
          <t>VÄSTERNORRLANDS LÄN</t>
        </is>
      </c>
      <c r="E4422" t="inlineStr">
        <is>
          <t>ÅNGE</t>
        </is>
      </c>
      <c r="F4422" t="inlineStr">
        <is>
          <t>SCA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36323-2023</t>
        </is>
      </c>
      <c r="B4423" s="1" t="n">
        <v>45152</v>
      </c>
      <c r="C4423" s="1" t="n">
        <v>46185</v>
      </c>
      <c r="D4423" t="inlineStr">
        <is>
          <t>VÄSTERNORRLANDS LÄN</t>
        </is>
      </c>
      <c r="E4423" t="inlineStr">
        <is>
          <t>ÖRNSKÖLDSVIK</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36326-2023</t>
        </is>
      </c>
      <c r="B4424" s="1" t="n">
        <v>45152</v>
      </c>
      <c r="C4424" s="1" t="n">
        <v>46185</v>
      </c>
      <c r="D4424" t="inlineStr">
        <is>
          <t>VÄSTERNORRLANDS LÄN</t>
        </is>
      </c>
      <c r="E4424" t="inlineStr">
        <is>
          <t>ÖRNSKÖLDSVIK</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53162-2021</t>
        </is>
      </c>
      <c r="B4425" s="1" t="n">
        <v>44468</v>
      </c>
      <c r="C4425" s="1" t="n">
        <v>46185</v>
      </c>
      <c r="D4425" t="inlineStr">
        <is>
          <t>VÄSTERNORRLANDS LÄN</t>
        </is>
      </c>
      <c r="E4425" t="inlineStr">
        <is>
          <t>ÖRNSKÖLDSVIK</t>
        </is>
      </c>
      <c r="F4425" t="inlineStr">
        <is>
          <t>Holmen skog AB</t>
        </is>
      </c>
      <c r="G4425" t="n">
        <v>9.199999999999999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36571-2025</t>
        </is>
      </c>
      <c r="B4426" s="1" t="n">
        <v>45870.38778935185</v>
      </c>
      <c r="C4426" s="1" t="n">
        <v>46185</v>
      </c>
      <c r="D4426" t="inlineStr">
        <is>
          <t>VÄSTERNORRLANDS LÄN</t>
        </is>
      </c>
      <c r="E4426" t="inlineStr">
        <is>
          <t>SOLLEFTEÅ</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47949-2025</t>
        </is>
      </c>
      <c r="B4427" s="1" t="n">
        <v>45932.57452546297</v>
      </c>
      <c r="C4427" s="1" t="n">
        <v>46185</v>
      </c>
      <c r="D4427" t="inlineStr">
        <is>
          <t>VÄSTERNORRLANDS LÄN</t>
        </is>
      </c>
      <c r="E4427" t="inlineStr">
        <is>
          <t>KRAMFORS</t>
        </is>
      </c>
      <c r="F4427" t="inlineStr">
        <is>
          <t>SCA</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47715-2025</t>
        </is>
      </c>
      <c r="B4428" s="1" t="n">
        <v>45931.61570601852</v>
      </c>
      <c r="C4428" s="1" t="n">
        <v>46185</v>
      </c>
      <c r="D4428" t="inlineStr">
        <is>
          <t>VÄSTERNORRLANDS LÄN</t>
        </is>
      </c>
      <c r="E4428" t="inlineStr">
        <is>
          <t>ÖRNSKÖLDSVIK</t>
        </is>
      </c>
      <c r="F4428" t="inlineStr">
        <is>
          <t>SCA</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48055-2025</t>
        </is>
      </c>
      <c r="B4429" s="1" t="n">
        <v>45932.67922453704</v>
      </c>
      <c r="C4429" s="1" t="n">
        <v>46185</v>
      </c>
      <c r="D4429" t="inlineStr">
        <is>
          <t>VÄSTERNORRLANDS LÄN</t>
        </is>
      </c>
      <c r="E4429" t="inlineStr">
        <is>
          <t>ÅNGE</t>
        </is>
      </c>
      <c r="F4429" t="inlineStr">
        <is>
          <t>SCA</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25278-2024</t>
        </is>
      </c>
      <c r="B4430" s="1" t="n">
        <v>45462.63206018518</v>
      </c>
      <c r="C4430" s="1" t="n">
        <v>46185</v>
      </c>
      <c r="D4430" t="inlineStr">
        <is>
          <t>VÄSTERNORRLANDS LÄN</t>
        </is>
      </c>
      <c r="E4430" t="inlineStr">
        <is>
          <t>ÖRNSKÖLDSVIK</t>
        </is>
      </c>
      <c r="F4430" t="inlineStr">
        <is>
          <t>Holmen skog AB</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48069-2025</t>
        </is>
      </c>
      <c r="B4431" s="1" t="n">
        <v>45932.69865740741</v>
      </c>
      <c r="C4431" s="1" t="n">
        <v>46185</v>
      </c>
      <c r="D4431" t="inlineStr">
        <is>
          <t>VÄSTERNORRLANDS LÄN</t>
        </is>
      </c>
      <c r="E4431" t="inlineStr">
        <is>
          <t>ÅNGE</t>
        </is>
      </c>
      <c r="F4431" t="inlineStr">
        <is>
          <t>SCA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57592-2022</t>
        </is>
      </c>
      <c r="B4432" s="1" t="n">
        <v>44896.97841435186</v>
      </c>
      <c r="C4432" s="1" t="n">
        <v>46185</v>
      </c>
      <c r="D4432" t="inlineStr">
        <is>
          <t>VÄSTERNORRLANDS LÄN</t>
        </is>
      </c>
      <c r="E4432" t="inlineStr">
        <is>
          <t>ÅNGE</t>
        </is>
      </c>
      <c r="F4432" t="inlineStr">
        <is>
          <t>SCA</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36545-2025</t>
        </is>
      </c>
      <c r="B4433" s="1" t="n">
        <v>45869.67761574074</v>
      </c>
      <c r="C4433" s="1" t="n">
        <v>46185</v>
      </c>
      <c r="D4433" t="inlineStr">
        <is>
          <t>VÄSTERNORRLANDS LÄN</t>
        </is>
      </c>
      <c r="E4433" t="inlineStr">
        <is>
          <t>SOLLEFTEÅ</t>
        </is>
      </c>
      <c r="F4433" t="inlineStr">
        <is>
          <t>SCA</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47962-2025</t>
        </is>
      </c>
      <c r="B4434" s="1" t="n">
        <v>45932.59434027778</v>
      </c>
      <c r="C4434" s="1" t="n">
        <v>46185</v>
      </c>
      <c r="D4434" t="inlineStr">
        <is>
          <t>VÄSTERNORRLANDS LÄN</t>
        </is>
      </c>
      <c r="E4434" t="inlineStr">
        <is>
          <t>SOLLEFTEÅ</t>
        </is>
      </c>
      <c r="F4434" t="inlineStr">
        <is>
          <t>SCA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20231-2022</t>
        </is>
      </c>
      <c r="B4435" s="1" t="n">
        <v>44698</v>
      </c>
      <c r="C4435" s="1" t="n">
        <v>46185</v>
      </c>
      <c r="D4435" t="inlineStr">
        <is>
          <t>VÄSTERNORRLANDS LÄN</t>
        </is>
      </c>
      <c r="E4435" t="inlineStr">
        <is>
          <t>ÅNGE</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47832-2025</t>
        </is>
      </c>
      <c r="B4436" s="1" t="n">
        <v>45932.36141203704</v>
      </c>
      <c r="C4436" s="1" t="n">
        <v>46185</v>
      </c>
      <c r="D4436" t="inlineStr">
        <is>
          <t>VÄSTERNORRLANDS LÄN</t>
        </is>
      </c>
      <c r="E4436" t="inlineStr">
        <is>
          <t>ÖRNSKÖLDSVIK</t>
        </is>
      </c>
      <c r="F4436" t="inlineStr">
        <is>
          <t>Holmen skog AB</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47609-2025</t>
        </is>
      </c>
      <c r="B4437" s="1" t="n">
        <v>45931.46905092592</v>
      </c>
      <c r="C4437" s="1" t="n">
        <v>46185</v>
      </c>
      <c r="D4437" t="inlineStr">
        <is>
          <t>VÄSTERNORRLANDS LÄN</t>
        </is>
      </c>
      <c r="E4437" t="inlineStr">
        <is>
          <t>ÖRNSKÖLDSVIK</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39985-2023</t>
        </is>
      </c>
      <c r="B4438" s="1" t="n">
        <v>45168</v>
      </c>
      <c r="C4438" s="1" t="n">
        <v>46185</v>
      </c>
      <c r="D4438" t="inlineStr">
        <is>
          <t>VÄSTERNORRLANDS LÄN</t>
        </is>
      </c>
      <c r="E4438" t="inlineStr">
        <is>
          <t>ÅNGE</t>
        </is>
      </c>
      <c r="G4438" t="n">
        <v>0.1</v>
      </c>
      <c r="H4438" t="n">
        <v>0</v>
      </c>
      <c r="I4438" t="n">
        <v>0</v>
      </c>
      <c r="J4438" t="n">
        <v>0</v>
      </c>
      <c r="K4438" t="n">
        <v>0</v>
      </c>
      <c r="L4438" t="n">
        <v>0</v>
      </c>
      <c r="M4438" t="n">
        <v>0</v>
      </c>
      <c r="N4438" t="n">
        <v>0</v>
      </c>
      <c r="O4438" t="n">
        <v>0</v>
      </c>
      <c r="P4438" t="n">
        <v>0</v>
      </c>
      <c r="Q4438" t="n">
        <v>0</v>
      </c>
      <c r="R4438" s="2" t="inlineStr"/>
    </row>
    <row r="4439" ht="15" customHeight="1">
      <c r="A4439" t="inlineStr">
        <is>
          <t>A 47611-2025</t>
        </is>
      </c>
      <c r="B4439" s="1" t="n">
        <v>45931.46918981482</v>
      </c>
      <c r="C4439" s="1" t="n">
        <v>46185</v>
      </c>
      <c r="D4439" t="inlineStr">
        <is>
          <t>VÄSTERNORRLANDS LÄN</t>
        </is>
      </c>
      <c r="E4439" t="inlineStr">
        <is>
          <t>ÖRNSKÖLDSVIK</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47886-2025</t>
        </is>
      </c>
      <c r="B4440" s="1" t="n">
        <v>45932.46719907408</v>
      </c>
      <c r="C4440" s="1" t="n">
        <v>46185</v>
      </c>
      <c r="D4440" t="inlineStr">
        <is>
          <t>VÄSTERNORRLANDS LÄN</t>
        </is>
      </c>
      <c r="E4440" t="inlineStr">
        <is>
          <t>ÖRNSKÖLDSVIK</t>
        </is>
      </c>
      <c r="F4440" t="inlineStr">
        <is>
          <t>Holmen skog AB</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47899-2025</t>
        </is>
      </c>
      <c r="B4441" s="1" t="n">
        <v>45932.49662037037</v>
      </c>
      <c r="C4441" s="1" t="n">
        <v>46185</v>
      </c>
      <c r="D4441" t="inlineStr">
        <is>
          <t>VÄSTERNORRLANDS LÄN</t>
        </is>
      </c>
      <c r="E4441" t="inlineStr">
        <is>
          <t>ÖRNSKÖLDSVIK</t>
        </is>
      </c>
      <c r="F4441" t="inlineStr">
        <is>
          <t>Holmen skog AB</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44685-2023</t>
        </is>
      </c>
      <c r="B4442" s="1" t="n">
        <v>45189</v>
      </c>
      <c r="C4442" s="1" t="n">
        <v>46185</v>
      </c>
      <c r="D4442" t="inlineStr">
        <is>
          <t>VÄSTERNORRLANDS LÄN</t>
        </is>
      </c>
      <c r="E4442" t="inlineStr">
        <is>
          <t>KRAMFORS</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36458-2025</t>
        </is>
      </c>
      <c r="B4443" s="1" t="n">
        <v>45869.44858796296</v>
      </c>
      <c r="C4443" s="1" t="n">
        <v>46185</v>
      </c>
      <c r="D4443" t="inlineStr">
        <is>
          <t>VÄSTERNORRLANDS LÄN</t>
        </is>
      </c>
      <c r="E4443" t="inlineStr">
        <is>
          <t>SUNDSVALL</t>
        </is>
      </c>
      <c r="G4443" t="n">
        <v>9.6</v>
      </c>
      <c r="H4443" t="n">
        <v>0</v>
      </c>
      <c r="I4443" t="n">
        <v>0</v>
      </c>
      <c r="J4443" t="n">
        <v>0</v>
      </c>
      <c r="K4443" t="n">
        <v>0</v>
      </c>
      <c r="L4443" t="n">
        <v>0</v>
      </c>
      <c r="M4443" t="n">
        <v>0</v>
      </c>
      <c r="N4443" t="n">
        <v>0</v>
      </c>
      <c r="O4443" t="n">
        <v>0</v>
      </c>
      <c r="P4443" t="n">
        <v>0</v>
      </c>
      <c r="Q4443" t="n">
        <v>0</v>
      </c>
      <c r="R4443" s="2" t="inlineStr"/>
    </row>
    <row r="4444" ht="15" customHeight="1">
      <c r="A4444" t="inlineStr">
        <is>
          <t>A 47918-2025</t>
        </is>
      </c>
      <c r="B4444" s="1" t="n">
        <v>45932.52326388889</v>
      </c>
      <c r="C4444" s="1" t="n">
        <v>46185</v>
      </c>
      <c r="D4444" t="inlineStr">
        <is>
          <t>VÄSTERNORRLANDS LÄN</t>
        </is>
      </c>
      <c r="E4444" t="inlineStr">
        <is>
          <t>ÖRNSKÖLDSVIK</t>
        </is>
      </c>
      <c r="F4444" t="inlineStr">
        <is>
          <t>Holmen skog AB</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47947-2025</t>
        </is>
      </c>
      <c r="B4445" s="1" t="n">
        <v>45932.5740625</v>
      </c>
      <c r="C4445" s="1" t="n">
        <v>46185</v>
      </c>
      <c r="D4445" t="inlineStr">
        <is>
          <t>VÄSTERNORRLANDS LÄN</t>
        </is>
      </c>
      <c r="E4445" t="inlineStr">
        <is>
          <t>SOLLEFTEÅ</t>
        </is>
      </c>
      <c r="F4445" t="inlineStr">
        <is>
          <t>SCA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35143-2025</t>
        </is>
      </c>
      <c r="B4446" s="1" t="n">
        <v>45852.65660879629</v>
      </c>
      <c r="C4446" s="1" t="n">
        <v>46185</v>
      </c>
      <c r="D4446" t="inlineStr">
        <is>
          <t>VÄSTERNORRLANDS LÄN</t>
        </is>
      </c>
      <c r="E4446" t="inlineStr">
        <is>
          <t>ÅNGE</t>
        </is>
      </c>
      <c r="F4446" t="inlineStr">
        <is>
          <t>SCA</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43978-2023</t>
        </is>
      </c>
      <c r="B4447" s="1" t="n">
        <v>45187</v>
      </c>
      <c r="C4447" s="1" t="n">
        <v>46185</v>
      </c>
      <c r="D4447" t="inlineStr">
        <is>
          <t>VÄSTERNORRLANDS LÄN</t>
        </is>
      </c>
      <c r="E4447" t="inlineStr">
        <is>
          <t>SUNDSVALL</t>
        </is>
      </c>
      <c r="F4447" t="inlineStr">
        <is>
          <t>SCA</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28325-2022</t>
        </is>
      </c>
      <c r="B4448" s="1" t="n">
        <v>44747.38347222222</v>
      </c>
      <c r="C4448" s="1" t="n">
        <v>46185</v>
      </c>
      <c r="D4448" t="inlineStr">
        <is>
          <t>VÄSTERNORRLANDS LÄN</t>
        </is>
      </c>
      <c r="E4448" t="inlineStr">
        <is>
          <t>HÄRNÖSAND</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58748-2023</t>
        </is>
      </c>
      <c r="B4449" s="1" t="n">
        <v>45251.92936342592</v>
      </c>
      <c r="C4449" s="1" t="n">
        <v>46185</v>
      </c>
      <c r="D4449" t="inlineStr">
        <is>
          <t>VÄSTERNORRLANDS LÄN</t>
        </is>
      </c>
      <c r="E4449" t="inlineStr">
        <is>
          <t>ÅNGE</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36456-2025</t>
        </is>
      </c>
      <c r="B4450" s="1" t="n">
        <v>45869.44827546296</v>
      </c>
      <c r="C4450" s="1" t="n">
        <v>46185</v>
      </c>
      <c r="D4450" t="inlineStr">
        <is>
          <t>VÄSTERNORRLANDS LÄN</t>
        </is>
      </c>
      <c r="E4450" t="inlineStr">
        <is>
          <t>ÅNGE</t>
        </is>
      </c>
      <c r="F4450" t="inlineStr">
        <is>
          <t>SCA</t>
        </is>
      </c>
      <c r="G4450" t="n">
        <v>7.2</v>
      </c>
      <c r="H4450" t="n">
        <v>0</v>
      </c>
      <c r="I4450" t="n">
        <v>0</v>
      </c>
      <c r="J4450" t="n">
        <v>0</v>
      </c>
      <c r="K4450" t="n">
        <v>0</v>
      </c>
      <c r="L4450" t="n">
        <v>0</v>
      </c>
      <c r="M4450" t="n">
        <v>0</v>
      </c>
      <c r="N4450" t="n">
        <v>0</v>
      </c>
      <c r="O4450" t="n">
        <v>0</v>
      </c>
      <c r="P4450" t="n">
        <v>0</v>
      </c>
      <c r="Q4450" t="n">
        <v>0</v>
      </c>
      <c r="R4450" s="2" t="inlineStr"/>
    </row>
    <row r="4451" ht="15" customHeight="1">
      <c r="A4451" t="inlineStr">
        <is>
          <t>A 43113-2023</t>
        </is>
      </c>
      <c r="B4451" s="1" t="n">
        <v>45182</v>
      </c>
      <c r="C4451" s="1" t="n">
        <v>46185</v>
      </c>
      <c r="D4451" t="inlineStr">
        <is>
          <t>VÄSTERNORRLANDS LÄN</t>
        </is>
      </c>
      <c r="E4451" t="inlineStr">
        <is>
          <t>TIMRÅ</t>
        </is>
      </c>
      <c r="F4451" t="inlineStr">
        <is>
          <t>SCA</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43138-2023</t>
        </is>
      </c>
      <c r="B4452" s="1" t="n">
        <v>45180</v>
      </c>
      <c r="C4452" s="1" t="n">
        <v>46185</v>
      </c>
      <c r="D4452" t="inlineStr">
        <is>
          <t>VÄSTERNORRLANDS LÄN</t>
        </is>
      </c>
      <c r="E4452" t="inlineStr">
        <is>
          <t>SUNDSVALL</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32969-2022</t>
        </is>
      </c>
      <c r="B4453" s="1" t="n">
        <v>44784.9402662037</v>
      </c>
      <c r="C4453" s="1" t="n">
        <v>46185</v>
      </c>
      <c r="D4453" t="inlineStr">
        <is>
          <t>VÄSTERNORRLANDS LÄN</t>
        </is>
      </c>
      <c r="E4453" t="inlineStr">
        <is>
          <t>SOLLEFTEÅ</t>
        </is>
      </c>
      <c r="F4453" t="inlineStr">
        <is>
          <t>SCA</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36491-2025</t>
        </is>
      </c>
      <c r="B4454" s="1" t="n">
        <v>45869.53173611111</v>
      </c>
      <c r="C4454" s="1" t="n">
        <v>46185</v>
      </c>
      <c r="D4454" t="inlineStr">
        <is>
          <t>VÄSTERNORRLANDS LÄN</t>
        </is>
      </c>
      <c r="E4454" t="inlineStr">
        <is>
          <t>ÅNGE</t>
        </is>
      </c>
      <c r="F4454" t="inlineStr">
        <is>
          <t>SCA</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45082-2025</t>
        </is>
      </c>
      <c r="B4455" s="1" t="n">
        <v>45919</v>
      </c>
      <c r="C4455" s="1" t="n">
        <v>46185</v>
      </c>
      <c r="D4455" t="inlineStr">
        <is>
          <t>VÄSTERNORRLANDS LÄN</t>
        </is>
      </c>
      <c r="E4455" t="inlineStr">
        <is>
          <t>HÄRNÖSAND</t>
        </is>
      </c>
      <c r="F4455" t="inlineStr">
        <is>
          <t>SCA</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14448-2022</t>
        </is>
      </c>
      <c r="B4456" s="1" t="n">
        <v>44652</v>
      </c>
      <c r="C4456" s="1" t="n">
        <v>46185</v>
      </c>
      <c r="D4456" t="inlineStr">
        <is>
          <t>VÄSTERNORRLANDS LÄN</t>
        </is>
      </c>
      <c r="E4456" t="inlineStr">
        <is>
          <t>SOLLEFTEÅ</t>
        </is>
      </c>
      <c r="F4456" t="inlineStr">
        <is>
          <t>SCA</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7961-2025</t>
        </is>
      </c>
      <c r="B4457" s="1" t="n">
        <v>45707.44523148148</v>
      </c>
      <c r="C4457" s="1" t="n">
        <v>46185</v>
      </c>
      <c r="D4457" t="inlineStr">
        <is>
          <t>VÄSTERNORRLANDS LÄN</t>
        </is>
      </c>
      <c r="E4457" t="inlineStr">
        <is>
          <t>SUNDSVALL</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7970-2025</t>
        </is>
      </c>
      <c r="B4458" s="1" t="n">
        <v>45707.45626157407</v>
      </c>
      <c r="C4458" s="1" t="n">
        <v>46185</v>
      </c>
      <c r="D4458" t="inlineStr">
        <is>
          <t>VÄSTERNORRLANDS LÄN</t>
        </is>
      </c>
      <c r="E4458" t="inlineStr">
        <is>
          <t>SUNDSVALL</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47570-2025</t>
        </is>
      </c>
      <c r="B4459" s="1" t="n">
        <v>45931.39334490741</v>
      </c>
      <c r="C4459" s="1" t="n">
        <v>46185</v>
      </c>
      <c r="D4459" t="inlineStr">
        <is>
          <t>VÄSTERNORRLANDS LÄN</t>
        </is>
      </c>
      <c r="E4459" t="inlineStr">
        <is>
          <t>ÖRNSKÖLDSVIK</t>
        </is>
      </c>
      <c r="F4459" t="inlineStr">
        <is>
          <t>Holmen skog AB</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47565-2025</t>
        </is>
      </c>
      <c r="B4460" s="1" t="n">
        <v>45931.39020833333</v>
      </c>
      <c r="C4460" s="1" t="n">
        <v>46185</v>
      </c>
      <c r="D4460" t="inlineStr">
        <is>
          <t>VÄSTERNORRLANDS LÄN</t>
        </is>
      </c>
      <c r="E4460" t="inlineStr">
        <is>
          <t>ÖRNSKÖLDSVIK</t>
        </is>
      </c>
      <c r="F4460" t="inlineStr">
        <is>
          <t>Holmen skog AB</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43552-2023</t>
        </is>
      </c>
      <c r="B4461" s="1" t="n">
        <v>45181</v>
      </c>
      <c r="C4461" s="1" t="n">
        <v>46185</v>
      </c>
      <c r="D4461" t="inlineStr">
        <is>
          <t>VÄSTERNORRLANDS LÄN</t>
        </is>
      </c>
      <c r="E4461" t="inlineStr">
        <is>
          <t>ÅNGE</t>
        </is>
      </c>
      <c r="F4461" t="inlineStr">
        <is>
          <t>SCA</t>
        </is>
      </c>
      <c r="G4461" t="n">
        <v>7.3</v>
      </c>
      <c r="H4461" t="n">
        <v>0</v>
      </c>
      <c r="I4461" t="n">
        <v>0</v>
      </c>
      <c r="J4461" t="n">
        <v>0</v>
      </c>
      <c r="K4461" t="n">
        <v>0</v>
      </c>
      <c r="L4461" t="n">
        <v>0</v>
      </c>
      <c r="M4461" t="n">
        <v>0</v>
      </c>
      <c r="N4461" t="n">
        <v>0</v>
      </c>
      <c r="O4461" t="n">
        <v>0</v>
      </c>
      <c r="P4461" t="n">
        <v>0</v>
      </c>
      <c r="Q4461" t="n">
        <v>0</v>
      </c>
      <c r="R4461" s="2" t="inlineStr"/>
    </row>
    <row r="4462" ht="15" customHeight="1">
      <c r="A4462" t="inlineStr">
        <is>
          <t>A 36873-2025</t>
        </is>
      </c>
      <c r="B4462" s="1" t="n">
        <v>45874.42935185185</v>
      </c>
      <c r="C4462" s="1" t="n">
        <v>46185</v>
      </c>
      <c r="D4462" t="inlineStr">
        <is>
          <t>VÄSTERNORRLANDS LÄN</t>
        </is>
      </c>
      <c r="E4462" t="inlineStr">
        <is>
          <t>ÅNGE</t>
        </is>
      </c>
      <c r="F4462" t="inlineStr">
        <is>
          <t>SCA</t>
        </is>
      </c>
      <c r="G4462" t="n">
        <v>16.9</v>
      </c>
      <c r="H4462" t="n">
        <v>0</v>
      </c>
      <c r="I4462" t="n">
        <v>0</v>
      </c>
      <c r="J4462" t="n">
        <v>0</v>
      </c>
      <c r="K4462" t="n">
        <v>0</v>
      </c>
      <c r="L4462" t="n">
        <v>0</v>
      </c>
      <c r="M4462" t="n">
        <v>0</v>
      </c>
      <c r="N4462" t="n">
        <v>0</v>
      </c>
      <c r="O4462" t="n">
        <v>0</v>
      </c>
      <c r="P4462" t="n">
        <v>0</v>
      </c>
      <c r="Q4462" t="n">
        <v>0</v>
      </c>
      <c r="R4462" s="2" t="inlineStr"/>
    </row>
    <row r="4463" ht="15" customHeight="1">
      <c r="A4463" t="inlineStr">
        <is>
          <t>A 41027-2024</t>
        </is>
      </c>
      <c r="B4463" s="1" t="n">
        <v>45559</v>
      </c>
      <c r="C4463" s="1" t="n">
        <v>46185</v>
      </c>
      <c r="D4463" t="inlineStr">
        <is>
          <t>VÄSTERNORRLANDS LÄN</t>
        </is>
      </c>
      <c r="E4463" t="inlineStr">
        <is>
          <t>SUNDSVALL</t>
        </is>
      </c>
      <c r="F4463" t="inlineStr">
        <is>
          <t>SCA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41041-2024</t>
        </is>
      </c>
      <c r="B4464" s="1" t="n">
        <v>45558</v>
      </c>
      <c r="C4464" s="1" t="n">
        <v>46185</v>
      </c>
      <c r="D4464" t="inlineStr">
        <is>
          <t>VÄSTERNORRLANDS LÄN</t>
        </is>
      </c>
      <c r="E4464" t="inlineStr">
        <is>
          <t>SOLLEFTEÅ</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41042-2024</t>
        </is>
      </c>
      <c r="B4465" s="1" t="n">
        <v>45559.36490740741</v>
      </c>
      <c r="C4465" s="1" t="n">
        <v>46185</v>
      </c>
      <c r="D4465" t="inlineStr">
        <is>
          <t>VÄSTERNORRLANDS LÄN</t>
        </is>
      </c>
      <c r="E4465" t="inlineStr">
        <is>
          <t>SOLLEFTEÅ</t>
        </is>
      </c>
      <c r="F4465" t="inlineStr">
        <is>
          <t>SCA</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48125-2025</t>
        </is>
      </c>
      <c r="B4466" s="1" t="n">
        <v>45933.36511574074</v>
      </c>
      <c r="C4466" s="1" t="n">
        <v>46185</v>
      </c>
      <c r="D4466" t="inlineStr">
        <is>
          <t>VÄSTERNORRLANDS LÄN</t>
        </is>
      </c>
      <c r="E4466" t="inlineStr">
        <is>
          <t>SOLLEFTEÅ</t>
        </is>
      </c>
      <c r="F4466" t="inlineStr">
        <is>
          <t>SCA</t>
        </is>
      </c>
      <c r="G4466" t="n">
        <v>13.3</v>
      </c>
      <c r="H4466" t="n">
        <v>0</v>
      </c>
      <c r="I4466" t="n">
        <v>0</v>
      </c>
      <c r="J4466" t="n">
        <v>0</v>
      </c>
      <c r="K4466" t="n">
        <v>0</v>
      </c>
      <c r="L4466" t="n">
        <v>0</v>
      </c>
      <c r="M4466" t="n">
        <v>0</v>
      </c>
      <c r="N4466" t="n">
        <v>0</v>
      </c>
      <c r="O4466" t="n">
        <v>0</v>
      </c>
      <c r="P4466" t="n">
        <v>0</v>
      </c>
      <c r="Q4466" t="n">
        <v>0</v>
      </c>
      <c r="R4466" s="2" t="inlineStr"/>
    </row>
    <row r="4467" ht="15" customHeight="1">
      <c r="A4467" t="inlineStr">
        <is>
          <t>A 31088-2025</t>
        </is>
      </c>
      <c r="B4467" s="1" t="n">
        <v>45832.59282407408</v>
      </c>
      <c r="C4467" s="1" t="n">
        <v>46185</v>
      </c>
      <c r="D4467" t="inlineStr">
        <is>
          <t>VÄSTERNORRLANDS LÄN</t>
        </is>
      </c>
      <c r="E4467" t="inlineStr">
        <is>
          <t>ÖRNSKÖLDSVIK</t>
        </is>
      </c>
      <c r="G4467" t="n">
        <v>5.9</v>
      </c>
      <c r="H4467" t="n">
        <v>0</v>
      </c>
      <c r="I4467" t="n">
        <v>0</v>
      </c>
      <c r="J4467" t="n">
        <v>0</v>
      </c>
      <c r="K4467" t="n">
        <v>0</v>
      </c>
      <c r="L4467" t="n">
        <v>0</v>
      </c>
      <c r="M4467" t="n">
        <v>0</v>
      </c>
      <c r="N4467" t="n">
        <v>0</v>
      </c>
      <c r="O4467" t="n">
        <v>0</v>
      </c>
      <c r="P4467" t="n">
        <v>0</v>
      </c>
      <c r="Q4467" t="n">
        <v>0</v>
      </c>
      <c r="R4467" s="2" t="inlineStr"/>
    </row>
    <row r="4468" ht="15" customHeight="1">
      <c r="A4468" t="inlineStr">
        <is>
          <t>A 48328-2025</t>
        </is>
      </c>
      <c r="B4468" s="1" t="n">
        <v>45933.63284722222</v>
      </c>
      <c r="C4468" s="1" t="n">
        <v>46185</v>
      </c>
      <c r="D4468" t="inlineStr">
        <is>
          <t>VÄSTERNORRLANDS LÄN</t>
        </is>
      </c>
      <c r="E4468" t="inlineStr">
        <is>
          <t>ÖRNSKÖLDSVIK</t>
        </is>
      </c>
      <c r="F4468" t="inlineStr">
        <is>
          <t>Holmen skog AB</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48422-2025</t>
        </is>
      </c>
      <c r="B4469" s="1" t="n">
        <v>45934.67761574074</v>
      </c>
      <c r="C4469" s="1" t="n">
        <v>46185</v>
      </c>
      <c r="D4469" t="inlineStr">
        <is>
          <t>VÄSTERNORRLANDS LÄN</t>
        </is>
      </c>
      <c r="E4469" t="inlineStr">
        <is>
          <t>SOLLEFTEÅ</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31185-2025</t>
        </is>
      </c>
      <c r="B4470" s="1" t="n">
        <v>45832.67805555555</v>
      </c>
      <c r="C4470" s="1" t="n">
        <v>46185</v>
      </c>
      <c r="D4470" t="inlineStr">
        <is>
          <t>VÄSTERNORRLANDS LÄN</t>
        </is>
      </c>
      <c r="E4470" t="inlineStr">
        <is>
          <t>SUNDSVALL</t>
        </is>
      </c>
      <c r="F4470" t="inlineStr">
        <is>
          <t>SCA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31395-2025</t>
        </is>
      </c>
      <c r="B4471" s="1" t="n">
        <v>45833.46438657407</v>
      </c>
      <c r="C4471" s="1" t="n">
        <v>46185</v>
      </c>
      <c r="D4471" t="inlineStr">
        <is>
          <t>VÄSTERNORRLANDS LÄN</t>
        </is>
      </c>
      <c r="E4471" t="inlineStr">
        <is>
          <t>SOLLEFTEÅ</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26674-2022</t>
        </is>
      </c>
      <c r="B4472" s="1" t="n">
        <v>44739</v>
      </c>
      <c r="C4472" s="1" t="n">
        <v>46185</v>
      </c>
      <c r="D4472" t="inlineStr">
        <is>
          <t>VÄSTERNORRLANDS LÄN</t>
        </is>
      </c>
      <c r="E4472" t="inlineStr">
        <is>
          <t>SUNDSVALL</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48473-2025</t>
        </is>
      </c>
      <c r="B4473" s="1" t="n">
        <v>45936.34555555556</v>
      </c>
      <c r="C4473" s="1" t="n">
        <v>46185</v>
      </c>
      <c r="D4473" t="inlineStr">
        <is>
          <t>VÄSTERNORRLANDS LÄN</t>
        </is>
      </c>
      <c r="E4473" t="inlineStr">
        <is>
          <t>ÖRNSKÖLDSVIK</t>
        </is>
      </c>
      <c r="F4473" t="inlineStr">
        <is>
          <t>SCA</t>
        </is>
      </c>
      <c r="G4473" t="n">
        <v>8</v>
      </c>
      <c r="H4473" t="n">
        <v>0</v>
      </c>
      <c r="I4473" t="n">
        <v>0</v>
      </c>
      <c r="J4473" t="n">
        <v>0</v>
      </c>
      <c r="K4473" t="n">
        <v>0</v>
      </c>
      <c r="L4473" t="n">
        <v>0</v>
      </c>
      <c r="M4473" t="n">
        <v>0</v>
      </c>
      <c r="N4473" t="n">
        <v>0</v>
      </c>
      <c r="O4473" t="n">
        <v>0</v>
      </c>
      <c r="P4473" t="n">
        <v>0</v>
      </c>
      <c r="Q4473" t="n">
        <v>0</v>
      </c>
      <c r="R4473" s="2" t="inlineStr"/>
    </row>
    <row r="4474" ht="15" customHeight="1">
      <c r="A4474" t="inlineStr">
        <is>
          <t>A 25543-2024</t>
        </is>
      </c>
      <c r="B4474" s="1" t="n">
        <v>45463.56653935185</v>
      </c>
      <c r="C4474" s="1" t="n">
        <v>46185</v>
      </c>
      <c r="D4474" t="inlineStr">
        <is>
          <t>VÄSTERNORRLANDS LÄN</t>
        </is>
      </c>
      <c r="E4474" t="inlineStr">
        <is>
          <t>ÖRNSKÖLDSVIK</t>
        </is>
      </c>
      <c r="F4474" t="inlineStr">
        <is>
          <t>Holmen skog AB</t>
        </is>
      </c>
      <c r="G4474" t="n">
        <v>6.6</v>
      </c>
      <c r="H4474" t="n">
        <v>0</v>
      </c>
      <c r="I4474" t="n">
        <v>0</v>
      </c>
      <c r="J4474" t="n">
        <v>0</v>
      </c>
      <c r="K4474" t="n">
        <v>0</v>
      </c>
      <c r="L4474" t="n">
        <v>0</v>
      </c>
      <c r="M4474" t="n">
        <v>0</v>
      </c>
      <c r="N4474" t="n">
        <v>0</v>
      </c>
      <c r="O4474" t="n">
        <v>0</v>
      </c>
      <c r="P4474" t="n">
        <v>0</v>
      </c>
      <c r="Q4474" t="n">
        <v>0</v>
      </c>
      <c r="R4474" s="2" t="inlineStr"/>
    </row>
    <row r="4475" ht="15" customHeight="1">
      <c r="A4475" t="inlineStr">
        <is>
          <t>A 7959-2025</t>
        </is>
      </c>
      <c r="B4475" s="1" t="n">
        <v>45707.43788194445</v>
      </c>
      <c r="C4475" s="1" t="n">
        <v>46185</v>
      </c>
      <c r="D4475" t="inlineStr">
        <is>
          <t>VÄSTERNORRLANDS LÄN</t>
        </is>
      </c>
      <c r="E4475" t="inlineStr">
        <is>
          <t>SUNDSVALL</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48336-2025</t>
        </is>
      </c>
      <c r="B4476" s="1" t="n">
        <v>45933</v>
      </c>
      <c r="C4476" s="1" t="n">
        <v>46185</v>
      </c>
      <c r="D4476" t="inlineStr">
        <is>
          <t>VÄSTERNORRLANDS LÄN</t>
        </is>
      </c>
      <c r="E4476" t="inlineStr">
        <is>
          <t>SUNDSVALL</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36960-2025</t>
        </is>
      </c>
      <c r="B4477" s="1" t="n">
        <v>45874.61506944444</v>
      </c>
      <c r="C4477" s="1" t="n">
        <v>46185</v>
      </c>
      <c r="D4477" t="inlineStr">
        <is>
          <t>VÄSTERNORRLANDS LÄN</t>
        </is>
      </c>
      <c r="E4477" t="inlineStr">
        <is>
          <t>HÄRNÖSAND</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46775-2024</t>
        </is>
      </c>
      <c r="B4478" s="1" t="n">
        <v>45583.49711805556</v>
      </c>
      <c r="C4478" s="1" t="n">
        <v>46185</v>
      </c>
      <c r="D4478" t="inlineStr">
        <is>
          <t>VÄSTERNORRLANDS LÄN</t>
        </is>
      </c>
      <c r="E4478" t="inlineStr">
        <is>
          <t>ÅNGE</t>
        </is>
      </c>
      <c r="F4478" t="inlineStr">
        <is>
          <t>SCA</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46780-2024</t>
        </is>
      </c>
      <c r="B4479" s="1" t="n">
        <v>45583.51076388889</v>
      </c>
      <c r="C4479" s="1" t="n">
        <v>46185</v>
      </c>
      <c r="D4479" t="inlineStr">
        <is>
          <t>VÄSTERNORRLANDS LÄN</t>
        </is>
      </c>
      <c r="E4479" t="inlineStr">
        <is>
          <t>ÅNGE</t>
        </is>
      </c>
      <c r="F4479" t="inlineStr">
        <is>
          <t>SCA</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36811-2025</t>
        </is>
      </c>
      <c r="B4480" s="1" t="n">
        <v>45873</v>
      </c>
      <c r="C4480" s="1" t="n">
        <v>46185</v>
      </c>
      <c r="D4480" t="inlineStr">
        <is>
          <t>VÄSTERNORRLANDS LÄN</t>
        </is>
      </c>
      <c r="E4480" t="inlineStr">
        <is>
          <t>ÖRNSKÖLDSVIK</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48713-2025</t>
        </is>
      </c>
      <c r="B4481" s="1" t="n">
        <v>45936.63592592593</v>
      </c>
      <c r="C4481" s="1" t="n">
        <v>46185</v>
      </c>
      <c r="D4481" t="inlineStr">
        <is>
          <t>VÄSTERNORRLANDS LÄN</t>
        </is>
      </c>
      <c r="E4481" t="inlineStr">
        <is>
          <t>SOLLEFTEÅ</t>
        </is>
      </c>
      <c r="F4481" t="inlineStr">
        <is>
          <t>SCA</t>
        </is>
      </c>
      <c r="G4481" t="n">
        <v>24.2</v>
      </c>
      <c r="H4481" t="n">
        <v>0</v>
      </c>
      <c r="I4481" t="n">
        <v>0</v>
      </c>
      <c r="J4481" t="n">
        <v>0</v>
      </c>
      <c r="K4481" t="n">
        <v>0</v>
      </c>
      <c r="L4481" t="n">
        <v>0</v>
      </c>
      <c r="M4481" t="n">
        <v>0</v>
      </c>
      <c r="N4481" t="n">
        <v>0</v>
      </c>
      <c r="O4481" t="n">
        <v>0</v>
      </c>
      <c r="P4481" t="n">
        <v>0</v>
      </c>
      <c r="Q4481" t="n">
        <v>0</v>
      </c>
      <c r="R4481" s="2" t="inlineStr"/>
    </row>
    <row r="4482" ht="15" customHeight="1">
      <c r="A4482" t="inlineStr">
        <is>
          <t>A 48322-2025</t>
        </is>
      </c>
      <c r="B4482" s="1" t="n">
        <v>45933.62678240741</v>
      </c>
      <c r="C4482" s="1" t="n">
        <v>46185</v>
      </c>
      <c r="D4482" t="inlineStr">
        <is>
          <t>VÄSTERNORRLANDS LÄN</t>
        </is>
      </c>
      <c r="E4482" t="inlineStr">
        <is>
          <t>ÖRNSKÖLDSVIK</t>
        </is>
      </c>
      <c r="F4482" t="inlineStr">
        <is>
          <t>Holmen skog AB</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48340-2025</t>
        </is>
      </c>
      <c r="B4483" s="1" t="n">
        <v>45933.64240740741</v>
      </c>
      <c r="C4483" s="1" t="n">
        <v>46185</v>
      </c>
      <c r="D4483" t="inlineStr">
        <is>
          <t>VÄSTERNORRLANDS LÄN</t>
        </is>
      </c>
      <c r="E4483" t="inlineStr">
        <is>
          <t>SOLLEFTEÅ</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18880-2024</t>
        </is>
      </c>
      <c r="B4484" s="1" t="n">
        <v>45426</v>
      </c>
      <c r="C4484" s="1" t="n">
        <v>46185</v>
      </c>
      <c r="D4484" t="inlineStr">
        <is>
          <t>VÄSTERNORRLANDS LÄN</t>
        </is>
      </c>
      <c r="E4484" t="inlineStr">
        <is>
          <t>ÅNGE</t>
        </is>
      </c>
      <c r="F4484" t="inlineStr">
        <is>
          <t>SCA</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48350-2025</t>
        </is>
      </c>
      <c r="B4485" s="1" t="n">
        <v>45933.65699074074</v>
      </c>
      <c r="C4485" s="1" t="n">
        <v>46185</v>
      </c>
      <c r="D4485" t="inlineStr">
        <is>
          <t>VÄSTERNORRLANDS LÄN</t>
        </is>
      </c>
      <c r="E4485" t="inlineStr">
        <is>
          <t>SUNDSVALL</t>
        </is>
      </c>
      <c r="F4485" t="inlineStr">
        <is>
          <t>SCA</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48740-2025</t>
        </is>
      </c>
      <c r="B4486" s="1" t="n">
        <v>45936.67753472222</v>
      </c>
      <c r="C4486" s="1" t="n">
        <v>46185</v>
      </c>
      <c r="D4486" t="inlineStr">
        <is>
          <t>VÄSTERNORRLANDS LÄN</t>
        </is>
      </c>
      <c r="E4486" t="inlineStr">
        <is>
          <t>ÖRNSKÖLDSVIK</t>
        </is>
      </c>
      <c r="F4486" t="inlineStr">
        <is>
          <t>SCA</t>
        </is>
      </c>
      <c r="G4486" t="n">
        <v>7.6</v>
      </c>
      <c r="H4486" t="n">
        <v>0</v>
      </c>
      <c r="I4486" t="n">
        <v>0</v>
      </c>
      <c r="J4486" t="n">
        <v>0</v>
      </c>
      <c r="K4486" t="n">
        <v>0</v>
      </c>
      <c r="L4486" t="n">
        <v>0</v>
      </c>
      <c r="M4486" t="n">
        <v>0</v>
      </c>
      <c r="N4486" t="n">
        <v>0</v>
      </c>
      <c r="O4486" t="n">
        <v>0</v>
      </c>
      <c r="P4486" t="n">
        <v>0</v>
      </c>
      <c r="Q4486" t="n">
        <v>0</v>
      </c>
      <c r="R4486" s="2" t="inlineStr"/>
    </row>
    <row r="4487" ht="15" customHeight="1">
      <c r="A4487" t="inlineStr">
        <is>
          <t>A 48603-2025</t>
        </is>
      </c>
      <c r="B4487" s="1" t="n">
        <v>45936.46928240741</v>
      </c>
      <c r="C4487" s="1" t="n">
        <v>46185</v>
      </c>
      <c r="D4487" t="inlineStr">
        <is>
          <t>VÄSTERNORRLANDS LÄN</t>
        </is>
      </c>
      <c r="E4487" t="inlineStr">
        <is>
          <t>SOLLEFTEÅ</t>
        </is>
      </c>
      <c r="F4487" t="inlineStr">
        <is>
          <t>SCA</t>
        </is>
      </c>
      <c r="G4487" t="n">
        <v>25.6</v>
      </c>
      <c r="H4487" t="n">
        <v>0</v>
      </c>
      <c r="I4487" t="n">
        <v>0</v>
      </c>
      <c r="J4487" t="n">
        <v>0</v>
      </c>
      <c r="K4487" t="n">
        <v>0</v>
      </c>
      <c r="L4487" t="n">
        <v>0</v>
      </c>
      <c r="M4487" t="n">
        <v>0</v>
      </c>
      <c r="N4487" t="n">
        <v>0</v>
      </c>
      <c r="O4487" t="n">
        <v>0</v>
      </c>
      <c r="P4487" t="n">
        <v>0</v>
      </c>
      <c r="Q4487" t="n">
        <v>0</v>
      </c>
      <c r="R4487" s="2" t="inlineStr"/>
    </row>
    <row r="4488" ht="15" customHeight="1">
      <c r="A4488" t="inlineStr">
        <is>
          <t>A 48402-2025</t>
        </is>
      </c>
      <c r="B4488" s="1" t="n">
        <v>45934.34449074074</v>
      </c>
      <c r="C4488" s="1" t="n">
        <v>46185</v>
      </c>
      <c r="D4488" t="inlineStr">
        <is>
          <t>VÄSTERNORRLANDS LÄN</t>
        </is>
      </c>
      <c r="E4488" t="inlineStr">
        <is>
          <t>SUNDSVALL</t>
        </is>
      </c>
      <c r="F4488" t="inlineStr">
        <is>
          <t>SCA</t>
        </is>
      </c>
      <c r="G4488" t="n">
        <v>15.2</v>
      </c>
      <c r="H4488" t="n">
        <v>0</v>
      </c>
      <c r="I4488" t="n">
        <v>0</v>
      </c>
      <c r="J4488" t="n">
        <v>0</v>
      </c>
      <c r="K4488" t="n">
        <v>0</v>
      </c>
      <c r="L4488" t="n">
        <v>0</v>
      </c>
      <c r="M4488" t="n">
        <v>0</v>
      </c>
      <c r="N4488" t="n">
        <v>0</v>
      </c>
      <c r="O4488" t="n">
        <v>0</v>
      </c>
      <c r="P4488" t="n">
        <v>0</v>
      </c>
      <c r="Q4488" t="n">
        <v>0</v>
      </c>
      <c r="R4488" s="2" t="inlineStr"/>
    </row>
    <row r="4489" ht="15" customHeight="1">
      <c r="A4489" t="inlineStr">
        <is>
          <t>A 36933-2025</t>
        </is>
      </c>
      <c r="B4489" s="1" t="n">
        <v>45874.56565972222</v>
      </c>
      <c r="C4489" s="1" t="n">
        <v>46185</v>
      </c>
      <c r="D4489" t="inlineStr">
        <is>
          <t>VÄSTERNORRLANDS LÄN</t>
        </is>
      </c>
      <c r="E4489" t="inlineStr">
        <is>
          <t>KRAMFORS</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2534-2026</t>
        </is>
      </c>
      <c r="B4490" s="1" t="n">
        <v>46037.44837962963</v>
      </c>
      <c r="C4490" s="1" t="n">
        <v>46185</v>
      </c>
      <c r="D4490" t="inlineStr">
        <is>
          <t>VÄSTERNORRLANDS LÄN</t>
        </is>
      </c>
      <c r="E4490" t="inlineStr">
        <is>
          <t>SUNDSVALL</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48233-2025</t>
        </is>
      </c>
      <c r="B4491" s="1" t="n">
        <v>45933.53196759259</v>
      </c>
      <c r="C4491" s="1" t="n">
        <v>46185</v>
      </c>
      <c r="D4491" t="inlineStr">
        <is>
          <t>VÄSTERNORRLANDS LÄN</t>
        </is>
      </c>
      <c r="E4491" t="inlineStr">
        <is>
          <t>SUNDSVALL</t>
        </is>
      </c>
      <c r="F4491" t="inlineStr">
        <is>
          <t>SCA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48192-2025</t>
        </is>
      </c>
      <c r="B4492" s="1" t="n">
        <v>45933.4696875</v>
      </c>
      <c r="C4492" s="1" t="n">
        <v>46185</v>
      </c>
      <c r="D4492" t="inlineStr">
        <is>
          <t>VÄSTERNORRLANDS LÄN</t>
        </is>
      </c>
      <c r="E4492" t="inlineStr">
        <is>
          <t>SUNDSVALL</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48441-2025</t>
        </is>
      </c>
      <c r="B4493" s="1" t="n">
        <v>45935.53166666667</v>
      </c>
      <c r="C4493" s="1" t="n">
        <v>46185</v>
      </c>
      <c r="D4493" t="inlineStr">
        <is>
          <t>VÄSTERNORRLANDS LÄN</t>
        </is>
      </c>
      <c r="E4493" t="inlineStr">
        <is>
          <t>KRAMFORS</t>
        </is>
      </c>
      <c r="F4493" t="inlineStr">
        <is>
          <t>SCA</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2840-2026</t>
        </is>
      </c>
      <c r="B4494" s="1" t="n">
        <v>46038.46921296296</v>
      </c>
      <c r="C4494" s="1" t="n">
        <v>46185</v>
      </c>
      <c r="D4494" t="inlineStr">
        <is>
          <t>VÄSTERNORRLANDS LÄN</t>
        </is>
      </c>
      <c r="E4494" t="inlineStr">
        <is>
          <t>ÖRNSKÖLDSVIK</t>
        </is>
      </c>
      <c r="F4494" t="inlineStr">
        <is>
          <t>SCA</t>
        </is>
      </c>
      <c r="G4494" t="n">
        <v>11.4</v>
      </c>
      <c r="H4494" t="n">
        <v>0</v>
      </c>
      <c r="I4494" t="n">
        <v>0</v>
      </c>
      <c r="J4494" t="n">
        <v>0</v>
      </c>
      <c r="K4494" t="n">
        <v>0</v>
      </c>
      <c r="L4494" t="n">
        <v>0</v>
      </c>
      <c r="M4494" t="n">
        <v>0</v>
      </c>
      <c r="N4494" t="n">
        <v>0</v>
      </c>
      <c r="O4494" t="n">
        <v>0</v>
      </c>
      <c r="P4494" t="n">
        <v>0</v>
      </c>
      <c r="Q4494" t="n">
        <v>0</v>
      </c>
      <c r="R4494" s="2" t="inlineStr"/>
    </row>
    <row r="4495" ht="15" customHeight="1">
      <c r="A4495" t="inlineStr">
        <is>
          <t>A 36967-2025</t>
        </is>
      </c>
      <c r="B4495" s="1" t="n">
        <v>45874.63642361111</v>
      </c>
      <c r="C4495" s="1" t="n">
        <v>46185</v>
      </c>
      <c r="D4495" t="inlineStr">
        <is>
          <t>VÄSTERNORRLANDS LÄN</t>
        </is>
      </c>
      <c r="E4495" t="inlineStr">
        <is>
          <t>SOLLEFTEÅ</t>
        </is>
      </c>
      <c r="F4495" t="inlineStr">
        <is>
          <t>SCA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29956-2023</t>
        </is>
      </c>
      <c r="B4496" s="1" t="n">
        <v>45107</v>
      </c>
      <c r="C4496" s="1" t="n">
        <v>46185</v>
      </c>
      <c r="D4496" t="inlineStr">
        <is>
          <t>VÄSTERNORRLANDS LÄN</t>
        </is>
      </c>
      <c r="E4496" t="inlineStr">
        <is>
          <t>SOLLEFTEÅ</t>
        </is>
      </c>
      <c r="F4496" t="inlineStr">
        <is>
          <t>SCA</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8742-2024</t>
        </is>
      </c>
      <c r="B4497" s="1" t="n">
        <v>45356.48425925926</v>
      </c>
      <c r="C4497" s="1" t="n">
        <v>46185</v>
      </c>
      <c r="D4497" t="inlineStr">
        <is>
          <t>VÄSTERNORRLANDS LÄN</t>
        </is>
      </c>
      <c r="E4497" t="inlineStr">
        <is>
          <t>KRAMFORS</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36876-2025</t>
        </is>
      </c>
      <c r="B4498" s="1" t="n">
        <v>45874</v>
      </c>
      <c r="C4498" s="1" t="n">
        <v>46185</v>
      </c>
      <c r="D4498" t="inlineStr">
        <is>
          <t>VÄSTERNORRLANDS LÄN</t>
        </is>
      </c>
      <c r="E4498" t="inlineStr">
        <is>
          <t>KRAMFORS</t>
        </is>
      </c>
      <c r="G4498" t="n">
        <v>15.8</v>
      </c>
      <c r="H4498" t="n">
        <v>0</v>
      </c>
      <c r="I4498" t="n">
        <v>0</v>
      </c>
      <c r="J4498" t="n">
        <v>0</v>
      </c>
      <c r="K4498" t="n">
        <v>0</v>
      </c>
      <c r="L4498" t="n">
        <v>0</v>
      </c>
      <c r="M4498" t="n">
        <v>0</v>
      </c>
      <c r="N4498" t="n">
        <v>0</v>
      </c>
      <c r="O4498" t="n">
        <v>0</v>
      </c>
      <c r="P4498" t="n">
        <v>0</v>
      </c>
      <c r="Q4498" t="n">
        <v>0</v>
      </c>
      <c r="R4498" s="2" t="inlineStr"/>
    </row>
    <row r="4499" ht="15" customHeight="1">
      <c r="A4499" t="inlineStr">
        <is>
          <t>A 39799-2024</t>
        </is>
      </c>
      <c r="B4499" s="1" t="n">
        <v>45553.34415509259</v>
      </c>
      <c r="C4499" s="1" t="n">
        <v>46185</v>
      </c>
      <c r="D4499" t="inlineStr">
        <is>
          <t>VÄSTERNORRLANDS LÄN</t>
        </is>
      </c>
      <c r="E4499" t="inlineStr">
        <is>
          <t>SOLLEFTEÅ</t>
        </is>
      </c>
      <c r="F4499" t="inlineStr">
        <is>
          <t>SCA</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48306-2025</t>
        </is>
      </c>
      <c r="B4500" s="1" t="n">
        <v>45933.615</v>
      </c>
      <c r="C4500" s="1" t="n">
        <v>46185</v>
      </c>
      <c r="D4500" t="inlineStr">
        <is>
          <t>VÄSTERNORRLANDS LÄN</t>
        </is>
      </c>
      <c r="E4500" t="inlineStr">
        <is>
          <t>SOLLEFTEÅ</t>
        </is>
      </c>
      <c r="F4500" t="inlineStr">
        <is>
          <t>SCA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48472-2025</t>
        </is>
      </c>
      <c r="B4501" s="1" t="n">
        <v>45936.34538194445</v>
      </c>
      <c r="C4501" s="1" t="n">
        <v>46185</v>
      </c>
      <c r="D4501" t="inlineStr">
        <is>
          <t>VÄSTERNORRLANDS LÄN</t>
        </is>
      </c>
      <c r="E4501" t="inlineStr">
        <is>
          <t>SUNDSVALL</t>
        </is>
      </c>
      <c r="F4501" t="inlineStr">
        <is>
          <t>SCA</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17211-2022</t>
        </is>
      </c>
      <c r="B4502" s="1" t="n">
        <v>44677</v>
      </c>
      <c r="C4502" s="1" t="n">
        <v>46185</v>
      </c>
      <c r="D4502" t="inlineStr">
        <is>
          <t>VÄSTERNORRLANDS LÄN</t>
        </is>
      </c>
      <c r="E4502" t="inlineStr">
        <is>
          <t>SUNDSVALL</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17219-2022</t>
        </is>
      </c>
      <c r="B4503" s="1" t="n">
        <v>44677</v>
      </c>
      <c r="C4503" s="1" t="n">
        <v>46185</v>
      </c>
      <c r="D4503" t="inlineStr">
        <is>
          <t>VÄSTERNORRLANDS LÄN</t>
        </is>
      </c>
      <c r="E4503" t="inlineStr">
        <is>
          <t>ÖRNSKÖLDSVIK</t>
        </is>
      </c>
      <c r="F4503" t="inlineStr">
        <is>
          <t>SCA</t>
        </is>
      </c>
      <c r="G4503" t="n">
        <v>8.6</v>
      </c>
      <c r="H4503" t="n">
        <v>0</v>
      </c>
      <c r="I4503" t="n">
        <v>0</v>
      </c>
      <c r="J4503" t="n">
        <v>0</v>
      </c>
      <c r="K4503" t="n">
        <v>0</v>
      </c>
      <c r="L4503" t="n">
        <v>0</v>
      </c>
      <c r="M4503" t="n">
        <v>0</v>
      </c>
      <c r="N4503" t="n">
        <v>0</v>
      </c>
      <c r="O4503" t="n">
        <v>0</v>
      </c>
      <c r="P4503" t="n">
        <v>0</v>
      </c>
      <c r="Q4503" t="n">
        <v>0</v>
      </c>
      <c r="R4503" s="2" t="inlineStr"/>
    </row>
    <row r="4504" ht="15" customHeight="1">
      <c r="A4504" t="inlineStr">
        <is>
          <t>A 48721-2025</t>
        </is>
      </c>
      <c r="B4504" s="1" t="n">
        <v>45936.64701388889</v>
      </c>
      <c r="C4504" s="1" t="n">
        <v>46185</v>
      </c>
      <c r="D4504" t="inlineStr">
        <is>
          <t>VÄSTERNORRLANDS LÄN</t>
        </is>
      </c>
      <c r="E4504" t="inlineStr">
        <is>
          <t>HÄRNÖSAND</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4123-2023</t>
        </is>
      </c>
      <c r="B4505" s="1" t="n">
        <v>44952</v>
      </c>
      <c r="C4505" s="1" t="n">
        <v>46185</v>
      </c>
      <c r="D4505" t="inlineStr">
        <is>
          <t>VÄSTERNORRLANDS LÄN</t>
        </is>
      </c>
      <c r="E4505" t="inlineStr">
        <is>
          <t>TIMRÅ</t>
        </is>
      </c>
      <c r="G4505" t="n">
        <v>9.5</v>
      </c>
      <c r="H4505" t="n">
        <v>0</v>
      </c>
      <c r="I4505" t="n">
        <v>0</v>
      </c>
      <c r="J4505" t="n">
        <v>0</v>
      </c>
      <c r="K4505" t="n">
        <v>0</v>
      </c>
      <c r="L4505" t="n">
        <v>0</v>
      </c>
      <c r="M4505" t="n">
        <v>0</v>
      </c>
      <c r="N4505" t="n">
        <v>0</v>
      </c>
      <c r="O4505" t="n">
        <v>0</v>
      </c>
      <c r="P4505" t="n">
        <v>0</v>
      </c>
      <c r="Q4505" t="n">
        <v>0</v>
      </c>
      <c r="R4505" s="2" t="inlineStr"/>
    </row>
    <row r="4506" ht="15" customHeight="1">
      <c r="A4506" t="inlineStr">
        <is>
          <t>A 2814-2026</t>
        </is>
      </c>
      <c r="B4506" s="1" t="n">
        <v>46038.42410879629</v>
      </c>
      <c r="C4506" s="1" t="n">
        <v>46185</v>
      </c>
      <c r="D4506" t="inlineStr">
        <is>
          <t>VÄSTERNORRLANDS LÄN</t>
        </is>
      </c>
      <c r="E4506" t="inlineStr">
        <is>
          <t>HÄRNÖSAND</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20097-2022</t>
        </is>
      </c>
      <c r="B4507" s="1" t="n">
        <v>44698.32898148148</v>
      </c>
      <c r="C4507" s="1" t="n">
        <v>46185</v>
      </c>
      <c r="D4507" t="inlineStr">
        <is>
          <t>VÄSTERNORRLANDS LÄN</t>
        </is>
      </c>
      <c r="E4507" t="inlineStr">
        <is>
          <t>ÖRNSKÖLDSVIK</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20229-2022</t>
        </is>
      </c>
      <c r="B4508" s="1" t="n">
        <v>44698.61150462963</v>
      </c>
      <c r="C4508" s="1" t="n">
        <v>46185</v>
      </c>
      <c r="D4508" t="inlineStr">
        <is>
          <t>VÄSTERNORRLANDS LÄN</t>
        </is>
      </c>
      <c r="E4508" t="inlineStr">
        <is>
          <t>ÅNGE</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48239-2025</t>
        </is>
      </c>
      <c r="B4509" s="1" t="n">
        <v>45933.53252314815</v>
      </c>
      <c r="C4509" s="1" t="n">
        <v>46185</v>
      </c>
      <c r="D4509" t="inlineStr">
        <is>
          <t>VÄSTERNORRLANDS LÄN</t>
        </is>
      </c>
      <c r="E4509" t="inlineStr">
        <is>
          <t>SUNDSVALL</t>
        </is>
      </c>
      <c r="F4509" t="inlineStr">
        <is>
          <t>SCA</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2408-2023</t>
        </is>
      </c>
      <c r="B4510" s="1" t="n">
        <v>44942</v>
      </c>
      <c r="C4510" s="1" t="n">
        <v>46185</v>
      </c>
      <c r="D4510" t="inlineStr">
        <is>
          <t>VÄSTERNORRLANDS LÄN</t>
        </is>
      </c>
      <c r="E4510" t="inlineStr">
        <is>
          <t>SOLLEFTEÅ</t>
        </is>
      </c>
      <c r="F4510" t="inlineStr">
        <is>
          <t>SCA</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36065-2025</t>
        </is>
      </c>
      <c r="B4511" s="1" t="n">
        <v>45866</v>
      </c>
      <c r="C4511" s="1" t="n">
        <v>46185</v>
      </c>
      <c r="D4511" t="inlineStr">
        <is>
          <t>VÄSTERNORRLANDS LÄN</t>
        </is>
      </c>
      <c r="E4511" t="inlineStr">
        <is>
          <t>SOLLEFTEÅ</t>
        </is>
      </c>
      <c r="F4511" t="inlineStr">
        <is>
          <t>SCA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36667-2025</t>
        </is>
      </c>
      <c r="B4512" s="1" t="n">
        <v>45873.381875</v>
      </c>
      <c r="C4512" s="1" t="n">
        <v>46185</v>
      </c>
      <c r="D4512" t="inlineStr">
        <is>
          <t>VÄSTERNORRLANDS LÄN</t>
        </is>
      </c>
      <c r="E4512" t="inlineStr">
        <is>
          <t>SUNDSVALL</t>
        </is>
      </c>
      <c r="F4512" t="inlineStr">
        <is>
          <t>Holmen skog AB</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24996-2024</t>
        </is>
      </c>
      <c r="B4513" s="1" t="n">
        <v>45461.7502662037</v>
      </c>
      <c r="C4513" s="1" t="n">
        <v>46185</v>
      </c>
      <c r="D4513" t="inlineStr">
        <is>
          <t>VÄSTERNORRLANDS LÄN</t>
        </is>
      </c>
      <c r="E4513" t="inlineStr">
        <is>
          <t>ÖRNSKÖLDSVIK</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25024-2024</t>
        </is>
      </c>
      <c r="B4514" s="1" t="n">
        <v>45461</v>
      </c>
      <c r="C4514" s="1" t="n">
        <v>46185</v>
      </c>
      <c r="D4514" t="inlineStr">
        <is>
          <t>VÄSTERNORRLANDS LÄN</t>
        </is>
      </c>
      <c r="E4514" t="inlineStr">
        <is>
          <t>SUNDSVALL</t>
        </is>
      </c>
      <c r="F4514" t="inlineStr">
        <is>
          <t>SCA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25032-2024</t>
        </is>
      </c>
      <c r="B4515" s="1" t="n">
        <v>45461.96425925926</v>
      </c>
      <c r="C4515" s="1" t="n">
        <v>46185</v>
      </c>
      <c r="D4515" t="inlineStr">
        <is>
          <t>VÄSTERNORRLANDS LÄN</t>
        </is>
      </c>
      <c r="E4515" t="inlineStr">
        <is>
          <t>KRAMFORS</t>
        </is>
      </c>
      <c r="F4515" t="inlineStr">
        <is>
          <t>SCA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36927-2025</t>
        </is>
      </c>
      <c r="B4516" s="1" t="n">
        <v>45874.55273148148</v>
      </c>
      <c r="C4516" s="1" t="n">
        <v>46185</v>
      </c>
      <c r="D4516" t="inlineStr">
        <is>
          <t>VÄSTERNORRLANDS LÄN</t>
        </is>
      </c>
      <c r="E4516" t="inlineStr">
        <is>
          <t>SOLLEFTEÅ</t>
        </is>
      </c>
      <c r="F4516" t="inlineStr">
        <is>
          <t>SCA</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41091-2024</t>
        </is>
      </c>
      <c r="B4517" s="1" t="n">
        <v>45559.42767361111</v>
      </c>
      <c r="C4517" s="1" t="n">
        <v>46185</v>
      </c>
      <c r="D4517" t="inlineStr">
        <is>
          <t>VÄSTERNORRLANDS LÄN</t>
        </is>
      </c>
      <c r="E4517" t="inlineStr">
        <is>
          <t>SUNDSVALL</t>
        </is>
      </c>
      <c r="F4517" t="inlineStr">
        <is>
          <t>SCA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48282-2025</t>
        </is>
      </c>
      <c r="B4518" s="1" t="n">
        <v>45933.58826388889</v>
      </c>
      <c r="C4518" s="1" t="n">
        <v>46185</v>
      </c>
      <c r="D4518" t="inlineStr">
        <is>
          <t>VÄSTERNORRLANDS LÄN</t>
        </is>
      </c>
      <c r="E4518" t="inlineStr">
        <is>
          <t>ÖRNSKÖLDSVIK</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48308-2025</t>
        </is>
      </c>
      <c r="B4519" s="1" t="n">
        <v>45933</v>
      </c>
      <c r="C4519" s="1" t="n">
        <v>46185</v>
      </c>
      <c r="D4519" t="inlineStr">
        <is>
          <t>VÄSTERNORRLANDS LÄN</t>
        </is>
      </c>
      <c r="E4519" t="inlineStr">
        <is>
          <t>SOLLEFTEÅ</t>
        </is>
      </c>
      <c r="F4519" t="inlineStr">
        <is>
          <t>SCA</t>
        </is>
      </c>
      <c r="G4519" t="n">
        <v>10.2</v>
      </c>
      <c r="H4519" t="n">
        <v>0</v>
      </c>
      <c r="I4519" t="n">
        <v>0</v>
      </c>
      <c r="J4519" t="n">
        <v>0</v>
      </c>
      <c r="K4519" t="n">
        <v>0</v>
      </c>
      <c r="L4519" t="n">
        <v>0</v>
      </c>
      <c r="M4519" t="n">
        <v>0</v>
      </c>
      <c r="N4519" t="n">
        <v>0</v>
      </c>
      <c r="O4519" t="n">
        <v>0</v>
      </c>
      <c r="P4519" t="n">
        <v>0</v>
      </c>
      <c r="Q4519" t="n">
        <v>0</v>
      </c>
      <c r="R4519" s="2" t="inlineStr"/>
    </row>
    <row r="4520" ht="15" customHeight="1">
      <c r="A4520" t="inlineStr">
        <is>
          <t>A 36740-2025</t>
        </is>
      </c>
      <c r="B4520" s="1" t="n">
        <v>45873.53237268519</v>
      </c>
      <c r="C4520" s="1" t="n">
        <v>46185</v>
      </c>
      <c r="D4520" t="inlineStr">
        <is>
          <t>VÄSTERNORRLANDS LÄN</t>
        </is>
      </c>
      <c r="E4520" t="inlineStr">
        <is>
          <t>ÅNGE</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51717-2024</t>
        </is>
      </c>
      <c r="B4521" s="1" t="n">
        <v>45607.37754629629</v>
      </c>
      <c r="C4521" s="1" t="n">
        <v>46185</v>
      </c>
      <c r="D4521" t="inlineStr">
        <is>
          <t>VÄSTERNORRLANDS LÄN</t>
        </is>
      </c>
      <c r="E4521" t="inlineStr">
        <is>
          <t>ÖRNSKÖLDSVIK</t>
        </is>
      </c>
      <c r="F4521" t="inlineStr">
        <is>
          <t>Holmen skog AB</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48578-2025</t>
        </is>
      </c>
      <c r="B4522" s="1" t="n">
        <v>45936.45436342592</v>
      </c>
      <c r="C4522" s="1" t="n">
        <v>46185</v>
      </c>
      <c r="D4522" t="inlineStr">
        <is>
          <t>VÄSTERNORRLANDS LÄN</t>
        </is>
      </c>
      <c r="E4522" t="inlineStr">
        <is>
          <t>HÄRNÖSAND</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36805-2025</t>
        </is>
      </c>
      <c r="B4523" s="1" t="n">
        <v>45873.68559027778</v>
      </c>
      <c r="C4523" s="1" t="n">
        <v>46185</v>
      </c>
      <c r="D4523" t="inlineStr">
        <is>
          <t>VÄSTERNORRLANDS LÄN</t>
        </is>
      </c>
      <c r="E4523" t="inlineStr">
        <is>
          <t>KRAMFORS</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36850-2025</t>
        </is>
      </c>
      <c r="B4524" s="1" t="n">
        <v>45874.39098379629</v>
      </c>
      <c r="C4524" s="1" t="n">
        <v>46185</v>
      </c>
      <c r="D4524" t="inlineStr">
        <is>
          <t>VÄSTERNORRLANDS LÄN</t>
        </is>
      </c>
      <c r="E4524" t="inlineStr">
        <is>
          <t>SOLLEFTEÅ</t>
        </is>
      </c>
      <c r="G4524" t="n">
        <v>8.9</v>
      </c>
      <c r="H4524" t="n">
        <v>0</v>
      </c>
      <c r="I4524" t="n">
        <v>0</v>
      </c>
      <c r="J4524" t="n">
        <v>0</v>
      </c>
      <c r="K4524" t="n">
        <v>0</v>
      </c>
      <c r="L4524" t="n">
        <v>0</v>
      </c>
      <c r="M4524" t="n">
        <v>0</v>
      </c>
      <c r="N4524" t="n">
        <v>0</v>
      </c>
      <c r="O4524" t="n">
        <v>0</v>
      </c>
      <c r="P4524" t="n">
        <v>0</v>
      </c>
      <c r="Q4524" t="n">
        <v>0</v>
      </c>
      <c r="R4524" s="2" t="inlineStr"/>
    </row>
    <row r="4525" ht="15" customHeight="1">
      <c r="A4525" t="inlineStr">
        <is>
          <t>A 39317-2024</t>
        </is>
      </c>
      <c r="B4525" s="1" t="n">
        <v>45551.40878472223</v>
      </c>
      <c r="C4525" s="1" t="n">
        <v>46185</v>
      </c>
      <c r="D4525" t="inlineStr">
        <is>
          <t>VÄSTERNORRLANDS LÄN</t>
        </is>
      </c>
      <c r="E4525" t="inlineStr">
        <is>
          <t>ÖRNSKÖLDSVIK</t>
        </is>
      </c>
      <c r="F4525" t="inlineStr">
        <is>
          <t>Holmen skog AB</t>
        </is>
      </c>
      <c r="G4525" t="n">
        <v>7.4</v>
      </c>
      <c r="H4525" t="n">
        <v>0</v>
      </c>
      <c r="I4525" t="n">
        <v>0</v>
      </c>
      <c r="J4525" t="n">
        <v>0</v>
      </c>
      <c r="K4525" t="n">
        <v>0</v>
      </c>
      <c r="L4525" t="n">
        <v>0</v>
      </c>
      <c r="M4525" t="n">
        <v>0</v>
      </c>
      <c r="N4525" t="n">
        <v>0</v>
      </c>
      <c r="O4525" t="n">
        <v>0</v>
      </c>
      <c r="P4525" t="n">
        <v>0</v>
      </c>
      <c r="Q4525" t="n">
        <v>0</v>
      </c>
      <c r="R4525" s="2" t="inlineStr"/>
    </row>
    <row r="4526" ht="15" customHeight="1">
      <c r="A4526" t="inlineStr">
        <is>
          <t>A 48349-2025</t>
        </is>
      </c>
      <c r="B4526" s="1" t="n">
        <v>45933.65673611111</v>
      </c>
      <c r="C4526" s="1" t="n">
        <v>46185</v>
      </c>
      <c r="D4526" t="inlineStr">
        <is>
          <t>VÄSTERNORRLANDS LÄN</t>
        </is>
      </c>
      <c r="E4526" t="inlineStr">
        <is>
          <t>SOLLEFTEÅ</t>
        </is>
      </c>
      <c r="F4526" t="inlineStr">
        <is>
          <t>SCA</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48352-2025</t>
        </is>
      </c>
      <c r="B4527" s="1" t="n">
        <v>45933</v>
      </c>
      <c r="C4527" s="1" t="n">
        <v>46185</v>
      </c>
      <c r="D4527" t="inlineStr">
        <is>
          <t>VÄSTERNORRLANDS LÄN</t>
        </is>
      </c>
      <c r="E4527" t="inlineStr">
        <is>
          <t>SUNDSVALL</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48219-2025</t>
        </is>
      </c>
      <c r="B4528" s="1" t="n">
        <v>45933.5</v>
      </c>
      <c r="C4528" s="1" t="n">
        <v>46185</v>
      </c>
      <c r="D4528" t="inlineStr">
        <is>
          <t>VÄSTERNORRLANDS LÄN</t>
        </is>
      </c>
      <c r="E4528" t="inlineStr">
        <is>
          <t>ÖRNSKÖLDSVIK</t>
        </is>
      </c>
      <c r="G4528" t="n">
        <v>9.4</v>
      </c>
      <c r="H4528" t="n">
        <v>0</v>
      </c>
      <c r="I4528" t="n">
        <v>0</v>
      </c>
      <c r="J4528" t="n">
        <v>0</v>
      </c>
      <c r="K4528" t="n">
        <v>0</v>
      </c>
      <c r="L4528" t="n">
        <v>0</v>
      </c>
      <c r="M4528" t="n">
        <v>0</v>
      </c>
      <c r="N4528" t="n">
        <v>0</v>
      </c>
      <c r="O4528" t="n">
        <v>0</v>
      </c>
      <c r="P4528" t="n">
        <v>0</v>
      </c>
      <c r="Q4528" t="n">
        <v>0</v>
      </c>
      <c r="R4528" s="2" t="inlineStr"/>
    </row>
    <row r="4529" ht="15" customHeight="1">
      <c r="A4529" t="inlineStr">
        <is>
          <t>A 48665-2025</t>
        </is>
      </c>
      <c r="B4529" s="1" t="n">
        <v>45936.57366898148</v>
      </c>
      <c r="C4529" s="1" t="n">
        <v>46185</v>
      </c>
      <c r="D4529" t="inlineStr">
        <is>
          <t>VÄSTERNORRLANDS LÄN</t>
        </is>
      </c>
      <c r="E4529" t="inlineStr">
        <is>
          <t>ÖRNSKÖLDSVIK</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21637-2023</t>
        </is>
      </c>
      <c r="B4530" s="1" t="n">
        <v>45063</v>
      </c>
      <c r="C4530" s="1" t="n">
        <v>46185</v>
      </c>
      <c r="D4530" t="inlineStr">
        <is>
          <t>VÄSTERNORRLANDS LÄN</t>
        </is>
      </c>
      <c r="E4530" t="inlineStr">
        <is>
          <t>SUNDSVALL</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29671-2023</t>
        </is>
      </c>
      <c r="B4531" s="1" t="n">
        <v>45107</v>
      </c>
      <c r="C4531" s="1" t="n">
        <v>46185</v>
      </c>
      <c r="D4531" t="inlineStr">
        <is>
          <t>VÄSTERNORRLANDS LÄN</t>
        </is>
      </c>
      <c r="E4531" t="inlineStr">
        <is>
          <t>ÖRNSKÖLDSVIK</t>
        </is>
      </c>
      <c r="G4531" t="n">
        <v>7.9</v>
      </c>
      <c r="H4531" t="n">
        <v>0</v>
      </c>
      <c r="I4531" t="n">
        <v>0</v>
      </c>
      <c r="J4531" t="n">
        <v>0</v>
      </c>
      <c r="K4531" t="n">
        <v>0</v>
      </c>
      <c r="L4531" t="n">
        <v>0</v>
      </c>
      <c r="M4531" t="n">
        <v>0</v>
      </c>
      <c r="N4531" t="n">
        <v>0</v>
      </c>
      <c r="O4531" t="n">
        <v>0</v>
      </c>
      <c r="P4531" t="n">
        <v>0</v>
      </c>
      <c r="Q4531" t="n">
        <v>0</v>
      </c>
      <c r="R4531" s="2" t="inlineStr"/>
    </row>
    <row r="4532" ht="15" customHeight="1">
      <c r="A4532" t="inlineStr">
        <is>
          <t>A 36968-2025</t>
        </is>
      </c>
      <c r="B4532" s="1" t="n">
        <v>45874.63667824074</v>
      </c>
      <c r="C4532" s="1" t="n">
        <v>46185</v>
      </c>
      <c r="D4532" t="inlineStr">
        <is>
          <t>VÄSTERNORRLANDS LÄN</t>
        </is>
      </c>
      <c r="E4532" t="inlineStr">
        <is>
          <t>SOLLEFTEÅ</t>
        </is>
      </c>
      <c r="G4532" t="n">
        <v>7.1</v>
      </c>
      <c r="H4532" t="n">
        <v>0</v>
      </c>
      <c r="I4532" t="n">
        <v>0</v>
      </c>
      <c r="J4532" t="n">
        <v>0</v>
      </c>
      <c r="K4532" t="n">
        <v>0</v>
      </c>
      <c r="L4532" t="n">
        <v>0</v>
      </c>
      <c r="M4532" t="n">
        <v>0</v>
      </c>
      <c r="N4532" t="n">
        <v>0</v>
      </c>
      <c r="O4532" t="n">
        <v>0</v>
      </c>
      <c r="P4532" t="n">
        <v>0</v>
      </c>
      <c r="Q4532" t="n">
        <v>0</v>
      </c>
      <c r="R4532" s="2" t="inlineStr"/>
    </row>
    <row r="4533" ht="15" customHeight="1">
      <c r="A4533" t="inlineStr">
        <is>
          <t>A 36993-2025</t>
        </is>
      </c>
      <c r="B4533" s="1" t="n">
        <v>45874.6715625</v>
      </c>
      <c r="C4533" s="1" t="n">
        <v>46185</v>
      </c>
      <c r="D4533" t="inlineStr">
        <is>
          <t>VÄSTERNORRLANDS LÄN</t>
        </is>
      </c>
      <c r="E4533" t="inlineStr">
        <is>
          <t>HÄRNÖSAND</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46707-2025</t>
        </is>
      </c>
      <c r="B4534" s="1" t="n">
        <v>45926.56895833334</v>
      </c>
      <c r="C4534" s="1" t="n">
        <v>46185</v>
      </c>
      <c r="D4534" t="inlineStr">
        <is>
          <t>VÄSTERNORRLANDS LÄN</t>
        </is>
      </c>
      <c r="E4534" t="inlineStr">
        <is>
          <t>ÖRNSKÖLDSVIK</t>
        </is>
      </c>
      <c r="G4534" t="n">
        <v>6</v>
      </c>
      <c r="H4534" t="n">
        <v>0</v>
      </c>
      <c r="I4534" t="n">
        <v>0</v>
      </c>
      <c r="J4534" t="n">
        <v>0</v>
      </c>
      <c r="K4534" t="n">
        <v>0</v>
      </c>
      <c r="L4534" t="n">
        <v>0</v>
      </c>
      <c r="M4534" t="n">
        <v>0</v>
      </c>
      <c r="N4534" t="n">
        <v>0</v>
      </c>
      <c r="O4534" t="n">
        <v>0</v>
      </c>
      <c r="P4534" t="n">
        <v>0</v>
      </c>
      <c r="Q4534" t="n">
        <v>0</v>
      </c>
      <c r="R4534" s="2" t="inlineStr"/>
    </row>
    <row r="4535" ht="15" customHeight="1">
      <c r="A4535" t="inlineStr">
        <is>
          <t>A 37009-2025</t>
        </is>
      </c>
      <c r="B4535" s="1" t="n">
        <v>45874.70120370371</v>
      </c>
      <c r="C4535" s="1" t="n">
        <v>46185</v>
      </c>
      <c r="D4535" t="inlineStr">
        <is>
          <t>VÄSTERNORRLANDS LÄN</t>
        </is>
      </c>
      <c r="E4535" t="inlineStr">
        <is>
          <t>SUNDSVALL</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48583-2025</t>
        </is>
      </c>
      <c r="B4536" s="1" t="n">
        <v>45936.4578587963</v>
      </c>
      <c r="C4536" s="1" t="n">
        <v>46185</v>
      </c>
      <c r="D4536" t="inlineStr">
        <is>
          <t>VÄSTERNORRLANDS LÄN</t>
        </is>
      </c>
      <c r="E4536" t="inlineStr">
        <is>
          <t>KRAMFORS</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48588-2025</t>
        </is>
      </c>
      <c r="B4537" s="1" t="n">
        <v>45936.460625</v>
      </c>
      <c r="C4537" s="1" t="n">
        <v>46185</v>
      </c>
      <c r="D4537" t="inlineStr">
        <is>
          <t>VÄSTERNORRLANDS LÄN</t>
        </is>
      </c>
      <c r="E4537" t="inlineStr">
        <is>
          <t>KRAMFORS</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48633-2025</t>
        </is>
      </c>
      <c r="B4538" s="1" t="n">
        <v>45936.5117824074</v>
      </c>
      <c r="C4538" s="1" t="n">
        <v>46185</v>
      </c>
      <c r="D4538" t="inlineStr">
        <is>
          <t>VÄSTERNORRLANDS LÄN</t>
        </is>
      </c>
      <c r="E4538" t="inlineStr">
        <is>
          <t>HÄRNÖSAND</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2610-2026</t>
        </is>
      </c>
      <c r="B4539" s="1" t="n">
        <v>46037.58217592593</v>
      </c>
      <c r="C4539" s="1" t="n">
        <v>46185</v>
      </c>
      <c r="D4539" t="inlineStr">
        <is>
          <t>VÄSTERNORRLANDS LÄN</t>
        </is>
      </c>
      <c r="E4539" t="inlineStr">
        <is>
          <t>SUNDSVALL</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51547-2022</t>
        </is>
      </c>
      <c r="B4540" s="1" t="n">
        <v>44869</v>
      </c>
      <c r="C4540" s="1" t="n">
        <v>46185</v>
      </c>
      <c r="D4540" t="inlineStr">
        <is>
          <t>VÄSTERNORRLANDS LÄN</t>
        </is>
      </c>
      <c r="E4540" t="inlineStr">
        <is>
          <t>SUNDSVALL</t>
        </is>
      </c>
      <c r="F4540" t="inlineStr">
        <is>
          <t>SCA</t>
        </is>
      </c>
      <c r="G4540" t="n">
        <v>11.3</v>
      </c>
      <c r="H4540" t="n">
        <v>0</v>
      </c>
      <c r="I4540" t="n">
        <v>0</v>
      </c>
      <c r="J4540" t="n">
        <v>0</v>
      </c>
      <c r="K4540" t="n">
        <v>0</v>
      </c>
      <c r="L4540" t="n">
        <v>0</v>
      </c>
      <c r="M4540" t="n">
        <v>0</v>
      </c>
      <c r="N4540" t="n">
        <v>0</v>
      </c>
      <c r="O4540" t="n">
        <v>0</v>
      </c>
      <c r="P4540" t="n">
        <v>0</v>
      </c>
      <c r="Q4540" t="n">
        <v>0</v>
      </c>
      <c r="R4540" s="2" t="inlineStr"/>
    </row>
    <row r="4541" ht="15" customHeight="1">
      <c r="A4541" t="inlineStr">
        <is>
          <t>A 48629-2025</t>
        </is>
      </c>
      <c r="B4541" s="1" t="n">
        <v>45936.51148148148</v>
      </c>
      <c r="C4541" s="1" t="n">
        <v>46185</v>
      </c>
      <c r="D4541" t="inlineStr">
        <is>
          <t>VÄSTERNORRLANDS LÄN</t>
        </is>
      </c>
      <c r="E4541" t="inlineStr">
        <is>
          <t>SUNDSVALL</t>
        </is>
      </c>
      <c r="F4541" t="inlineStr">
        <is>
          <t>SCA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48630-2025</t>
        </is>
      </c>
      <c r="B4542" s="1" t="n">
        <v>45936.51167824074</v>
      </c>
      <c r="C4542" s="1" t="n">
        <v>46185</v>
      </c>
      <c r="D4542" t="inlineStr">
        <is>
          <t>VÄSTERNORRLANDS LÄN</t>
        </is>
      </c>
      <c r="E4542" t="inlineStr">
        <is>
          <t>HÄRNÖSAND</t>
        </is>
      </c>
      <c r="G4542" t="n">
        <v>4.7</v>
      </c>
      <c r="H4542" t="n">
        <v>0</v>
      </c>
      <c r="I4542" t="n">
        <v>0</v>
      </c>
      <c r="J4542" t="n">
        <v>0</v>
      </c>
      <c r="K4542" t="n">
        <v>0</v>
      </c>
      <c r="L4542" t="n">
        <v>0</v>
      </c>
      <c r="M4542" t="n">
        <v>0</v>
      </c>
      <c r="N4542" t="n">
        <v>0</v>
      </c>
      <c r="O4542" t="n">
        <v>0</v>
      </c>
      <c r="P4542" t="n">
        <v>0</v>
      </c>
      <c r="Q4542" t="n">
        <v>0</v>
      </c>
      <c r="R4542" s="2" t="inlineStr"/>
    </row>
    <row r="4543" ht="15" customHeight="1">
      <c r="A4543" t="inlineStr">
        <is>
          <t>A 48679-2025</t>
        </is>
      </c>
      <c r="B4543" s="1" t="n">
        <v>45936.59196759259</v>
      </c>
      <c r="C4543" s="1" t="n">
        <v>46185</v>
      </c>
      <c r="D4543" t="inlineStr">
        <is>
          <t>VÄSTERNORRLANDS LÄN</t>
        </is>
      </c>
      <c r="E4543" t="inlineStr">
        <is>
          <t>ÅNGE</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16937-2025</t>
        </is>
      </c>
      <c r="B4544" s="1" t="n">
        <v>45754</v>
      </c>
      <c r="C4544" s="1" t="n">
        <v>46185</v>
      </c>
      <c r="D4544" t="inlineStr">
        <is>
          <t>VÄSTERNORRLANDS LÄN</t>
        </is>
      </c>
      <c r="E4544" t="inlineStr">
        <is>
          <t>ÖRNSKÖLDSVIK</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48269-2025</t>
        </is>
      </c>
      <c r="B4545" s="1" t="n">
        <v>45933</v>
      </c>
      <c r="C4545" s="1" t="n">
        <v>46185</v>
      </c>
      <c r="D4545" t="inlineStr">
        <is>
          <t>VÄSTERNORRLANDS LÄN</t>
        </is>
      </c>
      <c r="E4545" t="inlineStr">
        <is>
          <t>ÖRNSKÖLDSVIK</t>
        </is>
      </c>
      <c r="F4545" t="inlineStr">
        <is>
          <t>Holmen skog AB</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48310-2025</t>
        </is>
      </c>
      <c r="B4546" s="1" t="n">
        <v>45933.61559027778</v>
      </c>
      <c r="C4546" s="1" t="n">
        <v>46185</v>
      </c>
      <c r="D4546" t="inlineStr">
        <is>
          <t>VÄSTERNORRLANDS LÄN</t>
        </is>
      </c>
      <c r="E4546" t="inlineStr">
        <is>
          <t>SOLLEFTEÅ</t>
        </is>
      </c>
      <c r="F4546" t="inlineStr">
        <is>
          <t>SCA</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48425-2025</t>
        </is>
      </c>
      <c r="B4547" s="1" t="n">
        <v>45934.6984837963</v>
      </c>
      <c r="C4547" s="1" t="n">
        <v>46185</v>
      </c>
      <c r="D4547" t="inlineStr">
        <is>
          <t>VÄSTERNORRLANDS LÄN</t>
        </is>
      </c>
      <c r="E4547" t="inlineStr">
        <is>
          <t>SOLLEFTEÅ</t>
        </is>
      </c>
      <c r="F4547" t="inlineStr">
        <is>
          <t>SCA</t>
        </is>
      </c>
      <c r="G4547" t="n">
        <v>7.4</v>
      </c>
      <c r="H4547" t="n">
        <v>0</v>
      </c>
      <c r="I4547" t="n">
        <v>0</v>
      </c>
      <c r="J4547" t="n">
        <v>0</v>
      </c>
      <c r="K4547" t="n">
        <v>0</v>
      </c>
      <c r="L4547" t="n">
        <v>0</v>
      </c>
      <c r="M4547" t="n">
        <v>0</v>
      </c>
      <c r="N4547" t="n">
        <v>0</v>
      </c>
      <c r="O4547" t="n">
        <v>0</v>
      </c>
      <c r="P4547" t="n">
        <v>0</v>
      </c>
      <c r="Q4547" t="n">
        <v>0</v>
      </c>
      <c r="R4547" s="2" t="inlineStr"/>
    </row>
    <row r="4548" ht="15" customHeight="1">
      <c r="A4548" t="inlineStr">
        <is>
          <t>A 56408-2024</t>
        </is>
      </c>
      <c r="B4548" s="1" t="n">
        <v>45625</v>
      </c>
      <c r="C4548" s="1" t="n">
        <v>46185</v>
      </c>
      <c r="D4548" t="inlineStr">
        <is>
          <t>VÄSTERNORRLANDS LÄN</t>
        </is>
      </c>
      <c r="E4548" t="inlineStr">
        <is>
          <t>SOLLEFTEÅ</t>
        </is>
      </c>
      <c r="F4548" t="inlineStr">
        <is>
          <t>SCA</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25350-2024</t>
        </is>
      </c>
      <c r="B4549" s="1" t="n">
        <v>45462</v>
      </c>
      <c r="C4549" s="1" t="n">
        <v>46185</v>
      </c>
      <c r="D4549" t="inlineStr">
        <is>
          <t>VÄSTERNORRLANDS LÄN</t>
        </is>
      </c>
      <c r="E4549" t="inlineStr">
        <is>
          <t>SUNDSVALL</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48136-2025</t>
        </is>
      </c>
      <c r="B4550" s="1" t="n">
        <v>45933.37855324074</v>
      </c>
      <c r="C4550" s="1" t="n">
        <v>46185</v>
      </c>
      <c r="D4550" t="inlineStr">
        <is>
          <t>VÄSTERNORRLANDS LÄN</t>
        </is>
      </c>
      <c r="E4550" t="inlineStr">
        <is>
          <t>SUNDSVALL</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25356-2024</t>
        </is>
      </c>
      <c r="B4551" s="1" t="n">
        <v>45462.9565162037</v>
      </c>
      <c r="C4551" s="1" t="n">
        <v>46185</v>
      </c>
      <c r="D4551" t="inlineStr">
        <is>
          <t>VÄSTERNORRLANDS LÄN</t>
        </is>
      </c>
      <c r="E4551" t="inlineStr">
        <is>
          <t>SOLLEFTEÅ</t>
        </is>
      </c>
      <c r="F4551" t="inlineStr">
        <is>
          <t>SCA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55895-2024</t>
        </is>
      </c>
      <c r="B4552" s="1" t="n">
        <v>45622</v>
      </c>
      <c r="C4552" s="1" t="n">
        <v>46185</v>
      </c>
      <c r="D4552" t="inlineStr">
        <is>
          <t>VÄSTERNORRLANDS LÄN</t>
        </is>
      </c>
      <c r="E4552" t="inlineStr">
        <is>
          <t>HÄRNÖSAND</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36928-2025</t>
        </is>
      </c>
      <c r="B4553" s="1" t="n">
        <v>45874.55299768518</v>
      </c>
      <c r="C4553" s="1" t="n">
        <v>46185</v>
      </c>
      <c r="D4553" t="inlineStr">
        <is>
          <t>VÄSTERNORRLANDS LÄN</t>
        </is>
      </c>
      <c r="E4553" t="inlineStr">
        <is>
          <t>SOLLEFTEÅ</t>
        </is>
      </c>
      <c r="G4553" t="n">
        <v>6.3</v>
      </c>
      <c r="H4553" t="n">
        <v>0</v>
      </c>
      <c r="I4553" t="n">
        <v>0</v>
      </c>
      <c r="J4553" t="n">
        <v>0</v>
      </c>
      <c r="K4553" t="n">
        <v>0</v>
      </c>
      <c r="L4553" t="n">
        <v>0</v>
      </c>
      <c r="M4553" t="n">
        <v>0</v>
      </c>
      <c r="N4553" t="n">
        <v>0</v>
      </c>
      <c r="O4553" t="n">
        <v>0</v>
      </c>
      <c r="P4553" t="n">
        <v>0</v>
      </c>
      <c r="Q4553" t="n">
        <v>0</v>
      </c>
      <c r="R4553" s="2" t="inlineStr"/>
    </row>
    <row r="4554" ht="15" customHeight="1">
      <c r="A4554" t="inlineStr">
        <is>
          <t>A 36958-2025</t>
        </is>
      </c>
      <c r="B4554" s="1" t="n">
        <v>45874.61498842593</v>
      </c>
      <c r="C4554" s="1" t="n">
        <v>46185</v>
      </c>
      <c r="D4554" t="inlineStr">
        <is>
          <t>VÄSTERNORRLANDS LÄN</t>
        </is>
      </c>
      <c r="E4554" t="inlineStr">
        <is>
          <t>HÄRNÖSAND</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36959-2025</t>
        </is>
      </c>
      <c r="B4555" s="1" t="n">
        <v>45874.61505787037</v>
      </c>
      <c r="C4555" s="1" t="n">
        <v>46185</v>
      </c>
      <c r="D4555" t="inlineStr">
        <is>
          <t>VÄSTERNORRLANDS LÄN</t>
        </is>
      </c>
      <c r="E4555" t="inlineStr">
        <is>
          <t>HÄRNÖSAND</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36972-2025</t>
        </is>
      </c>
      <c r="B4556" s="1" t="n">
        <v>45874.63732638889</v>
      </c>
      <c r="C4556" s="1" t="n">
        <v>46185</v>
      </c>
      <c r="D4556" t="inlineStr">
        <is>
          <t>VÄSTERNORRLANDS LÄN</t>
        </is>
      </c>
      <c r="E4556" t="inlineStr">
        <is>
          <t>SUNDSVALL</t>
        </is>
      </c>
      <c r="F4556" t="inlineStr">
        <is>
          <t>SCA</t>
        </is>
      </c>
      <c r="G4556" t="n">
        <v>9.9</v>
      </c>
      <c r="H4556" t="n">
        <v>0</v>
      </c>
      <c r="I4556" t="n">
        <v>0</v>
      </c>
      <c r="J4556" t="n">
        <v>0</v>
      </c>
      <c r="K4556" t="n">
        <v>0</v>
      </c>
      <c r="L4556" t="n">
        <v>0</v>
      </c>
      <c r="M4556" t="n">
        <v>0</v>
      </c>
      <c r="N4556" t="n">
        <v>0</v>
      </c>
      <c r="O4556" t="n">
        <v>0</v>
      </c>
      <c r="P4556" t="n">
        <v>0</v>
      </c>
      <c r="Q4556" t="n">
        <v>0</v>
      </c>
      <c r="R4556" s="2" t="inlineStr"/>
    </row>
    <row r="4557" ht="15" customHeight="1">
      <c r="A4557" t="inlineStr">
        <is>
          <t>A 48743-2025</t>
        </is>
      </c>
      <c r="B4557" s="1" t="n">
        <v>45936.67827546296</v>
      </c>
      <c r="C4557" s="1" t="n">
        <v>46185</v>
      </c>
      <c r="D4557" t="inlineStr">
        <is>
          <t>VÄSTERNORRLANDS LÄN</t>
        </is>
      </c>
      <c r="E4557" t="inlineStr">
        <is>
          <t>SOLLEFTEÅ</t>
        </is>
      </c>
      <c r="F4557" t="inlineStr">
        <is>
          <t>SCA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36723-2025</t>
        </is>
      </c>
      <c r="B4558" s="1" t="n">
        <v>45873.47770833333</v>
      </c>
      <c r="C4558" s="1" t="n">
        <v>46185</v>
      </c>
      <c r="D4558" t="inlineStr">
        <is>
          <t>VÄSTERNORRLANDS LÄN</t>
        </is>
      </c>
      <c r="E4558" t="inlineStr">
        <is>
          <t>ÅNGE</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58639-2023</t>
        </is>
      </c>
      <c r="B4559" s="1" t="n">
        <v>45251</v>
      </c>
      <c r="C4559" s="1" t="n">
        <v>46185</v>
      </c>
      <c r="D4559" t="inlineStr">
        <is>
          <t>VÄSTERNORRLANDS LÄN</t>
        </is>
      </c>
      <c r="E4559" t="inlineStr">
        <is>
          <t>ÅNGE</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36936-2025</t>
        </is>
      </c>
      <c r="B4560" s="1" t="n">
        <v>45874.57541666667</v>
      </c>
      <c r="C4560" s="1" t="n">
        <v>46185</v>
      </c>
      <c r="D4560" t="inlineStr">
        <is>
          <t>VÄSTERNORRLANDS LÄN</t>
        </is>
      </c>
      <c r="E4560" t="inlineStr">
        <is>
          <t>KRAMFORS</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37001-2025</t>
        </is>
      </c>
      <c r="B4561" s="1" t="n">
        <v>45874.68542824074</v>
      </c>
      <c r="C4561" s="1" t="n">
        <v>46185</v>
      </c>
      <c r="D4561" t="inlineStr">
        <is>
          <t>VÄSTERNORRLANDS LÄN</t>
        </is>
      </c>
      <c r="E4561" t="inlineStr">
        <is>
          <t>SUNDSVALL</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48222-2025</t>
        </is>
      </c>
      <c r="B4562" s="1" t="n">
        <v>45933.50403935185</v>
      </c>
      <c r="C4562" s="1" t="n">
        <v>46185</v>
      </c>
      <c r="D4562" t="inlineStr">
        <is>
          <t>VÄSTERNORRLANDS LÄN</t>
        </is>
      </c>
      <c r="E4562" t="inlineStr">
        <is>
          <t>ÖRNSKÖLDSVIK</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3437-2026</t>
        </is>
      </c>
      <c r="B4563" s="1" t="n">
        <v>46042</v>
      </c>
      <c r="C4563" s="1" t="n">
        <v>46185</v>
      </c>
      <c r="D4563" t="inlineStr">
        <is>
          <t>VÄSTERNORRLANDS LÄN</t>
        </is>
      </c>
      <c r="E4563" t="inlineStr">
        <is>
          <t>KRAMFORS</t>
        </is>
      </c>
      <c r="G4563" t="n">
        <v>17.9</v>
      </c>
      <c r="H4563" t="n">
        <v>0</v>
      </c>
      <c r="I4563" t="n">
        <v>0</v>
      </c>
      <c r="J4563" t="n">
        <v>0</v>
      </c>
      <c r="K4563" t="n">
        <v>0</v>
      </c>
      <c r="L4563" t="n">
        <v>0</v>
      </c>
      <c r="M4563" t="n">
        <v>0</v>
      </c>
      <c r="N4563" t="n">
        <v>0</v>
      </c>
      <c r="O4563" t="n">
        <v>0</v>
      </c>
      <c r="P4563" t="n">
        <v>0</v>
      </c>
      <c r="Q4563" t="n">
        <v>0</v>
      </c>
      <c r="R4563" s="2" t="inlineStr"/>
    </row>
    <row r="4564" ht="15" customHeight="1">
      <c r="A4564" t="inlineStr">
        <is>
          <t>A 27874-2023</t>
        </is>
      </c>
      <c r="B4564" s="1" t="n">
        <v>45098.5915625</v>
      </c>
      <c r="C4564" s="1" t="n">
        <v>46185</v>
      </c>
      <c r="D4564" t="inlineStr">
        <is>
          <t>VÄSTERNORRLANDS LÄN</t>
        </is>
      </c>
      <c r="E4564" t="inlineStr">
        <is>
          <t>ÖRNSKÖLDSVIK</t>
        </is>
      </c>
      <c r="F4564" t="inlineStr">
        <is>
          <t>Holmen skog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48668-2025</t>
        </is>
      </c>
      <c r="B4565" s="1" t="n">
        <v>45936.5741550926</v>
      </c>
      <c r="C4565" s="1" t="n">
        <v>46185</v>
      </c>
      <c r="D4565" t="inlineStr">
        <is>
          <t>VÄSTERNORRLANDS LÄN</t>
        </is>
      </c>
      <c r="E4565" t="inlineStr">
        <is>
          <t>SUNDSVALL</t>
        </is>
      </c>
      <c r="F4565" t="inlineStr">
        <is>
          <t>SCA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37019-2025</t>
        </is>
      </c>
      <c r="B4566" s="1" t="n">
        <v>45874</v>
      </c>
      <c r="C4566" s="1" t="n">
        <v>46185</v>
      </c>
      <c r="D4566" t="inlineStr">
        <is>
          <t>VÄSTERNORRLANDS LÄN</t>
        </is>
      </c>
      <c r="E4566" t="inlineStr">
        <is>
          <t>SOLLEFTEÅ</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37003-2025</t>
        </is>
      </c>
      <c r="B4567" s="1" t="n">
        <v>45874.68918981482</v>
      </c>
      <c r="C4567" s="1" t="n">
        <v>46185</v>
      </c>
      <c r="D4567" t="inlineStr">
        <is>
          <t>VÄSTERNORRLANDS LÄN</t>
        </is>
      </c>
      <c r="E4567" t="inlineStr">
        <is>
          <t>SUNDSVALL</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3425-2026</t>
        </is>
      </c>
      <c r="B4568" s="1" t="n">
        <v>46042.44827546296</v>
      </c>
      <c r="C4568" s="1" t="n">
        <v>46185</v>
      </c>
      <c r="D4568" t="inlineStr">
        <is>
          <t>VÄSTERNORRLANDS LÄN</t>
        </is>
      </c>
      <c r="E4568" t="inlineStr">
        <is>
          <t>SOLLEFTEÅ</t>
        </is>
      </c>
      <c r="G4568" t="n">
        <v>9</v>
      </c>
      <c r="H4568" t="n">
        <v>0</v>
      </c>
      <c r="I4568" t="n">
        <v>0</v>
      </c>
      <c r="J4568" t="n">
        <v>0</v>
      </c>
      <c r="K4568" t="n">
        <v>0</v>
      </c>
      <c r="L4568" t="n">
        <v>0</v>
      </c>
      <c r="M4568" t="n">
        <v>0</v>
      </c>
      <c r="N4568" t="n">
        <v>0</v>
      </c>
      <c r="O4568" t="n">
        <v>0</v>
      </c>
      <c r="P4568" t="n">
        <v>0</v>
      </c>
      <c r="Q4568" t="n">
        <v>0</v>
      </c>
      <c r="R4568" s="2" t="inlineStr"/>
    </row>
    <row r="4569" ht="15" customHeight="1">
      <c r="A4569" t="inlineStr">
        <is>
          <t>A 51755-2024</t>
        </is>
      </c>
      <c r="B4569" s="1" t="n">
        <v>45607.43230324074</v>
      </c>
      <c r="C4569" s="1" t="n">
        <v>46185</v>
      </c>
      <c r="D4569" t="inlineStr">
        <is>
          <t>VÄSTERNORRLANDS LÄN</t>
        </is>
      </c>
      <c r="E4569" t="inlineStr">
        <is>
          <t>ÖRNSKÖLDSVIK</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36674-2025</t>
        </is>
      </c>
      <c r="B4570" s="1" t="n">
        <v>45873.3930787037</v>
      </c>
      <c r="C4570" s="1" t="n">
        <v>46185</v>
      </c>
      <c r="D4570" t="inlineStr">
        <is>
          <t>VÄSTERNORRLANDS LÄN</t>
        </is>
      </c>
      <c r="E4570" t="inlineStr">
        <is>
          <t>ÅNGE</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58613-2023</t>
        </is>
      </c>
      <c r="B4571" s="1" t="n">
        <v>45251.50709490741</v>
      </c>
      <c r="C4571" s="1" t="n">
        <v>46185</v>
      </c>
      <c r="D4571" t="inlineStr">
        <is>
          <t>VÄSTERNORRLANDS LÄN</t>
        </is>
      </c>
      <c r="E4571" t="inlineStr">
        <is>
          <t>ÅNGE</t>
        </is>
      </c>
      <c r="F4571" t="inlineStr">
        <is>
          <t>Övriga Aktiebolag</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48891-2025</t>
        </is>
      </c>
      <c r="B4572" s="1" t="n">
        <v>45937.47082175926</v>
      </c>
      <c r="C4572" s="1" t="n">
        <v>46185</v>
      </c>
      <c r="D4572" t="inlineStr">
        <is>
          <t>VÄSTERNORRLANDS LÄN</t>
        </is>
      </c>
      <c r="E4572" t="inlineStr">
        <is>
          <t>ÖRNSKÖLDSVIK</t>
        </is>
      </c>
      <c r="G4572" t="n">
        <v>9.300000000000001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36772-2025</t>
        </is>
      </c>
      <c r="B4573" s="1" t="n">
        <v>45873</v>
      </c>
      <c r="C4573" s="1" t="n">
        <v>46185</v>
      </c>
      <c r="D4573" t="inlineStr">
        <is>
          <t>VÄSTERNORRLANDS LÄN</t>
        </is>
      </c>
      <c r="E4573" t="inlineStr">
        <is>
          <t>SUNDSVALL</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14055-2022</t>
        </is>
      </c>
      <c r="B4574" s="1" t="n">
        <v>44650.93824074074</v>
      </c>
      <c r="C4574" s="1" t="n">
        <v>46185</v>
      </c>
      <c r="D4574" t="inlineStr">
        <is>
          <t>VÄSTERNORRLANDS LÄN</t>
        </is>
      </c>
      <c r="E4574" t="inlineStr">
        <is>
          <t>SOLLEFTEÅ</t>
        </is>
      </c>
      <c r="F4574" t="inlineStr">
        <is>
          <t>SCA</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18112-2025</t>
        </is>
      </c>
      <c r="B4575" s="1" t="n">
        <v>45761.57350694444</v>
      </c>
      <c r="C4575" s="1" t="n">
        <v>46185</v>
      </c>
      <c r="D4575" t="inlineStr">
        <is>
          <t>VÄSTERNORRLANDS LÄN</t>
        </is>
      </c>
      <c r="E4575" t="inlineStr">
        <is>
          <t>ÅNGE</t>
        </is>
      </c>
      <c r="F4575" t="inlineStr">
        <is>
          <t>SCA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35498-2022</t>
        </is>
      </c>
      <c r="B4576" s="1" t="n">
        <v>44798.94810185185</v>
      </c>
      <c r="C4576" s="1" t="n">
        <v>46185</v>
      </c>
      <c r="D4576" t="inlineStr">
        <is>
          <t>VÄSTERNORRLANDS LÄN</t>
        </is>
      </c>
      <c r="E4576" t="inlineStr">
        <is>
          <t>ÅNGE</t>
        </is>
      </c>
      <c r="F4576" t="inlineStr">
        <is>
          <t>SCA</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48848-2025</t>
        </is>
      </c>
      <c r="B4577" s="1" t="n">
        <v>45937</v>
      </c>
      <c r="C4577" s="1" t="n">
        <v>46185</v>
      </c>
      <c r="D4577" t="inlineStr">
        <is>
          <t>VÄSTERNORRLANDS LÄN</t>
        </is>
      </c>
      <c r="E4577" t="inlineStr">
        <is>
          <t>SOLLEFTEÅ</t>
        </is>
      </c>
      <c r="F4577" t="inlineStr">
        <is>
          <t>SCA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37113-2025</t>
        </is>
      </c>
      <c r="B4578" s="1" t="n">
        <v>45875.51104166666</v>
      </c>
      <c r="C4578" s="1" t="n">
        <v>46185</v>
      </c>
      <c r="D4578" t="inlineStr">
        <is>
          <t>VÄSTERNORRLANDS LÄN</t>
        </is>
      </c>
      <c r="E4578" t="inlineStr">
        <is>
          <t>SUNDSVALL</t>
        </is>
      </c>
      <c r="F4578" t="inlineStr">
        <is>
          <t>SCA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37242-2025</t>
        </is>
      </c>
      <c r="B4579" s="1" t="n">
        <v>45876.38614583333</v>
      </c>
      <c r="C4579" s="1" t="n">
        <v>46185</v>
      </c>
      <c r="D4579" t="inlineStr">
        <is>
          <t>VÄSTERNORRLANDS LÄN</t>
        </is>
      </c>
      <c r="E4579" t="inlineStr">
        <is>
          <t>SOLLEFTEÅ</t>
        </is>
      </c>
      <c r="F4579" t="inlineStr">
        <is>
          <t>SCA</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37194-2025</t>
        </is>
      </c>
      <c r="B4580" s="1" t="n">
        <v>45875.65592592592</v>
      </c>
      <c r="C4580" s="1" t="n">
        <v>46185</v>
      </c>
      <c r="D4580" t="inlineStr">
        <is>
          <t>VÄSTERNORRLANDS LÄN</t>
        </is>
      </c>
      <c r="E4580" t="inlineStr">
        <is>
          <t>ÖRNSKÖLDSVIK</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37227-2025</t>
        </is>
      </c>
      <c r="B4581" s="1" t="n">
        <v>45876.29931712963</v>
      </c>
      <c r="C4581" s="1" t="n">
        <v>46185</v>
      </c>
      <c r="D4581" t="inlineStr">
        <is>
          <t>VÄSTERNORRLANDS LÄN</t>
        </is>
      </c>
      <c r="E4581" t="inlineStr">
        <is>
          <t>ÖRNSKÖLDSVIK</t>
        </is>
      </c>
      <c r="G4581" t="n">
        <v>9.699999999999999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37045-2025</t>
        </is>
      </c>
      <c r="B4582" s="1" t="n">
        <v>45875.34451388889</v>
      </c>
      <c r="C4582" s="1" t="n">
        <v>46185</v>
      </c>
      <c r="D4582" t="inlineStr">
        <is>
          <t>VÄSTERNORRLANDS LÄN</t>
        </is>
      </c>
      <c r="E4582" t="inlineStr">
        <is>
          <t>ÅNGE</t>
        </is>
      </c>
      <c r="F4582" t="inlineStr">
        <is>
          <t>SCA</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37047-2025</t>
        </is>
      </c>
      <c r="B4583" s="1" t="n">
        <v>45875.34489583333</v>
      </c>
      <c r="C4583" s="1" t="n">
        <v>46185</v>
      </c>
      <c r="D4583" t="inlineStr">
        <is>
          <t>VÄSTERNORRLANDS LÄN</t>
        </is>
      </c>
      <c r="E4583" t="inlineStr">
        <is>
          <t>ÅNGE</t>
        </is>
      </c>
      <c r="F4583" t="inlineStr">
        <is>
          <t>SCA</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9455-2025</t>
        </is>
      </c>
      <c r="B4584" s="1" t="n">
        <v>45715.43388888889</v>
      </c>
      <c r="C4584" s="1" t="n">
        <v>46185</v>
      </c>
      <c r="D4584" t="inlineStr">
        <is>
          <t>VÄSTERNORRLANDS LÄN</t>
        </is>
      </c>
      <c r="E4584" t="inlineStr">
        <is>
          <t>ÖRNSKÖLDSVIK</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3393-2026</t>
        </is>
      </c>
      <c r="B4585" s="1" t="n">
        <v>46042.37601851852</v>
      </c>
      <c r="C4585" s="1" t="n">
        <v>46185</v>
      </c>
      <c r="D4585" t="inlineStr">
        <is>
          <t>VÄSTERNORRLANDS LÄN</t>
        </is>
      </c>
      <c r="E4585" t="inlineStr">
        <is>
          <t>HÄRNÖSAND</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48831-2025</t>
        </is>
      </c>
      <c r="B4586" s="1" t="n">
        <v>45937.3866087963</v>
      </c>
      <c r="C4586" s="1" t="n">
        <v>46185</v>
      </c>
      <c r="D4586" t="inlineStr">
        <is>
          <t>VÄSTERNORRLANDS LÄN</t>
        </is>
      </c>
      <c r="E4586" t="inlineStr">
        <is>
          <t>SUNDSVALL</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37275-2025</t>
        </is>
      </c>
      <c r="B4587" s="1" t="n">
        <v>45876.49003472222</v>
      </c>
      <c r="C4587" s="1" t="n">
        <v>46185</v>
      </c>
      <c r="D4587" t="inlineStr">
        <is>
          <t>VÄSTERNORRLANDS LÄN</t>
        </is>
      </c>
      <c r="E4587" t="inlineStr">
        <is>
          <t>ÅNGE</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37278-2025</t>
        </is>
      </c>
      <c r="B4588" s="1" t="n">
        <v>45876.490625</v>
      </c>
      <c r="C4588" s="1" t="n">
        <v>46185</v>
      </c>
      <c r="D4588" t="inlineStr">
        <is>
          <t>VÄSTERNORRLANDS LÄN</t>
        </is>
      </c>
      <c r="E4588" t="inlineStr">
        <is>
          <t>SOLLEFTEÅ</t>
        </is>
      </c>
      <c r="F4588" t="inlineStr">
        <is>
          <t>SCA</t>
        </is>
      </c>
      <c r="G4588" t="n">
        <v>10.7</v>
      </c>
      <c r="H4588" t="n">
        <v>0</v>
      </c>
      <c r="I4588" t="n">
        <v>0</v>
      </c>
      <c r="J4588" t="n">
        <v>0</v>
      </c>
      <c r="K4588" t="n">
        <v>0</v>
      </c>
      <c r="L4588" t="n">
        <v>0</v>
      </c>
      <c r="M4588" t="n">
        <v>0</v>
      </c>
      <c r="N4588" t="n">
        <v>0</v>
      </c>
      <c r="O4588" t="n">
        <v>0</v>
      </c>
      <c r="P4588" t="n">
        <v>0</v>
      </c>
      <c r="Q4588" t="n">
        <v>0</v>
      </c>
      <c r="R4588" s="2" t="inlineStr"/>
    </row>
    <row r="4589" ht="15" customHeight="1">
      <c r="A4589" t="inlineStr">
        <is>
          <t>A 37303-2025</t>
        </is>
      </c>
      <c r="B4589" s="1" t="n">
        <v>45876.59445601852</v>
      </c>
      <c r="C4589" s="1" t="n">
        <v>46185</v>
      </c>
      <c r="D4589" t="inlineStr">
        <is>
          <t>VÄSTERNORRLANDS LÄN</t>
        </is>
      </c>
      <c r="E4589" t="inlineStr">
        <is>
          <t>ÅNGE</t>
        </is>
      </c>
      <c r="F4589" t="inlineStr">
        <is>
          <t>SCA</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37304-2025</t>
        </is>
      </c>
      <c r="B4590" s="1" t="n">
        <v>45876.59458333333</v>
      </c>
      <c r="C4590" s="1" t="n">
        <v>46185</v>
      </c>
      <c r="D4590" t="inlineStr">
        <is>
          <t>VÄSTERNORRLANDS LÄN</t>
        </is>
      </c>
      <c r="E4590" t="inlineStr">
        <is>
          <t>SOLLEFTEÅ</t>
        </is>
      </c>
      <c r="F4590" t="inlineStr">
        <is>
          <t>SCA</t>
        </is>
      </c>
      <c r="G4590" t="n">
        <v>9.199999999999999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48814-2025</t>
        </is>
      </c>
      <c r="B4591" s="1" t="n">
        <v>45937.36435185185</v>
      </c>
      <c r="C4591" s="1" t="n">
        <v>46185</v>
      </c>
      <c r="D4591" t="inlineStr">
        <is>
          <t>VÄSTERNORRLANDS LÄN</t>
        </is>
      </c>
      <c r="E4591" t="inlineStr">
        <is>
          <t>SUNDSVALL</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48819-2025</t>
        </is>
      </c>
      <c r="B4592" s="1" t="n">
        <v>45937.3687037037</v>
      </c>
      <c r="C4592" s="1" t="n">
        <v>46185</v>
      </c>
      <c r="D4592" t="inlineStr">
        <is>
          <t>VÄSTERNORRLANDS LÄN</t>
        </is>
      </c>
      <c r="E4592" t="inlineStr">
        <is>
          <t>SUNDSVALL</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48822-2025</t>
        </is>
      </c>
      <c r="B4593" s="1" t="n">
        <v>45937.37262731481</v>
      </c>
      <c r="C4593" s="1" t="n">
        <v>46185</v>
      </c>
      <c r="D4593" t="inlineStr">
        <is>
          <t>VÄSTERNORRLANDS LÄN</t>
        </is>
      </c>
      <c r="E4593" t="inlineStr">
        <is>
          <t>ÖRNSKÖLDSVIK</t>
        </is>
      </c>
      <c r="F4593" t="inlineStr">
        <is>
          <t>Holmen skog AB</t>
        </is>
      </c>
      <c r="G4593" t="n">
        <v>6.9</v>
      </c>
      <c r="H4593" t="n">
        <v>0</v>
      </c>
      <c r="I4593" t="n">
        <v>0</v>
      </c>
      <c r="J4593" t="n">
        <v>0</v>
      </c>
      <c r="K4593" t="n">
        <v>0</v>
      </c>
      <c r="L4593" t="n">
        <v>0</v>
      </c>
      <c r="M4593" t="n">
        <v>0</v>
      </c>
      <c r="N4593" t="n">
        <v>0</v>
      </c>
      <c r="O4593" t="n">
        <v>0</v>
      </c>
      <c r="P4593" t="n">
        <v>0</v>
      </c>
      <c r="Q4593" t="n">
        <v>0</v>
      </c>
      <c r="R4593" s="2" t="inlineStr"/>
    </row>
    <row r="4594" ht="15" customHeight="1">
      <c r="A4594" t="inlineStr">
        <is>
          <t>A 7234-2024</t>
        </is>
      </c>
      <c r="B4594" s="1" t="n">
        <v>45344.65627314815</v>
      </c>
      <c r="C4594" s="1" t="n">
        <v>46185</v>
      </c>
      <c r="D4594" t="inlineStr">
        <is>
          <t>VÄSTERNORRLANDS LÄN</t>
        </is>
      </c>
      <c r="E4594" t="inlineStr">
        <is>
          <t>SOLLEFTEÅ</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17512-2024</t>
        </is>
      </c>
      <c r="B4595" s="1" t="n">
        <v>45415</v>
      </c>
      <c r="C4595" s="1" t="n">
        <v>46185</v>
      </c>
      <c r="D4595" t="inlineStr">
        <is>
          <t>VÄSTERNORRLANDS LÄN</t>
        </is>
      </c>
      <c r="E4595" t="inlineStr">
        <is>
          <t>SOLLEFTEÅ</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37233-2025</t>
        </is>
      </c>
      <c r="B4596" s="1" t="n">
        <v>45876.34474537037</v>
      </c>
      <c r="C4596" s="1" t="n">
        <v>46185</v>
      </c>
      <c r="D4596" t="inlineStr">
        <is>
          <t>VÄSTERNORRLANDS LÄN</t>
        </is>
      </c>
      <c r="E4596" t="inlineStr">
        <is>
          <t>ÅNGE</t>
        </is>
      </c>
      <c r="F4596" t="inlineStr">
        <is>
          <t>SCA</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49377-2025</t>
        </is>
      </c>
      <c r="B4597" s="1" t="n">
        <v>45938.63626157407</v>
      </c>
      <c r="C4597" s="1" t="n">
        <v>46185</v>
      </c>
      <c r="D4597" t="inlineStr">
        <is>
          <t>VÄSTERNORRLANDS LÄN</t>
        </is>
      </c>
      <c r="E4597" t="inlineStr">
        <is>
          <t>ÅNGE</t>
        </is>
      </c>
      <c r="F4597" t="inlineStr">
        <is>
          <t>SCA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48812-2025</t>
        </is>
      </c>
      <c r="B4598" s="1" t="n">
        <v>45937.35930555555</v>
      </c>
      <c r="C4598" s="1" t="n">
        <v>46185</v>
      </c>
      <c r="D4598" t="inlineStr">
        <is>
          <t>VÄSTERNORRLANDS LÄN</t>
        </is>
      </c>
      <c r="E4598" t="inlineStr">
        <is>
          <t>ÖRNSKÖLDSVIK</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7018-2023</t>
        </is>
      </c>
      <c r="B4599" s="1" t="n">
        <v>44967</v>
      </c>
      <c r="C4599" s="1" t="n">
        <v>46185</v>
      </c>
      <c r="D4599" t="inlineStr">
        <is>
          <t>VÄSTERNORRLANDS LÄN</t>
        </is>
      </c>
      <c r="E4599" t="inlineStr">
        <is>
          <t>KRAMFORS</t>
        </is>
      </c>
      <c r="F4599" t="inlineStr">
        <is>
          <t>SCA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37256-2025</t>
        </is>
      </c>
      <c r="B4600" s="1" t="n">
        <v>45876.43637731481</v>
      </c>
      <c r="C4600" s="1" t="n">
        <v>46185</v>
      </c>
      <c r="D4600" t="inlineStr">
        <is>
          <t>VÄSTERNORRLANDS LÄN</t>
        </is>
      </c>
      <c r="E4600" t="inlineStr">
        <is>
          <t>KRAMFORS</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49380-2025</t>
        </is>
      </c>
      <c r="B4601" s="1" t="n">
        <v>45938.63677083333</v>
      </c>
      <c r="C4601" s="1" t="n">
        <v>46185</v>
      </c>
      <c r="D4601" t="inlineStr">
        <is>
          <t>VÄSTERNORRLANDS LÄN</t>
        </is>
      </c>
      <c r="E4601" t="inlineStr">
        <is>
          <t>SOLLEFTEÅ</t>
        </is>
      </c>
      <c r="F4601" t="inlineStr">
        <is>
          <t>SCA</t>
        </is>
      </c>
      <c r="G4601" t="n">
        <v>12.4</v>
      </c>
      <c r="H4601" t="n">
        <v>0</v>
      </c>
      <c r="I4601" t="n">
        <v>0</v>
      </c>
      <c r="J4601" t="n">
        <v>0</v>
      </c>
      <c r="K4601" t="n">
        <v>0</v>
      </c>
      <c r="L4601" t="n">
        <v>0</v>
      </c>
      <c r="M4601" t="n">
        <v>0</v>
      </c>
      <c r="N4601" t="n">
        <v>0</v>
      </c>
      <c r="O4601" t="n">
        <v>0</v>
      </c>
      <c r="P4601" t="n">
        <v>0</v>
      </c>
      <c r="Q4601" t="n">
        <v>0</v>
      </c>
      <c r="R4601" s="2" t="inlineStr"/>
    </row>
    <row r="4602" ht="15" customHeight="1">
      <c r="A4602" t="inlineStr">
        <is>
          <t>A 3249-2026</t>
        </is>
      </c>
      <c r="B4602" s="1" t="n">
        <v>46041</v>
      </c>
      <c r="C4602" s="1" t="n">
        <v>46185</v>
      </c>
      <c r="D4602" t="inlineStr">
        <is>
          <t>VÄSTERNORRLANDS LÄN</t>
        </is>
      </c>
      <c r="E4602" t="inlineStr">
        <is>
          <t>ÖRNSKÖLDSVIK</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3213-2026</t>
        </is>
      </c>
      <c r="B4603" s="1" t="n">
        <v>46041.49494212963</v>
      </c>
      <c r="C4603" s="1" t="n">
        <v>46185</v>
      </c>
      <c r="D4603" t="inlineStr">
        <is>
          <t>VÄSTERNORRLANDS LÄN</t>
        </is>
      </c>
      <c r="E4603" t="inlineStr">
        <is>
          <t>ÖRNSKÖLDSVIK</t>
        </is>
      </c>
      <c r="F4603" t="inlineStr">
        <is>
          <t>Holmen skog AB</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37325-2025</t>
        </is>
      </c>
      <c r="B4604" s="1" t="n">
        <v>45876.63581018519</v>
      </c>
      <c r="C4604" s="1" t="n">
        <v>46185</v>
      </c>
      <c r="D4604" t="inlineStr">
        <is>
          <t>VÄSTERNORRLANDS LÄN</t>
        </is>
      </c>
      <c r="E4604" t="inlineStr">
        <is>
          <t>SOLLEFTEÅ</t>
        </is>
      </c>
      <c r="F4604" t="inlineStr">
        <is>
          <t>SCA</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43271-2025</t>
        </is>
      </c>
      <c r="B4605" s="1" t="n">
        <v>45910</v>
      </c>
      <c r="C4605" s="1" t="n">
        <v>46185</v>
      </c>
      <c r="D4605" t="inlineStr">
        <is>
          <t>VÄSTERNORRLANDS LÄN</t>
        </is>
      </c>
      <c r="E4605" t="inlineStr">
        <is>
          <t>HÄRNÖSAND</t>
        </is>
      </c>
      <c r="G4605" t="n">
        <v>10.1</v>
      </c>
      <c r="H4605" t="n">
        <v>0</v>
      </c>
      <c r="I4605" t="n">
        <v>0</v>
      </c>
      <c r="J4605" t="n">
        <v>0</v>
      </c>
      <c r="K4605" t="n">
        <v>0</v>
      </c>
      <c r="L4605" t="n">
        <v>0</v>
      </c>
      <c r="M4605" t="n">
        <v>0</v>
      </c>
      <c r="N4605" t="n">
        <v>0</v>
      </c>
      <c r="O4605" t="n">
        <v>0</v>
      </c>
      <c r="P4605" t="n">
        <v>0</v>
      </c>
      <c r="Q4605" t="n">
        <v>0</v>
      </c>
      <c r="R4605" s="2" t="inlineStr"/>
    </row>
    <row r="4606" ht="15" customHeight="1">
      <c r="A4606" t="inlineStr">
        <is>
          <t>A 37065-2025</t>
        </is>
      </c>
      <c r="B4606" s="1" t="n">
        <v>45875.38619212963</v>
      </c>
      <c r="C4606" s="1" t="n">
        <v>46185</v>
      </c>
      <c r="D4606" t="inlineStr">
        <is>
          <t>VÄSTERNORRLANDS LÄN</t>
        </is>
      </c>
      <c r="E4606" t="inlineStr">
        <is>
          <t>SOLLEFTEÅ</t>
        </is>
      </c>
      <c r="F4606" t="inlineStr">
        <is>
          <t>SCA</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49254-2025</t>
        </is>
      </c>
      <c r="B4607" s="1" t="n">
        <v>45938.49143518518</v>
      </c>
      <c r="C4607" s="1" t="n">
        <v>46185</v>
      </c>
      <c r="D4607" t="inlineStr">
        <is>
          <t>VÄSTERNORRLANDS LÄN</t>
        </is>
      </c>
      <c r="E4607" t="inlineStr">
        <is>
          <t>SOLLEFTEÅ</t>
        </is>
      </c>
      <c r="F4607" t="inlineStr">
        <is>
          <t>SCA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37081-2025</t>
        </is>
      </c>
      <c r="B4608" s="1" t="n">
        <v>45875.43229166666</v>
      </c>
      <c r="C4608" s="1" t="n">
        <v>46185</v>
      </c>
      <c r="D4608" t="inlineStr">
        <is>
          <t>VÄSTERNORRLANDS LÄN</t>
        </is>
      </c>
      <c r="E4608" t="inlineStr">
        <is>
          <t>SUNDSVALL</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49314-2025</t>
        </is>
      </c>
      <c r="B4609" s="1" t="n">
        <v>45938.56480324074</v>
      </c>
      <c r="C4609" s="1" t="n">
        <v>46185</v>
      </c>
      <c r="D4609" t="inlineStr">
        <is>
          <t>VÄSTERNORRLANDS LÄN</t>
        </is>
      </c>
      <c r="E4609" t="inlineStr">
        <is>
          <t>ÖRNSKÖLDSVIK</t>
        </is>
      </c>
      <c r="F4609" t="inlineStr">
        <is>
          <t>Holmen skog AB</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49348-2025</t>
        </is>
      </c>
      <c r="B4610" s="1" t="n">
        <v>45938.60829861111</v>
      </c>
      <c r="C4610" s="1" t="n">
        <v>46185</v>
      </c>
      <c r="D4610" t="inlineStr">
        <is>
          <t>VÄSTERNORRLANDS LÄN</t>
        </is>
      </c>
      <c r="E4610" t="inlineStr">
        <is>
          <t>ÖRNSKÖLDSVIK</t>
        </is>
      </c>
      <c r="G4610" t="n">
        <v>10.1</v>
      </c>
      <c r="H4610" t="n">
        <v>0</v>
      </c>
      <c r="I4610" t="n">
        <v>0</v>
      </c>
      <c r="J4610" t="n">
        <v>0</v>
      </c>
      <c r="K4610" t="n">
        <v>0</v>
      </c>
      <c r="L4610" t="n">
        <v>0</v>
      </c>
      <c r="M4610" t="n">
        <v>0</v>
      </c>
      <c r="N4610" t="n">
        <v>0</v>
      </c>
      <c r="O4610" t="n">
        <v>0</v>
      </c>
      <c r="P4610" t="n">
        <v>0</v>
      </c>
      <c r="Q4610" t="n">
        <v>0</v>
      </c>
      <c r="R4610" s="2" t="inlineStr"/>
    </row>
    <row r="4611" ht="15" customHeight="1">
      <c r="A4611" t="inlineStr">
        <is>
          <t>A 49381-2025</t>
        </is>
      </c>
      <c r="B4611" s="1" t="n">
        <v>45938.63694444444</v>
      </c>
      <c r="C4611" s="1" t="n">
        <v>46185</v>
      </c>
      <c r="D4611" t="inlineStr">
        <is>
          <t>VÄSTERNORRLANDS LÄN</t>
        </is>
      </c>
      <c r="E4611" t="inlineStr">
        <is>
          <t>ÅNGE</t>
        </is>
      </c>
      <c r="F4611" t="inlineStr">
        <is>
          <t>SCA</t>
        </is>
      </c>
      <c r="G4611" t="n">
        <v>20.6</v>
      </c>
      <c r="H4611" t="n">
        <v>0</v>
      </c>
      <c r="I4611" t="n">
        <v>0</v>
      </c>
      <c r="J4611" t="n">
        <v>0</v>
      </c>
      <c r="K4611" t="n">
        <v>0</v>
      </c>
      <c r="L4611" t="n">
        <v>0</v>
      </c>
      <c r="M4611" t="n">
        <v>0</v>
      </c>
      <c r="N4611" t="n">
        <v>0</v>
      </c>
      <c r="O4611" t="n">
        <v>0</v>
      </c>
      <c r="P4611" t="n">
        <v>0</v>
      </c>
      <c r="Q4611" t="n">
        <v>0</v>
      </c>
      <c r="R4611" s="2" t="inlineStr"/>
    </row>
    <row r="4612" ht="15" customHeight="1">
      <c r="A4612" t="inlineStr">
        <is>
          <t>A 3347-2024</t>
        </is>
      </c>
      <c r="B4612" s="1" t="n">
        <v>45317</v>
      </c>
      <c r="C4612" s="1" t="n">
        <v>46185</v>
      </c>
      <c r="D4612" t="inlineStr">
        <is>
          <t>VÄSTERNORRLANDS LÄN</t>
        </is>
      </c>
      <c r="E4612" t="inlineStr">
        <is>
          <t>ÅNGE</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37205-2025</t>
        </is>
      </c>
      <c r="B4613" s="1" t="n">
        <v>45875.69844907407</v>
      </c>
      <c r="C4613" s="1" t="n">
        <v>46185</v>
      </c>
      <c r="D4613" t="inlineStr">
        <is>
          <t>VÄSTERNORRLANDS LÄN</t>
        </is>
      </c>
      <c r="E4613" t="inlineStr">
        <is>
          <t>SUNDSVALL</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37167-2025</t>
        </is>
      </c>
      <c r="B4614" s="1" t="n">
        <v>45875.60767361111</v>
      </c>
      <c r="C4614" s="1" t="n">
        <v>46185</v>
      </c>
      <c r="D4614" t="inlineStr">
        <is>
          <t>VÄSTERNORRLANDS LÄN</t>
        </is>
      </c>
      <c r="E4614" t="inlineStr">
        <is>
          <t>KRAMFORS</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20153-2025</t>
        </is>
      </c>
      <c r="B4615" s="1" t="n">
        <v>45772.55599537037</v>
      </c>
      <c r="C4615" s="1" t="n">
        <v>46185</v>
      </c>
      <c r="D4615" t="inlineStr">
        <is>
          <t>VÄSTERNORRLANDS LÄN</t>
        </is>
      </c>
      <c r="E4615" t="inlineStr">
        <is>
          <t>ÖRNSKÖLDSVIK</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37234-2025</t>
        </is>
      </c>
      <c r="B4616" s="1" t="n">
        <v>45876.35302083333</v>
      </c>
      <c r="C4616" s="1" t="n">
        <v>46185</v>
      </c>
      <c r="D4616" t="inlineStr">
        <is>
          <t>VÄSTERNORRLANDS LÄN</t>
        </is>
      </c>
      <c r="E4616" t="inlineStr">
        <is>
          <t>ÖRNSKÖLDSVIK</t>
        </is>
      </c>
      <c r="F4616" t="inlineStr">
        <is>
          <t>Holmen skog AB</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37073-2025</t>
        </is>
      </c>
      <c r="B4617" s="1" t="n">
        <v>45875.40703703704</v>
      </c>
      <c r="C4617" s="1" t="n">
        <v>46185</v>
      </c>
      <c r="D4617" t="inlineStr">
        <is>
          <t>VÄSTERNORRLANDS LÄN</t>
        </is>
      </c>
      <c r="E4617" t="inlineStr">
        <is>
          <t>SOLLEFTEÅ</t>
        </is>
      </c>
      <c r="F4617" t="inlineStr">
        <is>
          <t>SCA</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37080-2025</t>
        </is>
      </c>
      <c r="B4618" s="1" t="n">
        <v>45875.42811342593</v>
      </c>
      <c r="C4618" s="1" t="n">
        <v>46185</v>
      </c>
      <c r="D4618" t="inlineStr">
        <is>
          <t>VÄSTERNORRLANDS LÄN</t>
        </is>
      </c>
      <c r="E4618" t="inlineStr">
        <is>
          <t>SUNDSVALL</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20204-2025</t>
        </is>
      </c>
      <c r="B4619" s="1" t="n">
        <v>45772.61537037037</v>
      </c>
      <c r="C4619" s="1" t="n">
        <v>46185</v>
      </c>
      <c r="D4619" t="inlineStr">
        <is>
          <t>VÄSTERNORRLANDS LÄN</t>
        </is>
      </c>
      <c r="E4619" t="inlineStr">
        <is>
          <t>SOLLEFTEÅ</t>
        </is>
      </c>
      <c r="F4619" t="inlineStr">
        <is>
          <t>SCA</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48782-2025</t>
        </is>
      </c>
      <c r="B4620" s="1" t="n">
        <v>45937.30981481481</v>
      </c>
      <c r="C4620" s="1" t="n">
        <v>46185</v>
      </c>
      <c r="D4620" t="inlineStr">
        <is>
          <t>VÄSTERNORRLANDS LÄN</t>
        </is>
      </c>
      <c r="E4620" t="inlineStr">
        <is>
          <t>ÖRNSKÖLDSVIK</t>
        </is>
      </c>
      <c r="F4620" t="inlineStr">
        <is>
          <t>Holmen skog AB</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25430-2022</t>
        </is>
      </c>
      <c r="B4621" s="1" t="n">
        <v>44732</v>
      </c>
      <c r="C4621" s="1" t="n">
        <v>46185</v>
      </c>
      <c r="D4621" t="inlineStr">
        <is>
          <t>VÄSTERNORRLANDS LÄN</t>
        </is>
      </c>
      <c r="E4621" t="inlineStr">
        <is>
          <t>HÄRNÖSAND</t>
        </is>
      </c>
      <c r="G4621" t="n">
        <v>18.7</v>
      </c>
      <c r="H4621" t="n">
        <v>0</v>
      </c>
      <c r="I4621" t="n">
        <v>0</v>
      </c>
      <c r="J4621" t="n">
        <v>0</v>
      </c>
      <c r="K4621" t="n">
        <v>0</v>
      </c>
      <c r="L4621" t="n">
        <v>0</v>
      </c>
      <c r="M4621" t="n">
        <v>0</v>
      </c>
      <c r="N4621" t="n">
        <v>0</v>
      </c>
      <c r="O4621" t="n">
        <v>0</v>
      </c>
      <c r="P4621" t="n">
        <v>0</v>
      </c>
      <c r="Q4621" t="n">
        <v>0</v>
      </c>
      <c r="R4621" s="2" t="inlineStr"/>
    </row>
    <row r="4622" ht="15" customHeight="1">
      <c r="A4622" t="inlineStr">
        <is>
          <t>A 60942-2023</t>
        </is>
      </c>
      <c r="B4622" s="1" t="n">
        <v>45259</v>
      </c>
      <c r="C4622" s="1" t="n">
        <v>46185</v>
      </c>
      <c r="D4622" t="inlineStr">
        <is>
          <t>VÄSTERNORRLANDS LÄN</t>
        </is>
      </c>
      <c r="E4622" t="inlineStr">
        <is>
          <t>SUNDSVALL</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37165-2025</t>
        </is>
      </c>
      <c r="B4623" s="1" t="n">
        <v>45875.60496527778</v>
      </c>
      <c r="C4623" s="1" t="n">
        <v>46185</v>
      </c>
      <c r="D4623" t="inlineStr">
        <is>
          <t>VÄSTERNORRLANDS LÄN</t>
        </is>
      </c>
      <c r="E4623" t="inlineStr">
        <is>
          <t>SUNDSVALL</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49351-2025</t>
        </is>
      </c>
      <c r="B4624" s="1" t="n">
        <v>45938.61270833333</v>
      </c>
      <c r="C4624" s="1" t="n">
        <v>46185</v>
      </c>
      <c r="D4624" t="inlineStr">
        <is>
          <t>VÄSTERNORRLANDS LÄN</t>
        </is>
      </c>
      <c r="E4624" t="inlineStr">
        <is>
          <t>ÖRNSKÖLDSVIK</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49257-2025</t>
        </is>
      </c>
      <c r="B4625" s="1" t="n">
        <v>45938.49212962963</v>
      </c>
      <c r="C4625" s="1" t="n">
        <v>46185</v>
      </c>
      <c r="D4625" t="inlineStr">
        <is>
          <t>VÄSTERNORRLANDS LÄN</t>
        </is>
      </c>
      <c r="E4625" t="inlineStr">
        <is>
          <t>TIMRÅ</t>
        </is>
      </c>
      <c r="F4625" t="inlineStr">
        <is>
          <t>SCA</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31559-2024</t>
        </is>
      </c>
      <c r="B4626" s="1" t="n">
        <v>45505.96555555556</v>
      </c>
      <c r="C4626" s="1" t="n">
        <v>46185</v>
      </c>
      <c r="D4626" t="inlineStr">
        <is>
          <t>VÄSTERNORRLANDS LÄN</t>
        </is>
      </c>
      <c r="E4626" t="inlineStr">
        <is>
          <t>SOLLEFTEÅ</t>
        </is>
      </c>
      <c r="F4626" t="inlineStr">
        <is>
          <t>SCA</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37407-2025</t>
        </is>
      </c>
      <c r="B4627" s="1" t="n">
        <v>45877.46506944444</v>
      </c>
      <c r="C4627" s="1" t="n">
        <v>46185</v>
      </c>
      <c r="D4627" t="inlineStr">
        <is>
          <t>VÄSTERNORRLANDS LÄN</t>
        </is>
      </c>
      <c r="E4627" t="inlineStr">
        <is>
          <t>KRAMFORS</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49161-2025</t>
        </is>
      </c>
      <c r="B4628" s="1" t="n">
        <v>45938.35079861111</v>
      </c>
      <c r="C4628" s="1" t="n">
        <v>46185</v>
      </c>
      <c r="D4628" t="inlineStr">
        <is>
          <t>VÄSTERNORRLANDS LÄN</t>
        </is>
      </c>
      <c r="E4628" t="inlineStr">
        <is>
          <t>ÖRNSKÖLDSVIK</t>
        </is>
      </c>
      <c r="F4628" t="inlineStr">
        <is>
          <t>Holmen skog AB</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49162-2025</t>
        </is>
      </c>
      <c r="B4629" s="1" t="n">
        <v>45938.35298611111</v>
      </c>
      <c r="C4629" s="1" t="n">
        <v>46185</v>
      </c>
      <c r="D4629" t="inlineStr">
        <is>
          <t>VÄSTERNORRLANDS LÄN</t>
        </is>
      </c>
      <c r="E4629" t="inlineStr">
        <is>
          <t>ÖRNSKÖLDSVIK</t>
        </is>
      </c>
      <c r="F4629" t="inlineStr">
        <is>
          <t>Holmen skog AB</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13262-2023</t>
        </is>
      </c>
      <c r="B4630" s="1" t="n">
        <v>45002</v>
      </c>
      <c r="C4630" s="1" t="n">
        <v>46185</v>
      </c>
      <c r="D4630" t="inlineStr">
        <is>
          <t>VÄSTERNORRLANDS LÄN</t>
        </is>
      </c>
      <c r="E4630" t="inlineStr">
        <is>
          <t>SUNDSVALL</t>
        </is>
      </c>
      <c r="F4630" t="inlineStr">
        <is>
          <t>Naturvårdsverket</t>
        </is>
      </c>
      <c r="G4630" t="n">
        <v>8.6</v>
      </c>
      <c r="H4630" t="n">
        <v>0</v>
      </c>
      <c r="I4630" t="n">
        <v>0</v>
      </c>
      <c r="J4630" t="n">
        <v>0</v>
      </c>
      <c r="K4630" t="n">
        <v>0</v>
      </c>
      <c r="L4630" t="n">
        <v>0</v>
      </c>
      <c r="M4630" t="n">
        <v>0</v>
      </c>
      <c r="N4630" t="n">
        <v>0</v>
      </c>
      <c r="O4630" t="n">
        <v>0</v>
      </c>
      <c r="P4630" t="n">
        <v>0</v>
      </c>
      <c r="Q4630" t="n">
        <v>0</v>
      </c>
      <c r="R4630" s="2" t="inlineStr"/>
    </row>
    <row r="4631" ht="15" customHeight="1">
      <c r="A4631" t="inlineStr">
        <is>
          <t>A 37371-2025</t>
        </is>
      </c>
      <c r="B4631" s="1" t="n">
        <v>45877.34472222222</v>
      </c>
      <c r="C4631" s="1" t="n">
        <v>46185</v>
      </c>
      <c r="D4631" t="inlineStr">
        <is>
          <t>VÄSTERNORRLANDS LÄN</t>
        </is>
      </c>
      <c r="E4631" t="inlineStr">
        <is>
          <t>ÅNGE</t>
        </is>
      </c>
      <c r="F4631" t="inlineStr">
        <is>
          <t>SCA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49172-2025</t>
        </is>
      </c>
      <c r="B4632" s="1" t="n">
        <v>45938.37459490741</v>
      </c>
      <c r="C4632" s="1" t="n">
        <v>46185</v>
      </c>
      <c r="D4632" t="inlineStr">
        <is>
          <t>VÄSTERNORRLANDS LÄN</t>
        </is>
      </c>
      <c r="E4632" t="inlineStr">
        <is>
          <t>ÖRNSKÖLDSVIK</t>
        </is>
      </c>
      <c r="F4632" t="inlineStr">
        <is>
          <t>Holmen skog AB</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49372-2025</t>
        </is>
      </c>
      <c r="B4633" s="1" t="n">
        <v>45938.63089120371</v>
      </c>
      <c r="C4633" s="1" t="n">
        <v>46185</v>
      </c>
      <c r="D4633" t="inlineStr">
        <is>
          <t>VÄSTERNORRLANDS LÄN</t>
        </is>
      </c>
      <c r="E4633" t="inlineStr">
        <is>
          <t>ÖRNSKÖLDSVIK</t>
        </is>
      </c>
      <c r="F4633" t="inlineStr">
        <is>
          <t>Holmen skog AB</t>
        </is>
      </c>
      <c r="G4633" t="n">
        <v>8.699999999999999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4917-2025</t>
        </is>
      </c>
      <c r="B4634" s="1" t="n">
        <v>45688</v>
      </c>
      <c r="C4634" s="1" t="n">
        <v>46185</v>
      </c>
      <c r="D4634" t="inlineStr">
        <is>
          <t>VÄSTERNORRLANDS LÄN</t>
        </is>
      </c>
      <c r="E4634" t="inlineStr">
        <is>
          <t>SUNDSVALL</t>
        </is>
      </c>
      <c r="F4634" t="inlineStr">
        <is>
          <t>SCA</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37467-2025</t>
        </is>
      </c>
      <c r="B4635" s="1" t="n">
        <v>45877.57797453704</v>
      </c>
      <c r="C4635" s="1" t="n">
        <v>46185</v>
      </c>
      <c r="D4635" t="inlineStr">
        <is>
          <t>VÄSTERNORRLANDS LÄN</t>
        </is>
      </c>
      <c r="E4635" t="inlineStr">
        <is>
          <t>ÖRNSKÖLDSVIK</t>
        </is>
      </c>
      <c r="F4635" t="inlineStr">
        <is>
          <t>Holmen skog AB</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37684-2025</t>
        </is>
      </c>
      <c r="B4636" s="1" t="n">
        <v>45880.55261574074</v>
      </c>
      <c r="C4636" s="1" t="n">
        <v>46185</v>
      </c>
      <c r="D4636" t="inlineStr">
        <is>
          <t>VÄSTERNORRLANDS LÄN</t>
        </is>
      </c>
      <c r="E4636" t="inlineStr">
        <is>
          <t>TIMRÅ</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49406-2025</t>
        </is>
      </c>
      <c r="B4637" s="1" t="n">
        <v>45938.67761574074</v>
      </c>
      <c r="C4637" s="1" t="n">
        <v>46185</v>
      </c>
      <c r="D4637" t="inlineStr">
        <is>
          <t>VÄSTERNORRLANDS LÄN</t>
        </is>
      </c>
      <c r="E4637" t="inlineStr">
        <is>
          <t>SOLLEFTEÅ</t>
        </is>
      </c>
      <c r="F4637" t="inlineStr">
        <is>
          <t>SCA</t>
        </is>
      </c>
      <c r="G4637" t="n">
        <v>28.6</v>
      </c>
      <c r="H4637" t="n">
        <v>0</v>
      </c>
      <c r="I4637" t="n">
        <v>0</v>
      </c>
      <c r="J4637" t="n">
        <v>0</v>
      </c>
      <c r="K4637" t="n">
        <v>0</v>
      </c>
      <c r="L4637" t="n">
        <v>0</v>
      </c>
      <c r="M4637" t="n">
        <v>0</v>
      </c>
      <c r="N4637" t="n">
        <v>0</v>
      </c>
      <c r="O4637" t="n">
        <v>0</v>
      </c>
      <c r="P4637" t="n">
        <v>0</v>
      </c>
      <c r="Q4637" t="n">
        <v>0</v>
      </c>
      <c r="R4637" s="2" t="inlineStr"/>
    </row>
    <row r="4638" ht="15" customHeight="1">
      <c r="A4638" t="inlineStr">
        <is>
          <t>A 37577-2025</t>
        </is>
      </c>
      <c r="B4638" s="1" t="n">
        <v>45880.38368055555</v>
      </c>
      <c r="C4638" s="1" t="n">
        <v>46185</v>
      </c>
      <c r="D4638" t="inlineStr">
        <is>
          <t>VÄSTERNORRLANDS LÄN</t>
        </is>
      </c>
      <c r="E4638" t="inlineStr">
        <is>
          <t>SUNDSVALL</t>
        </is>
      </c>
      <c r="F4638" t="inlineStr">
        <is>
          <t>Holmen skog AB</t>
        </is>
      </c>
      <c r="G4638" t="n">
        <v>5.9</v>
      </c>
      <c r="H4638" t="n">
        <v>0</v>
      </c>
      <c r="I4638" t="n">
        <v>0</v>
      </c>
      <c r="J4638" t="n">
        <v>0</v>
      </c>
      <c r="K4638" t="n">
        <v>0</v>
      </c>
      <c r="L4638" t="n">
        <v>0</v>
      </c>
      <c r="M4638" t="n">
        <v>0</v>
      </c>
      <c r="N4638" t="n">
        <v>0</v>
      </c>
      <c r="O4638" t="n">
        <v>0</v>
      </c>
      <c r="P4638" t="n">
        <v>0</v>
      </c>
      <c r="Q4638" t="n">
        <v>0</v>
      </c>
      <c r="R4638" s="2" t="inlineStr"/>
    </row>
    <row r="4639" ht="15" customHeight="1">
      <c r="A4639" t="inlineStr">
        <is>
          <t>A 37579-2025</t>
        </is>
      </c>
      <c r="B4639" s="1" t="n">
        <v>45880.38383101852</v>
      </c>
      <c r="C4639" s="1" t="n">
        <v>46185</v>
      </c>
      <c r="D4639" t="inlineStr">
        <is>
          <t>VÄSTERNORRLANDS LÄN</t>
        </is>
      </c>
      <c r="E4639" t="inlineStr">
        <is>
          <t>ÖRNSKÖLDSVIK</t>
        </is>
      </c>
      <c r="F4639" t="inlineStr">
        <is>
          <t>Holmen skog AB</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37598-2025</t>
        </is>
      </c>
      <c r="B4640" s="1" t="n">
        <v>45880.41893518518</v>
      </c>
      <c r="C4640" s="1" t="n">
        <v>46185</v>
      </c>
      <c r="D4640" t="inlineStr">
        <is>
          <t>VÄSTERNORRLANDS LÄN</t>
        </is>
      </c>
      <c r="E4640" t="inlineStr">
        <is>
          <t>SUNDSVALL</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33129-2022</t>
        </is>
      </c>
      <c r="B4641" s="1" t="n">
        <v>44785</v>
      </c>
      <c r="C4641" s="1" t="n">
        <v>46185</v>
      </c>
      <c r="D4641" t="inlineStr">
        <is>
          <t>VÄSTERNORRLANDS LÄN</t>
        </is>
      </c>
      <c r="E4641" t="inlineStr">
        <is>
          <t>ÖRNSKÖLDSVIK</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25153-2025</t>
        </is>
      </c>
      <c r="B4642" s="1" t="n">
        <v>45800.42759259259</v>
      </c>
      <c r="C4642" s="1" t="n">
        <v>46185</v>
      </c>
      <c r="D4642" t="inlineStr">
        <is>
          <t>VÄSTERNORRLANDS LÄN</t>
        </is>
      </c>
      <c r="E4642" t="inlineStr">
        <is>
          <t>SUNDSVALL</t>
        </is>
      </c>
      <c r="F4642" t="inlineStr">
        <is>
          <t>SCA</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37384-2025</t>
        </is>
      </c>
      <c r="B4643" s="1" t="n">
        <v>45877.3859837963</v>
      </c>
      <c r="C4643" s="1" t="n">
        <v>46185</v>
      </c>
      <c r="D4643" t="inlineStr">
        <is>
          <t>VÄSTERNORRLANDS LÄN</t>
        </is>
      </c>
      <c r="E4643" t="inlineStr">
        <is>
          <t>ÅNGE</t>
        </is>
      </c>
      <c r="F4643" t="inlineStr">
        <is>
          <t>SCA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49222-2025</t>
        </is>
      </c>
      <c r="B4644" s="1" t="n">
        <v>45937</v>
      </c>
      <c r="C4644" s="1" t="n">
        <v>46185</v>
      </c>
      <c r="D4644" t="inlineStr">
        <is>
          <t>VÄSTERNORRLANDS LÄN</t>
        </is>
      </c>
      <c r="E4644" t="inlineStr">
        <is>
          <t>ÖRNSKÖLDSVIK</t>
        </is>
      </c>
      <c r="F4644" t="inlineStr">
        <is>
          <t>Kyrkan</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37663-2025</t>
        </is>
      </c>
      <c r="B4645" s="1" t="n">
        <v>45880.51079861111</v>
      </c>
      <c r="C4645" s="1" t="n">
        <v>46185</v>
      </c>
      <c r="D4645" t="inlineStr">
        <is>
          <t>VÄSTERNORRLANDS LÄN</t>
        </is>
      </c>
      <c r="E4645" t="inlineStr">
        <is>
          <t>ÅNGE</t>
        </is>
      </c>
      <c r="F4645" t="inlineStr">
        <is>
          <t>SCA</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17058-2023</t>
        </is>
      </c>
      <c r="B4646" s="1" t="n">
        <v>45034</v>
      </c>
      <c r="C4646" s="1" t="n">
        <v>46185</v>
      </c>
      <c r="D4646" t="inlineStr">
        <is>
          <t>VÄSTERNORRLANDS LÄN</t>
        </is>
      </c>
      <c r="E4646" t="inlineStr">
        <is>
          <t>KRAMFORS</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49074-2025</t>
        </is>
      </c>
      <c r="B4647" s="1" t="n">
        <v>45937.65530092592</v>
      </c>
      <c r="C4647" s="1" t="n">
        <v>46185</v>
      </c>
      <c r="D4647" t="inlineStr">
        <is>
          <t>VÄSTERNORRLANDS LÄN</t>
        </is>
      </c>
      <c r="E4647" t="inlineStr">
        <is>
          <t>KRAMFORS</t>
        </is>
      </c>
      <c r="G4647" t="n">
        <v>7.2</v>
      </c>
      <c r="H4647" t="n">
        <v>0</v>
      </c>
      <c r="I4647" t="n">
        <v>0</v>
      </c>
      <c r="J4647" t="n">
        <v>0</v>
      </c>
      <c r="K4647" t="n">
        <v>0</v>
      </c>
      <c r="L4647" t="n">
        <v>0</v>
      </c>
      <c r="M4647" t="n">
        <v>0</v>
      </c>
      <c r="N4647" t="n">
        <v>0</v>
      </c>
      <c r="O4647" t="n">
        <v>0</v>
      </c>
      <c r="P4647" t="n">
        <v>0</v>
      </c>
      <c r="Q4647" t="n">
        <v>0</v>
      </c>
      <c r="R4647" s="2" t="inlineStr"/>
    </row>
    <row r="4648" ht="15" customHeight="1">
      <c r="A4648" t="inlineStr">
        <is>
          <t>A 9379-2025</t>
        </is>
      </c>
      <c r="B4648" s="1" t="n">
        <v>45715.34306712963</v>
      </c>
      <c r="C4648" s="1" t="n">
        <v>46185</v>
      </c>
      <c r="D4648" t="inlineStr">
        <is>
          <t>VÄSTERNORRLANDS LÄN</t>
        </is>
      </c>
      <c r="E4648" t="inlineStr">
        <is>
          <t>ÖRNSKÖLDSVIK</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49154-2025</t>
        </is>
      </c>
      <c r="B4649" s="1" t="n">
        <v>45938.34567129629</v>
      </c>
      <c r="C4649" s="1" t="n">
        <v>46185</v>
      </c>
      <c r="D4649" t="inlineStr">
        <is>
          <t>VÄSTERNORRLANDS LÄN</t>
        </is>
      </c>
      <c r="E4649" t="inlineStr">
        <is>
          <t>SOLLEFTEÅ</t>
        </is>
      </c>
      <c r="F4649" t="inlineStr">
        <is>
          <t>SCA</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49157-2025</t>
        </is>
      </c>
      <c r="B4650" s="1" t="n">
        <v>45938.34599537037</v>
      </c>
      <c r="C4650" s="1" t="n">
        <v>46185</v>
      </c>
      <c r="D4650" t="inlineStr">
        <is>
          <t>VÄSTERNORRLANDS LÄN</t>
        </is>
      </c>
      <c r="E4650" t="inlineStr">
        <is>
          <t>ÖRNSKÖLDSVIK</t>
        </is>
      </c>
      <c r="F4650" t="inlineStr">
        <is>
          <t>Holmen skog AB</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37569-2025</t>
        </is>
      </c>
      <c r="B4651" s="1" t="n">
        <v>45880.36773148148</v>
      </c>
      <c r="C4651" s="1" t="n">
        <v>46185</v>
      </c>
      <c r="D4651" t="inlineStr">
        <is>
          <t>VÄSTERNORRLANDS LÄN</t>
        </is>
      </c>
      <c r="E4651" t="inlineStr">
        <is>
          <t>ÖRNSKÖLDSVIK</t>
        </is>
      </c>
      <c r="F4651" t="inlineStr">
        <is>
          <t>Holmen skog AB</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14274-2025</t>
        </is>
      </c>
      <c r="B4652" s="1" t="n">
        <v>45740.64412037037</v>
      </c>
      <c r="C4652" s="1" t="n">
        <v>46185</v>
      </c>
      <c r="D4652" t="inlineStr">
        <is>
          <t>VÄSTERNORRLANDS LÄN</t>
        </is>
      </c>
      <c r="E4652" t="inlineStr">
        <is>
          <t>SOLLEFTEÅ</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5360-2023</t>
        </is>
      </c>
      <c r="B4653" s="1" t="n">
        <v>44956</v>
      </c>
      <c r="C4653" s="1" t="n">
        <v>46185</v>
      </c>
      <c r="D4653" t="inlineStr">
        <is>
          <t>VÄSTERNORRLANDS LÄN</t>
        </is>
      </c>
      <c r="E4653" t="inlineStr">
        <is>
          <t>KRAMFORS</t>
        </is>
      </c>
      <c r="G4653" t="n">
        <v>11.4</v>
      </c>
      <c r="H4653" t="n">
        <v>0</v>
      </c>
      <c r="I4653" t="n">
        <v>0</v>
      </c>
      <c r="J4653" t="n">
        <v>0</v>
      </c>
      <c r="K4653" t="n">
        <v>0</v>
      </c>
      <c r="L4653" t="n">
        <v>0</v>
      </c>
      <c r="M4653" t="n">
        <v>0</v>
      </c>
      <c r="N4653" t="n">
        <v>0</v>
      </c>
      <c r="O4653" t="n">
        <v>0</v>
      </c>
      <c r="P4653" t="n">
        <v>0</v>
      </c>
      <c r="Q4653" t="n">
        <v>0</v>
      </c>
      <c r="R4653" s="2" t="inlineStr"/>
    </row>
    <row r="4654" ht="15" customHeight="1">
      <c r="A4654" t="inlineStr">
        <is>
          <t>A 48863-2025</t>
        </is>
      </c>
      <c r="B4654" s="1" t="n">
        <v>45937.44482638889</v>
      </c>
      <c r="C4654" s="1" t="n">
        <v>46185</v>
      </c>
      <c r="D4654" t="inlineStr">
        <is>
          <t>VÄSTERNORRLANDS LÄN</t>
        </is>
      </c>
      <c r="E4654" t="inlineStr">
        <is>
          <t>ÖRNSKÖLDSVIK</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9382-2025</t>
        </is>
      </c>
      <c r="B4655" s="1" t="n">
        <v>45715.34425925926</v>
      </c>
      <c r="C4655" s="1" t="n">
        <v>46185</v>
      </c>
      <c r="D4655" t="inlineStr">
        <is>
          <t>VÄSTERNORRLANDS LÄN</t>
        </is>
      </c>
      <c r="E4655" t="inlineStr">
        <is>
          <t>ÅNGE</t>
        </is>
      </c>
      <c r="F4655" t="inlineStr">
        <is>
          <t>SCA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48981-2025</t>
        </is>
      </c>
      <c r="B4656" s="1" t="n">
        <v>45937.57354166666</v>
      </c>
      <c r="C4656" s="1" t="n">
        <v>46185</v>
      </c>
      <c r="D4656" t="inlineStr">
        <is>
          <t>VÄSTERNORRLANDS LÄN</t>
        </is>
      </c>
      <c r="E4656" t="inlineStr">
        <is>
          <t>SOLLEFTEÅ</t>
        </is>
      </c>
      <c r="F4656" t="inlineStr">
        <is>
          <t>SCA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48768-2025</t>
        </is>
      </c>
      <c r="B4657" s="1" t="n">
        <v>45936.88189814815</v>
      </c>
      <c r="C4657" s="1" t="n">
        <v>46185</v>
      </c>
      <c r="D4657" t="inlineStr">
        <is>
          <t>VÄSTERNORRLANDS LÄN</t>
        </is>
      </c>
      <c r="E4657" t="inlineStr">
        <is>
          <t>KRAMFORS</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49071-2025</t>
        </is>
      </c>
      <c r="B4658" s="1" t="n">
        <v>45937.65337962963</v>
      </c>
      <c r="C4658" s="1" t="n">
        <v>46185</v>
      </c>
      <c r="D4658" t="inlineStr">
        <is>
          <t>VÄSTERNORRLANDS LÄN</t>
        </is>
      </c>
      <c r="E4658" t="inlineStr">
        <is>
          <t>KRAMFORS</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37723-2025</t>
        </is>
      </c>
      <c r="B4659" s="1" t="n">
        <v>45880.61528935185</v>
      </c>
      <c r="C4659" s="1" t="n">
        <v>46185</v>
      </c>
      <c r="D4659" t="inlineStr">
        <is>
          <t>VÄSTERNORRLANDS LÄN</t>
        </is>
      </c>
      <c r="E4659" t="inlineStr">
        <is>
          <t>ÅNGE</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37562-2025</t>
        </is>
      </c>
      <c r="B4660" s="1" t="n">
        <v>45880.34414351852</v>
      </c>
      <c r="C4660" s="1" t="n">
        <v>46185</v>
      </c>
      <c r="D4660" t="inlineStr">
        <is>
          <t>VÄSTERNORRLANDS LÄN</t>
        </is>
      </c>
      <c r="E4660" t="inlineStr">
        <is>
          <t>HÄRNÖSAND</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37695-2025</t>
        </is>
      </c>
      <c r="B4661" s="1" t="n">
        <v>45880.57357638889</v>
      </c>
      <c r="C4661" s="1" t="n">
        <v>46185</v>
      </c>
      <c r="D4661" t="inlineStr">
        <is>
          <t>VÄSTERNORRLANDS LÄN</t>
        </is>
      </c>
      <c r="E4661" t="inlineStr">
        <is>
          <t>TIMRÅ</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37761-2025</t>
        </is>
      </c>
      <c r="B4662" s="1" t="n">
        <v>45880.68714120371</v>
      </c>
      <c r="C4662" s="1" t="n">
        <v>46185</v>
      </c>
      <c r="D4662" t="inlineStr">
        <is>
          <t>VÄSTERNORRLANDS LÄN</t>
        </is>
      </c>
      <c r="E4662" t="inlineStr">
        <is>
          <t>ÖRNSKÖLDSVIK</t>
        </is>
      </c>
      <c r="F4662" t="inlineStr">
        <is>
          <t>Holmen skog AB</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49289-2025</t>
        </is>
      </c>
      <c r="B4663" s="1" t="n">
        <v>45938.52868055556</v>
      </c>
      <c r="C4663" s="1" t="n">
        <v>46185</v>
      </c>
      <c r="D4663" t="inlineStr">
        <is>
          <t>VÄSTERNORRLANDS LÄN</t>
        </is>
      </c>
      <c r="E4663" t="inlineStr">
        <is>
          <t>SOLLEFTEÅ</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37383-2025</t>
        </is>
      </c>
      <c r="B4664" s="1" t="n">
        <v>45877.38581018519</v>
      </c>
      <c r="C4664" s="1" t="n">
        <v>46185</v>
      </c>
      <c r="D4664" t="inlineStr">
        <is>
          <t>VÄSTERNORRLANDS LÄN</t>
        </is>
      </c>
      <c r="E4664" t="inlineStr">
        <is>
          <t>ÅNGE</t>
        </is>
      </c>
      <c r="F4664" t="inlineStr">
        <is>
          <t>SCA</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48800-2025</t>
        </is>
      </c>
      <c r="B4665" s="1" t="n">
        <v>45937.34498842592</v>
      </c>
      <c r="C4665" s="1" t="n">
        <v>46185</v>
      </c>
      <c r="D4665" t="inlineStr">
        <is>
          <t>VÄSTERNORRLANDS LÄN</t>
        </is>
      </c>
      <c r="E4665" t="inlineStr">
        <is>
          <t>HÄRNÖSAND</t>
        </is>
      </c>
      <c r="F4665" t="inlineStr">
        <is>
          <t>SCA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48810-2025</t>
        </is>
      </c>
      <c r="B4666" s="1" t="n">
        <v>45937.35652777777</v>
      </c>
      <c r="C4666" s="1" t="n">
        <v>46185</v>
      </c>
      <c r="D4666" t="inlineStr">
        <is>
          <t>VÄSTERNORRLANDS LÄN</t>
        </is>
      </c>
      <c r="E4666" t="inlineStr">
        <is>
          <t>ÖRNSKÖLDSVIK</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37417-2025</t>
        </is>
      </c>
      <c r="B4667" s="1" t="n">
        <v>45877</v>
      </c>
      <c r="C4667" s="1" t="n">
        <v>46185</v>
      </c>
      <c r="D4667" t="inlineStr">
        <is>
          <t>VÄSTERNORRLANDS LÄN</t>
        </is>
      </c>
      <c r="E4667" t="inlineStr">
        <is>
          <t>KRAMFORS</t>
        </is>
      </c>
      <c r="G4667" t="n">
        <v>19.9</v>
      </c>
      <c r="H4667" t="n">
        <v>0</v>
      </c>
      <c r="I4667" t="n">
        <v>0</v>
      </c>
      <c r="J4667" t="n">
        <v>0</v>
      </c>
      <c r="K4667" t="n">
        <v>0</v>
      </c>
      <c r="L4667" t="n">
        <v>0</v>
      </c>
      <c r="M4667" t="n">
        <v>0</v>
      </c>
      <c r="N4667" t="n">
        <v>0</v>
      </c>
      <c r="O4667" t="n">
        <v>0</v>
      </c>
      <c r="P4667" t="n">
        <v>0</v>
      </c>
      <c r="Q4667" t="n">
        <v>0</v>
      </c>
      <c r="R4667" s="2" t="inlineStr"/>
    </row>
    <row r="4668" ht="15" customHeight="1">
      <c r="A4668" t="inlineStr">
        <is>
          <t>A 49115-2025</t>
        </is>
      </c>
      <c r="B4668" s="1" t="n">
        <v>45937</v>
      </c>
      <c r="C4668" s="1" t="n">
        <v>46185</v>
      </c>
      <c r="D4668" t="inlineStr">
        <is>
          <t>VÄSTERNORRLANDS LÄN</t>
        </is>
      </c>
      <c r="E4668" t="inlineStr">
        <is>
          <t>SOLLEFTEÅ</t>
        </is>
      </c>
      <c r="F4668" t="inlineStr">
        <is>
          <t>Övriga Aktiebolag</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62560-2023</t>
        </is>
      </c>
      <c r="B4669" s="1" t="n">
        <v>45268.94784722223</v>
      </c>
      <c r="C4669" s="1" t="n">
        <v>46185</v>
      </c>
      <c r="D4669" t="inlineStr">
        <is>
          <t>VÄSTERNORRLANDS LÄN</t>
        </is>
      </c>
      <c r="E4669" t="inlineStr">
        <is>
          <t>ÖRNSKÖLDSVIK</t>
        </is>
      </c>
      <c r="F4669" t="inlineStr">
        <is>
          <t>SCA</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14718-2023</t>
        </is>
      </c>
      <c r="B4670" s="1" t="n">
        <v>45012</v>
      </c>
      <c r="C4670" s="1" t="n">
        <v>46185</v>
      </c>
      <c r="D4670" t="inlineStr">
        <is>
          <t>VÄSTERNORRLANDS LÄN</t>
        </is>
      </c>
      <c r="E4670" t="inlineStr">
        <is>
          <t>SOLLEFTEÅ</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49155-2025</t>
        </is>
      </c>
      <c r="B4671" s="1" t="n">
        <v>45938.34578703704</v>
      </c>
      <c r="C4671" s="1" t="n">
        <v>46185</v>
      </c>
      <c r="D4671" t="inlineStr">
        <is>
          <t>VÄSTERNORRLANDS LÄN</t>
        </is>
      </c>
      <c r="E4671" t="inlineStr">
        <is>
          <t>SOLLEFTEÅ</t>
        </is>
      </c>
      <c r="F4671" t="inlineStr">
        <is>
          <t>SCA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49696-2025</t>
        </is>
      </c>
      <c r="B4672" s="1" t="n">
        <v>45939.6775462963</v>
      </c>
      <c r="C4672" s="1" t="n">
        <v>46185</v>
      </c>
      <c r="D4672" t="inlineStr">
        <is>
          <t>VÄSTERNORRLANDS LÄN</t>
        </is>
      </c>
      <c r="E4672" t="inlineStr">
        <is>
          <t>SOLLEFTEÅ</t>
        </is>
      </c>
      <c r="F4672" t="inlineStr">
        <is>
          <t>SCA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21022-2025</t>
        </is>
      </c>
      <c r="B4673" s="1" t="n">
        <v>45777.51106481482</v>
      </c>
      <c r="C4673" s="1" t="n">
        <v>46185</v>
      </c>
      <c r="D4673" t="inlineStr">
        <is>
          <t>VÄSTERNORRLANDS LÄN</t>
        </is>
      </c>
      <c r="E4673" t="inlineStr">
        <is>
          <t>ÖRNSKÖLDSVIK</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1711-2025</t>
        </is>
      </c>
      <c r="B4674" s="1" t="n">
        <v>45671.31184027778</v>
      </c>
      <c r="C4674" s="1" t="n">
        <v>46185</v>
      </c>
      <c r="D4674" t="inlineStr">
        <is>
          <t>VÄSTERNORRLANDS LÄN</t>
        </is>
      </c>
      <c r="E4674" t="inlineStr">
        <is>
          <t>ÅNGE</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49699-2025</t>
        </is>
      </c>
      <c r="B4675" s="1" t="n">
        <v>45939.67807870371</v>
      </c>
      <c r="C4675" s="1" t="n">
        <v>46185</v>
      </c>
      <c r="D4675" t="inlineStr">
        <is>
          <t>VÄSTERNORRLANDS LÄN</t>
        </is>
      </c>
      <c r="E4675" t="inlineStr">
        <is>
          <t>SOLLEFTEÅ</t>
        </is>
      </c>
      <c r="F4675" t="inlineStr">
        <is>
          <t>SCA</t>
        </is>
      </c>
      <c r="G4675" t="n">
        <v>7.5</v>
      </c>
      <c r="H4675" t="n">
        <v>0</v>
      </c>
      <c r="I4675" t="n">
        <v>0</v>
      </c>
      <c r="J4675" t="n">
        <v>0</v>
      </c>
      <c r="K4675" t="n">
        <v>0</v>
      </c>
      <c r="L4675" t="n">
        <v>0</v>
      </c>
      <c r="M4675" t="n">
        <v>0</v>
      </c>
      <c r="N4675" t="n">
        <v>0</v>
      </c>
      <c r="O4675" t="n">
        <v>0</v>
      </c>
      <c r="P4675" t="n">
        <v>0</v>
      </c>
      <c r="Q4675" t="n">
        <v>0</v>
      </c>
      <c r="R4675" s="2" t="inlineStr"/>
    </row>
    <row r="4676" ht="15" customHeight="1">
      <c r="A4676" t="inlineStr">
        <is>
          <t>A 49700-2025</t>
        </is>
      </c>
      <c r="B4676" s="1" t="n">
        <v>45939.67822916667</v>
      </c>
      <c r="C4676" s="1" t="n">
        <v>46185</v>
      </c>
      <c r="D4676" t="inlineStr">
        <is>
          <t>VÄSTERNORRLANDS LÄN</t>
        </is>
      </c>
      <c r="E4676" t="inlineStr">
        <is>
          <t>SOLLEFTEÅ</t>
        </is>
      </c>
      <c r="F4676" t="inlineStr">
        <is>
          <t>SCA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49706-2025</t>
        </is>
      </c>
      <c r="B4677" s="1" t="n">
        <v>45939.67949074074</v>
      </c>
      <c r="C4677" s="1" t="n">
        <v>46185</v>
      </c>
      <c r="D4677" t="inlineStr">
        <is>
          <t>VÄSTERNORRLANDS LÄN</t>
        </is>
      </c>
      <c r="E4677" t="inlineStr">
        <is>
          <t>SOLLEFTEÅ</t>
        </is>
      </c>
      <c r="F4677" t="inlineStr">
        <is>
          <t>SCA</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37588-2025</t>
        </is>
      </c>
      <c r="B4678" s="1" t="n">
        <v>45880.40707175926</v>
      </c>
      <c r="C4678" s="1" t="n">
        <v>46185</v>
      </c>
      <c r="D4678" t="inlineStr">
        <is>
          <t>VÄSTERNORRLANDS LÄN</t>
        </is>
      </c>
      <c r="E4678" t="inlineStr">
        <is>
          <t>SUNDSVALL</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49752-2025</t>
        </is>
      </c>
      <c r="B4679" s="1" t="n">
        <v>45940.34524305556</v>
      </c>
      <c r="C4679" s="1" t="n">
        <v>46185</v>
      </c>
      <c r="D4679" t="inlineStr">
        <is>
          <t>VÄSTERNORRLANDS LÄN</t>
        </is>
      </c>
      <c r="E4679" t="inlineStr">
        <is>
          <t>SUNDSVALL</t>
        </is>
      </c>
      <c r="F4679" t="inlineStr">
        <is>
          <t>Naturvårdsverket</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5248-2023</t>
        </is>
      </c>
      <c r="B4680" s="1" t="n">
        <v>44959.44559027778</v>
      </c>
      <c r="C4680" s="1" t="n">
        <v>46185</v>
      </c>
      <c r="D4680" t="inlineStr">
        <is>
          <t>VÄSTERNORRLANDS LÄN</t>
        </is>
      </c>
      <c r="E4680" t="inlineStr">
        <is>
          <t>ÖRNSKÖLDSVIK</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37607-2025</t>
        </is>
      </c>
      <c r="B4681" s="1" t="n">
        <v>45880</v>
      </c>
      <c r="C4681" s="1" t="n">
        <v>46185</v>
      </c>
      <c r="D4681" t="inlineStr">
        <is>
          <t>VÄSTERNORRLANDS LÄN</t>
        </is>
      </c>
      <c r="E4681" t="inlineStr">
        <is>
          <t>SOLLEFTEÅ</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49919-2025</t>
        </is>
      </c>
      <c r="B4682" s="1" t="n">
        <v>45940.63591435185</v>
      </c>
      <c r="C4682" s="1" t="n">
        <v>46185</v>
      </c>
      <c r="D4682" t="inlineStr">
        <is>
          <t>VÄSTERNORRLANDS LÄN</t>
        </is>
      </c>
      <c r="E4682" t="inlineStr">
        <is>
          <t>SOLLEFTEÅ</t>
        </is>
      </c>
      <c r="F4682" t="inlineStr">
        <is>
          <t>SCA</t>
        </is>
      </c>
      <c r="G4682" t="n">
        <v>41.5</v>
      </c>
      <c r="H4682" t="n">
        <v>0</v>
      </c>
      <c r="I4682" t="n">
        <v>0</v>
      </c>
      <c r="J4682" t="n">
        <v>0</v>
      </c>
      <c r="K4682" t="n">
        <v>0</v>
      </c>
      <c r="L4682" t="n">
        <v>0</v>
      </c>
      <c r="M4682" t="n">
        <v>0</v>
      </c>
      <c r="N4682" t="n">
        <v>0</v>
      </c>
      <c r="O4682" t="n">
        <v>0</v>
      </c>
      <c r="P4682" t="n">
        <v>0</v>
      </c>
      <c r="Q4682" t="n">
        <v>0</v>
      </c>
      <c r="R4682" s="2" t="inlineStr"/>
    </row>
    <row r="4683" ht="15" customHeight="1">
      <c r="A4683" t="inlineStr">
        <is>
          <t>A 139-2024</t>
        </is>
      </c>
      <c r="B4683" s="1" t="n">
        <v>45293</v>
      </c>
      <c r="C4683" s="1" t="n">
        <v>46185</v>
      </c>
      <c r="D4683" t="inlineStr">
        <is>
          <t>VÄSTERNORRLANDS LÄN</t>
        </is>
      </c>
      <c r="E4683" t="inlineStr">
        <is>
          <t>HÄRNÖSAND</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49705-2025</t>
        </is>
      </c>
      <c r="B4684" s="1" t="n">
        <v>45939.67929398148</v>
      </c>
      <c r="C4684" s="1" t="n">
        <v>46185</v>
      </c>
      <c r="D4684" t="inlineStr">
        <is>
          <t>VÄSTERNORRLANDS LÄN</t>
        </is>
      </c>
      <c r="E4684" t="inlineStr">
        <is>
          <t>SOLLEFTEÅ</t>
        </is>
      </c>
      <c r="F4684" t="inlineStr">
        <is>
          <t>SCA</t>
        </is>
      </c>
      <c r="G4684" t="n">
        <v>6.3</v>
      </c>
      <c r="H4684" t="n">
        <v>0</v>
      </c>
      <c r="I4684" t="n">
        <v>0</v>
      </c>
      <c r="J4684" t="n">
        <v>0</v>
      </c>
      <c r="K4684" t="n">
        <v>0</v>
      </c>
      <c r="L4684" t="n">
        <v>0</v>
      </c>
      <c r="M4684" t="n">
        <v>0</v>
      </c>
      <c r="N4684" t="n">
        <v>0</v>
      </c>
      <c r="O4684" t="n">
        <v>0</v>
      </c>
      <c r="P4684" t="n">
        <v>0</v>
      </c>
      <c r="Q4684" t="n">
        <v>0</v>
      </c>
      <c r="R4684" s="2" t="inlineStr"/>
    </row>
    <row r="4685" ht="15" customHeight="1">
      <c r="A4685" t="inlineStr">
        <is>
          <t>A 42043-2024</t>
        </is>
      </c>
      <c r="B4685" s="1" t="n">
        <v>45561</v>
      </c>
      <c r="C4685" s="1" t="n">
        <v>46185</v>
      </c>
      <c r="D4685" t="inlineStr">
        <is>
          <t>VÄSTERNORRLANDS LÄN</t>
        </is>
      </c>
      <c r="E4685" t="inlineStr">
        <is>
          <t>ÅNGE</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42046-2024</t>
        </is>
      </c>
      <c r="B4686" s="1" t="n">
        <v>45561.83422453704</v>
      </c>
      <c r="C4686" s="1" t="n">
        <v>46185</v>
      </c>
      <c r="D4686" t="inlineStr">
        <is>
          <t>VÄSTERNORRLANDS LÄN</t>
        </is>
      </c>
      <c r="E4686" t="inlineStr">
        <is>
          <t>ÅNGE</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37480-2025</t>
        </is>
      </c>
      <c r="B4687" s="1" t="n">
        <v>45877.61545138889</v>
      </c>
      <c r="C4687" s="1" t="n">
        <v>46185</v>
      </c>
      <c r="D4687" t="inlineStr">
        <is>
          <t>VÄSTERNORRLANDS LÄN</t>
        </is>
      </c>
      <c r="E4687" t="inlineStr">
        <is>
          <t>ÖRNSKÖLDSVIK</t>
        </is>
      </c>
      <c r="F4687" t="inlineStr">
        <is>
          <t>SCA</t>
        </is>
      </c>
      <c r="G4687" t="n">
        <v>6.2</v>
      </c>
      <c r="H4687" t="n">
        <v>0</v>
      </c>
      <c r="I4687" t="n">
        <v>0</v>
      </c>
      <c r="J4687" t="n">
        <v>0</v>
      </c>
      <c r="K4687" t="n">
        <v>0</v>
      </c>
      <c r="L4687" t="n">
        <v>0</v>
      </c>
      <c r="M4687" t="n">
        <v>0</v>
      </c>
      <c r="N4687" t="n">
        <v>0</v>
      </c>
      <c r="O4687" t="n">
        <v>0</v>
      </c>
      <c r="P4687" t="n">
        <v>0</v>
      </c>
      <c r="Q4687" t="n">
        <v>0</v>
      </c>
      <c r="R4687" s="2" t="inlineStr"/>
    </row>
    <row r="4688" ht="15" customHeight="1">
      <c r="A4688" t="inlineStr">
        <is>
          <t>A 56395-2022</t>
        </is>
      </c>
      <c r="B4688" s="1" t="n">
        <v>44890</v>
      </c>
      <c r="C4688" s="1" t="n">
        <v>46185</v>
      </c>
      <c r="D4688" t="inlineStr">
        <is>
          <t>VÄSTERNORRLANDS LÄN</t>
        </is>
      </c>
      <c r="E4688" t="inlineStr">
        <is>
          <t>HÄRNÖSAND</t>
        </is>
      </c>
      <c r="F4688" t="inlineStr">
        <is>
          <t>Kyrkan</t>
        </is>
      </c>
      <c r="G4688" t="n">
        <v>7.4</v>
      </c>
      <c r="H4688" t="n">
        <v>0</v>
      </c>
      <c r="I4688" t="n">
        <v>0</v>
      </c>
      <c r="J4688" t="n">
        <v>0</v>
      </c>
      <c r="K4688" t="n">
        <v>0</v>
      </c>
      <c r="L4688" t="n">
        <v>0</v>
      </c>
      <c r="M4688" t="n">
        <v>0</v>
      </c>
      <c r="N4688" t="n">
        <v>0</v>
      </c>
      <c r="O4688" t="n">
        <v>0</v>
      </c>
      <c r="P4688" t="n">
        <v>0</v>
      </c>
      <c r="Q4688" t="n">
        <v>0</v>
      </c>
      <c r="R4688" s="2" t="inlineStr"/>
    </row>
    <row r="4689" ht="15" customHeight="1">
      <c r="A4689" t="inlineStr">
        <is>
          <t>A 37584-2025</t>
        </is>
      </c>
      <c r="B4689" s="1" t="n">
        <v>45880.39467592593</v>
      </c>
      <c r="C4689" s="1" t="n">
        <v>46185</v>
      </c>
      <c r="D4689" t="inlineStr">
        <is>
          <t>VÄSTERNORRLANDS LÄN</t>
        </is>
      </c>
      <c r="E4689" t="inlineStr">
        <is>
          <t>ÖRNSKÖLDSVIK</t>
        </is>
      </c>
      <c r="F4689" t="inlineStr">
        <is>
          <t>Holmen skog AB</t>
        </is>
      </c>
      <c r="G4689" t="n">
        <v>7.2</v>
      </c>
      <c r="H4689" t="n">
        <v>0</v>
      </c>
      <c r="I4689" t="n">
        <v>0</v>
      </c>
      <c r="J4689" t="n">
        <v>0</v>
      </c>
      <c r="K4689" t="n">
        <v>0</v>
      </c>
      <c r="L4689" t="n">
        <v>0</v>
      </c>
      <c r="M4689" t="n">
        <v>0</v>
      </c>
      <c r="N4689" t="n">
        <v>0</v>
      </c>
      <c r="O4689" t="n">
        <v>0</v>
      </c>
      <c r="P4689" t="n">
        <v>0</v>
      </c>
      <c r="Q4689" t="n">
        <v>0</v>
      </c>
      <c r="R4689" s="2" t="inlineStr"/>
    </row>
    <row r="4690" ht="15" customHeight="1">
      <c r="A4690" t="inlineStr">
        <is>
          <t>A 37597-2025</t>
        </is>
      </c>
      <c r="B4690" s="1" t="n">
        <v>45880.41709490741</v>
      </c>
      <c r="C4690" s="1" t="n">
        <v>46185</v>
      </c>
      <c r="D4690" t="inlineStr">
        <is>
          <t>VÄSTERNORRLANDS LÄN</t>
        </is>
      </c>
      <c r="E4690" t="inlineStr">
        <is>
          <t>SUNDSVALL</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37600-2025</t>
        </is>
      </c>
      <c r="B4691" s="1" t="n">
        <v>45880.42237268519</v>
      </c>
      <c r="C4691" s="1" t="n">
        <v>46185</v>
      </c>
      <c r="D4691" t="inlineStr">
        <is>
          <t>VÄSTERNORRLANDS LÄN</t>
        </is>
      </c>
      <c r="E4691" t="inlineStr">
        <is>
          <t>ÖRNSKÖLDSVIK</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37581-2025</t>
        </is>
      </c>
      <c r="B4692" s="1" t="n">
        <v>45880.38623842593</v>
      </c>
      <c r="C4692" s="1" t="n">
        <v>46185</v>
      </c>
      <c r="D4692" t="inlineStr">
        <is>
          <t>VÄSTERNORRLANDS LÄN</t>
        </is>
      </c>
      <c r="E4692" t="inlineStr">
        <is>
          <t>SOLLEFTEÅ</t>
        </is>
      </c>
      <c r="G4692" t="n">
        <v>9.5</v>
      </c>
      <c r="H4692" t="n">
        <v>0</v>
      </c>
      <c r="I4692" t="n">
        <v>0</v>
      </c>
      <c r="J4692" t="n">
        <v>0</v>
      </c>
      <c r="K4692" t="n">
        <v>0</v>
      </c>
      <c r="L4692" t="n">
        <v>0</v>
      </c>
      <c r="M4692" t="n">
        <v>0</v>
      </c>
      <c r="N4692" t="n">
        <v>0</v>
      </c>
      <c r="O4692" t="n">
        <v>0</v>
      </c>
      <c r="P4692" t="n">
        <v>0</v>
      </c>
      <c r="Q4692" t="n">
        <v>0</v>
      </c>
      <c r="R4692" s="2" t="inlineStr"/>
    </row>
    <row r="4693" ht="15" customHeight="1">
      <c r="A4693" t="inlineStr">
        <is>
          <t>A 28232-2022</t>
        </is>
      </c>
      <c r="B4693" s="1" t="n">
        <v>44746</v>
      </c>
      <c r="C4693" s="1" t="n">
        <v>46185</v>
      </c>
      <c r="D4693" t="inlineStr">
        <is>
          <t>VÄSTERNORRLANDS LÄN</t>
        </is>
      </c>
      <c r="E4693" t="inlineStr">
        <is>
          <t>SUNDSVALL</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49473-2025</t>
        </is>
      </c>
      <c r="B4694" s="1" t="n">
        <v>45939.34458333333</v>
      </c>
      <c r="C4694" s="1" t="n">
        <v>46185</v>
      </c>
      <c r="D4694" t="inlineStr">
        <is>
          <t>VÄSTERNORRLANDS LÄN</t>
        </is>
      </c>
      <c r="E4694" t="inlineStr">
        <is>
          <t>ÖRNSKÖLDSVIK</t>
        </is>
      </c>
      <c r="F4694" t="inlineStr">
        <is>
          <t>SCA</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34726-2024</t>
        </is>
      </c>
      <c r="B4695" s="1" t="n">
        <v>45526.5733912037</v>
      </c>
      <c r="C4695" s="1" t="n">
        <v>46185</v>
      </c>
      <c r="D4695" t="inlineStr">
        <is>
          <t>VÄSTERNORRLANDS LÄN</t>
        </is>
      </c>
      <c r="E4695" t="inlineStr">
        <is>
          <t>ÅNGE</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37755-2025</t>
        </is>
      </c>
      <c r="B4696" s="1" t="n">
        <v>45880.67763888889</v>
      </c>
      <c r="C4696" s="1" t="n">
        <v>46185</v>
      </c>
      <c r="D4696" t="inlineStr">
        <is>
          <t>VÄSTERNORRLANDS LÄN</t>
        </is>
      </c>
      <c r="E4696" t="inlineStr">
        <is>
          <t>ÖRNSKÖLDSVIK</t>
        </is>
      </c>
      <c r="F4696" t="inlineStr">
        <is>
          <t>SCA</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28580-2024</t>
        </is>
      </c>
      <c r="B4697" s="1" t="n">
        <v>45478</v>
      </c>
      <c r="C4697" s="1" t="n">
        <v>46185</v>
      </c>
      <c r="D4697" t="inlineStr">
        <is>
          <t>VÄSTERNORRLANDS LÄN</t>
        </is>
      </c>
      <c r="E4697" t="inlineStr">
        <is>
          <t>SOLLEFTEÅ</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49529-2025</t>
        </is>
      </c>
      <c r="B4698" s="1" t="n">
        <v>45939.4068287037</v>
      </c>
      <c r="C4698" s="1" t="n">
        <v>46185</v>
      </c>
      <c r="D4698" t="inlineStr">
        <is>
          <t>VÄSTERNORRLANDS LÄN</t>
        </is>
      </c>
      <c r="E4698" t="inlineStr">
        <is>
          <t>SUNDSVALL</t>
        </is>
      </c>
      <c r="F4698" t="inlineStr">
        <is>
          <t>SCA</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56485-2022</t>
        </is>
      </c>
      <c r="B4699" s="1" t="n">
        <v>44887</v>
      </c>
      <c r="C4699" s="1" t="n">
        <v>46185</v>
      </c>
      <c r="D4699" t="inlineStr">
        <is>
          <t>VÄSTERNORRLANDS LÄN</t>
        </is>
      </c>
      <c r="E4699" t="inlineStr">
        <is>
          <t>ÖRNSKÖLDSVIK</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19805-2025</t>
        </is>
      </c>
      <c r="B4700" s="1" t="n">
        <v>45771</v>
      </c>
      <c r="C4700" s="1" t="n">
        <v>46185</v>
      </c>
      <c r="D4700" t="inlineStr">
        <is>
          <t>VÄSTERNORRLANDS LÄN</t>
        </is>
      </c>
      <c r="E4700" t="inlineStr">
        <is>
          <t>SUNDSVALL</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49459-2025</t>
        </is>
      </c>
      <c r="B4701" s="1" t="n">
        <v>45939.3175</v>
      </c>
      <c r="C4701" s="1" t="n">
        <v>46185</v>
      </c>
      <c r="D4701" t="inlineStr">
        <is>
          <t>VÄSTERNORRLANDS LÄN</t>
        </is>
      </c>
      <c r="E4701" t="inlineStr">
        <is>
          <t>ÖRNSKÖLDSVIK</t>
        </is>
      </c>
      <c r="F4701" t="inlineStr">
        <is>
          <t>Holmen skog AB</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16997-2023</t>
        </is>
      </c>
      <c r="B4702" s="1" t="n">
        <v>45033.92600694444</v>
      </c>
      <c r="C4702" s="1" t="n">
        <v>46185</v>
      </c>
      <c r="D4702" t="inlineStr">
        <is>
          <t>VÄSTERNORRLANDS LÄN</t>
        </is>
      </c>
      <c r="E4702" t="inlineStr">
        <is>
          <t>SUNDSVALL</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49794-2025</t>
        </is>
      </c>
      <c r="B4703" s="1" t="n">
        <v>45940.40777777778</v>
      </c>
      <c r="C4703" s="1" t="n">
        <v>46185</v>
      </c>
      <c r="D4703" t="inlineStr">
        <is>
          <t>VÄSTERNORRLANDS LÄN</t>
        </is>
      </c>
      <c r="E4703" t="inlineStr">
        <is>
          <t>SOLLEFTEÅ</t>
        </is>
      </c>
      <c r="F4703" t="inlineStr">
        <is>
          <t>SCA</t>
        </is>
      </c>
      <c r="G4703" t="n">
        <v>12.8</v>
      </c>
      <c r="H4703" t="n">
        <v>0</v>
      </c>
      <c r="I4703" t="n">
        <v>0</v>
      </c>
      <c r="J4703" t="n">
        <v>0</v>
      </c>
      <c r="K4703" t="n">
        <v>0</v>
      </c>
      <c r="L4703" t="n">
        <v>0</v>
      </c>
      <c r="M4703" t="n">
        <v>0</v>
      </c>
      <c r="N4703" t="n">
        <v>0</v>
      </c>
      <c r="O4703" t="n">
        <v>0</v>
      </c>
      <c r="P4703" t="n">
        <v>0</v>
      </c>
      <c r="Q4703" t="n">
        <v>0</v>
      </c>
      <c r="R4703" s="2" t="inlineStr"/>
    </row>
    <row r="4704" ht="15" customHeight="1">
      <c r="A4704" t="inlineStr">
        <is>
          <t>A 37470-2025</t>
        </is>
      </c>
      <c r="B4704" s="1" t="n">
        <v>45877.58502314815</v>
      </c>
      <c r="C4704" s="1" t="n">
        <v>46185</v>
      </c>
      <c r="D4704" t="inlineStr">
        <is>
          <t>VÄSTERNORRLANDS LÄN</t>
        </is>
      </c>
      <c r="E4704" t="inlineStr">
        <is>
          <t>TIMRÅ</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37567-2025</t>
        </is>
      </c>
      <c r="B4705" s="1" t="n">
        <v>45880</v>
      </c>
      <c r="C4705" s="1" t="n">
        <v>46185</v>
      </c>
      <c r="D4705" t="inlineStr">
        <is>
          <t>VÄSTERNORRLANDS LÄN</t>
        </is>
      </c>
      <c r="E4705" t="inlineStr">
        <is>
          <t>SUNDSVALL</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49920-2025</t>
        </is>
      </c>
      <c r="B4706" s="1" t="n">
        <v>45940.63611111111</v>
      </c>
      <c r="C4706" s="1" t="n">
        <v>46185</v>
      </c>
      <c r="D4706" t="inlineStr">
        <is>
          <t>VÄSTERNORRLANDS LÄN</t>
        </is>
      </c>
      <c r="E4706" t="inlineStr">
        <is>
          <t>SOLLEFTEÅ</t>
        </is>
      </c>
      <c r="F4706" t="inlineStr">
        <is>
          <t>SCA</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49562-2025</t>
        </is>
      </c>
      <c r="B4707" s="1" t="n">
        <v>45939.46524305556</v>
      </c>
      <c r="C4707" s="1" t="n">
        <v>46185</v>
      </c>
      <c r="D4707" t="inlineStr">
        <is>
          <t>VÄSTERNORRLANDS LÄN</t>
        </is>
      </c>
      <c r="E4707" t="inlineStr">
        <is>
          <t>ÅNGE</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52272-2024</t>
        </is>
      </c>
      <c r="B4708" s="1" t="n">
        <v>45608.65947916666</v>
      </c>
      <c r="C4708" s="1" t="n">
        <v>46185</v>
      </c>
      <c r="D4708" t="inlineStr">
        <is>
          <t>VÄSTERNORRLANDS LÄN</t>
        </is>
      </c>
      <c r="E4708" t="inlineStr">
        <is>
          <t>KRAMFORS</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49476-2025</t>
        </is>
      </c>
      <c r="B4709" s="1" t="n">
        <v>45939.34506944445</v>
      </c>
      <c r="C4709" s="1" t="n">
        <v>46185</v>
      </c>
      <c r="D4709" t="inlineStr">
        <is>
          <t>VÄSTERNORRLANDS LÄN</t>
        </is>
      </c>
      <c r="E4709" t="inlineStr">
        <is>
          <t>ÅNGE</t>
        </is>
      </c>
      <c r="F4709" t="inlineStr">
        <is>
          <t>SCA</t>
        </is>
      </c>
      <c r="G4709" t="n">
        <v>11.4</v>
      </c>
      <c r="H4709" t="n">
        <v>0</v>
      </c>
      <c r="I4709" t="n">
        <v>0</v>
      </c>
      <c r="J4709" t="n">
        <v>0</v>
      </c>
      <c r="K4709" t="n">
        <v>0</v>
      </c>
      <c r="L4709" t="n">
        <v>0</v>
      </c>
      <c r="M4709" t="n">
        <v>0</v>
      </c>
      <c r="N4709" t="n">
        <v>0</v>
      </c>
      <c r="O4709" t="n">
        <v>0</v>
      </c>
      <c r="P4709" t="n">
        <v>0</v>
      </c>
      <c r="Q4709" t="n">
        <v>0</v>
      </c>
      <c r="R4709" s="2" t="inlineStr"/>
    </row>
    <row r="4710" ht="15" customHeight="1">
      <c r="A4710" t="inlineStr">
        <is>
          <t>A 43526-2024</t>
        </is>
      </c>
      <c r="B4710" s="1" t="n">
        <v>45569.34474537037</v>
      </c>
      <c r="C4710" s="1" t="n">
        <v>46185</v>
      </c>
      <c r="D4710" t="inlineStr">
        <is>
          <t>VÄSTERNORRLANDS LÄN</t>
        </is>
      </c>
      <c r="E4710" t="inlineStr">
        <is>
          <t>TIMRÅ</t>
        </is>
      </c>
      <c r="F4710" t="inlineStr">
        <is>
          <t>SCA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49750-2025</t>
        </is>
      </c>
      <c r="B4711" s="1" t="n">
        <v>45940.34497685185</v>
      </c>
      <c r="C4711" s="1" t="n">
        <v>46185</v>
      </c>
      <c r="D4711" t="inlineStr">
        <is>
          <t>VÄSTERNORRLANDS LÄN</t>
        </is>
      </c>
      <c r="E4711" t="inlineStr">
        <is>
          <t>SOLLEFTEÅ</t>
        </is>
      </c>
      <c r="F4711" t="inlineStr">
        <is>
          <t>SCA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55710-2024</t>
        </is>
      </c>
      <c r="B4712" s="1" t="n">
        <v>45622.6985300926</v>
      </c>
      <c r="C4712" s="1" t="n">
        <v>46185</v>
      </c>
      <c r="D4712" t="inlineStr">
        <is>
          <t>VÄSTERNORRLANDS LÄN</t>
        </is>
      </c>
      <c r="E4712" t="inlineStr">
        <is>
          <t>SOLLEFTEÅ</t>
        </is>
      </c>
      <c r="F4712" t="inlineStr">
        <is>
          <t>SCA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3567-2026</t>
        </is>
      </c>
      <c r="B4713" s="1" t="n">
        <v>46042.67577546297</v>
      </c>
      <c r="C4713" s="1" t="n">
        <v>46185</v>
      </c>
      <c r="D4713" t="inlineStr">
        <is>
          <t>VÄSTERNORRLANDS LÄN</t>
        </is>
      </c>
      <c r="E4713" t="inlineStr">
        <is>
          <t>ÖRNSKÖLDSVIK</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55751-2024</t>
        </is>
      </c>
      <c r="B4714" s="1" t="n">
        <v>45623.34409722222</v>
      </c>
      <c r="C4714" s="1" t="n">
        <v>46185</v>
      </c>
      <c r="D4714" t="inlineStr">
        <is>
          <t>VÄSTERNORRLANDS LÄN</t>
        </is>
      </c>
      <c r="E4714" t="inlineStr">
        <is>
          <t>ÅNGE</t>
        </is>
      </c>
      <c r="F4714" t="inlineStr">
        <is>
          <t>SCA</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49703-2025</t>
        </is>
      </c>
      <c r="B4715" s="1" t="n">
        <v>45939.67894675926</v>
      </c>
      <c r="C4715" s="1" t="n">
        <v>46185</v>
      </c>
      <c r="D4715" t="inlineStr">
        <is>
          <t>VÄSTERNORRLANDS LÄN</t>
        </is>
      </c>
      <c r="E4715" t="inlineStr">
        <is>
          <t>SOLLEFTEÅ</t>
        </is>
      </c>
      <c r="F4715" t="inlineStr">
        <is>
          <t>SCA</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49474-2025</t>
        </is>
      </c>
      <c r="B4716" s="1" t="n">
        <v>45939.34472222222</v>
      </c>
      <c r="C4716" s="1" t="n">
        <v>46185</v>
      </c>
      <c r="D4716" t="inlineStr">
        <is>
          <t>VÄSTERNORRLANDS LÄN</t>
        </is>
      </c>
      <c r="E4716" t="inlineStr">
        <is>
          <t>SOLLEFTEÅ</t>
        </is>
      </c>
      <c r="F4716" t="inlineStr">
        <is>
          <t>SCA</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49488-2025</t>
        </is>
      </c>
      <c r="B4717" s="1" t="n">
        <v>45939.36506944444</v>
      </c>
      <c r="C4717" s="1" t="n">
        <v>46185</v>
      </c>
      <c r="D4717" t="inlineStr">
        <is>
          <t>VÄSTERNORRLANDS LÄN</t>
        </is>
      </c>
      <c r="E4717" t="inlineStr">
        <is>
          <t>SOLLEFTEÅ</t>
        </is>
      </c>
      <c r="F4717" t="inlineStr">
        <is>
          <t>SCA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49590-2025</t>
        </is>
      </c>
      <c r="B4718" s="1" t="n">
        <v>45939.52335648148</v>
      </c>
      <c r="C4718" s="1" t="n">
        <v>46185</v>
      </c>
      <c r="D4718" t="inlineStr">
        <is>
          <t>VÄSTERNORRLANDS LÄN</t>
        </is>
      </c>
      <c r="E4718" t="inlineStr">
        <is>
          <t>ÖRNSKÖLDSVIK</t>
        </is>
      </c>
      <c r="F4718" t="inlineStr">
        <is>
          <t>Holmen skog AB</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49867-2025</t>
        </is>
      </c>
      <c r="B4719" s="1" t="n">
        <v>45940.53179398148</v>
      </c>
      <c r="C4719" s="1" t="n">
        <v>46185</v>
      </c>
      <c r="D4719" t="inlineStr">
        <is>
          <t>VÄSTERNORRLANDS LÄN</t>
        </is>
      </c>
      <c r="E4719" t="inlineStr">
        <is>
          <t>SUNDSVALL</t>
        </is>
      </c>
      <c r="F4719" t="inlineStr">
        <is>
          <t>Naturvårdsverket</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37885-2025</t>
        </is>
      </c>
      <c r="B4720" s="1" t="n">
        <v>45881.50678240741</v>
      </c>
      <c r="C4720" s="1" t="n">
        <v>46185</v>
      </c>
      <c r="D4720" t="inlineStr">
        <is>
          <t>VÄSTERNORRLANDS LÄN</t>
        </is>
      </c>
      <c r="E4720" t="inlineStr">
        <is>
          <t>ÖRNSKÖLDSVIK</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49748-2025</t>
        </is>
      </c>
      <c r="B4721" s="1" t="n">
        <v>45940.34472222222</v>
      </c>
      <c r="C4721" s="1" t="n">
        <v>46185</v>
      </c>
      <c r="D4721" t="inlineStr">
        <is>
          <t>VÄSTERNORRLANDS LÄN</t>
        </is>
      </c>
      <c r="E4721" t="inlineStr">
        <is>
          <t>SOLLEFTEÅ</t>
        </is>
      </c>
      <c r="F4721" t="inlineStr">
        <is>
          <t>SCA</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45586-2024</t>
        </is>
      </c>
      <c r="B4722" s="1" t="n">
        <v>45579.40659722222</v>
      </c>
      <c r="C4722" s="1" t="n">
        <v>46185</v>
      </c>
      <c r="D4722" t="inlineStr">
        <is>
          <t>VÄSTERNORRLANDS LÄN</t>
        </is>
      </c>
      <c r="E4722" t="inlineStr">
        <is>
          <t>TIMRÅ</t>
        </is>
      </c>
      <c r="F4722" t="inlineStr">
        <is>
          <t>SCA</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49667-2025</t>
        </is>
      </c>
      <c r="B4723" s="1" t="n">
        <v>45939.63671296297</v>
      </c>
      <c r="C4723" s="1" t="n">
        <v>46185</v>
      </c>
      <c r="D4723" t="inlineStr">
        <is>
          <t>VÄSTERNORRLANDS LÄN</t>
        </is>
      </c>
      <c r="E4723" t="inlineStr">
        <is>
          <t>SOLLEFTEÅ</t>
        </is>
      </c>
      <c r="F4723" t="inlineStr">
        <is>
          <t>SCA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49719-2025</t>
        </is>
      </c>
      <c r="B4724" s="1" t="n">
        <v>45939.76648148148</v>
      </c>
      <c r="C4724" s="1" t="n">
        <v>46185</v>
      </c>
      <c r="D4724" t="inlineStr">
        <is>
          <t>VÄSTERNORRLANDS LÄN</t>
        </is>
      </c>
      <c r="E4724" t="inlineStr">
        <is>
          <t>ÖRNSKÖLDSVIK</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49625-2025</t>
        </is>
      </c>
      <c r="B4725" s="1" t="n">
        <v>45939.59466435185</v>
      </c>
      <c r="C4725" s="1" t="n">
        <v>46185</v>
      </c>
      <c r="D4725" t="inlineStr">
        <is>
          <t>VÄSTERNORRLANDS LÄN</t>
        </is>
      </c>
      <c r="E4725" t="inlineStr">
        <is>
          <t>HÄRNÖSAND</t>
        </is>
      </c>
      <c r="F4725" t="inlineStr">
        <is>
          <t>SCA</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49603-2025</t>
        </is>
      </c>
      <c r="B4726" s="1" t="n">
        <v>45939.5484375</v>
      </c>
      <c r="C4726" s="1" t="n">
        <v>46185</v>
      </c>
      <c r="D4726" t="inlineStr">
        <is>
          <t>VÄSTERNORRLANDS LÄN</t>
        </is>
      </c>
      <c r="E4726" t="inlineStr">
        <is>
          <t>ÅNGE</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38039-2025</t>
        </is>
      </c>
      <c r="B4727" s="1" t="n">
        <v>45882.3791087963</v>
      </c>
      <c r="C4727" s="1" t="n">
        <v>46185</v>
      </c>
      <c r="D4727" t="inlineStr">
        <is>
          <t>VÄSTERNORRLANDS LÄN</t>
        </is>
      </c>
      <c r="E4727" t="inlineStr">
        <is>
          <t>ÖRNSKÖLDSVIK</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49600-2025</t>
        </is>
      </c>
      <c r="B4728" s="1" t="n">
        <v>45939.54434027777</v>
      </c>
      <c r="C4728" s="1" t="n">
        <v>46185</v>
      </c>
      <c r="D4728" t="inlineStr">
        <is>
          <t>VÄSTERNORRLANDS LÄN</t>
        </is>
      </c>
      <c r="E4728" t="inlineStr">
        <is>
          <t>ÅNGE</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37801-2025</t>
        </is>
      </c>
      <c r="B4729" s="1" t="n">
        <v>45881.34436342592</v>
      </c>
      <c r="C4729" s="1" t="n">
        <v>46185</v>
      </c>
      <c r="D4729" t="inlineStr">
        <is>
          <t>VÄSTERNORRLANDS LÄN</t>
        </is>
      </c>
      <c r="E4729" t="inlineStr">
        <is>
          <t>SOLLEFTEÅ</t>
        </is>
      </c>
      <c r="F4729" t="inlineStr">
        <is>
          <t>SCA</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37861-2025</t>
        </is>
      </c>
      <c r="B4730" s="1" t="n">
        <v>45881.46341435185</v>
      </c>
      <c r="C4730" s="1" t="n">
        <v>46185</v>
      </c>
      <c r="D4730" t="inlineStr">
        <is>
          <t>VÄSTERNORRLANDS LÄN</t>
        </is>
      </c>
      <c r="E4730" t="inlineStr">
        <is>
          <t>ÖRNSKÖLDSVIK</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49565-2025</t>
        </is>
      </c>
      <c r="B4731" s="1" t="n">
        <v>45939.46921296296</v>
      </c>
      <c r="C4731" s="1" t="n">
        <v>46185</v>
      </c>
      <c r="D4731" t="inlineStr">
        <is>
          <t>VÄSTERNORRLANDS LÄN</t>
        </is>
      </c>
      <c r="E4731" t="inlineStr">
        <is>
          <t>SOLLEFTEÅ</t>
        </is>
      </c>
      <c r="F4731" t="inlineStr">
        <is>
          <t>SCA</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37949-2025</t>
        </is>
      </c>
      <c r="B4732" s="1" t="n">
        <v>45881.61547453704</v>
      </c>
      <c r="C4732" s="1" t="n">
        <v>46185</v>
      </c>
      <c r="D4732" t="inlineStr">
        <is>
          <t>VÄSTERNORRLANDS LÄN</t>
        </is>
      </c>
      <c r="E4732" t="inlineStr">
        <is>
          <t>KRAMFORS</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37953-2025</t>
        </is>
      </c>
      <c r="B4733" s="1" t="n">
        <v>45881.63622685185</v>
      </c>
      <c r="C4733" s="1" t="n">
        <v>46185</v>
      </c>
      <c r="D4733" t="inlineStr">
        <is>
          <t>VÄSTERNORRLANDS LÄN</t>
        </is>
      </c>
      <c r="E4733" t="inlineStr">
        <is>
          <t>KRAMFORS</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55726-2024</t>
        </is>
      </c>
      <c r="B4734" s="1" t="n">
        <v>45622.84653935185</v>
      </c>
      <c r="C4734" s="1" t="n">
        <v>46185</v>
      </c>
      <c r="D4734" t="inlineStr">
        <is>
          <t>VÄSTERNORRLANDS LÄN</t>
        </is>
      </c>
      <c r="E4734" t="inlineStr">
        <is>
          <t>SOLLEFTEÅ</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55756-2024</t>
        </is>
      </c>
      <c r="B4735" s="1" t="n">
        <v>45623</v>
      </c>
      <c r="C4735" s="1" t="n">
        <v>46185</v>
      </c>
      <c r="D4735" t="inlineStr">
        <is>
          <t>VÄSTERNORRLANDS LÄN</t>
        </is>
      </c>
      <c r="E4735" t="inlineStr">
        <is>
          <t>SOLLEFTEÅ</t>
        </is>
      </c>
      <c r="F4735" t="inlineStr">
        <is>
          <t>Holmen skog AB</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55769-2024</t>
        </is>
      </c>
      <c r="B4736" s="1" t="n">
        <v>45623.38574074074</v>
      </c>
      <c r="C4736" s="1" t="n">
        <v>46185</v>
      </c>
      <c r="D4736" t="inlineStr">
        <is>
          <t>VÄSTERNORRLANDS LÄN</t>
        </is>
      </c>
      <c r="E4736" t="inlineStr">
        <is>
          <t>SOLLEFTEÅ</t>
        </is>
      </c>
      <c r="F4736" t="inlineStr">
        <is>
          <t>SCA</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37799-2025</t>
        </is>
      </c>
      <c r="B4737" s="1" t="n">
        <v>45881.34387731482</v>
      </c>
      <c r="C4737" s="1" t="n">
        <v>46185</v>
      </c>
      <c r="D4737" t="inlineStr">
        <is>
          <t>VÄSTERNORRLANDS LÄN</t>
        </is>
      </c>
      <c r="E4737" t="inlineStr">
        <is>
          <t>ÖRNSKÖLDSVIK</t>
        </is>
      </c>
      <c r="F4737" t="inlineStr">
        <is>
          <t>Holmen skog AB</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38053-2025</t>
        </is>
      </c>
      <c r="B4738" s="1" t="n">
        <v>45882.40902777778</v>
      </c>
      <c r="C4738" s="1" t="n">
        <v>46185</v>
      </c>
      <c r="D4738" t="inlineStr">
        <is>
          <t>VÄSTERNORRLANDS LÄN</t>
        </is>
      </c>
      <c r="E4738" t="inlineStr">
        <is>
          <t>ÖRNSKÖLDSVIK</t>
        </is>
      </c>
      <c r="G4738" t="n">
        <v>8.699999999999999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49575-2025</t>
        </is>
      </c>
      <c r="B4739" s="1" t="n">
        <v>45939.49052083334</v>
      </c>
      <c r="C4739" s="1" t="n">
        <v>46185</v>
      </c>
      <c r="D4739" t="inlineStr">
        <is>
          <t>VÄSTERNORRLANDS LÄN</t>
        </is>
      </c>
      <c r="E4739" t="inlineStr">
        <is>
          <t>TIMRÅ</t>
        </is>
      </c>
      <c r="F4739" t="inlineStr">
        <is>
          <t>SCA</t>
        </is>
      </c>
      <c r="G4739" t="n">
        <v>8.5</v>
      </c>
      <c r="H4739" t="n">
        <v>0</v>
      </c>
      <c r="I4739" t="n">
        <v>0</v>
      </c>
      <c r="J4739" t="n">
        <v>0</v>
      </c>
      <c r="K4739" t="n">
        <v>0</v>
      </c>
      <c r="L4739" t="n">
        <v>0</v>
      </c>
      <c r="M4739" t="n">
        <v>0</v>
      </c>
      <c r="N4739" t="n">
        <v>0</v>
      </c>
      <c r="O4739" t="n">
        <v>0</v>
      </c>
      <c r="P4739" t="n">
        <v>0</v>
      </c>
      <c r="Q4739" t="n">
        <v>0</v>
      </c>
      <c r="R4739" s="2" t="inlineStr"/>
    </row>
    <row r="4740" ht="15" customHeight="1">
      <c r="A4740" t="inlineStr">
        <is>
          <t>A 38078-2025</t>
        </is>
      </c>
      <c r="B4740" s="1" t="n">
        <v>45882.46918981482</v>
      </c>
      <c r="C4740" s="1" t="n">
        <v>46185</v>
      </c>
      <c r="D4740" t="inlineStr">
        <is>
          <t>VÄSTERNORRLANDS LÄN</t>
        </is>
      </c>
      <c r="E4740" t="inlineStr">
        <is>
          <t>ÅNGE</t>
        </is>
      </c>
      <c r="F4740" t="inlineStr">
        <is>
          <t>SCA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49513-2025</t>
        </is>
      </c>
      <c r="B4741" s="1" t="n">
        <v>45939.38412037037</v>
      </c>
      <c r="C4741" s="1" t="n">
        <v>46185</v>
      </c>
      <c r="D4741" t="inlineStr">
        <is>
          <t>VÄSTERNORRLANDS LÄN</t>
        </is>
      </c>
      <c r="E4741" t="inlineStr">
        <is>
          <t>ÖRNSKÖLDSVIK</t>
        </is>
      </c>
      <c r="F4741" t="inlineStr">
        <is>
          <t>Holmen skog AB</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61010-2024</t>
        </is>
      </c>
      <c r="B4742" s="1" t="n">
        <v>45645.4458912037</v>
      </c>
      <c r="C4742" s="1" t="n">
        <v>46185</v>
      </c>
      <c r="D4742" t="inlineStr">
        <is>
          <t>VÄSTERNORRLANDS LÄN</t>
        </is>
      </c>
      <c r="E4742" t="inlineStr">
        <is>
          <t>KRAMFORS</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50162-2025</t>
        </is>
      </c>
      <c r="B4743" s="1" t="n">
        <v>45943.58706018519</v>
      </c>
      <c r="C4743" s="1" t="n">
        <v>46185</v>
      </c>
      <c r="D4743" t="inlineStr">
        <is>
          <t>VÄSTERNORRLANDS LÄN</t>
        </is>
      </c>
      <c r="E4743" t="inlineStr">
        <is>
          <t>ÖRNSKÖLDSVIK</t>
        </is>
      </c>
      <c r="F4743" t="inlineStr">
        <is>
          <t>Holmen skog AB</t>
        </is>
      </c>
      <c r="G4743" t="n">
        <v>10.1</v>
      </c>
      <c r="H4743" t="n">
        <v>0</v>
      </c>
      <c r="I4743" t="n">
        <v>0</v>
      </c>
      <c r="J4743" t="n">
        <v>0</v>
      </c>
      <c r="K4743" t="n">
        <v>0</v>
      </c>
      <c r="L4743" t="n">
        <v>0</v>
      </c>
      <c r="M4743" t="n">
        <v>0</v>
      </c>
      <c r="N4743" t="n">
        <v>0</v>
      </c>
      <c r="O4743" t="n">
        <v>0</v>
      </c>
      <c r="P4743" t="n">
        <v>0</v>
      </c>
      <c r="Q4743" t="n">
        <v>0</v>
      </c>
      <c r="R4743" s="2" t="inlineStr"/>
    </row>
    <row r="4744" ht="15" customHeight="1">
      <c r="A4744" t="inlineStr">
        <is>
          <t>A 14874-2023</t>
        </is>
      </c>
      <c r="B4744" s="1" t="n">
        <v>45015</v>
      </c>
      <c r="C4744" s="1" t="n">
        <v>46185</v>
      </c>
      <c r="D4744" t="inlineStr">
        <is>
          <t>VÄSTERNORRLANDS LÄN</t>
        </is>
      </c>
      <c r="E4744" t="inlineStr">
        <is>
          <t>HÄRNÖSAND</t>
        </is>
      </c>
      <c r="F4744" t="inlineStr">
        <is>
          <t>SCA</t>
        </is>
      </c>
      <c r="G4744" t="n">
        <v>8</v>
      </c>
      <c r="H4744" t="n">
        <v>0</v>
      </c>
      <c r="I4744" t="n">
        <v>0</v>
      </c>
      <c r="J4744" t="n">
        <v>0</v>
      </c>
      <c r="K4744" t="n">
        <v>0</v>
      </c>
      <c r="L4744" t="n">
        <v>0</v>
      </c>
      <c r="M4744" t="n">
        <v>0</v>
      </c>
      <c r="N4744" t="n">
        <v>0</v>
      </c>
      <c r="O4744" t="n">
        <v>0</v>
      </c>
      <c r="P4744" t="n">
        <v>0</v>
      </c>
      <c r="Q4744" t="n">
        <v>0</v>
      </c>
      <c r="R4744" s="2" t="inlineStr"/>
    </row>
    <row r="4745" ht="15" customHeight="1">
      <c r="A4745" t="inlineStr">
        <is>
          <t>A 37802-2025</t>
        </is>
      </c>
      <c r="B4745" s="1" t="n">
        <v>45881.34447916667</v>
      </c>
      <c r="C4745" s="1" t="n">
        <v>46185</v>
      </c>
      <c r="D4745" t="inlineStr">
        <is>
          <t>VÄSTERNORRLANDS LÄN</t>
        </is>
      </c>
      <c r="E4745" t="inlineStr">
        <is>
          <t>ÅNGE</t>
        </is>
      </c>
      <c r="F4745" t="inlineStr">
        <is>
          <t>SCA</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35165-2022</t>
        </is>
      </c>
      <c r="B4746" s="1" t="n">
        <v>44797</v>
      </c>
      <c r="C4746" s="1" t="n">
        <v>46185</v>
      </c>
      <c r="D4746" t="inlineStr">
        <is>
          <t>VÄSTERNORRLANDS LÄN</t>
        </is>
      </c>
      <c r="E4746" t="inlineStr">
        <is>
          <t>SUNDSVALL</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56197-2024</t>
        </is>
      </c>
      <c r="B4747" s="1" t="n">
        <v>45624</v>
      </c>
      <c r="C4747" s="1" t="n">
        <v>46185</v>
      </c>
      <c r="D4747" t="inlineStr">
        <is>
          <t>VÄSTERNORRLANDS LÄN</t>
        </is>
      </c>
      <c r="E4747" t="inlineStr">
        <is>
          <t>SUNDSVALL</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28716-2025</t>
        </is>
      </c>
      <c r="B4748" s="1" t="n">
        <v>45820.34417824074</v>
      </c>
      <c r="C4748" s="1" t="n">
        <v>46185</v>
      </c>
      <c r="D4748" t="inlineStr">
        <is>
          <t>VÄSTERNORRLANDS LÄN</t>
        </is>
      </c>
      <c r="E4748" t="inlineStr">
        <is>
          <t>ÖRNSKÖLDSVIK</t>
        </is>
      </c>
      <c r="F4748" t="inlineStr">
        <is>
          <t>Holmen skog AB</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2698-2024</t>
        </is>
      </c>
      <c r="B4749" s="1" t="n">
        <v>45314</v>
      </c>
      <c r="C4749" s="1" t="n">
        <v>46185</v>
      </c>
      <c r="D4749" t="inlineStr">
        <is>
          <t>VÄSTERNORRLANDS LÄN</t>
        </is>
      </c>
      <c r="E4749" t="inlineStr">
        <is>
          <t>HÄRNÖSAND</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56232-2024</t>
        </is>
      </c>
      <c r="B4750" s="1" t="n">
        <v>45624</v>
      </c>
      <c r="C4750" s="1" t="n">
        <v>46185</v>
      </c>
      <c r="D4750" t="inlineStr">
        <is>
          <t>VÄSTERNORRLANDS LÄN</t>
        </is>
      </c>
      <c r="E4750" t="inlineStr">
        <is>
          <t>ÅNGE</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44635-2024</t>
        </is>
      </c>
      <c r="B4751" s="1" t="n">
        <v>45574.51488425926</v>
      </c>
      <c r="C4751" s="1" t="n">
        <v>46185</v>
      </c>
      <c r="D4751" t="inlineStr">
        <is>
          <t>VÄSTERNORRLANDS LÄN</t>
        </is>
      </c>
      <c r="E4751" t="inlineStr">
        <is>
          <t>ÅNGE</t>
        </is>
      </c>
      <c r="F4751" t="inlineStr">
        <is>
          <t>SCA</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50294-2025</t>
        </is>
      </c>
      <c r="B4752" s="1" t="n">
        <v>45944.408125</v>
      </c>
      <c r="C4752" s="1" t="n">
        <v>46185</v>
      </c>
      <c r="D4752" t="inlineStr">
        <is>
          <t>VÄSTERNORRLANDS LÄN</t>
        </is>
      </c>
      <c r="E4752" t="inlineStr">
        <is>
          <t>SUNDSVALL</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50404-2025</t>
        </is>
      </c>
      <c r="B4753" s="1" t="n">
        <v>45944.63642361111</v>
      </c>
      <c r="C4753" s="1" t="n">
        <v>46185</v>
      </c>
      <c r="D4753" t="inlineStr">
        <is>
          <t>VÄSTERNORRLANDS LÄN</t>
        </is>
      </c>
      <c r="E4753" t="inlineStr">
        <is>
          <t>ÖRNSKÖLDSVIK</t>
        </is>
      </c>
      <c r="F4753" t="inlineStr">
        <is>
          <t>Holmen skog AB</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37880-2025</t>
        </is>
      </c>
      <c r="B4754" s="1" t="n">
        <v>45881.48998842593</v>
      </c>
      <c r="C4754" s="1" t="n">
        <v>46185</v>
      </c>
      <c r="D4754" t="inlineStr">
        <is>
          <t>VÄSTERNORRLANDS LÄN</t>
        </is>
      </c>
      <c r="E4754" t="inlineStr">
        <is>
          <t>SOLLEFTEÅ</t>
        </is>
      </c>
      <c r="F4754" t="inlineStr">
        <is>
          <t>SCA</t>
        </is>
      </c>
      <c r="G4754" t="n">
        <v>26.1</v>
      </c>
      <c r="H4754" t="n">
        <v>0</v>
      </c>
      <c r="I4754" t="n">
        <v>0</v>
      </c>
      <c r="J4754" t="n">
        <v>0</v>
      </c>
      <c r="K4754" t="n">
        <v>0</v>
      </c>
      <c r="L4754" t="n">
        <v>0</v>
      </c>
      <c r="M4754" t="n">
        <v>0</v>
      </c>
      <c r="N4754" t="n">
        <v>0</v>
      </c>
      <c r="O4754" t="n">
        <v>0</v>
      </c>
      <c r="P4754" t="n">
        <v>0</v>
      </c>
      <c r="Q4754" t="n">
        <v>0</v>
      </c>
      <c r="R4754" s="2" t="inlineStr"/>
    </row>
    <row r="4755" ht="15" customHeight="1">
      <c r="A4755" t="inlineStr">
        <is>
          <t>A 50210-2025</t>
        </is>
      </c>
      <c r="B4755" s="1" t="n">
        <v>45943.67379629629</v>
      </c>
      <c r="C4755" s="1" t="n">
        <v>46185</v>
      </c>
      <c r="D4755" t="inlineStr">
        <is>
          <t>VÄSTERNORRLANDS LÄN</t>
        </is>
      </c>
      <c r="E4755" t="inlineStr">
        <is>
          <t>ÅNGE</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50245-2025</t>
        </is>
      </c>
      <c r="B4756" s="1" t="n">
        <v>45944.30101851852</v>
      </c>
      <c r="C4756" s="1" t="n">
        <v>46185</v>
      </c>
      <c r="D4756" t="inlineStr">
        <is>
          <t>VÄSTERNORRLANDS LÄN</t>
        </is>
      </c>
      <c r="E4756" t="inlineStr">
        <is>
          <t>SOLLEFTEÅ</t>
        </is>
      </c>
      <c r="F4756" t="inlineStr">
        <is>
          <t>Holmen skog AB</t>
        </is>
      </c>
      <c r="G4756" t="n">
        <v>5.8</v>
      </c>
      <c r="H4756" t="n">
        <v>0</v>
      </c>
      <c r="I4756" t="n">
        <v>0</v>
      </c>
      <c r="J4756" t="n">
        <v>0</v>
      </c>
      <c r="K4756" t="n">
        <v>0</v>
      </c>
      <c r="L4756" t="n">
        <v>0</v>
      </c>
      <c r="M4756" t="n">
        <v>0</v>
      </c>
      <c r="N4756" t="n">
        <v>0</v>
      </c>
      <c r="O4756" t="n">
        <v>0</v>
      </c>
      <c r="P4756" t="n">
        <v>0</v>
      </c>
      <c r="Q4756" t="n">
        <v>0</v>
      </c>
      <c r="R4756" s="2" t="inlineStr"/>
    </row>
    <row r="4757" ht="15" customHeight="1">
      <c r="A4757" t="inlineStr">
        <is>
          <t>A 50001-2025</t>
        </is>
      </c>
      <c r="B4757" s="1" t="n">
        <v>45943.34421296296</v>
      </c>
      <c r="C4757" s="1" t="n">
        <v>46185</v>
      </c>
      <c r="D4757" t="inlineStr">
        <is>
          <t>VÄSTERNORRLANDS LÄN</t>
        </is>
      </c>
      <c r="E4757" t="inlineStr">
        <is>
          <t>ÅNGE</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50122-2025</t>
        </is>
      </c>
      <c r="B4758" s="1" t="n">
        <v>45943.55063657407</v>
      </c>
      <c r="C4758" s="1" t="n">
        <v>46185</v>
      </c>
      <c r="D4758" t="inlineStr">
        <is>
          <t>VÄSTERNORRLANDS LÄN</t>
        </is>
      </c>
      <c r="E4758" t="inlineStr">
        <is>
          <t>TIMRÅ</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50134-2025</t>
        </is>
      </c>
      <c r="B4759" s="1" t="n">
        <v>45943.55722222223</v>
      </c>
      <c r="C4759" s="1" t="n">
        <v>46185</v>
      </c>
      <c r="D4759" t="inlineStr">
        <is>
          <t>VÄSTERNORRLANDS LÄN</t>
        </is>
      </c>
      <c r="E4759" t="inlineStr">
        <is>
          <t>KRAMFORS</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37883-2025</t>
        </is>
      </c>
      <c r="B4760" s="1" t="n">
        <v>45881.50258101852</v>
      </c>
      <c r="C4760" s="1" t="n">
        <v>46185</v>
      </c>
      <c r="D4760" t="inlineStr">
        <is>
          <t>VÄSTERNORRLANDS LÄN</t>
        </is>
      </c>
      <c r="E4760" t="inlineStr">
        <is>
          <t>ÖRNSKÖLDSVIK</t>
        </is>
      </c>
      <c r="G4760" t="n">
        <v>6.7</v>
      </c>
      <c r="H4760" t="n">
        <v>0</v>
      </c>
      <c r="I4760" t="n">
        <v>0</v>
      </c>
      <c r="J4760" t="n">
        <v>0</v>
      </c>
      <c r="K4760" t="n">
        <v>0</v>
      </c>
      <c r="L4760" t="n">
        <v>0</v>
      </c>
      <c r="M4760" t="n">
        <v>0</v>
      </c>
      <c r="N4760" t="n">
        <v>0</v>
      </c>
      <c r="O4760" t="n">
        <v>0</v>
      </c>
      <c r="P4760" t="n">
        <v>0</v>
      </c>
      <c r="Q4760" t="n">
        <v>0</v>
      </c>
      <c r="R4760" s="2" t="inlineStr"/>
    </row>
    <row r="4761" ht="15" customHeight="1">
      <c r="A4761" t="inlineStr">
        <is>
          <t>A 38150-2025</t>
        </is>
      </c>
      <c r="B4761" s="1" t="n">
        <v>45882.59444444445</v>
      </c>
      <c r="C4761" s="1" t="n">
        <v>46185</v>
      </c>
      <c r="D4761" t="inlineStr">
        <is>
          <t>VÄSTERNORRLANDS LÄN</t>
        </is>
      </c>
      <c r="E4761" t="inlineStr">
        <is>
          <t>ÖRNSKÖLDSVIK</t>
        </is>
      </c>
      <c r="F4761" t="inlineStr">
        <is>
          <t>SCA</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37986-2025</t>
        </is>
      </c>
      <c r="B4762" s="1" t="n">
        <v>45881</v>
      </c>
      <c r="C4762" s="1" t="n">
        <v>46185</v>
      </c>
      <c r="D4762" t="inlineStr">
        <is>
          <t>VÄSTERNORRLANDS LÄN</t>
        </is>
      </c>
      <c r="E4762" t="inlineStr">
        <is>
          <t>ÖRNSKÖLDSVIK</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38038-2025</t>
        </is>
      </c>
      <c r="B4763" s="1" t="n">
        <v>45882.37533564815</v>
      </c>
      <c r="C4763" s="1" t="n">
        <v>46185</v>
      </c>
      <c r="D4763" t="inlineStr">
        <is>
          <t>VÄSTERNORRLANDS LÄN</t>
        </is>
      </c>
      <c r="E4763" t="inlineStr">
        <is>
          <t>ÖRNSKÖLDSVIK</t>
        </is>
      </c>
      <c r="F4763" t="inlineStr">
        <is>
          <t>Holmen skog AB</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50180-2025</t>
        </is>
      </c>
      <c r="B4764" s="1" t="n">
        <v>45943.61502314815</v>
      </c>
      <c r="C4764" s="1" t="n">
        <v>46185</v>
      </c>
      <c r="D4764" t="inlineStr">
        <is>
          <t>VÄSTERNORRLANDS LÄN</t>
        </is>
      </c>
      <c r="E4764" t="inlineStr">
        <is>
          <t>SUNDSVALL</t>
        </is>
      </c>
      <c r="F4764" t="inlineStr">
        <is>
          <t>SCA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38110-2025</t>
        </is>
      </c>
      <c r="B4765" s="1" t="n">
        <v>45882</v>
      </c>
      <c r="C4765" s="1" t="n">
        <v>46185</v>
      </c>
      <c r="D4765" t="inlineStr">
        <is>
          <t>VÄSTERNORRLANDS LÄN</t>
        </is>
      </c>
      <c r="E4765" t="inlineStr">
        <is>
          <t>TIMRÅ</t>
        </is>
      </c>
      <c r="G4765" t="n">
        <v>7.4</v>
      </c>
      <c r="H4765" t="n">
        <v>0</v>
      </c>
      <c r="I4765" t="n">
        <v>0</v>
      </c>
      <c r="J4765" t="n">
        <v>0</v>
      </c>
      <c r="K4765" t="n">
        <v>0</v>
      </c>
      <c r="L4765" t="n">
        <v>0</v>
      </c>
      <c r="M4765" t="n">
        <v>0</v>
      </c>
      <c r="N4765" t="n">
        <v>0</v>
      </c>
      <c r="O4765" t="n">
        <v>0</v>
      </c>
      <c r="P4765" t="n">
        <v>0</v>
      </c>
      <c r="Q4765" t="n">
        <v>0</v>
      </c>
      <c r="R4765" s="2" t="inlineStr"/>
    </row>
    <row r="4766" ht="15" customHeight="1">
      <c r="A4766" t="inlineStr">
        <is>
          <t>A 37921-2025</t>
        </is>
      </c>
      <c r="B4766" s="1" t="n">
        <v>45881.57491898148</v>
      </c>
      <c r="C4766" s="1" t="n">
        <v>46185</v>
      </c>
      <c r="D4766" t="inlineStr">
        <is>
          <t>VÄSTERNORRLANDS LÄN</t>
        </is>
      </c>
      <c r="E4766" t="inlineStr">
        <is>
          <t>SOLLEFTEÅ</t>
        </is>
      </c>
      <c r="F4766" t="inlineStr">
        <is>
          <t>SCA</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3467-2024</t>
        </is>
      </c>
      <c r="B4767" s="1" t="n">
        <v>45317</v>
      </c>
      <c r="C4767" s="1" t="n">
        <v>46185</v>
      </c>
      <c r="D4767" t="inlineStr">
        <is>
          <t>VÄSTERNORRLANDS LÄN</t>
        </is>
      </c>
      <c r="E4767" t="inlineStr">
        <is>
          <t>SUNDSVALL</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5519-2023</t>
        </is>
      </c>
      <c r="B4768" s="1" t="n">
        <v>44960.42409722223</v>
      </c>
      <c r="C4768" s="1" t="n">
        <v>46185</v>
      </c>
      <c r="D4768" t="inlineStr">
        <is>
          <t>VÄSTERNORRLANDS LÄN</t>
        </is>
      </c>
      <c r="E4768" t="inlineStr">
        <is>
          <t>SOLLEFTEÅ</t>
        </is>
      </c>
      <c r="F4768" t="inlineStr">
        <is>
          <t>Holmen skog AB</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50388-2025</t>
        </is>
      </c>
      <c r="B4769" s="1" t="n">
        <v>45944.61509259259</v>
      </c>
      <c r="C4769" s="1" t="n">
        <v>46185</v>
      </c>
      <c r="D4769" t="inlineStr">
        <is>
          <t>VÄSTERNORRLANDS LÄN</t>
        </is>
      </c>
      <c r="E4769" t="inlineStr">
        <is>
          <t>SOLLEFTEÅ</t>
        </is>
      </c>
      <c r="F4769" t="inlineStr">
        <is>
          <t>SCA</t>
        </is>
      </c>
      <c r="G4769" t="n">
        <v>22.8</v>
      </c>
      <c r="H4769" t="n">
        <v>0</v>
      </c>
      <c r="I4769" t="n">
        <v>0</v>
      </c>
      <c r="J4769" t="n">
        <v>0</v>
      </c>
      <c r="K4769" t="n">
        <v>0</v>
      </c>
      <c r="L4769" t="n">
        <v>0</v>
      </c>
      <c r="M4769" t="n">
        <v>0</v>
      </c>
      <c r="N4769" t="n">
        <v>0</v>
      </c>
      <c r="O4769" t="n">
        <v>0</v>
      </c>
      <c r="P4769" t="n">
        <v>0</v>
      </c>
      <c r="Q4769" t="n">
        <v>0</v>
      </c>
      <c r="R4769" s="2" t="inlineStr"/>
    </row>
    <row r="4770" ht="15" customHeight="1">
      <c r="A4770" t="inlineStr">
        <is>
          <t>A 3536-2026</t>
        </is>
      </c>
      <c r="B4770" s="1" t="n">
        <v>46042.62841435185</v>
      </c>
      <c r="C4770" s="1" t="n">
        <v>46185</v>
      </c>
      <c r="D4770" t="inlineStr">
        <is>
          <t>VÄSTERNORRLANDS LÄN</t>
        </is>
      </c>
      <c r="E4770" t="inlineStr">
        <is>
          <t>SUNDSVALL</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58130-2024</t>
        </is>
      </c>
      <c r="B4771" s="1" t="n">
        <v>45632.40662037037</v>
      </c>
      <c r="C4771" s="1" t="n">
        <v>46185</v>
      </c>
      <c r="D4771" t="inlineStr">
        <is>
          <t>VÄSTERNORRLANDS LÄN</t>
        </is>
      </c>
      <c r="E4771" t="inlineStr">
        <is>
          <t>SUNDSVALL</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3570-2026</t>
        </is>
      </c>
      <c r="B4772" s="1" t="n">
        <v>46042.6821412037</v>
      </c>
      <c r="C4772" s="1" t="n">
        <v>46185</v>
      </c>
      <c r="D4772" t="inlineStr">
        <is>
          <t>VÄSTERNORRLANDS LÄN</t>
        </is>
      </c>
      <c r="E4772" t="inlineStr">
        <is>
          <t>HÄRNÖSAND</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38621-2025</t>
        </is>
      </c>
      <c r="B4773" s="1" t="n">
        <v>45884.55306712963</v>
      </c>
      <c r="C4773" s="1" t="n">
        <v>46185</v>
      </c>
      <c r="D4773" t="inlineStr">
        <is>
          <t>VÄSTERNORRLANDS LÄN</t>
        </is>
      </c>
      <c r="E4773" t="inlineStr">
        <is>
          <t>SUNDSVALL</t>
        </is>
      </c>
      <c r="F4773" t="inlineStr">
        <is>
          <t>Naturvårdsverket</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50155-2025</t>
        </is>
      </c>
      <c r="B4774" s="1" t="n">
        <v>45943.57865740741</v>
      </c>
      <c r="C4774" s="1" t="n">
        <v>46185</v>
      </c>
      <c r="D4774" t="inlineStr">
        <is>
          <t>VÄSTERNORRLANDS LÄN</t>
        </is>
      </c>
      <c r="E4774" t="inlineStr">
        <is>
          <t>KRAMFORS</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49960-2025</t>
        </is>
      </c>
      <c r="B4775" s="1" t="n">
        <v>45941.34421296296</v>
      </c>
      <c r="C4775" s="1" t="n">
        <v>46185</v>
      </c>
      <c r="D4775" t="inlineStr">
        <is>
          <t>VÄSTERNORRLANDS LÄN</t>
        </is>
      </c>
      <c r="E4775" t="inlineStr">
        <is>
          <t>SUNDSVALL</t>
        </is>
      </c>
      <c r="F4775" t="inlineStr">
        <is>
          <t>SCA</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9556-2024</t>
        </is>
      </c>
      <c r="B4776" s="1" t="n">
        <v>45360.0352199074</v>
      </c>
      <c r="C4776" s="1" t="n">
        <v>46185</v>
      </c>
      <c r="D4776" t="inlineStr">
        <is>
          <t>VÄSTERNORRLANDS LÄN</t>
        </is>
      </c>
      <c r="E4776" t="inlineStr">
        <is>
          <t>ÖRNSKÖLDSVIK</t>
        </is>
      </c>
      <c r="F4776" t="inlineStr">
        <is>
          <t>SCA</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9562-2024</t>
        </is>
      </c>
      <c r="B4777" s="1" t="n">
        <v>45360.03582175926</v>
      </c>
      <c r="C4777" s="1" t="n">
        <v>46185</v>
      </c>
      <c r="D4777" t="inlineStr">
        <is>
          <t>VÄSTERNORRLANDS LÄN</t>
        </is>
      </c>
      <c r="E4777" t="inlineStr">
        <is>
          <t>SUNDSVALL</t>
        </is>
      </c>
      <c r="F4777" t="inlineStr">
        <is>
          <t>SCA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55824-2024</t>
        </is>
      </c>
      <c r="B4778" s="1" t="n">
        <v>45623.47813657407</v>
      </c>
      <c r="C4778" s="1" t="n">
        <v>46185</v>
      </c>
      <c r="D4778" t="inlineStr">
        <is>
          <t>VÄSTERNORRLANDS LÄN</t>
        </is>
      </c>
      <c r="E4778" t="inlineStr">
        <is>
          <t>SOLLEFTEÅ</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3495-2026</t>
        </is>
      </c>
      <c r="B4779" s="1" t="n">
        <v>46042</v>
      </c>
      <c r="C4779" s="1" t="n">
        <v>46185</v>
      </c>
      <c r="D4779" t="inlineStr">
        <is>
          <t>VÄSTERNORRLANDS LÄN</t>
        </is>
      </c>
      <c r="E4779" t="inlineStr">
        <is>
          <t>SOLLEFTEÅ</t>
        </is>
      </c>
      <c r="F4779" t="inlineStr">
        <is>
          <t>Kyrkan</t>
        </is>
      </c>
      <c r="G4779" t="n">
        <v>10.5</v>
      </c>
      <c r="H4779" t="n">
        <v>0</v>
      </c>
      <c r="I4779" t="n">
        <v>0</v>
      </c>
      <c r="J4779" t="n">
        <v>0</v>
      </c>
      <c r="K4779" t="n">
        <v>0</v>
      </c>
      <c r="L4779" t="n">
        <v>0</v>
      </c>
      <c r="M4779" t="n">
        <v>0</v>
      </c>
      <c r="N4779" t="n">
        <v>0</v>
      </c>
      <c r="O4779" t="n">
        <v>0</v>
      </c>
      <c r="P4779" t="n">
        <v>0</v>
      </c>
      <c r="Q4779" t="n">
        <v>0</v>
      </c>
      <c r="R4779" s="2" t="inlineStr"/>
    </row>
    <row r="4780" ht="15" customHeight="1">
      <c r="A4780" t="inlineStr">
        <is>
          <t>A 3496-2026</t>
        </is>
      </c>
      <c r="B4780" s="1" t="n">
        <v>46042</v>
      </c>
      <c r="C4780" s="1" t="n">
        <v>46185</v>
      </c>
      <c r="D4780" t="inlineStr">
        <is>
          <t>VÄSTERNORRLANDS LÄN</t>
        </is>
      </c>
      <c r="E4780" t="inlineStr">
        <is>
          <t>SOLLEFTEÅ</t>
        </is>
      </c>
      <c r="F4780" t="inlineStr">
        <is>
          <t>Kyrkan</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3534-2026</t>
        </is>
      </c>
      <c r="B4781" s="1" t="n">
        <v>46042.62432870371</v>
      </c>
      <c r="C4781" s="1" t="n">
        <v>46185</v>
      </c>
      <c r="D4781" t="inlineStr">
        <is>
          <t>VÄSTERNORRLANDS LÄN</t>
        </is>
      </c>
      <c r="E4781" t="inlineStr">
        <is>
          <t>ÅNGE</t>
        </is>
      </c>
      <c r="F4781" t="inlineStr">
        <is>
          <t>SCA</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50015-2025</t>
        </is>
      </c>
      <c r="B4782" s="1" t="n">
        <v>45943.35023148148</v>
      </c>
      <c r="C4782" s="1" t="n">
        <v>46185</v>
      </c>
      <c r="D4782" t="inlineStr">
        <is>
          <t>VÄSTERNORRLANDS LÄN</t>
        </is>
      </c>
      <c r="E4782" t="inlineStr">
        <is>
          <t>ÖRNSKÖLDSVIK</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50347-2025</t>
        </is>
      </c>
      <c r="B4783" s="1" t="n">
        <v>45944.54627314815</v>
      </c>
      <c r="C4783" s="1" t="n">
        <v>46185</v>
      </c>
      <c r="D4783" t="inlineStr">
        <is>
          <t>VÄSTERNORRLANDS LÄN</t>
        </is>
      </c>
      <c r="E4783" t="inlineStr">
        <is>
          <t>ÖRNSKÖLDSVIK</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3376-2026</t>
        </is>
      </c>
      <c r="B4784" s="1" t="n">
        <v>46042</v>
      </c>
      <c r="C4784" s="1" t="n">
        <v>46185</v>
      </c>
      <c r="D4784" t="inlineStr">
        <is>
          <t>VÄSTERNORRLANDS LÄN</t>
        </is>
      </c>
      <c r="E4784" t="inlineStr">
        <is>
          <t>SUNDSVALL</t>
        </is>
      </c>
      <c r="G4784" t="n">
        <v>9.5</v>
      </c>
      <c r="H4784" t="n">
        <v>0</v>
      </c>
      <c r="I4784" t="n">
        <v>0</v>
      </c>
      <c r="J4784" t="n">
        <v>0</v>
      </c>
      <c r="K4784" t="n">
        <v>0</v>
      </c>
      <c r="L4784" t="n">
        <v>0</v>
      </c>
      <c r="M4784" t="n">
        <v>0</v>
      </c>
      <c r="N4784" t="n">
        <v>0</v>
      </c>
      <c r="O4784" t="n">
        <v>0</v>
      </c>
      <c r="P4784" t="n">
        <v>0</v>
      </c>
      <c r="Q4784" t="n">
        <v>0</v>
      </c>
      <c r="R4784" s="2" t="inlineStr"/>
    </row>
    <row r="4785" ht="15" customHeight="1">
      <c r="A4785" t="inlineStr">
        <is>
          <t>A 3139-2026</t>
        </is>
      </c>
      <c r="B4785" s="1" t="n">
        <v>46041.40305555556</v>
      </c>
      <c r="C4785" s="1" t="n">
        <v>46185</v>
      </c>
      <c r="D4785" t="inlineStr">
        <is>
          <t>VÄSTERNORRLANDS LÄN</t>
        </is>
      </c>
      <c r="E4785" t="inlineStr">
        <is>
          <t>ÖRNSKÖLDSVIK</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3188-2026</t>
        </is>
      </c>
      <c r="B4786" s="1" t="n">
        <v>46041.45927083334</v>
      </c>
      <c r="C4786" s="1" t="n">
        <v>46185</v>
      </c>
      <c r="D4786" t="inlineStr">
        <is>
          <t>VÄSTERNORRLANDS LÄN</t>
        </is>
      </c>
      <c r="E4786" t="inlineStr">
        <is>
          <t>ÖRNSKÖLDSVIK</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3179-2026</t>
        </is>
      </c>
      <c r="B4787" s="1" t="n">
        <v>46041.44837962963</v>
      </c>
      <c r="C4787" s="1" t="n">
        <v>46185</v>
      </c>
      <c r="D4787" t="inlineStr">
        <is>
          <t>VÄSTERNORRLANDS LÄN</t>
        </is>
      </c>
      <c r="E4787" t="inlineStr">
        <is>
          <t>SOLLEFTEÅ</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3571-2026</t>
        </is>
      </c>
      <c r="B4788" s="1" t="n">
        <v>46042.68803240741</v>
      </c>
      <c r="C4788" s="1" t="n">
        <v>46185</v>
      </c>
      <c r="D4788" t="inlineStr">
        <is>
          <t>VÄSTERNORRLANDS LÄN</t>
        </is>
      </c>
      <c r="E4788" t="inlineStr">
        <is>
          <t>HÄRNÖSAND</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3584-2026</t>
        </is>
      </c>
      <c r="B4789" s="1" t="n">
        <v>46042.73206018518</v>
      </c>
      <c r="C4789" s="1" t="n">
        <v>46185</v>
      </c>
      <c r="D4789" t="inlineStr">
        <is>
          <t>VÄSTERNORRLANDS LÄN</t>
        </is>
      </c>
      <c r="E4789" t="inlineStr">
        <is>
          <t>SOLLEFTEÅ</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53576-2021</t>
        </is>
      </c>
      <c r="B4790" s="1" t="n">
        <v>44469</v>
      </c>
      <c r="C4790" s="1" t="n">
        <v>46185</v>
      </c>
      <c r="D4790" t="inlineStr">
        <is>
          <t>VÄSTERNORRLANDS LÄN</t>
        </is>
      </c>
      <c r="E4790" t="inlineStr">
        <is>
          <t>KRAMFORS</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50283-2025</t>
        </is>
      </c>
      <c r="B4791" s="1" t="n">
        <v>45944.38641203703</v>
      </c>
      <c r="C4791" s="1" t="n">
        <v>46185</v>
      </c>
      <c r="D4791" t="inlineStr">
        <is>
          <t>VÄSTERNORRLANDS LÄN</t>
        </is>
      </c>
      <c r="E4791" t="inlineStr">
        <is>
          <t>SOLLEFTEÅ</t>
        </is>
      </c>
      <c r="F4791" t="inlineStr">
        <is>
          <t>SCA</t>
        </is>
      </c>
      <c r="G4791" t="n">
        <v>7</v>
      </c>
      <c r="H4791" t="n">
        <v>0</v>
      </c>
      <c r="I4791" t="n">
        <v>0</v>
      </c>
      <c r="J4791" t="n">
        <v>0</v>
      </c>
      <c r="K4791" t="n">
        <v>0</v>
      </c>
      <c r="L4791" t="n">
        <v>0</v>
      </c>
      <c r="M4791" t="n">
        <v>0</v>
      </c>
      <c r="N4791" t="n">
        <v>0</v>
      </c>
      <c r="O4791" t="n">
        <v>0</v>
      </c>
      <c r="P4791" t="n">
        <v>0</v>
      </c>
      <c r="Q4791" t="n">
        <v>0</v>
      </c>
      <c r="R4791" s="2" t="inlineStr"/>
    </row>
    <row r="4792" ht="15" customHeight="1">
      <c r="A4792" t="inlineStr">
        <is>
          <t>A 17670-2023</t>
        </is>
      </c>
      <c r="B4792" s="1" t="n">
        <v>45036</v>
      </c>
      <c r="C4792" s="1" t="n">
        <v>46185</v>
      </c>
      <c r="D4792" t="inlineStr">
        <is>
          <t>VÄSTERNORRLANDS LÄN</t>
        </is>
      </c>
      <c r="E4792" t="inlineStr">
        <is>
          <t>ÅNGE</t>
        </is>
      </c>
      <c r="F4792" t="inlineStr">
        <is>
          <t>SCA</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65188-2023</t>
        </is>
      </c>
      <c r="B4793" s="1" t="n">
        <v>45288</v>
      </c>
      <c r="C4793" s="1" t="n">
        <v>46185</v>
      </c>
      <c r="D4793" t="inlineStr">
        <is>
          <t>VÄSTERNORRLANDS LÄN</t>
        </is>
      </c>
      <c r="E4793" t="inlineStr">
        <is>
          <t>SUNDSVALL</t>
        </is>
      </c>
      <c r="F4793" t="inlineStr">
        <is>
          <t>SCA</t>
        </is>
      </c>
      <c r="G4793" t="n">
        <v>16.9</v>
      </c>
      <c r="H4793" t="n">
        <v>0</v>
      </c>
      <c r="I4793" t="n">
        <v>0</v>
      </c>
      <c r="J4793" t="n">
        <v>0</v>
      </c>
      <c r="K4793" t="n">
        <v>0</v>
      </c>
      <c r="L4793" t="n">
        <v>0</v>
      </c>
      <c r="M4793" t="n">
        <v>0</v>
      </c>
      <c r="N4793" t="n">
        <v>0</v>
      </c>
      <c r="O4793" t="n">
        <v>0</v>
      </c>
      <c r="P4793" t="n">
        <v>0</v>
      </c>
      <c r="Q4793" t="n">
        <v>0</v>
      </c>
      <c r="R4793" s="2" t="inlineStr"/>
    </row>
    <row r="4794" ht="15" customHeight="1">
      <c r="A4794" t="inlineStr">
        <is>
          <t>A 5595-2023</t>
        </is>
      </c>
      <c r="B4794" s="1" t="n">
        <v>44960</v>
      </c>
      <c r="C4794" s="1" t="n">
        <v>46185</v>
      </c>
      <c r="D4794" t="inlineStr">
        <is>
          <t>VÄSTERNORRLANDS LÄN</t>
        </is>
      </c>
      <c r="E4794" t="inlineStr">
        <is>
          <t>ÖRNSKÖLDSVIK</t>
        </is>
      </c>
      <c r="G4794" t="n">
        <v>22.8</v>
      </c>
      <c r="H4794" t="n">
        <v>0</v>
      </c>
      <c r="I4794" t="n">
        <v>0</v>
      </c>
      <c r="J4794" t="n">
        <v>0</v>
      </c>
      <c r="K4794" t="n">
        <v>0</v>
      </c>
      <c r="L4794" t="n">
        <v>0</v>
      </c>
      <c r="M4794" t="n">
        <v>0</v>
      </c>
      <c r="N4794" t="n">
        <v>0</v>
      </c>
      <c r="O4794" t="n">
        <v>0</v>
      </c>
      <c r="P4794" t="n">
        <v>0</v>
      </c>
      <c r="Q4794" t="n">
        <v>0</v>
      </c>
      <c r="R4794" s="2" t="inlineStr"/>
    </row>
    <row r="4795" ht="15" customHeight="1">
      <c r="A4795" t="inlineStr">
        <is>
          <t>A 50382-2025</t>
        </is>
      </c>
      <c r="B4795" s="1" t="n">
        <v>45944.60185185185</v>
      </c>
      <c r="C4795" s="1" t="n">
        <v>46185</v>
      </c>
      <c r="D4795" t="inlineStr">
        <is>
          <t>VÄSTERNORRLANDS LÄN</t>
        </is>
      </c>
      <c r="E4795" t="inlineStr">
        <is>
          <t>ÖRNSKÖLDSVIK</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3287-2026</t>
        </is>
      </c>
      <c r="B4796" s="1" t="n">
        <v>46041</v>
      </c>
      <c r="C4796" s="1" t="n">
        <v>46185</v>
      </c>
      <c r="D4796" t="inlineStr">
        <is>
          <t>VÄSTERNORRLANDS LÄN</t>
        </is>
      </c>
      <c r="E4796" t="inlineStr">
        <is>
          <t>SUNDSVALL</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3359-2026</t>
        </is>
      </c>
      <c r="B4797" s="1" t="n">
        <v>46041</v>
      </c>
      <c r="C4797" s="1" t="n">
        <v>46185</v>
      </c>
      <c r="D4797" t="inlineStr">
        <is>
          <t>VÄSTERNORRLANDS LÄN</t>
        </is>
      </c>
      <c r="E4797" t="inlineStr">
        <is>
          <t>ÖRNSKÖLDSVIK</t>
        </is>
      </c>
      <c r="G4797" t="n">
        <v>6.9</v>
      </c>
      <c r="H4797" t="n">
        <v>0</v>
      </c>
      <c r="I4797" t="n">
        <v>0</v>
      </c>
      <c r="J4797" t="n">
        <v>0</v>
      </c>
      <c r="K4797" t="n">
        <v>0</v>
      </c>
      <c r="L4797" t="n">
        <v>0</v>
      </c>
      <c r="M4797" t="n">
        <v>0</v>
      </c>
      <c r="N4797" t="n">
        <v>0</v>
      </c>
      <c r="O4797" t="n">
        <v>0</v>
      </c>
      <c r="P4797" t="n">
        <v>0</v>
      </c>
      <c r="Q4797" t="n">
        <v>0</v>
      </c>
      <c r="R4797" s="2" t="inlineStr"/>
    </row>
    <row r="4798" ht="15" customHeight="1">
      <c r="A4798" t="inlineStr">
        <is>
          <t>A 3362-2026</t>
        </is>
      </c>
      <c r="B4798" s="1" t="n">
        <v>46042.33056712963</v>
      </c>
      <c r="C4798" s="1" t="n">
        <v>46185</v>
      </c>
      <c r="D4798" t="inlineStr">
        <is>
          <t>VÄSTERNORRLANDS LÄN</t>
        </is>
      </c>
      <c r="E4798" t="inlineStr">
        <is>
          <t>ÖRNSKÖLDSVIK</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50017-2025</t>
        </is>
      </c>
      <c r="B4799" s="1" t="n">
        <v>45943.36004629629</v>
      </c>
      <c r="C4799" s="1" t="n">
        <v>46185</v>
      </c>
      <c r="D4799" t="inlineStr">
        <is>
          <t>VÄSTERNORRLANDS LÄN</t>
        </is>
      </c>
      <c r="E4799" t="inlineStr">
        <is>
          <t>ÖRNSKÖLDSVIK</t>
        </is>
      </c>
      <c r="F4799" t="inlineStr">
        <is>
          <t>Holmen skog AB</t>
        </is>
      </c>
      <c r="G4799" t="n">
        <v>8.300000000000001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2158-2026</t>
        </is>
      </c>
      <c r="B4800" s="1" t="n">
        <v>46036</v>
      </c>
      <c r="C4800" s="1" t="n">
        <v>46185</v>
      </c>
      <c r="D4800" t="inlineStr">
        <is>
          <t>VÄSTERNORRLANDS LÄN</t>
        </is>
      </c>
      <c r="E4800" t="inlineStr">
        <is>
          <t>KRAMFORS</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3212-2026</t>
        </is>
      </c>
      <c r="B4801" s="1" t="n">
        <v>46041.49188657408</v>
      </c>
      <c r="C4801" s="1" t="n">
        <v>46185</v>
      </c>
      <c r="D4801" t="inlineStr">
        <is>
          <t>VÄSTERNORRLANDS LÄN</t>
        </is>
      </c>
      <c r="E4801" t="inlineStr">
        <is>
          <t>ÖRNSKÖLDSVIK</t>
        </is>
      </c>
      <c r="F4801" t="inlineStr">
        <is>
          <t>Holmen skog AB</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50291-2025</t>
        </is>
      </c>
      <c r="B4802" s="1" t="n">
        <v>45944.40677083333</v>
      </c>
      <c r="C4802" s="1" t="n">
        <v>46185</v>
      </c>
      <c r="D4802" t="inlineStr">
        <is>
          <t>VÄSTERNORRLANDS LÄN</t>
        </is>
      </c>
      <c r="E4802" t="inlineStr">
        <is>
          <t>ÅNGE</t>
        </is>
      </c>
      <c r="F4802" t="inlineStr">
        <is>
          <t>SCA</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50127-2025</t>
        </is>
      </c>
      <c r="B4803" s="1" t="n">
        <v>45943.55300925926</v>
      </c>
      <c r="C4803" s="1" t="n">
        <v>46185</v>
      </c>
      <c r="D4803" t="inlineStr">
        <is>
          <t>VÄSTERNORRLANDS LÄN</t>
        </is>
      </c>
      <c r="E4803" t="inlineStr">
        <is>
          <t>ÖRNSKÖLDSVIK</t>
        </is>
      </c>
      <c r="F4803" t="inlineStr">
        <is>
          <t>Holmen skog AB</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62406-2022</t>
        </is>
      </c>
      <c r="B4804" s="1" t="n">
        <v>44923</v>
      </c>
      <c r="C4804" s="1" t="n">
        <v>46185</v>
      </c>
      <c r="D4804" t="inlineStr">
        <is>
          <t>VÄSTERNORRLANDS LÄN</t>
        </is>
      </c>
      <c r="E4804" t="inlineStr">
        <is>
          <t>SOLLEFTEÅ</t>
        </is>
      </c>
      <c r="F4804" t="inlineStr">
        <is>
          <t>SCA</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50285-2025</t>
        </is>
      </c>
      <c r="B4805" s="1" t="n">
        <v>45944.39403935185</v>
      </c>
      <c r="C4805" s="1" t="n">
        <v>46185</v>
      </c>
      <c r="D4805" t="inlineStr">
        <is>
          <t>VÄSTERNORRLANDS LÄN</t>
        </is>
      </c>
      <c r="E4805" t="inlineStr">
        <is>
          <t>ÖRNSKÖLDSVIK</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50293-2025</t>
        </is>
      </c>
      <c r="B4806" s="1" t="n">
        <v>45944.40810185186</v>
      </c>
      <c r="C4806" s="1" t="n">
        <v>46185</v>
      </c>
      <c r="D4806" t="inlineStr">
        <is>
          <t>VÄSTERNORRLANDS LÄN</t>
        </is>
      </c>
      <c r="E4806" t="inlineStr">
        <is>
          <t>SUNDSVALL</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50265-2025</t>
        </is>
      </c>
      <c r="B4807" s="1" t="n">
        <v>45944.34559027778</v>
      </c>
      <c r="C4807" s="1" t="n">
        <v>46185</v>
      </c>
      <c r="D4807" t="inlineStr">
        <is>
          <t>VÄSTERNORRLANDS LÄN</t>
        </is>
      </c>
      <c r="E4807" t="inlineStr">
        <is>
          <t>SUNDSVALL</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3107-2026</t>
        </is>
      </c>
      <c r="B4808" s="1" t="n">
        <v>46041.35614583334</v>
      </c>
      <c r="C4808" s="1" t="n">
        <v>46185</v>
      </c>
      <c r="D4808" t="inlineStr">
        <is>
          <t>VÄSTERNORRLANDS LÄN</t>
        </is>
      </c>
      <c r="E4808" t="inlineStr">
        <is>
          <t>ÖRNSKÖLDSVIK</t>
        </is>
      </c>
      <c r="F4808" t="inlineStr">
        <is>
          <t>Holmen skog AB</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3183-2026</t>
        </is>
      </c>
      <c r="B4809" s="1" t="n">
        <v>46041</v>
      </c>
      <c r="C4809" s="1" t="n">
        <v>46185</v>
      </c>
      <c r="D4809" t="inlineStr">
        <is>
          <t>VÄSTERNORRLANDS LÄN</t>
        </is>
      </c>
      <c r="E4809" t="inlineStr">
        <is>
          <t>TIMRÅ</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3229-2026</t>
        </is>
      </c>
      <c r="B4810" s="1" t="n">
        <v>46041.55244212963</v>
      </c>
      <c r="C4810" s="1" t="n">
        <v>46185</v>
      </c>
      <c r="D4810" t="inlineStr">
        <is>
          <t>VÄSTERNORRLANDS LÄN</t>
        </is>
      </c>
      <c r="E4810" t="inlineStr">
        <is>
          <t>SOLLEFTEÅ</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59287-2024</t>
        </is>
      </c>
      <c r="B4811" s="1" t="n">
        <v>45637</v>
      </c>
      <c r="C4811" s="1" t="n">
        <v>46185</v>
      </c>
      <c r="D4811" t="inlineStr">
        <is>
          <t>VÄSTERNORRLANDS LÄN</t>
        </is>
      </c>
      <c r="E4811" t="inlineStr">
        <is>
          <t>ÖRNSKÖLDSVIK</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3103-2026</t>
        </is>
      </c>
      <c r="B4812" s="1" t="n">
        <v>46041.34416666667</v>
      </c>
      <c r="C4812" s="1" t="n">
        <v>46185</v>
      </c>
      <c r="D4812" t="inlineStr">
        <is>
          <t>VÄSTERNORRLANDS LÄN</t>
        </is>
      </c>
      <c r="E4812" t="inlineStr">
        <is>
          <t>KRAMFORS</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3320-2026</t>
        </is>
      </c>
      <c r="B4813" s="1" t="n">
        <v>46041</v>
      </c>
      <c r="C4813" s="1" t="n">
        <v>46185</v>
      </c>
      <c r="D4813" t="inlineStr">
        <is>
          <t>VÄSTERNORRLANDS LÄN</t>
        </is>
      </c>
      <c r="E4813" t="inlineStr">
        <is>
          <t>SOLLEFTEÅ</t>
        </is>
      </c>
      <c r="F4813" t="inlineStr">
        <is>
          <t>Övriga statliga verk och myndigheter</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50767-2025</t>
        </is>
      </c>
      <c r="B4814" s="1" t="n">
        <v>45946</v>
      </c>
      <c r="C4814" s="1" t="n">
        <v>46185</v>
      </c>
      <c r="D4814" t="inlineStr">
        <is>
          <t>VÄSTERNORRLANDS LÄN</t>
        </is>
      </c>
      <c r="E4814" t="inlineStr">
        <is>
          <t>ÅNGE</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3196-2026</t>
        </is>
      </c>
      <c r="B4815" s="1" t="n">
        <v>46041.47315972222</v>
      </c>
      <c r="C4815" s="1" t="n">
        <v>46185</v>
      </c>
      <c r="D4815" t="inlineStr">
        <is>
          <t>VÄSTERNORRLANDS LÄN</t>
        </is>
      </c>
      <c r="E4815" t="inlineStr">
        <is>
          <t>KRAMFORS</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3205-2026</t>
        </is>
      </c>
      <c r="B4816" s="1" t="n">
        <v>46041.48511574074</v>
      </c>
      <c r="C4816" s="1" t="n">
        <v>46185</v>
      </c>
      <c r="D4816" t="inlineStr">
        <is>
          <t>VÄSTERNORRLANDS LÄN</t>
        </is>
      </c>
      <c r="E4816" t="inlineStr">
        <is>
          <t>KRAMFORS</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3210-2026</t>
        </is>
      </c>
      <c r="B4817" s="1" t="n">
        <v>46041.48989583334</v>
      </c>
      <c r="C4817" s="1" t="n">
        <v>46185</v>
      </c>
      <c r="D4817" t="inlineStr">
        <is>
          <t>VÄSTERNORRLANDS LÄN</t>
        </is>
      </c>
      <c r="E4817" t="inlineStr">
        <is>
          <t>SOLLEFTEÅ</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56217-2024</t>
        </is>
      </c>
      <c r="B4818" s="1" t="n">
        <v>45624</v>
      </c>
      <c r="C4818" s="1" t="n">
        <v>46185</v>
      </c>
      <c r="D4818" t="inlineStr">
        <is>
          <t>VÄSTERNORRLANDS LÄN</t>
        </is>
      </c>
      <c r="E4818" t="inlineStr">
        <is>
          <t>ÖRNSKÖLDSVIK</t>
        </is>
      </c>
      <c r="F4818" t="inlineStr">
        <is>
          <t>Holmen skog AB</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3129-2026</t>
        </is>
      </c>
      <c r="B4819" s="1" t="n">
        <v>46041</v>
      </c>
      <c r="C4819" s="1" t="n">
        <v>46185</v>
      </c>
      <c r="D4819" t="inlineStr">
        <is>
          <t>VÄSTERNORRLANDS LÄN</t>
        </is>
      </c>
      <c r="E4819" t="inlineStr">
        <is>
          <t>KRAMFORS</t>
        </is>
      </c>
      <c r="G4819" t="n">
        <v>7.1</v>
      </c>
      <c r="H4819" t="n">
        <v>0</v>
      </c>
      <c r="I4819" t="n">
        <v>0</v>
      </c>
      <c r="J4819" t="n">
        <v>0</v>
      </c>
      <c r="K4819" t="n">
        <v>0</v>
      </c>
      <c r="L4819" t="n">
        <v>0</v>
      </c>
      <c r="M4819" t="n">
        <v>0</v>
      </c>
      <c r="N4819" t="n">
        <v>0</v>
      </c>
      <c r="O4819" t="n">
        <v>0</v>
      </c>
      <c r="P4819" t="n">
        <v>0</v>
      </c>
      <c r="Q4819" t="n">
        <v>0</v>
      </c>
      <c r="R4819" s="2" t="inlineStr"/>
    </row>
    <row r="4820" ht="15" customHeight="1">
      <c r="A4820" t="inlineStr">
        <is>
          <t>A 3142-2026</t>
        </is>
      </c>
      <c r="B4820" s="1" t="n">
        <v>46041.40667824074</v>
      </c>
      <c r="C4820" s="1" t="n">
        <v>46185</v>
      </c>
      <c r="D4820" t="inlineStr">
        <is>
          <t>VÄSTERNORRLANDS LÄN</t>
        </is>
      </c>
      <c r="E4820" t="inlineStr">
        <is>
          <t>TIMRÅ</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50769-2025</t>
        </is>
      </c>
      <c r="B4821" s="1" t="n">
        <v>45946.44864583333</v>
      </c>
      <c r="C4821" s="1" t="n">
        <v>46185</v>
      </c>
      <c r="D4821" t="inlineStr">
        <is>
          <t>VÄSTERNORRLANDS LÄN</t>
        </is>
      </c>
      <c r="E4821" t="inlineStr">
        <is>
          <t>ÅNGE</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50670-2025</t>
        </is>
      </c>
      <c r="B4822" s="1" t="n">
        <v>45945</v>
      </c>
      <c r="C4822" s="1" t="n">
        <v>46185</v>
      </c>
      <c r="D4822" t="inlineStr">
        <is>
          <t>VÄSTERNORRLANDS LÄN</t>
        </is>
      </c>
      <c r="E4822" t="inlineStr">
        <is>
          <t>ÖRNSKÖLDSVIK</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56288-2024</t>
        </is>
      </c>
      <c r="B4823" s="1" t="n">
        <v>45624.67949074074</v>
      </c>
      <c r="C4823" s="1" t="n">
        <v>46185</v>
      </c>
      <c r="D4823" t="inlineStr">
        <is>
          <t>VÄSTERNORRLANDS LÄN</t>
        </is>
      </c>
      <c r="E4823" t="inlineStr">
        <is>
          <t>TIMRÅ</t>
        </is>
      </c>
      <c r="F4823" t="inlineStr">
        <is>
          <t>SCA</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59412-2024</t>
        </is>
      </c>
      <c r="B4824" s="1" t="n">
        <v>45638</v>
      </c>
      <c r="C4824" s="1" t="n">
        <v>46185</v>
      </c>
      <c r="D4824" t="inlineStr">
        <is>
          <t>VÄSTERNORRLANDS LÄN</t>
        </is>
      </c>
      <c r="E4824" t="inlineStr">
        <is>
          <t>ÅNGE</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50627-2025</t>
        </is>
      </c>
      <c r="B4825" s="1" t="n">
        <v>45945</v>
      </c>
      <c r="C4825" s="1" t="n">
        <v>46185</v>
      </c>
      <c r="D4825" t="inlineStr">
        <is>
          <t>VÄSTERNORRLANDS LÄN</t>
        </is>
      </c>
      <c r="E4825" t="inlineStr">
        <is>
          <t>SOLLEFTEÅ</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3176-2026</t>
        </is>
      </c>
      <c r="B4826" s="1" t="n">
        <v>46041.44505787037</v>
      </c>
      <c r="C4826" s="1" t="n">
        <v>46185</v>
      </c>
      <c r="D4826" t="inlineStr">
        <is>
          <t>VÄSTERNORRLANDS LÄN</t>
        </is>
      </c>
      <c r="E4826" t="inlineStr">
        <is>
          <t>TIMRÅ</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50733-2025</t>
        </is>
      </c>
      <c r="B4827" s="1" t="n">
        <v>45946.36538194444</v>
      </c>
      <c r="C4827" s="1" t="n">
        <v>46185</v>
      </c>
      <c r="D4827" t="inlineStr">
        <is>
          <t>VÄSTERNORRLANDS LÄN</t>
        </is>
      </c>
      <c r="E4827" t="inlineStr">
        <is>
          <t>SOLLEFTEÅ</t>
        </is>
      </c>
      <c r="F4827" t="inlineStr">
        <is>
          <t>SCA</t>
        </is>
      </c>
      <c r="G4827" t="n">
        <v>15.3</v>
      </c>
      <c r="H4827" t="n">
        <v>0</v>
      </c>
      <c r="I4827" t="n">
        <v>0</v>
      </c>
      <c r="J4827" t="n">
        <v>0</v>
      </c>
      <c r="K4827" t="n">
        <v>0</v>
      </c>
      <c r="L4827" t="n">
        <v>0</v>
      </c>
      <c r="M4827" t="n">
        <v>0</v>
      </c>
      <c r="N4827" t="n">
        <v>0</v>
      </c>
      <c r="O4827" t="n">
        <v>0</v>
      </c>
      <c r="P4827" t="n">
        <v>0</v>
      </c>
      <c r="Q4827" t="n">
        <v>0</v>
      </c>
      <c r="R4827" s="2" t="inlineStr"/>
    </row>
    <row r="4828" ht="15" customHeight="1">
      <c r="A4828" t="inlineStr">
        <is>
          <t>A 3052-2026</t>
        </is>
      </c>
      <c r="B4828" s="1" t="n">
        <v>46039.26511574074</v>
      </c>
      <c r="C4828" s="1" t="n">
        <v>46185</v>
      </c>
      <c r="D4828" t="inlineStr">
        <is>
          <t>VÄSTERNORRLANDS LÄN</t>
        </is>
      </c>
      <c r="E4828" t="inlineStr">
        <is>
          <t>SOLLEFTEÅ</t>
        </is>
      </c>
      <c r="G4828" t="n">
        <v>6.1</v>
      </c>
      <c r="H4828" t="n">
        <v>0</v>
      </c>
      <c r="I4828" t="n">
        <v>0</v>
      </c>
      <c r="J4828" t="n">
        <v>0</v>
      </c>
      <c r="K4828" t="n">
        <v>0</v>
      </c>
      <c r="L4828" t="n">
        <v>0</v>
      </c>
      <c r="M4828" t="n">
        <v>0</v>
      </c>
      <c r="N4828" t="n">
        <v>0</v>
      </c>
      <c r="O4828" t="n">
        <v>0</v>
      </c>
      <c r="P4828" t="n">
        <v>0</v>
      </c>
      <c r="Q4828" t="n">
        <v>0</v>
      </c>
      <c r="R4828" s="2" t="inlineStr"/>
    </row>
    <row r="4829" ht="15" customHeight="1">
      <c r="A4829" t="inlineStr">
        <is>
          <t>A 3684-2026</t>
        </is>
      </c>
      <c r="B4829" s="1" t="n">
        <v>46043.43609953704</v>
      </c>
      <c r="C4829" s="1" t="n">
        <v>46185</v>
      </c>
      <c r="D4829" t="inlineStr">
        <is>
          <t>VÄSTERNORRLANDS LÄN</t>
        </is>
      </c>
      <c r="E4829" t="inlineStr">
        <is>
          <t>KRAMFORS</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3970-2026</t>
        </is>
      </c>
      <c r="B4830" s="1" t="n">
        <v>46044.3521875</v>
      </c>
      <c r="C4830" s="1" t="n">
        <v>46185</v>
      </c>
      <c r="D4830" t="inlineStr">
        <is>
          <t>VÄSTERNORRLANDS LÄN</t>
        </is>
      </c>
      <c r="E4830" t="inlineStr">
        <is>
          <t>ÅNGE</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3807-2026</t>
        </is>
      </c>
      <c r="B4831" s="1" t="n">
        <v>46043.5834375</v>
      </c>
      <c r="C4831" s="1" t="n">
        <v>46185</v>
      </c>
      <c r="D4831" t="inlineStr">
        <is>
          <t>VÄSTERNORRLANDS LÄN</t>
        </is>
      </c>
      <c r="E4831" t="inlineStr">
        <is>
          <t>SOLLEFTEÅ</t>
        </is>
      </c>
      <c r="F4831" t="inlineStr">
        <is>
          <t>SCA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3839-2026</t>
        </is>
      </c>
      <c r="B4832" s="1" t="n">
        <v>46043</v>
      </c>
      <c r="C4832" s="1" t="n">
        <v>46185</v>
      </c>
      <c r="D4832" t="inlineStr">
        <is>
          <t>VÄSTERNORRLANDS LÄN</t>
        </is>
      </c>
      <c r="E4832" t="inlineStr">
        <is>
          <t>ÖRNSKÖLDSVIK</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50843-2025</t>
        </is>
      </c>
      <c r="B4833" s="1" t="n">
        <v>45946.57344907407</v>
      </c>
      <c r="C4833" s="1" t="n">
        <v>46185</v>
      </c>
      <c r="D4833" t="inlineStr">
        <is>
          <t>VÄSTERNORRLANDS LÄN</t>
        </is>
      </c>
      <c r="E4833" t="inlineStr">
        <is>
          <t>SOLLEFTEÅ</t>
        </is>
      </c>
      <c r="F4833" t="inlineStr">
        <is>
          <t>SCA</t>
        </is>
      </c>
      <c r="G4833" t="n">
        <v>7.1</v>
      </c>
      <c r="H4833" t="n">
        <v>0</v>
      </c>
      <c r="I4833" t="n">
        <v>0</v>
      </c>
      <c r="J4833" t="n">
        <v>0</v>
      </c>
      <c r="K4833" t="n">
        <v>0</v>
      </c>
      <c r="L4833" t="n">
        <v>0</v>
      </c>
      <c r="M4833" t="n">
        <v>0</v>
      </c>
      <c r="N4833" t="n">
        <v>0</v>
      </c>
      <c r="O4833" t="n">
        <v>0</v>
      </c>
      <c r="P4833" t="n">
        <v>0</v>
      </c>
      <c r="Q4833" t="n">
        <v>0</v>
      </c>
      <c r="R4833" s="2" t="inlineStr"/>
    </row>
    <row r="4834" ht="15" customHeight="1">
      <c r="A4834" t="inlineStr">
        <is>
          <t>A 3981-2026</t>
        </is>
      </c>
      <c r="B4834" s="1" t="n">
        <v>46044.36521990741</v>
      </c>
      <c r="C4834" s="1" t="n">
        <v>46185</v>
      </c>
      <c r="D4834" t="inlineStr">
        <is>
          <t>VÄSTERNORRLANDS LÄN</t>
        </is>
      </c>
      <c r="E4834" t="inlineStr">
        <is>
          <t>ÖRNSKÖLDSVIK</t>
        </is>
      </c>
      <c r="F4834" t="inlineStr">
        <is>
          <t>SCA</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3716-2026</t>
        </is>
      </c>
      <c r="B4835" s="1" t="n">
        <v>46043.49085648148</v>
      </c>
      <c r="C4835" s="1" t="n">
        <v>46185</v>
      </c>
      <c r="D4835" t="inlineStr">
        <is>
          <t>VÄSTERNORRLANDS LÄN</t>
        </is>
      </c>
      <c r="E4835" t="inlineStr">
        <is>
          <t>KRAMFORS</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58879-2024</t>
        </is>
      </c>
      <c r="B4836" s="1" t="n">
        <v>45636.44822916666</v>
      </c>
      <c r="C4836" s="1" t="n">
        <v>46185</v>
      </c>
      <c r="D4836" t="inlineStr">
        <is>
          <t>VÄSTERNORRLANDS LÄN</t>
        </is>
      </c>
      <c r="E4836" t="inlineStr">
        <is>
          <t>TIMRÅ</t>
        </is>
      </c>
      <c r="F4836" t="inlineStr">
        <is>
          <t>SCA</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44569-2024</t>
        </is>
      </c>
      <c r="B4837" s="1" t="n">
        <v>45574.48010416667</v>
      </c>
      <c r="C4837" s="1" t="n">
        <v>46185</v>
      </c>
      <c r="D4837" t="inlineStr">
        <is>
          <t>VÄSTERNORRLANDS LÄN</t>
        </is>
      </c>
      <c r="E4837" t="inlineStr">
        <is>
          <t>SUNDSVALL</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3990-2026</t>
        </is>
      </c>
      <c r="B4838" s="1" t="n">
        <v>46044</v>
      </c>
      <c r="C4838" s="1" t="n">
        <v>46185</v>
      </c>
      <c r="D4838" t="inlineStr">
        <is>
          <t>VÄSTERNORRLANDS LÄN</t>
        </is>
      </c>
      <c r="E4838" t="inlineStr">
        <is>
          <t>SUNDSVALL</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4010-2026</t>
        </is>
      </c>
      <c r="B4839" s="1" t="n">
        <v>46044.40854166666</v>
      </c>
      <c r="C4839" s="1" t="n">
        <v>46185</v>
      </c>
      <c r="D4839" t="inlineStr">
        <is>
          <t>VÄSTERNORRLANDS LÄN</t>
        </is>
      </c>
      <c r="E4839" t="inlineStr">
        <is>
          <t>KRAMFORS</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42497-2024</t>
        </is>
      </c>
      <c r="B4840" s="1" t="n">
        <v>45565</v>
      </c>
      <c r="C4840" s="1" t="n">
        <v>46185</v>
      </c>
      <c r="D4840" t="inlineStr">
        <is>
          <t>VÄSTERNORRLANDS LÄN</t>
        </is>
      </c>
      <c r="E4840" t="inlineStr">
        <is>
          <t>SUNDSVALL</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51124-2024</t>
        </is>
      </c>
      <c r="B4841" s="1" t="n">
        <v>45603.50716435185</v>
      </c>
      <c r="C4841" s="1" t="n">
        <v>46185</v>
      </c>
      <c r="D4841" t="inlineStr">
        <is>
          <t>VÄSTERNORRLANDS LÄN</t>
        </is>
      </c>
      <c r="E4841" t="inlineStr">
        <is>
          <t>ÅNGE</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38567-2025</t>
        </is>
      </c>
      <c r="B4842" s="1" t="n">
        <v>45884.45579861111</v>
      </c>
      <c r="C4842" s="1" t="n">
        <v>46185</v>
      </c>
      <c r="D4842" t="inlineStr">
        <is>
          <t>VÄSTERNORRLANDS LÄN</t>
        </is>
      </c>
      <c r="E4842" t="inlineStr">
        <is>
          <t>HÄRNÖSAND</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38675-2025</t>
        </is>
      </c>
      <c r="B4843" s="1" t="n">
        <v>45884.63487268519</v>
      </c>
      <c r="C4843" s="1" t="n">
        <v>46185</v>
      </c>
      <c r="D4843" t="inlineStr">
        <is>
          <t>VÄSTERNORRLANDS LÄN</t>
        </is>
      </c>
      <c r="E4843" t="inlineStr">
        <is>
          <t>SUNDSVALL</t>
        </is>
      </c>
      <c r="G4843" t="n">
        <v>8</v>
      </c>
      <c r="H4843" t="n">
        <v>0</v>
      </c>
      <c r="I4843" t="n">
        <v>0</v>
      </c>
      <c r="J4843" t="n">
        <v>0</v>
      </c>
      <c r="K4843" t="n">
        <v>0</v>
      </c>
      <c r="L4843" t="n">
        <v>0</v>
      </c>
      <c r="M4843" t="n">
        <v>0</v>
      </c>
      <c r="N4843" t="n">
        <v>0</v>
      </c>
      <c r="O4843" t="n">
        <v>0</v>
      </c>
      <c r="P4843" t="n">
        <v>0</v>
      </c>
      <c r="Q4843" t="n">
        <v>0</v>
      </c>
      <c r="R4843" s="2" t="inlineStr"/>
    </row>
    <row r="4844" ht="15" customHeight="1">
      <c r="A4844" t="inlineStr">
        <is>
          <t>A 4058-2026</t>
        </is>
      </c>
      <c r="B4844" s="1" t="n">
        <v>46044.49015046296</v>
      </c>
      <c r="C4844" s="1" t="n">
        <v>46185</v>
      </c>
      <c r="D4844" t="inlineStr">
        <is>
          <t>VÄSTERNORRLANDS LÄN</t>
        </is>
      </c>
      <c r="E4844" t="inlineStr">
        <is>
          <t>SOLLEFTEÅ</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50799-2025</t>
        </is>
      </c>
      <c r="B4845" s="1" t="n">
        <v>45946.49013888889</v>
      </c>
      <c r="C4845" s="1" t="n">
        <v>46185</v>
      </c>
      <c r="D4845" t="inlineStr">
        <is>
          <t>VÄSTERNORRLANDS LÄN</t>
        </is>
      </c>
      <c r="E4845" t="inlineStr">
        <is>
          <t>SUNDSVALL</t>
        </is>
      </c>
      <c r="F4845" t="inlineStr">
        <is>
          <t>SCA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50800-2025</t>
        </is>
      </c>
      <c r="B4846" s="1" t="n">
        <v>45946.49042824074</v>
      </c>
      <c r="C4846" s="1" t="n">
        <v>46185</v>
      </c>
      <c r="D4846" t="inlineStr">
        <is>
          <t>VÄSTERNORRLANDS LÄN</t>
        </is>
      </c>
      <c r="E4846" t="inlineStr">
        <is>
          <t>SUNDSVALL</t>
        </is>
      </c>
      <c r="F4846" t="inlineStr">
        <is>
          <t>SCA</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38686-2025</t>
        </is>
      </c>
      <c r="B4847" s="1" t="n">
        <v>45884.65658564815</v>
      </c>
      <c r="C4847" s="1" t="n">
        <v>46185</v>
      </c>
      <c r="D4847" t="inlineStr">
        <is>
          <t>VÄSTERNORRLANDS LÄN</t>
        </is>
      </c>
      <c r="E4847" t="inlineStr">
        <is>
          <t>ÅNGE</t>
        </is>
      </c>
      <c r="F4847" t="inlineStr">
        <is>
          <t>SCA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4149-2026</t>
        </is>
      </c>
      <c r="B4848" s="1" t="n">
        <v>46044.64534722222</v>
      </c>
      <c r="C4848" s="1" t="n">
        <v>46185</v>
      </c>
      <c r="D4848" t="inlineStr">
        <is>
          <t>VÄSTERNORRLANDS LÄN</t>
        </is>
      </c>
      <c r="E4848" t="inlineStr">
        <is>
          <t>SOLLEFTEÅ</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51768-2021</t>
        </is>
      </c>
      <c r="B4849" s="1" t="n">
        <v>44462</v>
      </c>
      <c r="C4849" s="1" t="n">
        <v>46185</v>
      </c>
      <c r="D4849" t="inlineStr">
        <is>
          <t>VÄSTERNORRLANDS LÄN</t>
        </is>
      </c>
      <c r="E4849" t="inlineStr">
        <is>
          <t>SUNDSVALL</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4049-2026</t>
        </is>
      </c>
      <c r="B4850" s="1" t="n">
        <v>46044.47206018519</v>
      </c>
      <c r="C4850" s="1" t="n">
        <v>46185</v>
      </c>
      <c r="D4850" t="inlineStr">
        <is>
          <t>VÄSTERNORRLANDS LÄN</t>
        </is>
      </c>
      <c r="E4850" t="inlineStr">
        <is>
          <t>KRAMFORS</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4052-2026</t>
        </is>
      </c>
      <c r="B4851" s="1" t="n">
        <v>46044.47467592593</v>
      </c>
      <c r="C4851" s="1" t="n">
        <v>46185</v>
      </c>
      <c r="D4851" t="inlineStr">
        <is>
          <t>VÄSTERNORRLANDS LÄN</t>
        </is>
      </c>
      <c r="E4851" t="inlineStr">
        <is>
          <t>SOLLEFTEÅ</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54688-2024</t>
        </is>
      </c>
      <c r="B4852" s="1" t="n">
        <v>45618</v>
      </c>
      <c r="C4852" s="1" t="n">
        <v>46185</v>
      </c>
      <c r="D4852" t="inlineStr">
        <is>
          <t>VÄSTERNORRLANDS LÄN</t>
        </is>
      </c>
      <c r="E4852" t="inlineStr">
        <is>
          <t>ÖRNSKÖLDSVIK</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54798-2024</t>
        </is>
      </c>
      <c r="B4853" s="1" t="n">
        <v>45618.50070601852</v>
      </c>
      <c r="C4853" s="1" t="n">
        <v>46185</v>
      </c>
      <c r="D4853" t="inlineStr">
        <is>
          <t>VÄSTERNORRLANDS LÄN</t>
        </is>
      </c>
      <c r="E4853" t="inlineStr">
        <is>
          <t>ÖRNSKÖLDSVIK</t>
        </is>
      </c>
      <c r="F4853" t="inlineStr">
        <is>
          <t>Holmen skog AB</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54806-2024</t>
        </is>
      </c>
      <c r="B4854" s="1" t="n">
        <v>45618.51133101852</v>
      </c>
      <c r="C4854" s="1" t="n">
        <v>46185</v>
      </c>
      <c r="D4854" t="inlineStr">
        <is>
          <t>VÄSTERNORRLANDS LÄN</t>
        </is>
      </c>
      <c r="E4854" t="inlineStr">
        <is>
          <t>SOLLEFTEÅ</t>
        </is>
      </c>
      <c r="F4854" t="inlineStr">
        <is>
          <t>SCA</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3703-2026</t>
        </is>
      </c>
      <c r="B4855" s="1" t="n">
        <v>46043.47327546297</v>
      </c>
      <c r="C4855" s="1" t="n">
        <v>46185</v>
      </c>
      <c r="D4855" t="inlineStr">
        <is>
          <t>VÄSTERNORRLANDS LÄN</t>
        </is>
      </c>
      <c r="E4855" t="inlineStr">
        <is>
          <t>KRAMFORS</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3629-2026</t>
        </is>
      </c>
      <c r="B4856" s="1" t="n">
        <v>46043</v>
      </c>
      <c r="C4856" s="1" t="n">
        <v>46185</v>
      </c>
      <c r="D4856" t="inlineStr">
        <is>
          <t>VÄSTERNORRLANDS LÄN</t>
        </is>
      </c>
      <c r="E4856" t="inlineStr">
        <is>
          <t>SUNDSVALL</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3966-2023</t>
        </is>
      </c>
      <c r="B4857" s="1" t="n">
        <v>44952</v>
      </c>
      <c r="C4857" s="1" t="n">
        <v>46185</v>
      </c>
      <c r="D4857" t="inlineStr">
        <is>
          <t>VÄSTERNORRLANDS LÄN</t>
        </is>
      </c>
      <c r="E4857" t="inlineStr">
        <is>
          <t>ÖRNSKÖLDSVIK</t>
        </is>
      </c>
      <c r="F4857" t="inlineStr">
        <is>
          <t>Holmen skog AB</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38493-2025</t>
        </is>
      </c>
      <c r="B4858" s="1" t="n">
        <v>45884.36516203704</v>
      </c>
      <c r="C4858" s="1" t="n">
        <v>46185</v>
      </c>
      <c r="D4858" t="inlineStr">
        <is>
          <t>VÄSTERNORRLANDS LÄN</t>
        </is>
      </c>
      <c r="E4858" t="inlineStr">
        <is>
          <t>SOLLEFTEÅ</t>
        </is>
      </c>
      <c r="F4858" t="inlineStr">
        <is>
          <t>SCA</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50904-2025</t>
        </is>
      </c>
      <c r="B4859" s="1" t="n">
        <v>45946.6493287037</v>
      </c>
      <c r="C4859" s="1" t="n">
        <v>46185</v>
      </c>
      <c r="D4859" t="inlineStr">
        <is>
          <t>VÄSTERNORRLANDS LÄN</t>
        </is>
      </c>
      <c r="E4859" t="inlineStr">
        <is>
          <t>ÖRNSKÖLDSVIK</t>
        </is>
      </c>
      <c r="F4859" t="inlineStr">
        <is>
          <t>Holmen skog AB</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3681-2026</t>
        </is>
      </c>
      <c r="B4860" s="1" t="n">
        <v>46043.4303125</v>
      </c>
      <c r="C4860" s="1" t="n">
        <v>46185</v>
      </c>
      <c r="D4860" t="inlineStr">
        <is>
          <t>VÄSTERNORRLANDS LÄN</t>
        </is>
      </c>
      <c r="E4860" t="inlineStr">
        <is>
          <t>KRAMFORS</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3718-2026</t>
        </is>
      </c>
      <c r="B4861" s="1" t="n">
        <v>46043</v>
      </c>
      <c r="C4861" s="1" t="n">
        <v>46185</v>
      </c>
      <c r="D4861" t="inlineStr">
        <is>
          <t>VÄSTERNORRLANDS LÄN</t>
        </is>
      </c>
      <c r="E4861" t="inlineStr">
        <is>
          <t>KRAMFORS</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52376-2024</t>
        </is>
      </c>
      <c r="B4862" s="1" t="n">
        <v>45609.40081018519</v>
      </c>
      <c r="C4862" s="1" t="n">
        <v>46185</v>
      </c>
      <c r="D4862" t="inlineStr">
        <is>
          <t>VÄSTERNORRLANDS LÄN</t>
        </is>
      </c>
      <c r="E4862" t="inlineStr">
        <is>
          <t>ÖRNSKÖLDSVIK</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56442-2024</t>
        </is>
      </c>
      <c r="B4863" s="1" t="n">
        <v>45625</v>
      </c>
      <c r="C4863" s="1" t="n">
        <v>46185</v>
      </c>
      <c r="D4863" t="inlineStr">
        <is>
          <t>VÄSTERNORRLANDS LÄN</t>
        </is>
      </c>
      <c r="E4863" t="inlineStr">
        <is>
          <t>TIMRÅ</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50846-2025</t>
        </is>
      </c>
      <c r="B4864" s="1" t="n">
        <v>45946.57378472222</v>
      </c>
      <c r="C4864" s="1" t="n">
        <v>46185</v>
      </c>
      <c r="D4864" t="inlineStr">
        <is>
          <t>VÄSTERNORRLANDS LÄN</t>
        </is>
      </c>
      <c r="E4864" t="inlineStr">
        <is>
          <t>KRAMFORS</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53336-2024</t>
        </is>
      </c>
      <c r="B4865" s="1" t="n">
        <v>45614.42753472222</v>
      </c>
      <c r="C4865" s="1" t="n">
        <v>46185</v>
      </c>
      <c r="D4865" t="inlineStr">
        <is>
          <t>VÄSTERNORRLANDS LÄN</t>
        </is>
      </c>
      <c r="E4865" t="inlineStr">
        <is>
          <t>ÅNGE</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50567-2025</t>
        </is>
      </c>
      <c r="B4866" s="1" t="n">
        <v>45945.5684375</v>
      </c>
      <c r="C4866" s="1" t="n">
        <v>46185</v>
      </c>
      <c r="D4866" t="inlineStr">
        <is>
          <t>VÄSTERNORRLANDS LÄN</t>
        </is>
      </c>
      <c r="E4866" t="inlineStr">
        <is>
          <t>SUNDSVALL</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50568-2025</t>
        </is>
      </c>
      <c r="B4867" s="1" t="n">
        <v>45945.57202546296</v>
      </c>
      <c r="C4867" s="1" t="n">
        <v>46185</v>
      </c>
      <c r="D4867" t="inlineStr">
        <is>
          <t>VÄSTERNORRLANDS LÄN</t>
        </is>
      </c>
      <c r="E4867" t="inlineStr">
        <is>
          <t>ÖRNSKÖLDSVIK</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50569-2025</t>
        </is>
      </c>
      <c r="B4868" s="1" t="n">
        <v>45945.57335648148</v>
      </c>
      <c r="C4868" s="1" t="n">
        <v>46185</v>
      </c>
      <c r="D4868" t="inlineStr">
        <is>
          <t>VÄSTERNORRLANDS LÄN</t>
        </is>
      </c>
      <c r="E4868" t="inlineStr">
        <is>
          <t>SUNDSVALL</t>
        </is>
      </c>
      <c r="F4868" t="inlineStr">
        <is>
          <t>SCA</t>
        </is>
      </c>
      <c r="G4868" t="n">
        <v>5.4</v>
      </c>
      <c r="H4868" t="n">
        <v>0</v>
      </c>
      <c r="I4868" t="n">
        <v>0</v>
      </c>
      <c r="J4868" t="n">
        <v>0</v>
      </c>
      <c r="K4868" t="n">
        <v>0</v>
      </c>
      <c r="L4868" t="n">
        <v>0</v>
      </c>
      <c r="M4868" t="n">
        <v>0</v>
      </c>
      <c r="N4868" t="n">
        <v>0</v>
      </c>
      <c r="O4868" t="n">
        <v>0</v>
      </c>
      <c r="P4868" t="n">
        <v>0</v>
      </c>
      <c r="Q4868" t="n">
        <v>0</v>
      </c>
      <c r="R4868" s="2" t="inlineStr"/>
    </row>
    <row r="4869" ht="15" customHeight="1">
      <c r="A4869" t="inlineStr">
        <is>
          <t>A 50526-2025</t>
        </is>
      </c>
      <c r="B4869" s="1" t="n">
        <v>45945.46888888889</v>
      </c>
      <c r="C4869" s="1" t="n">
        <v>46185</v>
      </c>
      <c r="D4869" t="inlineStr">
        <is>
          <t>VÄSTERNORRLANDS LÄN</t>
        </is>
      </c>
      <c r="E4869" t="inlineStr">
        <is>
          <t>ÖRNSKÖLDSVIK</t>
        </is>
      </c>
      <c r="F4869" t="inlineStr">
        <is>
          <t>Holmen skog AB</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4045-2026</t>
        </is>
      </c>
      <c r="B4870" s="1" t="n">
        <v>46044</v>
      </c>
      <c r="C4870" s="1" t="n">
        <v>46185</v>
      </c>
      <c r="D4870" t="inlineStr">
        <is>
          <t>VÄSTERNORRLANDS LÄN</t>
        </is>
      </c>
      <c r="E4870" t="inlineStr">
        <is>
          <t>TIMRÅ</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51437-2024</t>
        </is>
      </c>
      <c r="B4871" s="1" t="n">
        <v>45604.47586805555</v>
      </c>
      <c r="C4871" s="1" t="n">
        <v>46185</v>
      </c>
      <c r="D4871" t="inlineStr">
        <is>
          <t>VÄSTERNORRLANDS LÄN</t>
        </is>
      </c>
      <c r="E4871" t="inlineStr">
        <is>
          <t>ÖRNSKÖLDSVIK</t>
        </is>
      </c>
      <c r="F4871" t="inlineStr">
        <is>
          <t>Holmen skog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50555-2025</t>
        </is>
      </c>
      <c r="B4872" s="1" t="n">
        <v>45945.53164351852</v>
      </c>
      <c r="C4872" s="1" t="n">
        <v>46185</v>
      </c>
      <c r="D4872" t="inlineStr">
        <is>
          <t>VÄSTERNORRLANDS LÄN</t>
        </is>
      </c>
      <c r="E4872" t="inlineStr">
        <is>
          <t>SOLLEFTEÅ</t>
        </is>
      </c>
      <c r="F4872" t="inlineStr">
        <is>
          <t>SCA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50571-2025</t>
        </is>
      </c>
      <c r="B4873" s="1" t="n">
        <v>45945.57443287037</v>
      </c>
      <c r="C4873" s="1" t="n">
        <v>46185</v>
      </c>
      <c r="D4873" t="inlineStr">
        <is>
          <t>VÄSTERNORRLANDS LÄN</t>
        </is>
      </c>
      <c r="E4873" t="inlineStr">
        <is>
          <t>ÅNGE</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50577-2025</t>
        </is>
      </c>
      <c r="B4874" s="1" t="n">
        <v>45945</v>
      </c>
      <c r="C4874" s="1" t="n">
        <v>46185</v>
      </c>
      <c r="D4874" t="inlineStr">
        <is>
          <t>VÄSTERNORRLANDS LÄN</t>
        </is>
      </c>
      <c r="E4874" t="inlineStr">
        <is>
          <t>SUNDSVALL</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3826-2026</t>
        </is>
      </c>
      <c r="B4875" s="1" t="n">
        <v>46043</v>
      </c>
      <c r="C4875" s="1" t="n">
        <v>46185</v>
      </c>
      <c r="D4875" t="inlineStr">
        <is>
          <t>VÄSTERNORRLANDS LÄN</t>
        </is>
      </c>
      <c r="E4875" t="inlineStr">
        <is>
          <t>SUNDSVALL</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3889-2026</t>
        </is>
      </c>
      <c r="B4876" s="1" t="n">
        <v>46043.67015046296</v>
      </c>
      <c r="C4876" s="1" t="n">
        <v>46185</v>
      </c>
      <c r="D4876" t="inlineStr">
        <is>
          <t>VÄSTERNORRLANDS LÄN</t>
        </is>
      </c>
      <c r="E4876" t="inlineStr">
        <is>
          <t>ÅNGE</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3678-2026</t>
        </is>
      </c>
      <c r="B4877" s="1" t="n">
        <v>46043</v>
      </c>
      <c r="C4877" s="1" t="n">
        <v>46185</v>
      </c>
      <c r="D4877" t="inlineStr">
        <is>
          <t>VÄSTERNORRLANDS LÄN</t>
        </is>
      </c>
      <c r="E4877" t="inlineStr">
        <is>
          <t>KRAMFORS</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3812-2026</t>
        </is>
      </c>
      <c r="B4878" s="1" t="n">
        <v>46043.58417824074</v>
      </c>
      <c r="C4878" s="1" t="n">
        <v>46185</v>
      </c>
      <c r="D4878" t="inlineStr">
        <is>
          <t>VÄSTERNORRLANDS LÄN</t>
        </is>
      </c>
      <c r="E4878" t="inlineStr">
        <is>
          <t>SOLLEFTEÅ</t>
        </is>
      </c>
      <c r="F4878" t="inlineStr">
        <is>
          <t>SCA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50602-2025</t>
        </is>
      </c>
      <c r="B4879" s="1" t="n">
        <v>45945.61494212963</v>
      </c>
      <c r="C4879" s="1" t="n">
        <v>46185</v>
      </c>
      <c r="D4879" t="inlineStr">
        <is>
          <t>VÄSTERNORRLANDS LÄN</t>
        </is>
      </c>
      <c r="E4879" t="inlineStr">
        <is>
          <t>ÖRNSKÖLDSVIK</t>
        </is>
      </c>
      <c r="F4879" t="inlineStr">
        <is>
          <t>Holmen skog AB</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3805-2026</t>
        </is>
      </c>
      <c r="B4880" s="1" t="n">
        <v>46043.58320601852</v>
      </c>
      <c r="C4880" s="1" t="n">
        <v>46185</v>
      </c>
      <c r="D4880" t="inlineStr">
        <is>
          <t>VÄSTERNORRLANDS LÄN</t>
        </is>
      </c>
      <c r="E4880" t="inlineStr">
        <is>
          <t>SOLLEFTEÅ</t>
        </is>
      </c>
      <c r="F4880" t="inlineStr">
        <is>
          <t>SCA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51456-2024</t>
        </is>
      </c>
      <c r="B4881" s="1" t="n">
        <v>45604.49204861111</v>
      </c>
      <c r="C4881" s="1" t="n">
        <v>46185</v>
      </c>
      <c r="D4881" t="inlineStr">
        <is>
          <t>VÄSTERNORRLANDS LÄN</t>
        </is>
      </c>
      <c r="E4881" t="inlineStr">
        <is>
          <t>ÖRNSKÖLDSVIK</t>
        </is>
      </c>
      <c r="F4881" t="inlineStr">
        <is>
          <t>Holmen skog AB</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50900-2025</t>
        </is>
      </c>
      <c r="B4882" s="1" t="n">
        <v>45946.64461805556</v>
      </c>
      <c r="C4882" s="1" t="n">
        <v>46185</v>
      </c>
      <c r="D4882" t="inlineStr">
        <is>
          <t>VÄSTERNORRLANDS LÄN</t>
        </is>
      </c>
      <c r="E4882" t="inlineStr">
        <is>
          <t>ÖRNSKÖLDSVIK</t>
        </is>
      </c>
      <c r="F4882" t="inlineStr">
        <is>
          <t>Holmen skog AB</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4056-2026</t>
        </is>
      </c>
      <c r="B4883" s="1" t="n">
        <v>46044</v>
      </c>
      <c r="C4883" s="1" t="n">
        <v>46185</v>
      </c>
      <c r="D4883" t="inlineStr">
        <is>
          <t>VÄSTERNORRLANDS LÄN</t>
        </is>
      </c>
      <c r="E4883" t="inlineStr">
        <is>
          <t>TIMRÅ</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38693-2025</t>
        </is>
      </c>
      <c r="B4884" s="1" t="n">
        <v>45884.69829861111</v>
      </c>
      <c r="C4884" s="1" t="n">
        <v>46185</v>
      </c>
      <c r="D4884" t="inlineStr">
        <is>
          <t>VÄSTERNORRLANDS LÄN</t>
        </is>
      </c>
      <c r="E4884" t="inlineStr">
        <is>
          <t>ÅNGE</t>
        </is>
      </c>
      <c r="F4884" t="inlineStr">
        <is>
          <t>SCA</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50597-2025</t>
        </is>
      </c>
      <c r="B4885" s="1" t="n">
        <v>45945.60997685185</v>
      </c>
      <c r="C4885" s="1" t="n">
        <v>46185</v>
      </c>
      <c r="D4885" t="inlineStr">
        <is>
          <t>VÄSTERNORRLANDS LÄN</t>
        </is>
      </c>
      <c r="E4885" t="inlineStr">
        <is>
          <t>ÖRNSKÖLDSVIK</t>
        </is>
      </c>
      <c r="F4885" t="inlineStr">
        <is>
          <t>Holmen skog AB</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4038-2026</t>
        </is>
      </c>
      <c r="B4886" s="1" t="n">
        <v>46044.4519212963</v>
      </c>
      <c r="C4886" s="1" t="n">
        <v>46185</v>
      </c>
      <c r="D4886" t="inlineStr">
        <is>
          <t>VÄSTERNORRLANDS LÄN</t>
        </is>
      </c>
      <c r="E4886" t="inlineStr">
        <is>
          <t>KRAMFORS</t>
        </is>
      </c>
      <c r="F4886" t="inlineStr">
        <is>
          <t>Kyrkan</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4064-2026</t>
        </is>
      </c>
      <c r="B4887" s="1" t="n">
        <v>46044.5109837963</v>
      </c>
      <c r="C4887" s="1" t="n">
        <v>46185</v>
      </c>
      <c r="D4887" t="inlineStr">
        <is>
          <t>VÄSTERNORRLANDS LÄN</t>
        </is>
      </c>
      <c r="E4887" t="inlineStr">
        <is>
          <t>SOLLEFTEÅ</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21582-2022</t>
        </is>
      </c>
      <c r="B4888" s="1" t="n">
        <v>44706</v>
      </c>
      <c r="C4888" s="1" t="n">
        <v>46185</v>
      </c>
      <c r="D4888" t="inlineStr">
        <is>
          <t>VÄSTERNORRLANDS LÄN</t>
        </is>
      </c>
      <c r="E4888" t="inlineStr">
        <is>
          <t>SOLLEFTEÅ</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12333-2023</t>
        </is>
      </c>
      <c r="B4889" s="1" t="n">
        <v>44999</v>
      </c>
      <c r="C4889" s="1" t="n">
        <v>46185</v>
      </c>
      <c r="D4889" t="inlineStr">
        <is>
          <t>VÄSTERNORRLANDS LÄN</t>
        </is>
      </c>
      <c r="E4889" t="inlineStr">
        <is>
          <t>SUNDSVALL</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50743-2025</t>
        </is>
      </c>
      <c r="B4890" s="1" t="n">
        <v>45946.38587962963</v>
      </c>
      <c r="C4890" s="1" t="n">
        <v>46185</v>
      </c>
      <c r="D4890" t="inlineStr">
        <is>
          <t>VÄSTERNORRLANDS LÄN</t>
        </is>
      </c>
      <c r="E4890" t="inlineStr">
        <is>
          <t>SUNDSVALL</t>
        </is>
      </c>
      <c r="F4890" t="inlineStr">
        <is>
          <t>SCA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50505-2025</t>
        </is>
      </c>
      <c r="B4891" s="1" t="n">
        <v>45945.42863425926</v>
      </c>
      <c r="C4891" s="1" t="n">
        <v>46185</v>
      </c>
      <c r="D4891" t="inlineStr">
        <is>
          <t>VÄSTERNORRLANDS LÄN</t>
        </is>
      </c>
      <c r="E4891" t="inlineStr">
        <is>
          <t>SOLLEFTEÅ</t>
        </is>
      </c>
      <c r="F4891" t="inlineStr">
        <is>
          <t>SCA</t>
        </is>
      </c>
      <c r="G4891" t="n">
        <v>14.6</v>
      </c>
      <c r="H4891" t="n">
        <v>0</v>
      </c>
      <c r="I4891" t="n">
        <v>0</v>
      </c>
      <c r="J4891" t="n">
        <v>0</v>
      </c>
      <c r="K4891" t="n">
        <v>0</v>
      </c>
      <c r="L4891" t="n">
        <v>0</v>
      </c>
      <c r="M4891" t="n">
        <v>0</v>
      </c>
      <c r="N4891" t="n">
        <v>0</v>
      </c>
      <c r="O4891" t="n">
        <v>0</v>
      </c>
      <c r="P4891" t="n">
        <v>0</v>
      </c>
      <c r="Q4891" t="n">
        <v>0</v>
      </c>
      <c r="R4891" s="2" t="inlineStr"/>
    </row>
    <row r="4892" ht="15" customHeight="1">
      <c r="A4892" t="inlineStr">
        <is>
          <t>A 12371-2023</t>
        </is>
      </c>
      <c r="B4892" s="1" t="n">
        <v>44998</v>
      </c>
      <c r="C4892" s="1" t="n">
        <v>46185</v>
      </c>
      <c r="D4892" t="inlineStr">
        <is>
          <t>VÄSTERNORRLANDS LÄN</t>
        </is>
      </c>
      <c r="E4892" t="inlineStr">
        <is>
          <t>KRAMFORS</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50727-2021</t>
        </is>
      </c>
      <c r="B4893" s="1" t="n">
        <v>44459</v>
      </c>
      <c r="C4893" s="1" t="n">
        <v>46185</v>
      </c>
      <c r="D4893" t="inlineStr">
        <is>
          <t>VÄSTERNORRLANDS LÄN</t>
        </is>
      </c>
      <c r="E4893" t="inlineStr">
        <is>
          <t>ÖRNSKÖLDSVIK</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50522-2025</t>
        </is>
      </c>
      <c r="B4894" s="1" t="n">
        <v>45945</v>
      </c>
      <c r="C4894" s="1" t="n">
        <v>46185</v>
      </c>
      <c r="D4894" t="inlineStr">
        <is>
          <t>VÄSTERNORRLANDS LÄN</t>
        </is>
      </c>
      <c r="E4894" t="inlineStr">
        <is>
          <t>SOLLEFTEÅ</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50573-2025</t>
        </is>
      </c>
      <c r="B4895" s="1" t="n">
        <v>45945.5749537037</v>
      </c>
      <c r="C4895" s="1" t="n">
        <v>46185</v>
      </c>
      <c r="D4895" t="inlineStr">
        <is>
          <t>VÄSTERNORRLANDS LÄN</t>
        </is>
      </c>
      <c r="E4895" t="inlineStr">
        <is>
          <t>ÖRNSKÖLDSVIK</t>
        </is>
      </c>
      <c r="G4895" t="n">
        <v>15.2</v>
      </c>
      <c r="H4895" t="n">
        <v>0</v>
      </c>
      <c r="I4895" t="n">
        <v>0</v>
      </c>
      <c r="J4895" t="n">
        <v>0</v>
      </c>
      <c r="K4895" t="n">
        <v>0</v>
      </c>
      <c r="L4895" t="n">
        <v>0</v>
      </c>
      <c r="M4895" t="n">
        <v>0</v>
      </c>
      <c r="N4895" t="n">
        <v>0</v>
      </c>
      <c r="O4895" t="n">
        <v>0</v>
      </c>
      <c r="P4895" t="n">
        <v>0</v>
      </c>
      <c r="Q4895" t="n">
        <v>0</v>
      </c>
      <c r="R4895" s="2" t="inlineStr"/>
    </row>
    <row r="4896" ht="15" customHeight="1">
      <c r="A4896" t="inlineStr">
        <is>
          <t>A 48886-2024</t>
        </is>
      </c>
      <c r="B4896" s="1" t="n">
        <v>45594</v>
      </c>
      <c r="C4896" s="1" t="n">
        <v>46185</v>
      </c>
      <c r="D4896" t="inlineStr">
        <is>
          <t>VÄSTERNORRLANDS LÄN</t>
        </is>
      </c>
      <c r="E4896" t="inlineStr">
        <is>
          <t>ÖRNSKÖLDSVIK</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50710-2025</t>
        </is>
      </c>
      <c r="B4897" s="1" t="n">
        <v>45946.33462962963</v>
      </c>
      <c r="C4897" s="1" t="n">
        <v>46185</v>
      </c>
      <c r="D4897" t="inlineStr">
        <is>
          <t>VÄSTERNORRLANDS LÄN</t>
        </is>
      </c>
      <c r="E4897" t="inlineStr">
        <is>
          <t>ÖRNSKÖLDSVIK</t>
        </is>
      </c>
      <c r="F4897" t="inlineStr">
        <is>
          <t>Holmen skog AB</t>
        </is>
      </c>
      <c r="G4897" t="n">
        <v>11.1</v>
      </c>
      <c r="H4897" t="n">
        <v>0</v>
      </c>
      <c r="I4897" t="n">
        <v>0</v>
      </c>
      <c r="J4897" t="n">
        <v>0</v>
      </c>
      <c r="K4897" t="n">
        <v>0</v>
      </c>
      <c r="L4897" t="n">
        <v>0</v>
      </c>
      <c r="M4897" t="n">
        <v>0</v>
      </c>
      <c r="N4897" t="n">
        <v>0</v>
      </c>
      <c r="O4897" t="n">
        <v>0</v>
      </c>
      <c r="P4897" t="n">
        <v>0</v>
      </c>
      <c r="Q4897" t="n">
        <v>0</v>
      </c>
      <c r="R4897" s="2" t="inlineStr"/>
    </row>
    <row r="4898" ht="15" customHeight="1">
      <c r="A4898" t="inlineStr">
        <is>
          <t>A 4467-2026</t>
        </is>
      </c>
      <c r="B4898" s="1" t="n">
        <v>46044</v>
      </c>
      <c r="C4898" s="1" t="n">
        <v>46185</v>
      </c>
      <c r="D4898" t="inlineStr">
        <is>
          <t>VÄSTERNORRLANDS LÄN</t>
        </is>
      </c>
      <c r="E4898" t="inlineStr">
        <is>
          <t>SUNDSVALL</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3744-2026</t>
        </is>
      </c>
      <c r="B4899" s="1" t="n">
        <v>46043</v>
      </c>
      <c r="C4899" s="1" t="n">
        <v>46185</v>
      </c>
      <c r="D4899" t="inlineStr">
        <is>
          <t>VÄSTERNORRLANDS LÄN</t>
        </is>
      </c>
      <c r="E4899" t="inlineStr">
        <is>
          <t>SUNDSVALL</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50457-2025</t>
        </is>
      </c>
      <c r="B4900" s="1" t="n">
        <v>45945</v>
      </c>
      <c r="C4900" s="1" t="n">
        <v>46185</v>
      </c>
      <c r="D4900" t="inlineStr">
        <is>
          <t>VÄSTERNORRLANDS LÄN</t>
        </is>
      </c>
      <c r="E4900" t="inlineStr">
        <is>
          <t>SUNDSVALL</t>
        </is>
      </c>
      <c r="F4900" t="inlineStr">
        <is>
          <t>SCA</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50935-2025</t>
        </is>
      </c>
      <c r="B4901" s="1" t="n">
        <v>45946.69409722222</v>
      </c>
      <c r="C4901" s="1" t="n">
        <v>46185</v>
      </c>
      <c r="D4901" t="inlineStr">
        <is>
          <t>VÄSTERNORRLANDS LÄN</t>
        </is>
      </c>
      <c r="E4901" t="inlineStr">
        <is>
          <t>SUNDSVALL</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51387-2025</t>
        </is>
      </c>
      <c r="B4902" s="1" t="n">
        <v>45950.46667824074</v>
      </c>
      <c r="C4902" s="1" t="n">
        <v>46185</v>
      </c>
      <c r="D4902" t="inlineStr">
        <is>
          <t>VÄSTERNORRLANDS LÄN</t>
        </is>
      </c>
      <c r="E4902" t="inlineStr">
        <is>
          <t>ÖRNSKÖLDSVIK</t>
        </is>
      </c>
      <c r="F4902" t="inlineStr">
        <is>
          <t>Holmen skog AB</t>
        </is>
      </c>
      <c r="G4902" t="n">
        <v>23.1</v>
      </c>
      <c r="H4902" t="n">
        <v>0</v>
      </c>
      <c r="I4902" t="n">
        <v>0</v>
      </c>
      <c r="J4902" t="n">
        <v>0</v>
      </c>
      <c r="K4902" t="n">
        <v>0</v>
      </c>
      <c r="L4902" t="n">
        <v>0</v>
      </c>
      <c r="M4902" t="n">
        <v>0</v>
      </c>
      <c r="N4902" t="n">
        <v>0</v>
      </c>
      <c r="O4902" t="n">
        <v>0</v>
      </c>
      <c r="P4902" t="n">
        <v>0</v>
      </c>
      <c r="Q4902" t="n">
        <v>0</v>
      </c>
      <c r="R4902" s="2" t="inlineStr"/>
    </row>
    <row r="4903" ht="15" customHeight="1">
      <c r="A4903" t="inlineStr">
        <is>
          <t>A 730-2025</t>
        </is>
      </c>
      <c r="B4903" s="1" t="n">
        <v>45665</v>
      </c>
      <c r="C4903" s="1" t="n">
        <v>46185</v>
      </c>
      <c r="D4903" t="inlineStr">
        <is>
          <t>VÄSTERNORRLANDS LÄN</t>
        </is>
      </c>
      <c r="E4903" t="inlineStr">
        <is>
          <t>SUNDSVALL</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51192-2025</t>
        </is>
      </c>
      <c r="B4904" s="1" t="n">
        <v>45947.62763888889</v>
      </c>
      <c r="C4904" s="1" t="n">
        <v>46185</v>
      </c>
      <c r="D4904" t="inlineStr">
        <is>
          <t>VÄSTERNORRLANDS LÄN</t>
        </is>
      </c>
      <c r="E4904" t="inlineStr">
        <is>
          <t>KRAMFORS</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51321-2025</t>
        </is>
      </c>
      <c r="B4905" s="1" t="n">
        <v>45950.38615740741</v>
      </c>
      <c r="C4905" s="1" t="n">
        <v>46185</v>
      </c>
      <c r="D4905" t="inlineStr">
        <is>
          <t>VÄSTERNORRLANDS LÄN</t>
        </is>
      </c>
      <c r="E4905" t="inlineStr">
        <is>
          <t>SOLLEFTEÅ</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3627-2026</t>
        </is>
      </c>
      <c r="B4906" s="1" t="n">
        <v>46043</v>
      </c>
      <c r="C4906" s="1" t="n">
        <v>46185</v>
      </c>
      <c r="D4906" t="inlineStr">
        <is>
          <t>VÄSTERNORRLANDS LÄN</t>
        </is>
      </c>
      <c r="E4906" t="inlineStr">
        <is>
          <t>ÖRNSKÖLDSVIK</t>
        </is>
      </c>
      <c r="F4906" t="inlineStr">
        <is>
          <t>Holmen skog AB</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3631-2026</t>
        </is>
      </c>
      <c r="B4907" s="1" t="n">
        <v>46043</v>
      </c>
      <c r="C4907" s="1" t="n">
        <v>46185</v>
      </c>
      <c r="D4907" t="inlineStr">
        <is>
          <t>VÄSTERNORRLANDS LÄN</t>
        </is>
      </c>
      <c r="E4907" t="inlineStr">
        <is>
          <t>ÖRNSKÖLDSVIK</t>
        </is>
      </c>
      <c r="F4907" t="inlineStr">
        <is>
          <t>Holmen skog AB</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4263-2026</t>
        </is>
      </c>
      <c r="B4908" s="1" t="n">
        <v>46045.34451388889</v>
      </c>
      <c r="C4908" s="1" t="n">
        <v>46185</v>
      </c>
      <c r="D4908" t="inlineStr">
        <is>
          <t>VÄSTERNORRLANDS LÄN</t>
        </is>
      </c>
      <c r="E4908" t="inlineStr">
        <is>
          <t>ÅNGE</t>
        </is>
      </c>
      <c r="F4908" t="inlineStr">
        <is>
          <t>SCA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4591-2026</t>
        </is>
      </c>
      <c r="B4909" s="1" t="n">
        <v>46048.34443287037</v>
      </c>
      <c r="C4909" s="1" t="n">
        <v>46185</v>
      </c>
      <c r="D4909" t="inlineStr">
        <is>
          <t>VÄSTERNORRLANDS LÄN</t>
        </is>
      </c>
      <c r="E4909" t="inlineStr">
        <is>
          <t>ÅNGE</t>
        </is>
      </c>
      <c r="F4909" t="inlineStr">
        <is>
          <t>SCA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28917-2024</t>
        </is>
      </c>
      <c r="B4910" s="1" t="n">
        <v>45480</v>
      </c>
      <c r="C4910" s="1" t="n">
        <v>46185</v>
      </c>
      <c r="D4910" t="inlineStr">
        <is>
          <t>VÄSTERNORRLANDS LÄN</t>
        </is>
      </c>
      <c r="E4910" t="inlineStr">
        <is>
          <t>SUNDSVALL</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4593-2026</t>
        </is>
      </c>
      <c r="B4911" s="1" t="n">
        <v>46048.3446412037</v>
      </c>
      <c r="C4911" s="1" t="n">
        <v>46185</v>
      </c>
      <c r="D4911" t="inlineStr">
        <is>
          <t>VÄSTERNORRLANDS LÄN</t>
        </is>
      </c>
      <c r="E4911" t="inlineStr">
        <is>
          <t>ÅNGE</t>
        </is>
      </c>
      <c r="F4911" t="inlineStr">
        <is>
          <t>SCA</t>
        </is>
      </c>
      <c r="G4911" t="n">
        <v>6.8</v>
      </c>
      <c r="H4911" t="n">
        <v>0</v>
      </c>
      <c r="I4911" t="n">
        <v>0</v>
      </c>
      <c r="J4911" t="n">
        <v>0</v>
      </c>
      <c r="K4911" t="n">
        <v>0</v>
      </c>
      <c r="L4911" t="n">
        <v>0</v>
      </c>
      <c r="M4911" t="n">
        <v>0</v>
      </c>
      <c r="N4911" t="n">
        <v>0</v>
      </c>
      <c r="O4911" t="n">
        <v>0</v>
      </c>
      <c r="P4911" t="n">
        <v>0</v>
      </c>
      <c r="Q4911" t="n">
        <v>0</v>
      </c>
      <c r="R4911" s="2" t="inlineStr"/>
    </row>
    <row r="4912" ht="15" customHeight="1">
      <c r="A4912" t="inlineStr">
        <is>
          <t>A 4551-2026</t>
        </is>
      </c>
      <c r="B4912" s="1" t="n">
        <v>46047</v>
      </c>
      <c r="C4912" s="1" t="n">
        <v>46185</v>
      </c>
      <c r="D4912" t="inlineStr">
        <is>
          <t>VÄSTERNORRLANDS LÄN</t>
        </is>
      </c>
      <c r="E4912" t="inlineStr">
        <is>
          <t>KRAMFORS</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4552-2026</t>
        </is>
      </c>
      <c r="B4913" s="1" t="n">
        <v>46047.57333333333</v>
      </c>
      <c r="C4913" s="1" t="n">
        <v>46185</v>
      </c>
      <c r="D4913" t="inlineStr">
        <is>
          <t>VÄSTERNORRLANDS LÄN</t>
        </is>
      </c>
      <c r="E4913" t="inlineStr">
        <is>
          <t>KRAMFORS</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51102-2025</t>
        </is>
      </c>
      <c r="B4914" s="1" t="n">
        <v>45947.49001157407</v>
      </c>
      <c r="C4914" s="1" t="n">
        <v>46185</v>
      </c>
      <c r="D4914" t="inlineStr">
        <is>
          <t>VÄSTERNORRLANDS LÄN</t>
        </is>
      </c>
      <c r="E4914" t="inlineStr">
        <is>
          <t>SOLLEFTEÅ</t>
        </is>
      </c>
      <c r="F4914" t="inlineStr">
        <is>
          <t>SCA</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4665-2026</t>
        </is>
      </c>
      <c r="B4915" s="1" t="n">
        <v>46048.41247685185</v>
      </c>
      <c r="C4915" s="1" t="n">
        <v>46185</v>
      </c>
      <c r="D4915" t="inlineStr">
        <is>
          <t>VÄSTERNORRLANDS LÄN</t>
        </is>
      </c>
      <c r="E4915" t="inlineStr">
        <is>
          <t>ÖRNSKÖLDSVIK</t>
        </is>
      </c>
      <c r="G4915" t="n">
        <v>5.8</v>
      </c>
      <c r="H4915" t="n">
        <v>0</v>
      </c>
      <c r="I4915" t="n">
        <v>0</v>
      </c>
      <c r="J4915" t="n">
        <v>0</v>
      </c>
      <c r="K4915" t="n">
        <v>0</v>
      </c>
      <c r="L4915" t="n">
        <v>0</v>
      </c>
      <c r="M4915" t="n">
        <v>0</v>
      </c>
      <c r="N4915" t="n">
        <v>0</v>
      </c>
      <c r="O4915" t="n">
        <v>0</v>
      </c>
      <c r="P4915" t="n">
        <v>0</v>
      </c>
      <c r="Q4915" t="n">
        <v>0</v>
      </c>
      <c r="R4915" s="2" t="inlineStr"/>
    </row>
    <row r="4916" ht="15" customHeight="1">
      <c r="A4916" t="inlineStr">
        <is>
          <t>A 1826-2026</t>
        </is>
      </c>
      <c r="B4916" s="1" t="n">
        <v>46035</v>
      </c>
      <c r="C4916" s="1" t="n">
        <v>46185</v>
      </c>
      <c r="D4916" t="inlineStr">
        <is>
          <t>VÄSTERNORRLANDS LÄN</t>
        </is>
      </c>
      <c r="E4916" t="inlineStr">
        <is>
          <t>ÅNGE</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4437-2026</t>
        </is>
      </c>
      <c r="B4917" s="1" t="n">
        <v>46045.63258101852</v>
      </c>
      <c r="C4917" s="1" t="n">
        <v>46185</v>
      </c>
      <c r="D4917" t="inlineStr">
        <is>
          <t>VÄSTERNORRLANDS LÄN</t>
        </is>
      </c>
      <c r="E4917" t="inlineStr">
        <is>
          <t>SUNDSVALL</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38386-2025</t>
        </is>
      </c>
      <c r="B4918" s="1" t="n">
        <v>45883.57430555556</v>
      </c>
      <c r="C4918" s="1" t="n">
        <v>46185</v>
      </c>
      <c r="D4918" t="inlineStr">
        <is>
          <t>VÄSTERNORRLANDS LÄN</t>
        </is>
      </c>
      <c r="E4918" t="inlineStr">
        <is>
          <t>ÅNGE</t>
        </is>
      </c>
      <c r="F4918" t="inlineStr">
        <is>
          <t>SCA</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4760-2026</t>
        </is>
      </c>
      <c r="B4919" s="1" t="n">
        <v>46048.53760416667</v>
      </c>
      <c r="C4919" s="1" t="n">
        <v>46185</v>
      </c>
      <c r="D4919" t="inlineStr">
        <is>
          <t>VÄSTERNORRLANDS LÄN</t>
        </is>
      </c>
      <c r="E4919" t="inlineStr">
        <is>
          <t>ÖRNSKÖLDSVIK</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4484-2026</t>
        </is>
      </c>
      <c r="B4920" s="1" t="n">
        <v>46045</v>
      </c>
      <c r="C4920" s="1" t="n">
        <v>46185</v>
      </c>
      <c r="D4920" t="inlineStr">
        <is>
          <t>VÄSTERNORRLANDS LÄN</t>
        </is>
      </c>
      <c r="E4920" t="inlineStr">
        <is>
          <t>SUNDSVALL</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5357-2026</t>
        </is>
      </c>
      <c r="B4921" s="1" t="n">
        <v>46048</v>
      </c>
      <c r="C4921" s="1" t="n">
        <v>46185</v>
      </c>
      <c r="D4921" t="inlineStr">
        <is>
          <t>VÄSTERNORRLANDS LÄN</t>
        </is>
      </c>
      <c r="E4921" t="inlineStr">
        <is>
          <t>TIMRÅ</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5378-2026</t>
        </is>
      </c>
      <c r="B4922" s="1" t="n">
        <v>46048</v>
      </c>
      <c r="C4922" s="1" t="n">
        <v>46185</v>
      </c>
      <c r="D4922" t="inlineStr">
        <is>
          <t>VÄSTERNORRLANDS LÄN</t>
        </is>
      </c>
      <c r="E4922" t="inlineStr">
        <is>
          <t>TIMRÅ</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3735-2026</t>
        </is>
      </c>
      <c r="B4923" s="1" t="n">
        <v>46043</v>
      </c>
      <c r="C4923" s="1" t="n">
        <v>46185</v>
      </c>
      <c r="D4923" t="inlineStr">
        <is>
          <t>VÄSTERNORRLANDS LÄN</t>
        </is>
      </c>
      <c r="E4923" t="inlineStr">
        <is>
          <t>KRAMFORS</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4879-2026</t>
        </is>
      </c>
      <c r="B4924" s="1" t="n">
        <v>46048.65667824074</v>
      </c>
      <c r="C4924" s="1" t="n">
        <v>46185</v>
      </c>
      <c r="D4924" t="inlineStr">
        <is>
          <t>VÄSTERNORRLANDS LÄN</t>
        </is>
      </c>
      <c r="E4924" t="inlineStr">
        <is>
          <t>KRAMFORS</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51175-2025</t>
        </is>
      </c>
      <c r="B4925" s="1" t="n">
        <v>45947.61067129629</v>
      </c>
      <c r="C4925" s="1" t="n">
        <v>46185</v>
      </c>
      <c r="D4925" t="inlineStr">
        <is>
          <t>VÄSTERNORRLANDS LÄN</t>
        </is>
      </c>
      <c r="E4925" t="inlineStr">
        <is>
          <t>KRAMFORS</t>
        </is>
      </c>
      <c r="G4925" t="n">
        <v>8.300000000000001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51409-2025</t>
        </is>
      </c>
      <c r="B4926" s="1" t="n">
        <v>45950.49034722222</v>
      </c>
      <c r="C4926" s="1" t="n">
        <v>46185</v>
      </c>
      <c r="D4926" t="inlineStr">
        <is>
          <t>VÄSTERNORRLANDS LÄN</t>
        </is>
      </c>
      <c r="E4926" t="inlineStr">
        <is>
          <t>SUNDSVALL</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4328-2026</t>
        </is>
      </c>
      <c r="B4927" s="1" t="n">
        <v>46045.46940972222</v>
      </c>
      <c r="C4927" s="1" t="n">
        <v>46185</v>
      </c>
      <c r="D4927" t="inlineStr">
        <is>
          <t>VÄSTERNORRLANDS LÄN</t>
        </is>
      </c>
      <c r="E4927" t="inlineStr">
        <is>
          <t>ÅNGE</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51109-2025</t>
        </is>
      </c>
      <c r="B4928" s="1" t="n">
        <v>45947.50263888889</v>
      </c>
      <c r="C4928" s="1" t="n">
        <v>46185</v>
      </c>
      <c r="D4928" t="inlineStr">
        <is>
          <t>VÄSTERNORRLANDS LÄN</t>
        </is>
      </c>
      <c r="E4928" t="inlineStr">
        <is>
          <t>ÅNGE</t>
        </is>
      </c>
      <c r="F4928" t="inlineStr">
        <is>
          <t>Holmen skog AB</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51036-2025</t>
        </is>
      </c>
      <c r="B4929" s="1" t="n">
        <v>45947.40709490741</v>
      </c>
      <c r="C4929" s="1" t="n">
        <v>46185</v>
      </c>
      <c r="D4929" t="inlineStr">
        <is>
          <t>VÄSTERNORRLANDS LÄN</t>
        </is>
      </c>
      <c r="E4929" t="inlineStr">
        <is>
          <t>SOLLEFTEÅ</t>
        </is>
      </c>
      <c r="F4929" t="inlineStr">
        <is>
          <t>SCA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7102-2026</t>
        </is>
      </c>
      <c r="B4930" s="1" t="n">
        <v>46057</v>
      </c>
      <c r="C4930" s="1" t="n">
        <v>46185</v>
      </c>
      <c r="D4930" t="inlineStr">
        <is>
          <t>VÄSTERNORRLANDS LÄN</t>
        </is>
      </c>
      <c r="E4930" t="inlineStr">
        <is>
          <t>KRAMFORS</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4441-2026</t>
        </is>
      </c>
      <c r="B4931" s="1" t="n">
        <v>46045.63600694444</v>
      </c>
      <c r="C4931" s="1" t="n">
        <v>46185</v>
      </c>
      <c r="D4931" t="inlineStr">
        <is>
          <t>VÄSTERNORRLANDS LÄN</t>
        </is>
      </c>
      <c r="E4931" t="inlineStr">
        <is>
          <t>ÅNGE</t>
        </is>
      </c>
      <c r="F4931" t="inlineStr">
        <is>
          <t>SCA</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4404-2026</t>
        </is>
      </c>
      <c r="B4932" s="1" t="n">
        <v>46045.59074074074</v>
      </c>
      <c r="C4932" s="1" t="n">
        <v>46185</v>
      </c>
      <c r="D4932" t="inlineStr">
        <is>
          <t>VÄSTERNORRLANDS LÄN</t>
        </is>
      </c>
      <c r="E4932" t="inlineStr">
        <is>
          <t>ÖRNSKÖLDSVIK</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4532-2026</t>
        </is>
      </c>
      <c r="B4933" s="1" t="n">
        <v>46046.656875</v>
      </c>
      <c r="C4933" s="1" t="n">
        <v>46185</v>
      </c>
      <c r="D4933" t="inlineStr">
        <is>
          <t>VÄSTERNORRLANDS LÄN</t>
        </is>
      </c>
      <c r="E4933" t="inlineStr">
        <is>
          <t>HÄRNÖSAND</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1031-2026</t>
        </is>
      </c>
      <c r="B4934" s="1" t="n">
        <v>46030.61530092593</v>
      </c>
      <c r="C4934" s="1" t="n">
        <v>46185</v>
      </c>
      <c r="D4934" t="inlineStr">
        <is>
          <t>VÄSTERNORRLANDS LÄN</t>
        </is>
      </c>
      <c r="E4934" t="inlineStr">
        <is>
          <t>SOLLEFTEÅ</t>
        </is>
      </c>
      <c r="F4934" t="inlineStr">
        <is>
          <t>SCA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5369-2026</t>
        </is>
      </c>
      <c r="B4935" s="1" t="n">
        <v>46048</v>
      </c>
      <c r="C4935" s="1" t="n">
        <v>46185</v>
      </c>
      <c r="D4935" t="inlineStr">
        <is>
          <t>VÄSTERNORRLANDS LÄN</t>
        </is>
      </c>
      <c r="E4935" t="inlineStr">
        <is>
          <t>TIMRÅ</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4528-2026</t>
        </is>
      </c>
      <c r="B4936" s="1" t="n">
        <v>46046.65663194445</v>
      </c>
      <c r="C4936" s="1" t="n">
        <v>46185</v>
      </c>
      <c r="D4936" t="inlineStr">
        <is>
          <t>VÄSTERNORRLANDS LÄN</t>
        </is>
      </c>
      <c r="E4936" t="inlineStr">
        <is>
          <t>KRAMFORS</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4442-2026</t>
        </is>
      </c>
      <c r="B4937" s="1" t="n">
        <v>46045.63625</v>
      </c>
      <c r="C4937" s="1" t="n">
        <v>46185</v>
      </c>
      <c r="D4937" t="inlineStr">
        <is>
          <t>VÄSTERNORRLANDS LÄN</t>
        </is>
      </c>
      <c r="E4937" t="inlineStr">
        <is>
          <t>ÅNGE</t>
        </is>
      </c>
      <c r="F4937" t="inlineStr">
        <is>
          <t>SCA</t>
        </is>
      </c>
      <c r="G4937" t="n">
        <v>9.199999999999999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34462-2024</t>
        </is>
      </c>
      <c r="B4938" s="1" t="n">
        <v>45525</v>
      </c>
      <c r="C4938" s="1" t="n">
        <v>46185</v>
      </c>
      <c r="D4938" t="inlineStr">
        <is>
          <t>VÄSTERNORRLANDS LÄN</t>
        </is>
      </c>
      <c r="E4938" t="inlineStr">
        <is>
          <t>ÖRNSKÖLDSVIK</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38265-2025</t>
        </is>
      </c>
      <c r="B4939" s="1" t="n">
        <v>45883.40185185185</v>
      </c>
      <c r="C4939" s="1" t="n">
        <v>46185</v>
      </c>
      <c r="D4939" t="inlineStr">
        <is>
          <t>VÄSTERNORRLANDS LÄN</t>
        </is>
      </c>
      <c r="E4939" t="inlineStr">
        <is>
          <t>KRAMFORS</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38271-2025</t>
        </is>
      </c>
      <c r="B4940" s="1" t="n">
        <v>45883.4071412037</v>
      </c>
      <c r="C4940" s="1" t="n">
        <v>46185</v>
      </c>
      <c r="D4940" t="inlineStr">
        <is>
          <t>VÄSTERNORRLANDS LÄN</t>
        </is>
      </c>
      <c r="E4940" t="inlineStr">
        <is>
          <t>SOLLEFTEÅ</t>
        </is>
      </c>
      <c r="F4940" t="inlineStr">
        <is>
          <t>SCA</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48993-2022</t>
        </is>
      </c>
      <c r="B4941" s="1" t="n">
        <v>44860</v>
      </c>
      <c r="C4941" s="1" t="n">
        <v>46185</v>
      </c>
      <c r="D4941" t="inlineStr">
        <is>
          <t>VÄSTERNORRLANDS LÄN</t>
        </is>
      </c>
      <c r="E4941" t="inlineStr">
        <is>
          <t>SUNDSVALL</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51118-2025</t>
        </is>
      </c>
      <c r="B4942" s="1" t="n">
        <v>45947.53177083333</v>
      </c>
      <c r="C4942" s="1" t="n">
        <v>46185</v>
      </c>
      <c r="D4942" t="inlineStr">
        <is>
          <t>VÄSTERNORRLANDS LÄN</t>
        </is>
      </c>
      <c r="E4942" t="inlineStr">
        <is>
          <t>SOLLEFTEÅ</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58775-2022</t>
        </is>
      </c>
      <c r="B4943" s="1" t="n">
        <v>44903.38847222222</v>
      </c>
      <c r="C4943" s="1" t="n">
        <v>46185</v>
      </c>
      <c r="D4943" t="inlineStr">
        <is>
          <t>VÄSTERNORRLANDS LÄN</t>
        </is>
      </c>
      <c r="E4943" t="inlineStr">
        <is>
          <t>ÖRNSKÖLDSVIK</t>
        </is>
      </c>
      <c r="F4943" t="inlineStr">
        <is>
          <t>Holmen skog AB</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51281-2025</t>
        </is>
      </c>
      <c r="B4944" s="1" t="n">
        <v>45950.32935185185</v>
      </c>
      <c r="C4944" s="1" t="n">
        <v>46185</v>
      </c>
      <c r="D4944" t="inlineStr">
        <is>
          <t>VÄSTERNORRLANDS LÄN</t>
        </is>
      </c>
      <c r="E4944" t="inlineStr">
        <is>
          <t>ÖRNSKÖLDSVIK</t>
        </is>
      </c>
      <c r="F4944" t="inlineStr">
        <is>
          <t>Holmen skog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51457-2025</t>
        </is>
      </c>
      <c r="B4945" s="1" t="n">
        <v>45950.59730324074</v>
      </c>
      <c r="C4945" s="1" t="n">
        <v>46185</v>
      </c>
      <c r="D4945" t="inlineStr">
        <is>
          <t>VÄSTERNORRLANDS LÄN</t>
        </is>
      </c>
      <c r="E4945" t="inlineStr">
        <is>
          <t>TIMRÅ</t>
        </is>
      </c>
      <c r="G4945" t="n">
        <v>7.5</v>
      </c>
      <c r="H4945" t="n">
        <v>0</v>
      </c>
      <c r="I4945" t="n">
        <v>0</v>
      </c>
      <c r="J4945" t="n">
        <v>0</v>
      </c>
      <c r="K4945" t="n">
        <v>0</v>
      </c>
      <c r="L4945" t="n">
        <v>0</v>
      </c>
      <c r="M4945" t="n">
        <v>0</v>
      </c>
      <c r="N4945" t="n">
        <v>0</v>
      </c>
      <c r="O4945" t="n">
        <v>0</v>
      </c>
      <c r="P4945" t="n">
        <v>0</v>
      </c>
      <c r="Q4945" t="n">
        <v>0</v>
      </c>
      <c r="R4945" s="2" t="inlineStr"/>
    </row>
    <row r="4946" ht="15" customHeight="1">
      <c r="A4946" t="inlineStr">
        <is>
          <t>A 6445-2023</t>
        </is>
      </c>
      <c r="B4946" s="1" t="n">
        <v>44965</v>
      </c>
      <c r="C4946" s="1" t="n">
        <v>46185</v>
      </c>
      <c r="D4946" t="inlineStr">
        <is>
          <t>VÄSTERNORRLANDS LÄN</t>
        </is>
      </c>
      <c r="E4946" t="inlineStr">
        <is>
          <t>KRAMFORS</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51004-2025</t>
        </is>
      </c>
      <c r="B4947" s="1" t="n">
        <v>45947.36502314815</v>
      </c>
      <c r="C4947" s="1" t="n">
        <v>46185</v>
      </c>
      <c r="D4947" t="inlineStr">
        <is>
          <t>VÄSTERNORRLANDS LÄN</t>
        </is>
      </c>
      <c r="E4947" t="inlineStr">
        <is>
          <t>ÖRNSKÖLDSVIK</t>
        </is>
      </c>
      <c r="F4947" t="inlineStr">
        <is>
          <t>SCA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6446-2023</t>
        </is>
      </c>
      <c r="B4948" s="1" t="n">
        <v>44965</v>
      </c>
      <c r="C4948" s="1" t="n">
        <v>46185</v>
      </c>
      <c r="D4948" t="inlineStr">
        <is>
          <t>VÄSTERNORRLANDS LÄN</t>
        </is>
      </c>
      <c r="E4948" t="inlineStr">
        <is>
          <t>KRAMFORS</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6449-2023</t>
        </is>
      </c>
      <c r="B4949" s="1" t="n">
        <v>44965.92510416666</v>
      </c>
      <c r="C4949" s="1" t="n">
        <v>46185</v>
      </c>
      <c r="D4949" t="inlineStr">
        <is>
          <t>VÄSTERNORRLANDS LÄN</t>
        </is>
      </c>
      <c r="E4949" t="inlineStr">
        <is>
          <t>KRAMFORS</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51507-2025</t>
        </is>
      </c>
      <c r="B4950" s="1" t="n">
        <v>45950.64262731482</v>
      </c>
      <c r="C4950" s="1" t="n">
        <v>46185</v>
      </c>
      <c r="D4950" t="inlineStr">
        <is>
          <t>VÄSTERNORRLANDS LÄN</t>
        </is>
      </c>
      <c r="E4950" t="inlineStr">
        <is>
          <t>ÖRNSKÖLDSVIK</t>
        </is>
      </c>
      <c r="F4950" t="inlineStr">
        <is>
          <t>Holmen skog AB</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51008-2025</t>
        </is>
      </c>
      <c r="B4951" s="1" t="n">
        <v>45947.37548611111</v>
      </c>
      <c r="C4951" s="1" t="n">
        <v>46185</v>
      </c>
      <c r="D4951" t="inlineStr">
        <is>
          <t>VÄSTERNORRLANDS LÄN</t>
        </is>
      </c>
      <c r="E4951" t="inlineStr">
        <is>
          <t>ÖRNSKÖLDSVIK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51087-2025</t>
        </is>
      </c>
      <c r="B4952" s="1" t="n">
        <v>45947.46954861111</v>
      </c>
      <c r="C4952" s="1" t="n">
        <v>46185</v>
      </c>
      <c r="D4952" t="inlineStr">
        <is>
          <t>VÄSTERNORRLANDS LÄN</t>
        </is>
      </c>
      <c r="E4952" t="inlineStr">
        <is>
          <t>SOLLEFTEÅ</t>
        </is>
      </c>
      <c r="F4952" t="inlineStr">
        <is>
          <t>SCA</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43627-2024</t>
        </is>
      </c>
      <c r="B4953" s="1" t="n">
        <v>45569.49006944444</v>
      </c>
      <c r="C4953" s="1" t="n">
        <v>46185</v>
      </c>
      <c r="D4953" t="inlineStr">
        <is>
          <t>VÄSTERNORRLANDS LÄN</t>
        </is>
      </c>
      <c r="E4953" t="inlineStr">
        <is>
          <t>SOLLEFTEÅ</t>
        </is>
      </c>
      <c r="F4953" t="inlineStr">
        <is>
          <t>SCA</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12734-2023</t>
        </is>
      </c>
      <c r="B4954" s="1" t="n">
        <v>45000.92436342593</v>
      </c>
      <c r="C4954" s="1" t="n">
        <v>46185</v>
      </c>
      <c r="D4954" t="inlineStr">
        <is>
          <t>VÄSTERNORRLANDS LÄN</t>
        </is>
      </c>
      <c r="E4954" t="inlineStr">
        <is>
          <t>SOLLEFTEÅ</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19235-2023</t>
        </is>
      </c>
      <c r="B4955" s="1" t="n">
        <v>45048.92684027777</v>
      </c>
      <c r="C4955" s="1" t="n">
        <v>46185</v>
      </c>
      <c r="D4955" t="inlineStr">
        <is>
          <t>VÄSTERNORRLANDS LÄN</t>
        </is>
      </c>
      <c r="E4955" t="inlineStr">
        <is>
          <t>SUNDSVALL</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19236-2023</t>
        </is>
      </c>
      <c r="B4956" s="1" t="n">
        <v>45048</v>
      </c>
      <c r="C4956" s="1" t="n">
        <v>46185</v>
      </c>
      <c r="D4956" t="inlineStr">
        <is>
          <t>VÄSTERNORRLANDS LÄN</t>
        </is>
      </c>
      <c r="E4956" t="inlineStr">
        <is>
          <t>SUNDSVALL</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12820-2023</t>
        </is>
      </c>
      <c r="B4957" s="1" t="n">
        <v>45000</v>
      </c>
      <c r="C4957" s="1" t="n">
        <v>46185</v>
      </c>
      <c r="D4957" t="inlineStr">
        <is>
          <t>VÄSTERNORRLANDS LÄN</t>
        </is>
      </c>
      <c r="E4957" t="inlineStr">
        <is>
          <t>SOLLEFTEÅ</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20599-2023</t>
        </is>
      </c>
      <c r="B4958" s="1" t="n">
        <v>45057.94172453704</v>
      </c>
      <c r="C4958" s="1" t="n">
        <v>46185</v>
      </c>
      <c r="D4958" t="inlineStr">
        <is>
          <t>VÄSTERNORRLANDS LÄN</t>
        </is>
      </c>
      <c r="E4958" t="inlineStr">
        <is>
          <t>SOLLEFTEÅ</t>
        </is>
      </c>
      <c r="F4958" t="inlineStr">
        <is>
          <t>SCA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11039-2023</t>
        </is>
      </c>
      <c r="B4959" s="1" t="n">
        <v>44991.94622685185</v>
      </c>
      <c r="C4959" s="1" t="n">
        <v>46185</v>
      </c>
      <c r="D4959" t="inlineStr">
        <is>
          <t>VÄSTERNORRLANDS LÄN</t>
        </is>
      </c>
      <c r="E4959" t="inlineStr">
        <is>
          <t>SOLLEFTEÅ</t>
        </is>
      </c>
      <c r="F4959" t="inlineStr">
        <is>
          <t>SCA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51213-2025</t>
        </is>
      </c>
      <c r="B4960" s="1" t="n">
        <v>45947.64268518519</v>
      </c>
      <c r="C4960" s="1" t="n">
        <v>46185</v>
      </c>
      <c r="D4960" t="inlineStr">
        <is>
          <t>VÄSTERNORRLANDS LÄN</t>
        </is>
      </c>
      <c r="E4960" t="inlineStr">
        <is>
          <t>KRAMFORS</t>
        </is>
      </c>
      <c r="G4960" t="n">
        <v>8.9</v>
      </c>
      <c r="H4960" t="n">
        <v>0</v>
      </c>
      <c r="I4960" t="n">
        <v>0</v>
      </c>
      <c r="J4960" t="n">
        <v>0</v>
      </c>
      <c r="K4960" t="n">
        <v>0</v>
      </c>
      <c r="L4960" t="n">
        <v>0</v>
      </c>
      <c r="M4960" t="n">
        <v>0</v>
      </c>
      <c r="N4960" t="n">
        <v>0</v>
      </c>
      <c r="O4960" t="n">
        <v>0</v>
      </c>
      <c r="P4960" t="n">
        <v>0</v>
      </c>
      <c r="Q4960" t="n">
        <v>0</v>
      </c>
      <c r="R4960" s="2" t="inlineStr"/>
    </row>
    <row r="4961" ht="15" customHeight="1">
      <c r="A4961" t="inlineStr">
        <is>
          <t>A 22207-2025</t>
        </is>
      </c>
      <c r="B4961" s="1" t="n">
        <v>45785.65710648148</v>
      </c>
      <c r="C4961" s="1" t="n">
        <v>46185</v>
      </c>
      <c r="D4961" t="inlineStr">
        <is>
          <t>VÄSTERNORRLANDS LÄN</t>
        </is>
      </c>
      <c r="E4961" t="inlineStr">
        <is>
          <t>SOLLEFTEÅ</t>
        </is>
      </c>
      <c r="F4961" t="inlineStr">
        <is>
          <t>SCA</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51226-2025</t>
        </is>
      </c>
      <c r="B4962" s="1" t="n">
        <v>45947.65663194445</v>
      </c>
      <c r="C4962" s="1" t="n">
        <v>46185</v>
      </c>
      <c r="D4962" t="inlineStr">
        <is>
          <t>VÄSTERNORRLANDS LÄN</t>
        </is>
      </c>
      <c r="E4962" t="inlineStr">
        <is>
          <t>SOLLEFTEÅ</t>
        </is>
      </c>
      <c r="F4962" t="inlineStr">
        <is>
          <t>SCA</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51112-2025</t>
        </is>
      </c>
      <c r="B4963" s="1" t="n">
        <v>45947.51068287037</v>
      </c>
      <c r="C4963" s="1" t="n">
        <v>46185</v>
      </c>
      <c r="D4963" t="inlineStr">
        <is>
          <t>VÄSTERNORRLANDS LÄN</t>
        </is>
      </c>
      <c r="E4963" t="inlineStr">
        <is>
          <t>SUNDSVALL</t>
        </is>
      </c>
      <c r="F4963" t="inlineStr">
        <is>
          <t>Holmen skog AB</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51313-2025</t>
        </is>
      </c>
      <c r="B4964" s="1" t="n">
        <v>45950.37559027778</v>
      </c>
      <c r="C4964" s="1" t="n">
        <v>46185</v>
      </c>
      <c r="D4964" t="inlineStr">
        <is>
          <t>VÄSTERNORRLANDS LÄN</t>
        </is>
      </c>
      <c r="E4964" t="inlineStr">
        <is>
          <t>KRAMFORS</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33368-2024</t>
        </is>
      </c>
      <c r="B4965" s="1" t="n">
        <v>45519</v>
      </c>
      <c r="C4965" s="1" t="n">
        <v>46185</v>
      </c>
      <c r="D4965" t="inlineStr">
        <is>
          <t>VÄSTERNORRLANDS LÄN</t>
        </is>
      </c>
      <c r="E4965" t="inlineStr">
        <is>
          <t>ÖRNSKÖLDSVIK</t>
        </is>
      </c>
      <c r="F4965" t="inlineStr">
        <is>
          <t>Holmen skog AB</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26962-2024</t>
        </is>
      </c>
      <c r="B4966" s="1" t="n">
        <v>45470.9716087963</v>
      </c>
      <c r="C4966" s="1" t="n">
        <v>46185</v>
      </c>
      <c r="D4966" t="inlineStr">
        <is>
          <t>VÄSTERNORRLANDS LÄN</t>
        </is>
      </c>
      <c r="E4966" t="inlineStr">
        <is>
          <t>SOLLEFTEÅ</t>
        </is>
      </c>
      <c r="F4966" t="inlineStr">
        <is>
          <t>SCA</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4461-2026</t>
        </is>
      </c>
      <c r="B4967" s="1" t="n">
        <v>46045.65018518519</v>
      </c>
      <c r="C4967" s="1" t="n">
        <v>46185</v>
      </c>
      <c r="D4967" t="inlineStr">
        <is>
          <t>VÄSTERNORRLANDS LÄN</t>
        </is>
      </c>
      <c r="E4967" t="inlineStr">
        <is>
          <t>SOLLEFTEÅ</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54723-2024</t>
        </is>
      </c>
      <c r="B4968" s="1" t="n">
        <v>45618.43747685185</v>
      </c>
      <c r="C4968" s="1" t="n">
        <v>46185</v>
      </c>
      <c r="D4968" t="inlineStr">
        <is>
          <t>VÄSTERNORRLANDS LÄN</t>
        </is>
      </c>
      <c r="E4968" t="inlineStr">
        <is>
          <t>TIMRÅ</t>
        </is>
      </c>
      <c r="F4968" t="inlineStr">
        <is>
          <t>SCA</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51482-2025</t>
        </is>
      </c>
      <c r="B4969" s="1" t="n">
        <v>45950.62047453703</v>
      </c>
      <c r="C4969" s="1" t="n">
        <v>46185</v>
      </c>
      <c r="D4969" t="inlineStr">
        <is>
          <t>VÄSTERNORRLANDS LÄN</t>
        </is>
      </c>
      <c r="E4969" t="inlineStr">
        <is>
          <t>TIMRÅ</t>
        </is>
      </c>
      <c r="F4969" t="inlineStr">
        <is>
          <t>SCA</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51378-2025</t>
        </is>
      </c>
      <c r="B4970" s="1" t="n">
        <v>45950.45506944445</v>
      </c>
      <c r="C4970" s="1" t="n">
        <v>46185</v>
      </c>
      <c r="D4970" t="inlineStr">
        <is>
          <t>VÄSTERNORRLANDS LÄN</t>
        </is>
      </c>
      <c r="E4970" t="inlineStr">
        <is>
          <t>SUNDSVALL</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60111-2024</t>
        </is>
      </c>
      <c r="B4971" s="1" t="n">
        <v>45642</v>
      </c>
      <c r="C4971" s="1" t="n">
        <v>46185</v>
      </c>
      <c r="D4971" t="inlineStr">
        <is>
          <t>VÄSTERNORRLANDS LÄN</t>
        </is>
      </c>
      <c r="E4971" t="inlineStr">
        <is>
          <t>TIMRÅ</t>
        </is>
      </c>
      <c r="F4971" t="inlineStr">
        <is>
          <t>SCA</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51516-2025</t>
        </is>
      </c>
      <c r="B4972" s="1" t="n">
        <v>45950.65561342592</v>
      </c>
      <c r="C4972" s="1" t="n">
        <v>46185</v>
      </c>
      <c r="D4972" t="inlineStr">
        <is>
          <t>VÄSTERNORRLANDS LÄN</t>
        </is>
      </c>
      <c r="E4972" t="inlineStr">
        <is>
          <t>ÖRNSKÖLDSVIK</t>
        </is>
      </c>
      <c r="F4972" t="inlineStr">
        <is>
          <t>Holmen skog AB</t>
        </is>
      </c>
      <c r="G4972" t="n">
        <v>6.8</v>
      </c>
      <c r="H4972" t="n">
        <v>0</v>
      </c>
      <c r="I4972" t="n">
        <v>0</v>
      </c>
      <c r="J4972" t="n">
        <v>0</v>
      </c>
      <c r="K4972" t="n">
        <v>0</v>
      </c>
      <c r="L4972" t="n">
        <v>0</v>
      </c>
      <c r="M4972" t="n">
        <v>0</v>
      </c>
      <c r="N4972" t="n">
        <v>0</v>
      </c>
      <c r="O4972" t="n">
        <v>0</v>
      </c>
      <c r="P4972" t="n">
        <v>0</v>
      </c>
      <c r="Q4972" t="n">
        <v>0</v>
      </c>
      <c r="R4972" s="2" t="inlineStr"/>
    </row>
    <row r="4973" ht="15" customHeight="1">
      <c r="A4973" t="inlineStr">
        <is>
          <t>A 7820-2025</t>
        </is>
      </c>
      <c r="B4973" s="1" t="n">
        <v>45706</v>
      </c>
      <c r="C4973" s="1" t="n">
        <v>46185</v>
      </c>
      <c r="D4973" t="inlineStr">
        <is>
          <t>VÄSTERNORRLANDS LÄN</t>
        </is>
      </c>
      <c r="E4973" t="inlineStr">
        <is>
          <t>ÖRNSKÖLDSVIK</t>
        </is>
      </c>
      <c r="F4973" t="inlineStr">
        <is>
          <t>SCA</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4586-2026</t>
        </is>
      </c>
      <c r="B4974" s="1" t="n">
        <v>46048.33769675926</v>
      </c>
      <c r="C4974" s="1" t="n">
        <v>46185</v>
      </c>
      <c r="D4974" t="inlineStr">
        <is>
          <t>VÄSTERNORRLANDS LÄN</t>
        </is>
      </c>
      <c r="E4974" t="inlineStr">
        <is>
          <t>ÅNGE</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4592-2026</t>
        </is>
      </c>
      <c r="B4975" s="1" t="n">
        <v>46048.34451388889</v>
      </c>
      <c r="C4975" s="1" t="n">
        <v>46185</v>
      </c>
      <c r="D4975" t="inlineStr">
        <is>
          <t>VÄSTERNORRLANDS LÄN</t>
        </is>
      </c>
      <c r="E4975" t="inlineStr">
        <is>
          <t>ÅNGE</t>
        </is>
      </c>
      <c r="F4975" t="inlineStr">
        <is>
          <t>SCA</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47836-2022</t>
        </is>
      </c>
      <c r="B4976" s="1" t="n">
        <v>44855</v>
      </c>
      <c r="C4976" s="1" t="n">
        <v>46185</v>
      </c>
      <c r="D4976" t="inlineStr">
        <is>
          <t>VÄSTERNORRLANDS LÄN</t>
        </is>
      </c>
      <c r="E4976" t="inlineStr">
        <is>
          <t>ÖRNSKÖLDSVIK</t>
        </is>
      </c>
      <c r="F4976" t="inlineStr">
        <is>
          <t>Holmen skog AB</t>
        </is>
      </c>
      <c r="G4976" t="n">
        <v>10.2</v>
      </c>
      <c r="H4976" t="n">
        <v>0</v>
      </c>
      <c r="I4976" t="n">
        <v>0</v>
      </c>
      <c r="J4976" t="n">
        <v>0</v>
      </c>
      <c r="K4976" t="n">
        <v>0</v>
      </c>
      <c r="L4976" t="n">
        <v>0</v>
      </c>
      <c r="M4976" t="n">
        <v>0</v>
      </c>
      <c r="N4976" t="n">
        <v>0</v>
      </c>
      <c r="O4976" t="n">
        <v>0</v>
      </c>
      <c r="P4976" t="n">
        <v>0</v>
      </c>
      <c r="Q4976" t="n">
        <v>0</v>
      </c>
      <c r="R4976" s="2" t="inlineStr"/>
    </row>
    <row r="4977" ht="15" customHeight="1">
      <c r="A4977" t="inlineStr">
        <is>
          <t>A 1975-2025</t>
        </is>
      </c>
      <c r="B4977" s="1" t="n">
        <v>45672.39332175926</v>
      </c>
      <c r="C4977" s="1" t="n">
        <v>46185</v>
      </c>
      <c r="D4977" t="inlineStr">
        <is>
          <t>VÄSTERNORRLANDS LÄN</t>
        </is>
      </c>
      <c r="E4977" t="inlineStr">
        <is>
          <t>ÅNGE</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4596-2026</t>
        </is>
      </c>
      <c r="B4978" s="1" t="n">
        <v>46048.34674768519</v>
      </c>
      <c r="C4978" s="1" t="n">
        <v>46185</v>
      </c>
      <c r="D4978" t="inlineStr">
        <is>
          <t>VÄSTERNORRLANDS LÄN</t>
        </is>
      </c>
      <c r="E4978" t="inlineStr">
        <is>
          <t>SUNDSVALL</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19812-2023</t>
        </is>
      </c>
      <c r="B4979" s="1" t="n">
        <v>45051.92583333333</v>
      </c>
      <c r="C4979" s="1" t="n">
        <v>46185</v>
      </c>
      <c r="D4979" t="inlineStr">
        <is>
          <t>VÄSTERNORRLANDS LÄN</t>
        </is>
      </c>
      <c r="E4979" t="inlineStr">
        <is>
          <t>SUNDSVALL</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51261-2025</t>
        </is>
      </c>
      <c r="B4980" s="1" t="n">
        <v>45949.46915509259</v>
      </c>
      <c r="C4980" s="1" t="n">
        <v>46185</v>
      </c>
      <c r="D4980" t="inlineStr">
        <is>
          <t>VÄSTERNORRLANDS LÄN</t>
        </is>
      </c>
      <c r="E4980" t="inlineStr">
        <is>
          <t>SOLLEFTEÅ</t>
        </is>
      </c>
      <c r="G4980" t="n">
        <v>7.9</v>
      </c>
      <c r="H4980" t="n">
        <v>0</v>
      </c>
      <c r="I4980" t="n">
        <v>0</v>
      </c>
      <c r="J4980" t="n">
        <v>0</v>
      </c>
      <c r="K4980" t="n">
        <v>0</v>
      </c>
      <c r="L4980" t="n">
        <v>0</v>
      </c>
      <c r="M4980" t="n">
        <v>0</v>
      </c>
      <c r="N4980" t="n">
        <v>0</v>
      </c>
      <c r="O4980" t="n">
        <v>0</v>
      </c>
      <c r="P4980" t="n">
        <v>0</v>
      </c>
      <c r="Q4980" t="n">
        <v>0</v>
      </c>
      <c r="R4980" s="2" t="inlineStr"/>
    </row>
    <row r="4981" ht="15" customHeight="1">
      <c r="A4981" t="inlineStr">
        <is>
          <t>A 51259-2025</t>
        </is>
      </c>
      <c r="B4981" s="1" t="n">
        <v>45949.44818287037</v>
      </c>
      <c r="C4981" s="1" t="n">
        <v>46185</v>
      </c>
      <c r="D4981" t="inlineStr">
        <is>
          <t>VÄSTERNORRLANDS LÄN</t>
        </is>
      </c>
      <c r="E4981" t="inlineStr">
        <is>
          <t>SOLLEFTEÅ</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4721-2026</t>
        </is>
      </c>
      <c r="B4982" s="1" t="n">
        <v>46045</v>
      </c>
      <c r="C4982" s="1" t="n">
        <v>46185</v>
      </c>
      <c r="D4982" t="inlineStr">
        <is>
          <t>VÄSTERNORRLANDS LÄN</t>
        </is>
      </c>
      <c r="E4982" t="inlineStr">
        <is>
          <t>ÖRNSKÖLDSVIK</t>
        </is>
      </c>
      <c r="G4982" t="n">
        <v>9.1</v>
      </c>
      <c r="H4982" t="n">
        <v>0</v>
      </c>
      <c r="I4982" t="n">
        <v>0</v>
      </c>
      <c r="J4982" t="n">
        <v>0</v>
      </c>
      <c r="K4982" t="n">
        <v>0</v>
      </c>
      <c r="L4982" t="n">
        <v>0</v>
      </c>
      <c r="M4982" t="n">
        <v>0</v>
      </c>
      <c r="N4982" t="n">
        <v>0</v>
      </c>
      <c r="O4982" t="n">
        <v>0</v>
      </c>
      <c r="P4982" t="n">
        <v>0</v>
      </c>
      <c r="Q4982" t="n">
        <v>0</v>
      </c>
      <c r="R4982" s="2" t="inlineStr"/>
    </row>
    <row r="4983" ht="15" customHeight="1">
      <c r="A4983" t="inlineStr">
        <is>
          <t>A 4589-2026</t>
        </is>
      </c>
      <c r="B4983" s="1" t="n">
        <v>46048.34230324074</v>
      </c>
      <c r="C4983" s="1" t="n">
        <v>46185</v>
      </c>
      <c r="D4983" t="inlineStr">
        <is>
          <t>VÄSTERNORRLANDS LÄN</t>
        </is>
      </c>
      <c r="E4983" t="inlineStr">
        <is>
          <t>SUNDSVALL</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3873-2025</t>
        </is>
      </c>
      <c r="B4984" s="1" t="n">
        <v>45684</v>
      </c>
      <c r="C4984" s="1" t="n">
        <v>46185</v>
      </c>
      <c r="D4984" t="inlineStr">
        <is>
          <t>VÄSTERNORRLANDS LÄN</t>
        </is>
      </c>
      <c r="E4984" t="inlineStr">
        <is>
          <t>SOLLEFTEÅ</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3945-2025</t>
        </is>
      </c>
      <c r="B4985" s="1" t="n">
        <v>45684</v>
      </c>
      <c r="C4985" s="1" t="n">
        <v>46185</v>
      </c>
      <c r="D4985" t="inlineStr">
        <is>
          <t>VÄSTERNORRLANDS LÄN</t>
        </is>
      </c>
      <c r="E4985" t="inlineStr">
        <is>
          <t>KRAMFORS</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26408-2025</t>
        </is>
      </c>
      <c r="B4986" s="1" t="n">
        <v>45807.34425925926</v>
      </c>
      <c r="C4986" s="1" t="n">
        <v>46185</v>
      </c>
      <c r="D4986" t="inlineStr">
        <is>
          <t>VÄSTERNORRLANDS LÄN</t>
        </is>
      </c>
      <c r="E4986" t="inlineStr">
        <is>
          <t>SUNDSVALL</t>
        </is>
      </c>
      <c r="F4986" t="inlineStr">
        <is>
          <t>Naturvårdsverket</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4533-2026</t>
        </is>
      </c>
      <c r="B4987" s="1" t="n">
        <v>46046.67739583334</v>
      </c>
      <c r="C4987" s="1" t="n">
        <v>46185</v>
      </c>
      <c r="D4987" t="inlineStr">
        <is>
          <t>VÄSTERNORRLANDS LÄN</t>
        </is>
      </c>
      <c r="E4987" t="inlineStr">
        <is>
          <t>KRAMFORS</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4535-2026</t>
        </is>
      </c>
      <c r="B4988" s="1" t="n">
        <v>46046.69825231482</v>
      </c>
      <c r="C4988" s="1" t="n">
        <v>46185</v>
      </c>
      <c r="D4988" t="inlineStr">
        <is>
          <t>VÄSTERNORRLANDS LÄN</t>
        </is>
      </c>
      <c r="E4988" t="inlineStr">
        <is>
          <t>KRAMFORS</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4555-2026</t>
        </is>
      </c>
      <c r="B4989" s="1" t="n">
        <v>46047.59414351852</v>
      </c>
      <c r="C4989" s="1" t="n">
        <v>46185</v>
      </c>
      <c r="D4989" t="inlineStr">
        <is>
          <t>VÄSTERNORRLANDS LÄN</t>
        </is>
      </c>
      <c r="E4989" t="inlineStr">
        <is>
          <t>KRAMFORS</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1795-2025</t>
        </is>
      </c>
      <c r="B4990" s="1" t="n">
        <v>45670</v>
      </c>
      <c r="C4990" s="1" t="n">
        <v>46185</v>
      </c>
      <c r="D4990" t="inlineStr">
        <is>
          <t>VÄSTERNORRLANDS LÄN</t>
        </is>
      </c>
      <c r="E4990" t="inlineStr">
        <is>
          <t>ÖRNSKÖLDSVIK</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4479-2026</t>
        </is>
      </c>
      <c r="B4991" s="1" t="n">
        <v>46045</v>
      </c>
      <c r="C4991" s="1" t="n">
        <v>46185</v>
      </c>
      <c r="D4991" t="inlineStr">
        <is>
          <t>VÄSTERNORRLANDS LÄN</t>
        </is>
      </c>
      <c r="E4991" t="inlineStr">
        <is>
          <t>SUNDSVALL</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4219-2026</t>
        </is>
      </c>
      <c r="B4992" s="1" t="n">
        <v>46044.78854166667</v>
      </c>
      <c r="C4992" s="1" t="n">
        <v>46185</v>
      </c>
      <c r="D4992" t="inlineStr">
        <is>
          <t>VÄSTERNORRLANDS LÄN</t>
        </is>
      </c>
      <c r="E4992" t="inlineStr">
        <is>
          <t>ÖRNSKÖLDSVIK</t>
        </is>
      </c>
      <c r="G4992" t="n">
        <v>11.3</v>
      </c>
      <c r="H4992" t="n">
        <v>0</v>
      </c>
      <c r="I4992" t="n">
        <v>0</v>
      </c>
      <c r="J4992" t="n">
        <v>0</v>
      </c>
      <c r="K4992" t="n">
        <v>0</v>
      </c>
      <c r="L4992" t="n">
        <v>0</v>
      </c>
      <c r="M4992" t="n">
        <v>0</v>
      </c>
      <c r="N4992" t="n">
        <v>0</v>
      </c>
      <c r="O4992" t="n">
        <v>0</v>
      </c>
      <c r="P4992" t="n">
        <v>0</v>
      </c>
      <c r="Q4992" t="n">
        <v>0</v>
      </c>
      <c r="R4992" s="2" t="inlineStr"/>
    </row>
    <row r="4993" ht="15" customHeight="1">
      <c r="A4993" t="inlineStr">
        <is>
          <t>A 4264-2026</t>
        </is>
      </c>
      <c r="B4993" s="1" t="n">
        <v>46045.34459490741</v>
      </c>
      <c r="C4993" s="1" t="n">
        <v>46185</v>
      </c>
      <c r="D4993" t="inlineStr">
        <is>
          <t>VÄSTERNORRLANDS LÄN</t>
        </is>
      </c>
      <c r="E4993" t="inlineStr">
        <is>
          <t>HÄRNÖSAND</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4327-2026</t>
        </is>
      </c>
      <c r="B4994" s="1" t="n">
        <v>46045.46930555555</v>
      </c>
      <c r="C4994" s="1" t="n">
        <v>46185</v>
      </c>
      <c r="D4994" t="inlineStr">
        <is>
          <t>VÄSTERNORRLANDS LÄN</t>
        </is>
      </c>
      <c r="E4994" t="inlineStr">
        <is>
          <t>ÅNGE</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51114-2025</t>
        </is>
      </c>
      <c r="B4995" s="1" t="n">
        <v>45947.51740740741</v>
      </c>
      <c r="C4995" s="1" t="n">
        <v>46185</v>
      </c>
      <c r="D4995" t="inlineStr">
        <is>
          <t>VÄSTERNORRLANDS LÄN</t>
        </is>
      </c>
      <c r="E4995" t="inlineStr">
        <is>
          <t>ÖRNSKÖLDSVIK</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4746-2026</t>
        </is>
      </c>
      <c r="B4996" s="1" t="n">
        <v>46048.51106481482</v>
      </c>
      <c r="C4996" s="1" t="n">
        <v>46185</v>
      </c>
      <c r="D4996" t="inlineStr">
        <is>
          <t>VÄSTERNORRLANDS LÄN</t>
        </is>
      </c>
      <c r="E4996" t="inlineStr">
        <is>
          <t>SUNDSVALL</t>
        </is>
      </c>
      <c r="F4996" t="inlineStr">
        <is>
          <t>SCA</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51208-2025</t>
        </is>
      </c>
      <c r="B4997" s="1" t="n">
        <v>45947</v>
      </c>
      <c r="C4997" s="1" t="n">
        <v>46185</v>
      </c>
      <c r="D4997" t="inlineStr">
        <is>
          <t>VÄSTERNORRLANDS LÄN</t>
        </is>
      </c>
      <c r="E4997" t="inlineStr">
        <is>
          <t>KRAMFORS</t>
        </is>
      </c>
      <c r="G4997" t="n">
        <v>9</v>
      </c>
      <c r="H4997" t="n">
        <v>0</v>
      </c>
      <c r="I4997" t="n">
        <v>0</v>
      </c>
      <c r="J4997" t="n">
        <v>0</v>
      </c>
      <c r="K4997" t="n">
        <v>0</v>
      </c>
      <c r="L4997" t="n">
        <v>0</v>
      </c>
      <c r="M4997" t="n">
        <v>0</v>
      </c>
      <c r="N4997" t="n">
        <v>0</v>
      </c>
      <c r="O4997" t="n">
        <v>0</v>
      </c>
      <c r="P4997" t="n">
        <v>0</v>
      </c>
      <c r="Q4997" t="n">
        <v>0</v>
      </c>
      <c r="R4997" s="2" t="inlineStr"/>
    </row>
    <row r="4998" ht="15" customHeight="1">
      <c r="A4998" t="inlineStr">
        <is>
          <t>A 21182-2023</t>
        </is>
      </c>
      <c r="B4998" s="1" t="n">
        <v>45062.4587962963</v>
      </c>
      <c r="C4998" s="1" t="n">
        <v>46185</v>
      </c>
      <c r="D4998" t="inlineStr">
        <is>
          <t>VÄSTERNORRLANDS LÄN</t>
        </is>
      </c>
      <c r="E4998" t="inlineStr">
        <is>
          <t>KRAMFORS</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4391-2026</t>
        </is>
      </c>
      <c r="B4999" s="1" t="n">
        <v>46045.5743287037</v>
      </c>
      <c r="C4999" s="1" t="n">
        <v>46185</v>
      </c>
      <c r="D4999" t="inlineStr">
        <is>
          <t>VÄSTERNORRLANDS LÄN</t>
        </is>
      </c>
      <c r="E4999" t="inlineStr">
        <is>
          <t>ÖRNSKÖLDSVIK</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33429-2023</t>
        </is>
      </c>
      <c r="B5000" s="1" t="n">
        <v>45128.94983796297</v>
      </c>
      <c r="C5000" s="1" t="n">
        <v>46185</v>
      </c>
      <c r="D5000" t="inlineStr">
        <is>
          <t>VÄSTERNORRLANDS LÄN</t>
        </is>
      </c>
      <c r="E5000" t="inlineStr">
        <is>
          <t>ÅNGE</t>
        </is>
      </c>
      <c r="F5000" t="inlineStr">
        <is>
          <t>SCA</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704-2026</t>
        </is>
      </c>
      <c r="B5001" s="1" t="n">
        <v>46029</v>
      </c>
      <c r="C5001" s="1" t="n">
        <v>46185</v>
      </c>
      <c r="D5001" t="inlineStr">
        <is>
          <t>VÄSTERNORRLANDS LÄN</t>
        </is>
      </c>
      <c r="E5001" t="inlineStr">
        <is>
          <t>TIMRÅ</t>
        </is>
      </c>
      <c r="F5001" t="inlineStr">
        <is>
          <t>Kyrkan</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61201-2024</t>
        </is>
      </c>
      <c r="B5002" s="1" t="n">
        <v>45645.6360300926</v>
      </c>
      <c r="C5002" s="1" t="n">
        <v>46185</v>
      </c>
      <c r="D5002" t="inlineStr">
        <is>
          <t>VÄSTERNORRLANDS LÄN</t>
        </is>
      </c>
      <c r="E5002" t="inlineStr">
        <is>
          <t>SOLLEFTEÅ</t>
        </is>
      </c>
      <c r="F5002" t="inlineStr">
        <is>
          <t>SCA</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51359-2025</t>
        </is>
      </c>
      <c r="B5003" s="1" t="n">
        <v>45950.44296296296</v>
      </c>
      <c r="C5003" s="1" t="n">
        <v>46185</v>
      </c>
      <c r="D5003" t="inlineStr">
        <is>
          <t>VÄSTERNORRLANDS LÄN</t>
        </is>
      </c>
      <c r="E5003" t="inlineStr">
        <is>
          <t>ÖRNSKÖLDSVIK</t>
        </is>
      </c>
      <c r="F5003" t="inlineStr">
        <is>
          <t>Holmen skog AB</t>
        </is>
      </c>
      <c r="G5003" t="n">
        <v>11.9</v>
      </c>
      <c r="H5003" t="n">
        <v>0</v>
      </c>
      <c r="I5003" t="n">
        <v>0</v>
      </c>
      <c r="J5003" t="n">
        <v>0</v>
      </c>
      <c r="K5003" t="n">
        <v>0</v>
      </c>
      <c r="L5003" t="n">
        <v>0</v>
      </c>
      <c r="M5003" t="n">
        <v>0</v>
      </c>
      <c r="N5003" t="n">
        <v>0</v>
      </c>
      <c r="O5003" t="n">
        <v>0</v>
      </c>
      <c r="P5003" t="n">
        <v>0</v>
      </c>
      <c r="Q5003" t="n">
        <v>0</v>
      </c>
      <c r="R5003" s="2" t="inlineStr"/>
    </row>
    <row r="5004" ht="15" customHeight="1">
      <c r="A5004" t="inlineStr">
        <is>
          <t>A 54977-2023</t>
        </is>
      </c>
      <c r="B5004" s="1" t="n">
        <v>45236</v>
      </c>
      <c r="C5004" s="1" t="n">
        <v>46185</v>
      </c>
      <c r="D5004" t="inlineStr">
        <is>
          <t>VÄSTERNORRLANDS LÄN</t>
        </is>
      </c>
      <c r="E5004" t="inlineStr">
        <is>
          <t>SUNDSVALL</t>
        </is>
      </c>
      <c r="F5004" t="inlineStr">
        <is>
          <t>Kyrkan</t>
        </is>
      </c>
      <c r="G5004" t="n">
        <v>7.1</v>
      </c>
      <c r="H5004" t="n">
        <v>0</v>
      </c>
      <c r="I5004" t="n">
        <v>0</v>
      </c>
      <c r="J5004" t="n">
        <v>0</v>
      </c>
      <c r="K5004" t="n">
        <v>0</v>
      </c>
      <c r="L5004" t="n">
        <v>0</v>
      </c>
      <c r="M5004" t="n">
        <v>0</v>
      </c>
      <c r="N5004" t="n">
        <v>0</v>
      </c>
      <c r="O5004" t="n">
        <v>0</v>
      </c>
      <c r="P5004" t="n">
        <v>0</v>
      </c>
      <c r="Q5004" t="n">
        <v>0</v>
      </c>
      <c r="R5004" s="2" t="inlineStr"/>
    </row>
    <row r="5005" ht="15" customHeight="1">
      <c r="A5005" t="inlineStr">
        <is>
          <t>A 51490-2025</t>
        </is>
      </c>
      <c r="B5005" s="1" t="n">
        <v>45950.63325231482</v>
      </c>
      <c r="C5005" s="1" t="n">
        <v>46185</v>
      </c>
      <c r="D5005" t="inlineStr">
        <is>
          <t>VÄSTERNORRLANDS LÄN</t>
        </is>
      </c>
      <c r="E5005" t="inlineStr">
        <is>
          <t>ÖRNSKÖLDSVIK</t>
        </is>
      </c>
      <c r="F5005" t="inlineStr">
        <is>
          <t>Holmen skog AB</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51492-2025</t>
        </is>
      </c>
      <c r="B5006" s="1" t="n">
        <v>45950.63407407407</v>
      </c>
      <c r="C5006" s="1" t="n">
        <v>46185</v>
      </c>
      <c r="D5006" t="inlineStr">
        <is>
          <t>VÄSTERNORRLANDS LÄN</t>
        </is>
      </c>
      <c r="E5006" t="inlineStr">
        <is>
          <t>ÖRNSKÖLDSVIK</t>
        </is>
      </c>
      <c r="F5006" t="inlineStr">
        <is>
          <t>Holmen skog AB</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61255-2024</t>
        </is>
      </c>
      <c r="B5007" s="1" t="n">
        <v>45644</v>
      </c>
      <c r="C5007" s="1" t="n">
        <v>46185</v>
      </c>
      <c r="D5007" t="inlineStr">
        <is>
          <t>VÄSTERNORRLANDS LÄN</t>
        </is>
      </c>
      <c r="E5007" t="inlineStr">
        <is>
          <t>ÖRNSKÖLDSVIK</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50796-2024</t>
        </is>
      </c>
      <c r="B5008" s="1" t="n">
        <v>45602.48866898148</v>
      </c>
      <c r="C5008" s="1" t="n">
        <v>46185</v>
      </c>
      <c r="D5008" t="inlineStr">
        <is>
          <t>VÄSTERNORRLANDS LÄN</t>
        </is>
      </c>
      <c r="E5008" t="inlineStr">
        <is>
          <t>ÖRNSKÖLDSVIK</t>
        </is>
      </c>
      <c r="F5008" t="inlineStr">
        <is>
          <t>Holmen skog AB</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51510-2025</t>
        </is>
      </c>
      <c r="B5009" s="1" t="n">
        <v>45950.64591435185</v>
      </c>
      <c r="C5009" s="1" t="n">
        <v>46185</v>
      </c>
      <c r="D5009" t="inlineStr">
        <is>
          <t>VÄSTERNORRLANDS LÄN</t>
        </is>
      </c>
      <c r="E5009" t="inlineStr">
        <is>
          <t>TIMRÅ</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4726-2026</t>
        </is>
      </c>
      <c r="B5010" s="1" t="n">
        <v>46045</v>
      </c>
      <c r="C5010" s="1" t="n">
        <v>46185</v>
      </c>
      <c r="D5010" t="inlineStr">
        <is>
          <t>VÄSTERNORRLANDS LÄN</t>
        </is>
      </c>
      <c r="E5010" t="inlineStr">
        <is>
          <t>ÖRNSKÖLDSVIK</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51918-2025</t>
        </is>
      </c>
      <c r="B5011" s="1" t="n">
        <v>45952.48068287037</v>
      </c>
      <c r="C5011" s="1" t="n">
        <v>46185</v>
      </c>
      <c r="D5011" t="inlineStr">
        <is>
          <t>VÄSTERNORRLANDS LÄN</t>
        </is>
      </c>
      <c r="E5011" t="inlineStr">
        <is>
          <t>SOLLEFTEÅ</t>
        </is>
      </c>
      <c r="G5011" t="n">
        <v>8.699999999999999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51770-2025</t>
        </is>
      </c>
      <c r="B5012" s="1" t="n">
        <v>45951.64315972223</v>
      </c>
      <c r="C5012" s="1" t="n">
        <v>46185</v>
      </c>
      <c r="D5012" t="inlineStr">
        <is>
          <t>VÄSTERNORRLANDS LÄN</t>
        </is>
      </c>
      <c r="E5012" t="inlineStr">
        <is>
          <t>SOLLEFTEÅ</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51617-2025</t>
        </is>
      </c>
      <c r="B5013" s="1" t="n">
        <v>45951.40674768519</v>
      </c>
      <c r="C5013" s="1" t="n">
        <v>46185</v>
      </c>
      <c r="D5013" t="inlineStr">
        <is>
          <t>VÄSTERNORRLANDS LÄN</t>
        </is>
      </c>
      <c r="E5013" t="inlineStr">
        <is>
          <t>SOLLEFTEÅ</t>
        </is>
      </c>
      <c r="F5013" t="inlineStr">
        <is>
          <t>SCA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52054-2025</t>
        </is>
      </c>
      <c r="B5014" s="1" t="n">
        <v>45952.6281712963</v>
      </c>
      <c r="C5014" s="1" t="n">
        <v>46185</v>
      </c>
      <c r="D5014" t="inlineStr">
        <is>
          <t>VÄSTERNORRLANDS LÄN</t>
        </is>
      </c>
      <c r="E5014" t="inlineStr">
        <is>
          <t>KRAMFORS</t>
        </is>
      </c>
      <c r="G5014" t="n">
        <v>6.6</v>
      </c>
      <c r="H5014" t="n">
        <v>0</v>
      </c>
      <c r="I5014" t="n">
        <v>0</v>
      </c>
      <c r="J5014" t="n">
        <v>0</v>
      </c>
      <c r="K5014" t="n">
        <v>0</v>
      </c>
      <c r="L5014" t="n">
        <v>0</v>
      </c>
      <c r="M5014" t="n">
        <v>0</v>
      </c>
      <c r="N5014" t="n">
        <v>0</v>
      </c>
      <c r="O5014" t="n">
        <v>0</v>
      </c>
      <c r="P5014" t="n">
        <v>0</v>
      </c>
      <c r="Q5014" t="n">
        <v>0</v>
      </c>
      <c r="R5014" s="2" t="inlineStr"/>
    </row>
    <row r="5015" ht="15" customHeight="1">
      <c r="A5015" t="inlineStr">
        <is>
          <t>A 52080-2025</t>
        </is>
      </c>
      <c r="B5015" s="1" t="n">
        <v>45952.66023148148</v>
      </c>
      <c r="C5015" s="1" t="n">
        <v>46185</v>
      </c>
      <c r="D5015" t="inlineStr">
        <is>
          <t>VÄSTERNORRLANDS LÄN</t>
        </is>
      </c>
      <c r="E5015" t="inlineStr">
        <is>
          <t>KRAMFORS</t>
        </is>
      </c>
      <c r="G5015" t="n">
        <v>5.8</v>
      </c>
      <c r="H5015" t="n">
        <v>0</v>
      </c>
      <c r="I5015" t="n">
        <v>0</v>
      </c>
      <c r="J5015" t="n">
        <v>0</v>
      </c>
      <c r="K5015" t="n">
        <v>0</v>
      </c>
      <c r="L5015" t="n">
        <v>0</v>
      </c>
      <c r="M5015" t="n">
        <v>0</v>
      </c>
      <c r="N5015" t="n">
        <v>0</v>
      </c>
      <c r="O5015" t="n">
        <v>0</v>
      </c>
      <c r="P5015" t="n">
        <v>0</v>
      </c>
      <c r="Q5015" t="n">
        <v>0</v>
      </c>
      <c r="R5015" s="2" t="inlineStr"/>
    </row>
    <row r="5016" ht="15" customHeight="1">
      <c r="A5016" t="inlineStr">
        <is>
          <t>A 38272-2025</t>
        </is>
      </c>
      <c r="B5016" s="1" t="n">
        <v>45883.40728009259</v>
      </c>
      <c r="C5016" s="1" t="n">
        <v>46185</v>
      </c>
      <c r="D5016" t="inlineStr">
        <is>
          <t>VÄSTERNORRLANDS LÄN</t>
        </is>
      </c>
      <c r="E5016" t="inlineStr">
        <is>
          <t>SUNDSVALL</t>
        </is>
      </c>
      <c r="F5016" t="inlineStr">
        <is>
          <t>SCA</t>
        </is>
      </c>
      <c r="G5016" t="n">
        <v>8.300000000000001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38240-2025</t>
        </is>
      </c>
      <c r="B5017" s="1" t="n">
        <v>45883.36532407408</v>
      </c>
      <c r="C5017" s="1" t="n">
        <v>46185</v>
      </c>
      <c r="D5017" t="inlineStr">
        <is>
          <t>VÄSTERNORRLANDS LÄN</t>
        </is>
      </c>
      <c r="E5017" t="inlineStr">
        <is>
          <t>SOLLEFTEÅ</t>
        </is>
      </c>
      <c r="F5017" t="inlineStr">
        <is>
          <t>SCA</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4262-2026</t>
        </is>
      </c>
      <c r="B5018" s="1" t="n">
        <v>46045.34431712963</v>
      </c>
      <c r="C5018" s="1" t="n">
        <v>46185</v>
      </c>
      <c r="D5018" t="inlineStr">
        <is>
          <t>VÄSTERNORRLANDS LÄN</t>
        </is>
      </c>
      <c r="E5018" t="inlineStr">
        <is>
          <t>ÅNGE</t>
        </is>
      </c>
      <c r="F5018" t="inlineStr">
        <is>
          <t>SCA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4764-2026</t>
        </is>
      </c>
      <c r="B5019" s="1" t="n">
        <v>46048</v>
      </c>
      <c r="C5019" s="1" t="n">
        <v>46185</v>
      </c>
      <c r="D5019" t="inlineStr">
        <is>
          <t>VÄSTERNORRLANDS LÄN</t>
        </is>
      </c>
      <c r="E5019" t="inlineStr">
        <is>
          <t>KRAMFORS</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4773-2026</t>
        </is>
      </c>
      <c r="B5020" s="1" t="n">
        <v>46048.54774305555</v>
      </c>
      <c r="C5020" s="1" t="n">
        <v>46185</v>
      </c>
      <c r="D5020" t="inlineStr">
        <is>
          <t>VÄSTERNORRLANDS LÄN</t>
        </is>
      </c>
      <c r="E5020" t="inlineStr">
        <is>
          <t>KRAMFORS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4293-2026</t>
        </is>
      </c>
      <c r="B5021" s="1" t="n">
        <v>46045.41609953704</v>
      </c>
      <c r="C5021" s="1" t="n">
        <v>46185</v>
      </c>
      <c r="D5021" t="inlineStr">
        <is>
          <t>VÄSTERNORRLANDS LÄN</t>
        </is>
      </c>
      <c r="E5021" t="inlineStr">
        <is>
          <t>SUNDSVALL</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51792-2025</t>
        </is>
      </c>
      <c r="B5022" s="1" t="n">
        <v>45951.6984837963</v>
      </c>
      <c r="C5022" s="1" t="n">
        <v>46185</v>
      </c>
      <c r="D5022" t="inlineStr">
        <is>
          <t>VÄSTERNORRLANDS LÄN</t>
        </is>
      </c>
      <c r="E5022" t="inlineStr">
        <is>
          <t>SOLLEFTEÅ</t>
        </is>
      </c>
      <c r="F5022" t="inlineStr">
        <is>
          <t>SCA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51658-2025</t>
        </is>
      </c>
      <c r="B5023" s="1" t="n">
        <v>45951.4737962963</v>
      </c>
      <c r="C5023" s="1" t="n">
        <v>46185</v>
      </c>
      <c r="D5023" t="inlineStr">
        <is>
          <t>VÄSTERNORRLANDS LÄN</t>
        </is>
      </c>
      <c r="E5023" t="inlineStr">
        <is>
          <t>ÖRNSKÖLDSVIK</t>
        </is>
      </c>
      <c r="F5023" t="inlineStr">
        <is>
          <t>Holmen skog AB</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1235-2023</t>
        </is>
      </c>
      <c r="B5024" s="1" t="n">
        <v>44935</v>
      </c>
      <c r="C5024" s="1" t="n">
        <v>46185</v>
      </c>
      <c r="D5024" t="inlineStr">
        <is>
          <t>VÄSTERNORRLANDS LÄN</t>
        </is>
      </c>
      <c r="E5024" t="inlineStr">
        <is>
          <t>ÅNGE</t>
        </is>
      </c>
      <c r="F5024" t="inlineStr">
        <is>
          <t>SCA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13225-2023</t>
        </is>
      </c>
      <c r="B5025" s="1" t="n">
        <v>45002</v>
      </c>
      <c r="C5025" s="1" t="n">
        <v>46185</v>
      </c>
      <c r="D5025" t="inlineStr">
        <is>
          <t>VÄSTERNORRLANDS LÄN</t>
        </is>
      </c>
      <c r="E5025" t="inlineStr">
        <is>
          <t>ÖRNSKÖLDSVIK</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13226-2023</t>
        </is>
      </c>
      <c r="B5026" s="1" t="n">
        <v>45002</v>
      </c>
      <c r="C5026" s="1" t="n">
        <v>46185</v>
      </c>
      <c r="D5026" t="inlineStr">
        <is>
          <t>VÄSTERNORRLANDS LÄN</t>
        </is>
      </c>
      <c r="E5026" t="inlineStr">
        <is>
          <t>ÖRNSKÖLDSVIK</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5390-2026</t>
        </is>
      </c>
      <c r="B5027" s="1" t="n">
        <v>46050.46929398148</v>
      </c>
      <c r="C5027" s="1" t="n">
        <v>46185</v>
      </c>
      <c r="D5027" t="inlineStr">
        <is>
          <t>VÄSTERNORRLANDS LÄN</t>
        </is>
      </c>
      <c r="E5027" t="inlineStr">
        <is>
          <t>SOLLEFTEÅ</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5391-2026</t>
        </is>
      </c>
      <c r="B5028" s="1" t="n">
        <v>46050.47145833333</v>
      </c>
      <c r="C5028" s="1" t="n">
        <v>46185</v>
      </c>
      <c r="D5028" t="inlineStr">
        <is>
          <t>VÄSTERNORRLANDS LÄN</t>
        </is>
      </c>
      <c r="E5028" t="inlineStr">
        <is>
          <t>ÅNGE</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13279-2023</t>
        </is>
      </c>
      <c r="B5029" s="1" t="n">
        <v>45004</v>
      </c>
      <c r="C5029" s="1" t="n">
        <v>46185</v>
      </c>
      <c r="D5029" t="inlineStr">
        <is>
          <t>VÄSTERNORRLANDS LÄN</t>
        </is>
      </c>
      <c r="E5029" t="inlineStr">
        <is>
          <t>ÖRNSKÖLDSVIK</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51751-2025</t>
        </is>
      </c>
      <c r="B5030" s="1" t="n">
        <v>45951</v>
      </c>
      <c r="C5030" s="1" t="n">
        <v>46185</v>
      </c>
      <c r="D5030" t="inlineStr">
        <is>
          <t>VÄSTERNORRLANDS LÄN</t>
        </is>
      </c>
      <c r="E5030" t="inlineStr">
        <is>
          <t>ÖRNSKÖLDSVIK</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11125-2022</t>
        </is>
      </c>
      <c r="B5031" s="1" t="n">
        <v>44628</v>
      </c>
      <c r="C5031" s="1" t="n">
        <v>46185</v>
      </c>
      <c r="D5031" t="inlineStr">
        <is>
          <t>VÄSTERNORRLANDS LÄN</t>
        </is>
      </c>
      <c r="E5031" t="inlineStr">
        <is>
          <t>SOLLEFTEÅ</t>
        </is>
      </c>
      <c r="F5031" t="inlineStr">
        <is>
          <t>SCA</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52120-2025</t>
        </is>
      </c>
      <c r="B5032" s="1" t="n">
        <v>45952</v>
      </c>
      <c r="C5032" s="1" t="n">
        <v>46185</v>
      </c>
      <c r="D5032" t="inlineStr">
        <is>
          <t>VÄSTERNORRLANDS LÄN</t>
        </is>
      </c>
      <c r="E5032" t="inlineStr">
        <is>
          <t>KRAMFORS</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5294-2026</t>
        </is>
      </c>
      <c r="B5033" s="1" t="n">
        <v>46050</v>
      </c>
      <c r="C5033" s="1" t="n">
        <v>46185</v>
      </c>
      <c r="D5033" t="inlineStr">
        <is>
          <t>VÄSTERNORRLANDS LÄN</t>
        </is>
      </c>
      <c r="E5033" t="inlineStr">
        <is>
          <t>TIMRÅ</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5296-2026</t>
        </is>
      </c>
      <c r="B5034" s="1" t="n">
        <v>46050</v>
      </c>
      <c r="C5034" s="1" t="n">
        <v>46185</v>
      </c>
      <c r="D5034" t="inlineStr">
        <is>
          <t>VÄSTERNORRLANDS LÄN</t>
        </is>
      </c>
      <c r="E5034" t="inlineStr">
        <is>
          <t>TIMRÅ</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51846-2025</t>
        </is>
      </c>
      <c r="B5035" s="1" t="n">
        <v>45952.34964120371</v>
      </c>
      <c r="C5035" s="1" t="n">
        <v>46185</v>
      </c>
      <c r="D5035" t="inlineStr">
        <is>
          <t>VÄSTERNORRLANDS LÄN</t>
        </is>
      </c>
      <c r="E5035" t="inlineStr">
        <is>
          <t>SUNDSVALL</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52057-2025</t>
        </is>
      </c>
      <c r="B5036" s="1" t="n">
        <v>45952.63260416667</v>
      </c>
      <c r="C5036" s="1" t="n">
        <v>46185</v>
      </c>
      <c r="D5036" t="inlineStr">
        <is>
          <t>VÄSTERNORRLANDS LÄN</t>
        </is>
      </c>
      <c r="E5036" t="inlineStr">
        <is>
          <t>KRAMFORS</t>
        </is>
      </c>
      <c r="G5036" t="n">
        <v>6.6</v>
      </c>
      <c r="H5036" t="n">
        <v>0</v>
      </c>
      <c r="I5036" t="n">
        <v>0</v>
      </c>
      <c r="J5036" t="n">
        <v>0</v>
      </c>
      <c r="K5036" t="n">
        <v>0</v>
      </c>
      <c r="L5036" t="n">
        <v>0</v>
      </c>
      <c r="M5036" t="n">
        <v>0</v>
      </c>
      <c r="N5036" t="n">
        <v>0</v>
      </c>
      <c r="O5036" t="n">
        <v>0</v>
      </c>
      <c r="P5036" t="n">
        <v>0</v>
      </c>
      <c r="Q5036" t="n">
        <v>0</v>
      </c>
      <c r="R5036" s="2" t="inlineStr"/>
    </row>
    <row r="5037" ht="15" customHeight="1">
      <c r="A5037" t="inlineStr">
        <is>
          <t>A 33302-2024</t>
        </is>
      </c>
      <c r="B5037" s="1" t="n">
        <v>45518.96967592592</v>
      </c>
      <c r="C5037" s="1" t="n">
        <v>46185</v>
      </c>
      <c r="D5037" t="inlineStr">
        <is>
          <t>VÄSTERNORRLANDS LÄN</t>
        </is>
      </c>
      <c r="E5037" t="inlineStr">
        <is>
          <t>ÅNGE</t>
        </is>
      </c>
      <c r="F5037" t="inlineStr">
        <is>
          <t>SCA</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7522-2023</t>
        </is>
      </c>
      <c r="B5038" s="1" t="n">
        <v>44971</v>
      </c>
      <c r="C5038" s="1" t="n">
        <v>46185</v>
      </c>
      <c r="D5038" t="inlineStr">
        <is>
          <t>VÄSTERNORRLANDS LÄN</t>
        </is>
      </c>
      <c r="E5038" t="inlineStr">
        <is>
          <t>HÄRNÖSAND</t>
        </is>
      </c>
      <c r="F5038" t="inlineStr">
        <is>
          <t>SCA</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7528-2023</t>
        </is>
      </c>
      <c r="B5039" s="1" t="n">
        <v>44971.97662037037</v>
      </c>
      <c r="C5039" s="1" t="n">
        <v>46185</v>
      </c>
      <c r="D5039" t="inlineStr">
        <is>
          <t>VÄSTERNORRLANDS LÄN</t>
        </is>
      </c>
      <c r="E5039" t="inlineStr">
        <is>
          <t>ÅNGE</t>
        </is>
      </c>
      <c r="F5039" t="inlineStr">
        <is>
          <t>SCA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52121-2025</t>
        </is>
      </c>
      <c r="B5040" s="1" t="n">
        <v>45952.71921296296</v>
      </c>
      <c r="C5040" s="1" t="n">
        <v>46185</v>
      </c>
      <c r="D5040" t="inlineStr">
        <is>
          <t>VÄSTERNORRLANDS LÄN</t>
        </is>
      </c>
      <c r="E5040" t="inlineStr">
        <is>
          <t>ÅNGE</t>
        </is>
      </c>
      <c r="F5040" t="inlineStr">
        <is>
          <t>SCA</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58170-2021</t>
        </is>
      </c>
      <c r="B5041" s="1" t="n">
        <v>44487</v>
      </c>
      <c r="C5041" s="1" t="n">
        <v>46185</v>
      </c>
      <c r="D5041" t="inlineStr">
        <is>
          <t>VÄSTERNORRLANDS LÄN</t>
        </is>
      </c>
      <c r="E5041" t="inlineStr">
        <is>
          <t>ÖRNSKÖLDSVIK</t>
        </is>
      </c>
      <c r="G5041" t="n">
        <v>6.3</v>
      </c>
      <c r="H5041" t="n">
        <v>0</v>
      </c>
      <c r="I5041" t="n">
        <v>0</v>
      </c>
      <c r="J5041" t="n">
        <v>0</v>
      </c>
      <c r="K5041" t="n">
        <v>0</v>
      </c>
      <c r="L5041" t="n">
        <v>0</v>
      </c>
      <c r="M5041" t="n">
        <v>0</v>
      </c>
      <c r="N5041" t="n">
        <v>0</v>
      </c>
      <c r="O5041" t="n">
        <v>0</v>
      </c>
      <c r="P5041" t="n">
        <v>0</v>
      </c>
      <c r="Q5041" t="n">
        <v>0</v>
      </c>
      <c r="R5041" s="2" t="inlineStr"/>
    </row>
    <row r="5042" ht="15" customHeight="1">
      <c r="A5042" t="inlineStr">
        <is>
          <t>A 60494-2024</t>
        </is>
      </c>
      <c r="B5042" s="1" t="n">
        <v>45643.656875</v>
      </c>
      <c r="C5042" s="1" t="n">
        <v>46185</v>
      </c>
      <c r="D5042" t="inlineStr">
        <is>
          <t>VÄSTERNORRLANDS LÄN</t>
        </is>
      </c>
      <c r="E5042" t="inlineStr">
        <is>
          <t>ÖRNSKÖLDSVIK</t>
        </is>
      </c>
      <c r="F5042" t="inlineStr">
        <is>
          <t>SCA</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52047-2025</t>
        </is>
      </c>
      <c r="B5043" s="1" t="n">
        <v>45952.6171412037</v>
      </c>
      <c r="C5043" s="1" t="n">
        <v>46185</v>
      </c>
      <c r="D5043" t="inlineStr">
        <is>
          <t>VÄSTERNORRLANDS LÄN</t>
        </is>
      </c>
      <c r="E5043" t="inlineStr">
        <is>
          <t>ÖRNSKÖLDSVIK</t>
        </is>
      </c>
      <c r="F5043" t="inlineStr">
        <is>
          <t>Holmen skog AB</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51645-2025</t>
        </is>
      </c>
      <c r="B5044" s="1" t="n">
        <v>45951.44699074074</v>
      </c>
      <c r="C5044" s="1" t="n">
        <v>46185</v>
      </c>
      <c r="D5044" t="inlineStr">
        <is>
          <t>VÄSTERNORRLANDS LÄN</t>
        </is>
      </c>
      <c r="E5044" t="inlineStr">
        <is>
          <t>ÖRNSKÖLDSVIK</t>
        </is>
      </c>
      <c r="F5044" t="inlineStr">
        <is>
          <t>Holmen skog AB</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878-2022</t>
        </is>
      </c>
      <c r="B5045" s="1" t="n">
        <v>44571</v>
      </c>
      <c r="C5045" s="1" t="n">
        <v>46185</v>
      </c>
      <c r="D5045" t="inlineStr">
        <is>
          <t>VÄSTERNORRLANDS LÄN</t>
        </is>
      </c>
      <c r="E5045" t="inlineStr">
        <is>
          <t>KRAMFORS</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51749-2025</t>
        </is>
      </c>
      <c r="B5046" s="1" t="n">
        <v>45951.61526620371</v>
      </c>
      <c r="C5046" s="1" t="n">
        <v>46185</v>
      </c>
      <c r="D5046" t="inlineStr">
        <is>
          <t>VÄSTERNORRLANDS LÄN</t>
        </is>
      </c>
      <c r="E5046" t="inlineStr">
        <is>
          <t>ÖRNSKÖLDSVIK</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51752-2025</t>
        </is>
      </c>
      <c r="B5047" s="1" t="n">
        <v>45951</v>
      </c>
      <c r="C5047" s="1" t="n">
        <v>46185</v>
      </c>
      <c r="D5047" t="inlineStr">
        <is>
          <t>VÄSTERNORRLANDS LÄN</t>
        </is>
      </c>
      <c r="E5047" t="inlineStr">
        <is>
          <t>ÖRNSKÖLDSVIK</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5135-2026</t>
        </is>
      </c>
      <c r="B5048" s="1" t="n">
        <v>46049.59417824074</v>
      </c>
      <c r="C5048" s="1" t="n">
        <v>46185</v>
      </c>
      <c r="D5048" t="inlineStr">
        <is>
          <t>VÄSTERNORRLANDS LÄN</t>
        </is>
      </c>
      <c r="E5048" t="inlineStr">
        <is>
          <t>ÅNGE</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5159-2026</t>
        </is>
      </c>
      <c r="B5049" s="1" t="n">
        <v>46049.61608796296</v>
      </c>
      <c r="C5049" s="1" t="n">
        <v>46185</v>
      </c>
      <c r="D5049" t="inlineStr">
        <is>
          <t>VÄSTERNORRLANDS LÄN</t>
        </is>
      </c>
      <c r="E5049" t="inlineStr">
        <is>
          <t>SOLLEFTEÅ</t>
        </is>
      </c>
      <c r="F5049" t="inlineStr">
        <is>
          <t>SCA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5163-2026</t>
        </is>
      </c>
      <c r="B5050" s="1" t="n">
        <v>46049</v>
      </c>
      <c r="C5050" s="1" t="n">
        <v>46185</v>
      </c>
      <c r="D5050" t="inlineStr">
        <is>
          <t>VÄSTERNORRLANDS LÄN</t>
        </is>
      </c>
      <c r="E5050" t="inlineStr">
        <is>
          <t>KRAMFORS</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51788-2025</t>
        </is>
      </c>
      <c r="B5051" s="1" t="n">
        <v>45951.67846064815</v>
      </c>
      <c r="C5051" s="1" t="n">
        <v>46185</v>
      </c>
      <c r="D5051" t="inlineStr">
        <is>
          <t>VÄSTERNORRLANDS LÄN</t>
        </is>
      </c>
      <c r="E5051" t="inlineStr">
        <is>
          <t>TIMRÅ</t>
        </is>
      </c>
      <c r="F5051" t="inlineStr">
        <is>
          <t>SCA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5252-2026</t>
        </is>
      </c>
      <c r="B5052" s="1" t="n">
        <v>46050.23104166667</v>
      </c>
      <c r="C5052" s="1" t="n">
        <v>46185</v>
      </c>
      <c r="D5052" t="inlineStr">
        <is>
          <t>VÄSTERNORRLANDS LÄN</t>
        </is>
      </c>
      <c r="E5052" t="inlineStr">
        <is>
          <t>SUNDSVALL</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11050-2023</t>
        </is>
      </c>
      <c r="B5053" s="1" t="n">
        <v>44991</v>
      </c>
      <c r="C5053" s="1" t="n">
        <v>46185</v>
      </c>
      <c r="D5053" t="inlineStr">
        <is>
          <t>VÄSTERNORRLANDS LÄN</t>
        </is>
      </c>
      <c r="E5053" t="inlineStr">
        <is>
          <t>ÖRNSKÖLDSVIK</t>
        </is>
      </c>
      <c r="F5053" t="inlineStr">
        <is>
          <t>SCA</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51740-2025</t>
        </is>
      </c>
      <c r="B5054" s="1" t="n">
        <v>45951.60530092593</v>
      </c>
      <c r="C5054" s="1" t="n">
        <v>46185</v>
      </c>
      <c r="D5054" t="inlineStr">
        <is>
          <t>VÄSTERNORRLANDS LÄN</t>
        </is>
      </c>
      <c r="E5054" t="inlineStr">
        <is>
          <t>ÖRNSKÖLDSVIK</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5352-2026</t>
        </is>
      </c>
      <c r="B5055" s="1" t="n">
        <v>46050.43876157407</v>
      </c>
      <c r="C5055" s="1" t="n">
        <v>46185</v>
      </c>
      <c r="D5055" t="inlineStr">
        <is>
          <t>VÄSTERNORRLANDS LÄN</t>
        </is>
      </c>
      <c r="E5055" t="inlineStr">
        <is>
          <t>SUNDSVALL</t>
        </is>
      </c>
      <c r="G5055" t="n">
        <v>7.3</v>
      </c>
      <c r="H5055" t="n">
        <v>0</v>
      </c>
      <c r="I5055" t="n">
        <v>0</v>
      </c>
      <c r="J5055" t="n">
        <v>0</v>
      </c>
      <c r="K5055" t="n">
        <v>0</v>
      </c>
      <c r="L5055" t="n">
        <v>0</v>
      </c>
      <c r="M5055" t="n">
        <v>0</v>
      </c>
      <c r="N5055" t="n">
        <v>0</v>
      </c>
      <c r="O5055" t="n">
        <v>0</v>
      </c>
      <c r="P5055" t="n">
        <v>0</v>
      </c>
      <c r="Q5055" t="n">
        <v>0</v>
      </c>
      <c r="R5055" s="2" t="inlineStr"/>
    </row>
    <row r="5056" ht="15" customHeight="1">
      <c r="A5056" t="inlineStr">
        <is>
          <t>A 51585-2025</t>
        </is>
      </c>
      <c r="B5056" s="1" t="n">
        <v>45951.34582175926</v>
      </c>
      <c r="C5056" s="1" t="n">
        <v>46185</v>
      </c>
      <c r="D5056" t="inlineStr">
        <is>
          <t>VÄSTERNORRLANDS LÄN</t>
        </is>
      </c>
      <c r="E5056" t="inlineStr">
        <is>
          <t>TIMRÅ</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51609-2025</t>
        </is>
      </c>
      <c r="B5057" s="1" t="n">
        <v>45951.39130787037</v>
      </c>
      <c r="C5057" s="1" t="n">
        <v>46185</v>
      </c>
      <c r="D5057" t="inlineStr">
        <is>
          <t>VÄSTERNORRLANDS LÄN</t>
        </is>
      </c>
      <c r="E5057" t="inlineStr">
        <is>
          <t>SOLLEFTEÅ</t>
        </is>
      </c>
      <c r="F5057" t="inlineStr">
        <is>
          <t>Holmen skog AB</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5153-2026</t>
        </is>
      </c>
      <c r="B5058" s="1" t="n">
        <v>46049.61516203704</v>
      </c>
      <c r="C5058" s="1" t="n">
        <v>46185</v>
      </c>
      <c r="D5058" t="inlineStr">
        <is>
          <t>VÄSTERNORRLANDS LÄN</t>
        </is>
      </c>
      <c r="E5058" t="inlineStr">
        <is>
          <t>TIMRÅ</t>
        </is>
      </c>
      <c r="F5058" t="inlineStr">
        <is>
          <t>SCA</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5511-2026</t>
        </is>
      </c>
      <c r="B5059" s="1" t="n">
        <v>46050.6358912037</v>
      </c>
      <c r="C5059" s="1" t="n">
        <v>46185</v>
      </c>
      <c r="D5059" t="inlineStr">
        <is>
          <t>VÄSTERNORRLANDS LÄN</t>
        </is>
      </c>
      <c r="E5059" t="inlineStr">
        <is>
          <t>SOLLEFTEÅ</t>
        </is>
      </c>
      <c r="F5059" t="inlineStr">
        <is>
          <t>SCA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5295-2026</t>
        </is>
      </c>
      <c r="B5060" s="1" t="n">
        <v>46050</v>
      </c>
      <c r="C5060" s="1" t="n">
        <v>46185</v>
      </c>
      <c r="D5060" t="inlineStr">
        <is>
          <t>VÄSTERNORRLANDS LÄN</t>
        </is>
      </c>
      <c r="E5060" t="inlineStr">
        <is>
          <t>TIMRÅ</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51584-2025</t>
        </is>
      </c>
      <c r="B5061" s="1" t="n">
        <v>45951.34575231482</v>
      </c>
      <c r="C5061" s="1" t="n">
        <v>46185</v>
      </c>
      <c r="D5061" t="inlineStr">
        <is>
          <t>VÄSTERNORRLANDS LÄN</t>
        </is>
      </c>
      <c r="E5061" t="inlineStr">
        <is>
          <t>TIMRÅ</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5532-2026</t>
        </is>
      </c>
      <c r="B5062" s="1" t="n">
        <v>46050.65679398148</v>
      </c>
      <c r="C5062" s="1" t="n">
        <v>46185</v>
      </c>
      <c r="D5062" t="inlineStr">
        <is>
          <t>VÄSTERNORRLANDS LÄN</t>
        </is>
      </c>
      <c r="E5062" t="inlineStr">
        <is>
          <t>SUNDSVALL</t>
        </is>
      </c>
      <c r="F5062" t="inlineStr">
        <is>
          <t>SCA</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5334-2026</t>
        </is>
      </c>
      <c r="B5063" s="1" t="n">
        <v>46050.40685185185</v>
      </c>
      <c r="C5063" s="1" t="n">
        <v>46185</v>
      </c>
      <c r="D5063" t="inlineStr">
        <is>
          <t>VÄSTERNORRLANDS LÄN</t>
        </is>
      </c>
      <c r="E5063" t="inlineStr">
        <is>
          <t>SUNDSVALL</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38332-2025</t>
        </is>
      </c>
      <c r="B5064" s="1" t="n">
        <v>45883.49151620371</v>
      </c>
      <c r="C5064" s="1" t="n">
        <v>46185</v>
      </c>
      <c r="D5064" t="inlineStr">
        <is>
          <t>VÄSTERNORRLANDS LÄN</t>
        </is>
      </c>
      <c r="E5064" t="inlineStr">
        <is>
          <t>ÅNGE</t>
        </is>
      </c>
      <c r="F5064" t="inlineStr">
        <is>
          <t>SCA</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5021-2026</t>
        </is>
      </c>
      <c r="B5065" s="1" t="n">
        <v>46049</v>
      </c>
      <c r="C5065" s="1" t="n">
        <v>46185</v>
      </c>
      <c r="D5065" t="inlineStr">
        <is>
          <t>VÄSTERNORRLANDS LÄN</t>
        </is>
      </c>
      <c r="E5065" t="inlineStr">
        <is>
          <t>HÄRNÖSAND</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52005-2025</t>
        </is>
      </c>
      <c r="B5066" s="1" t="n">
        <v>45952.59306712963</v>
      </c>
      <c r="C5066" s="1" t="n">
        <v>46185</v>
      </c>
      <c r="D5066" t="inlineStr">
        <is>
          <t>VÄSTERNORRLANDS LÄN</t>
        </is>
      </c>
      <c r="E5066" t="inlineStr">
        <is>
          <t>ÖRNSKÖLDSVIK</t>
        </is>
      </c>
      <c r="F5066" t="inlineStr">
        <is>
          <t>Holmen skog AB</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51761-2025</t>
        </is>
      </c>
      <c r="B5067" s="1" t="n">
        <v>45951.63597222222</v>
      </c>
      <c r="C5067" s="1" t="n">
        <v>46185</v>
      </c>
      <c r="D5067" t="inlineStr">
        <is>
          <t>VÄSTERNORRLANDS LÄN</t>
        </is>
      </c>
      <c r="E5067" t="inlineStr">
        <is>
          <t>ÖRNSKÖLDSVIK</t>
        </is>
      </c>
      <c r="G5067" t="n">
        <v>8.5</v>
      </c>
      <c r="H5067" t="n">
        <v>0</v>
      </c>
      <c r="I5067" t="n">
        <v>0</v>
      </c>
      <c r="J5067" t="n">
        <v>0</v>
      </c>
      <c r="K5067" t="n">
        <v>0</v>
      </c>
      <c r="L5067" t="n">
        <v>0</v>
      </c>
      <c r="M5067" t="n">
        <v>0</v>
      </c>
      <c r="N5067" t="n">
        <v>0</v>
      </c>
      <c r="O5067" t="n">
        <v>0</v>
      </c>
      <c r="P5067" t="n">
        <v>0</v>
      </c>
      <c r="Q5067" t="n">
        <v>0</v>
      </c>
      <c r="R5067" s="2" t="inlineStr"/>
    </row>
    <row r="5068" ht="15" customHeight="1">
      <c r="A5068" t="inlineStr">
        <is>
          <t>A 4275-2024</t>
        </is>
      </c>
      <c r="B5068" s="1" t="n">
        <v>45324</v>
      </c>
      <c r="C5068" s="1" t="n">
        <v>46185</v>
      </c>
      <c r="D5068" t="inlineStr">
        <is>
          <t>VÄSTERNORRLANDS LÄN</t>
        </is>
      </c>
      <c r="E5068" t="inlineStr">
        <is>
          <t>KRAMFORS</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5075-2026</t>
        </is>
      </c>
      <c r="B5069" s="1" t="n">
        <v>46049</v>
      </c>
      <c r="C5069" s="1" t="n">
        <v>46185</v>
      </c>
      <c r="D5069" t="inlineStr">
        <is>
          <t>VÄSTERNORRLANDS LÄN</t>
        </is>
      </c>
      <c r="E5069" t="inlineStr">
        <is>
          <t>HÄRNÖSAND</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5109-2026</t>
        </is>
      </c>
      <c r="B5070" s="1" t="n">
        <v>46049.57306712963</v>
      </c>
      <c r="C5070" s="1" t="n">
        <v>46185</v>
      </c>
      <c r="D5070" t="inlineStr">
        <is>
          <t>VÄSTERNORRLANDS LÄN</t>
        </is>
      </c>
      <c r="E5070" t="inlineStr">
        <is>
          <t>ÖRNSKÖLDSVIK</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38364-2025</t>
        </is>
      </c>
      <c r="B5071" s="1" t="n">
        <v>45883.54486111111</v>
      </c>
      <c r="C5071" s="1" t="n">
        <v>46185</v>
      </c>
      <c r="D5071" t="inlineStr">
        <is>
          <t>VÄSTERNORRLANDS LÄN</t>
        </is>
      </c>
      <c r="E5071" t="inlineStr">
        <is>
          <t>ÖRNSKÖLDSVIK</t>
        </is>
      </c>
      <c r="F5071" t="inlineStr">
        <is>
          <t>Holmen skog AB</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47025-2023</t>
        </is>
      </c>
      <c r="B5072" s="1" t="n">
        <v>45195</v>
      </c>
      <c r="C5072" s="1" t="n">
        <v>46185</v>
      </c>
      <c r="D5072" t="inlineStr">
        <is>
          <t>VÄSTERNORRLANDS LÄN</t>
        </is>
      </c>
      <c r="E5072" t="inlineStr">
        <is>
          <t>SUNDSVALL</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38419-2025</t>
        </is>
      </c>
      <c r="B5073" s="1" t="n">
        <v>45883.6212962963</v>
      </c>
      <c r="C5073" s="1" t="n">
        <v>46185</v>
      </c>
      <c r="D5073" t="inlineStr">
        <is>
          <t>VÄSTERNORRLANDS LÄN</t>
        </is>
      </c>
      <c r="E5073" t="inlineStr">
        <is>
          <t>ÖRNSKÖLDSVIK</t>
        </is>
      </c>
      <c r="F5073" t="inlineStr">
        <is>
          <t>Holmen skog AB</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249-2024</t>
        </is>
      </c>
      <c r="B5074" s="1" t="n">
        <v>45294</v>
      </c>
      <c r="C5074" s="1" t="n">
        <v>46185</v>
      </c>
      <c r="D5074" t="inlineStr">
        <is>
          <t>VÄSTERNORRLANDS LÄN</t>
        </is>
      </c>
      <c r="E5074" t="inlineStr">
        <is>
          <t>SUNDSVALL</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250-2024</t>
        </is>
      </c>
      <c r="B5075" s="1" t="n">
        <v>45294</v>
      </c>
      <c r="C5075" s="1" t="n">
        <v>46185</v>
      </c>
      <c r="D5075" t="inlineStr">
        <is>
          <t>VÄSTERNORRLANDS LÄN</t>
        </is>
      </c>
      <c r="E5075" t="inlineStr">
        <is>
          <t>ÖRNSKÖLDSVIK</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9113-2024</t>
        </is>
      </c>
      <c r="B5076" s="1" t="n">
        <v>45357</v>
      </c>
      <c r="C5076" s="1" t="n">
        <v>46185</v>
      </c>
      <c r="D5076" t="inlineStr">
        <is>
          <t>VÄSTERNORRLANDS LÄN</t>
        </is>
      </c>
      <c r="E5076" t="inlineStr">
        <is>
          <t>SUNDSVALL</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9120-2024</t>
        </is>
      </c>
      <c r="B5077" s="1" t="n">
        <v>45358.04091435186</v>
      </c>
      <c r="C5077" s="1" t="n">
        <v>46185</v>
      </c>
      <c r="D5077" t="inlineStr">
        <is>
          <t>VÄSTERNORRLANDS LÄN</t>
        </is>
      </c>
      <c r="E5077" t="inlineStr">
        <is>
          <t>SOLLEFTEÅ</t>
        </is>
      </c>
      <c r="F5077" t="inlineStr">
        <is>
          <t>SCA</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5437-2026</t>
        </is>
      </c>
      <c r="B5078" s="1" t="n">
        <v>46050.56246527778</v>
      </c>
      <c r="C5078" s="1" t="n">
        <v>46185</v>
      </c>
      <c r="D5078" t="inlineStr">
        <is>
          <t>VÄSTERNORRLANDS LÄN</t>
        </is>
      </c>
      <c r="E5078" t="inlineStr">
        <is>
          <t>ÖRNSKÖLDSVIK</t>
        </is>
      </c>
      <c r="F5078" t="inlineStr">
        <is>
          <t>SCA</t>
        </is>
      </c>
      <c r="G5078" t="n">
        <v>20.8</v>
      </c>
      <c r="H5078" t="n">
        <v>0</v>
      </c>
      <c r="I5078" t="n">
        <v>0</v>
      </c>
      <c r="J5078" t="n">
        <v>0</v>
      </c>
      <c r="K5078" t="n">
        <v>0</v>
      </c>
      <c r="L5078" t="n">
        <v>0</v>
      </c>
      <c r="M5078" t="n">
        <v>0</v>
      </c>
      <c r="N5078" t="n">
        <v>0</v>
      </c>
      <c r="O5078" t="n">
        <v>0</v>
      </c>
      <c r="P5078" t="n">
        <v>0</v>
      </c>
      <c r="Q5078" t="n">
        <v>0</v>
      </c>
      <c r="R5078" s="2" t="inlineStr"/>
    </row>
    <row r="5079" ht="15" customHeight="1">
      <c r="A5079" t="inlineStr">
        <is>
          <t>A 9122-2024</t>
        </is>
      </c>
      <c r="B5079" s="1" t="n">
        <v>45358.04107638889</v>
      </c>
      <c r="C5079" s="1" t="n">
        <v>46185</v>
      </c>
      <c r="D5079" t="inlineStr">
        <is>
          <t>VÄSTERNORRLANDS LÄN</t>
        </is>
      </c>
      <c r="E5079" t="inlineStr">
        <is>
          <t>SOLLEFTEÅ</t>
        </is>
      </c>
      <c r="F5079" t="inlineStr">
        <is>
          <t>SCA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8707-2024</t>
        </is>
      </c>
      <c r="B5080" s="1" t="n">
        <v>45356.38680555556</v>
      </c>
      <c r="C5080" s="1" t="n">
        <v>46185</v>
      </c>
      <c r="D5080" t="inlineStr">
        <is>
          <t>VÄSTERNORRLANDS LÄN</t>
        </is>
      </c>
      <c r="E5080" t="inlineStr">
        <is>
          <t>ÖRNSKÖLDSVIK</t>
        </is>
      </c>
      <c r="F5080" t="inlineStr">
        <is>
          <t>Holmen skog AB</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5158-2026</t>
        </is>
      </c>
      <c r="B5081" s="1" t="n">
        <v>46049.61594907408</v>
      </c>
      <c r="C5081" s="1" t="n">
        <v>46185</v>
      </c>
      <c r="D5081" t="inlineStr">
        <is>
          <t>VÄSTERNORRLANDS LÄN</t>
        </is>
      </c>
      <c r="E5081" t="inlineStr">
        <is>
          <t>SOLLEFTEÅ</t>
        </is>
      </c>
      <c r="F5081" t="inlineStr">
        <is>
          <t>SCA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5470-2026</t>
        </is>
      </c>
      <c r="B5082" s="1" t="n">
        <v>46050.59548611111</v>
      </c>
      <c r="C5082" s="1" t="n">
        <v>46185</v>
      </c>
      <c r="D5082" t="inlineStr">
        <is>
          <t>VÄSTERNORRLANDS LÄN</t>
        </is>
      </c>
      <c r="E5082" t="inlineStr">
        <is>
          <t>ÅNGE</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59408-2024</t>
        </is>
      </c>
      <c r="B5083" s="1" t="n">
        <v>45638.38923611111</v>
      </c>
      <c r="C5083" s="1" t="n">
        <v>46185</v>
      </c>
      <c r="D5083" t="inlineStr">
        <is>
          <t>VÄSTERNORRLANDS LÄN</t>
        </is>
      </c>
      <c r="E5083" t="inlineStr">
        <is>
          <t>HÄRNÖSAND</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1001-2025</t>
        </is>
      </c>
      <c r="B5084" s="1" t="n">
        <v>45666</v>
      </c>
      <c r="C5084" s="1" t="n">
        <v>46185</v>
      </c>
      <c r="D5084" t="inlineStr">
        <is>
          <t>VÄSTERNORRLANDS LÄN</t>
        </is>
      </c>
      <c r="E5084" t="inlineStr">
        <is>
          <t>ÖRNSKÖLDSVIK</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5490-2026</t>
        </is>
      </c>
      <c r="B5085" s="1" t="n">
        <v>46050.61539351852</v>
      </c>
      <c r="C5085" s="1" t="n">
        <v>46185</v>
      </c>
      <c r="D5085" t="inlineStr">
        <is>
          <t>VÄSTERNORRLANDS LÄN</t>
        </is>
      </c>
      <c r="E5085" t="inlineStr">
        <is>
          <t>SUNDSVALL</t>
        </is>
      </c>
      <c r="F5085" t="inlineStr">
        <is>
          <t>SCA</t>
        </is>
      </c>
      <c r="G5085" t="n">
        <v>7.5</v>
      </c>
      <c r="H5085" t="n">
        <v>0</v>
      </c>
      <c r="I5085" t="n">
        <v>0</v>
      </c>
      <c r="J5085" t="n">
        <v>0</v>
      </c>
      <c r="K5085" t="n">
        <v>0</v>
      </c>
      <c r="L5085" t="n">
        <v>0</v>
      </c>
      <c r="M5085" t="n">
        <v>0</v>
      </c>
      <c r="N5085" t="n">
        <v>0</v>
      </c>
      <c r="O5085" t="n">
        <v>0</v>
      </c>
      <c r="P5085" t="n">
        <v>0</v>
      </c>
      <c r="Q5085" t="n">
        <v>0</v>
      </c>
      <c r="R5085" s="2" t="inlineStr"/>
    </row>
    <row r="5086" ht="15" customHeight="1">
      <c r="A5086" t="inlineStr">
        <is>
          <t>A 5478-2026</t>
        </is>
      </c>
      <c r="B5086" s="1" t="n">
        <v>46050.60172453704</v>
      </c>
      <c r="C5086" s="1" t="n">
        <v>46185</v>
      </c>
      <c r="D5086" t="inlineStr">
        <is>
          <t>VÄSTERNORRLANDS LÄN</t>
        </is>
      </c>
      <c r="E5086" t="inlineStr">
        <is>
          <t>ÅNGE</t>
        </is>
      </c>
      <c r="G5086" t="n">
        <v>7.6</v>
      </c>
      <c r="H5086" t="n">
        <v>0</v>
      </c>
      <c r="I5086" t="n">
        <v>0</v>
      </c>
      <c r="J5086" t="n">
        <v>0</v>
      </c>
      <c r="K5086" t="n">
        <v>0</v>
      </c>
      <c r="L5086" t="n">
        <v>0</v>
      </c>
      <c r="M5086" t="n">
        <v>0</v>
      </c>
      <c r="N5086" t="n">
        <v>0</v>
      </c>
      <c r="O5086" t="n">
        <v>0</v>
      </c>
      <c r="P5086" t="n">
        <v>0</v>
      </c>
      <c r="Q5086" t="n">
        <v>0</v>
      </c>
      <c r="R5086" s="2" t="inlineStr"/>
    </row>
    <row r="5087" ht="15" customHeight="1">
      <c r="A5087" t="inlineStr">
        <is>
          <t>A 5253-2026</t>
        </is>
      </c>
      <c r="B5087" s="1" t="n">
        <v>46050.23314814815</v>
      </c>
      <c r="C5087" s="1" t="n">
        <v>46185</v>
      </c>
      <c r="D5087" t="inlineStr">
        <is>
          <t>VÄSTERNORRLANDS LÄN</t>
        </is>
      </c>
      <c r="E5087" t="inlineStr">
        <is>
          <t>SUNDSVALL</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51579-2025</t>
        </is>
      </c>
      <c r="B5088" s="1" t="n">
        <v>45951.34535879629</v>
      </c>
      <c r="C5088" s="1" t="n">
        <v>46185</v>
      </c>
      <c r="D5088" t="inlineStr">
        <is>
          <t>VÄSTERNORRLANDS LÄN</t>
        </is>
      </c>
      <c r="E5088" t="inlineStr">
        <is>
          <t>HÄRNÖSAND</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5059-2026</t>
        </is>
      </c>
      <c r="B5089" s="1" t="n">
        <v>46049.48384259259</v>
      </c>
      <c r="C5089" s="1" t="n">
        <v>46185</v>
      </c>
      <c r="D5089" t="inlineStr">
        <is>
          <t>VÄSTERNORRLANDS LÄN</t>
        </is>
      </c>
      <c r="E5089" t="inlineStr">
        <is>
          <t>SOLLEFTEÅ</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5095-2026</t>
        </is>
      </c>
      <c r="B5090" s="1" t="n">
        <v>46049.55422453704</v>
      </c>
      <c r="C5090" s="1" t="n">
        <v>46185</v>
      </c>
      <c r="D5090" t="inlineStr">
        <is>
          <t>VÄSTERNORRLANDS LÄN</t>
        </is>
      </c>
      <c r="E5090" t="inlineStr">
        <is>
          <t>KRAMFORS</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5167-2026</t>
        </is>
      </c>
      <c r="B5091" s="1" t="n">
        <v>46049.62803240741</v>
      </c>
      <c r="C5091" s="1" t="n">
        <v>46185</v>
      </c>
      <c r="D5091" t="inlineStr">
        <is>
          <t>VÄSTERNORRLANDS LÄN</t>
        </is>
      </c>
      <c r="E5091" t="inlineStr">
        <is>
          <t>KRAMFORS</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5432-2026</t>
        </is>
      </c>
      <c r="B5092" s="1" t="n">
        <v>46050.55491898148</v>
      </c>
      <c r="C5092" s="1" t="n">
        <v>46185</v>
      </c>
      <c r="D5092" t="inlineStr">
        <is>
          <t>VÄSTERNORRLANDS LÄN</t>
        </is>
      </c>
      <c r="E5092" t="inlineStr">
        <is>
          <t>ÖRNSKÖLDSVIK</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31667-2024</t>
        </is>
      </c>
      <c r="B5093" s="1" t="n">
        <v>45506</v>
      </c>
      <c r="C5093" s="1" t="n">
        <v>46185</v>
      </c>
      <c r="D5093" t="inlineStr">
        <is>
          <t>VÄSTERNORRLANDS LÄN</t>
        </is>
      </c>
      <c r="E5093" t="inlineStr">
        <is>
          <t>SUNDSVALL</t>
        </is>
      </c>
      <c r="F5093" t="inlineStr">
        <is>
          <t>SCA</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27303-2024</t>
        </is>
      </c>
      <c r="B5094" s="1" t="n">
        <v>45471</v>
      </c>
      <c r="C5094" s="1" t="n">
        <v>46185</v>
      </c>
      <c r="D5094" t="inlineStr">
        <is>
          <t>VÄSTERNORRLANDS LÄN</t>
        </is>
      </c>
      <c r="E5094" t="inlineStr">
        <is>
          <t>SUNDSVALL</t>
        </is>
      </c>
      <c r="F5094" t="inlineStr">
        <is>
          <t>SCA</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5860-2026</t>
        </is>
      </c>
      <c r="B5095" s="1" t="n">
        <v>46052.36519675926</v>
      </c>
      <c r="C5095" s="1" t="n">
        <v>46185</v>
      </c>
      <c r="D5095" t="inlineStr">
        <is>
          <t>VÄSTERNORRLANDS LÄN</t>
        </is>
      </c>
      <c r="E5095" t="inlineStr">
        <is>
          <t>HÄRNÖSAND</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5918-2026</t>
        </is>
      </c>
      <c r="B5096" s="1" t="n">
        <v>46052</v>
      </c>
      <c r="C5096" s="1" t="n">
        <v>46185</v>
      </c>
      <c r="D5096" t="inlineStr">
        <is>
          <t>VÄSTERNORRLANDS LÄN</t>
        </is>
      </c>
      <c r="E5096" t="inlineStr">
        <is>
          <t>ÖRNSKÖLDSVIK</t>
        </is>
      </c>
      <c r="G5096" t="n">
        <v>9.1</v>
      </c>
      <c r="H5096" t="n">
        <v>0</v>
      </c>
      <c r="I5096" t="n">
        <v>0</v>
      </c>
      <c r="J5096" t="n">
        <v>0</v>
      </c>
      <c r="K5096" t="n">
        <v>0</v>
      </c>
      <c r="L5096" t="n">
        <v>0</v>
      </c>
      <c r="M5096" t="n">
        <v>0</v>
      </c>
      <c r="N5096" t="n">
        <v>0</v>
      </c>
      <c r="O5096" t="n">
        <v>0</v>
      </c>
      <c r="P5096" t="n">
        <v>0</v>
      </c>
      <c r="Q5096" t="n">
        <v>0</v>
      </c>
      <c r="R5096" s="2" t="inlineStr"/>
    </row>
    <row r="5097" ht="15" customHeight="1">
      <c r="A5097" t="inlineStr">
        <is>
          <t>A 60827-2024</t>
        </is>
      </c>
      <c r="B5097" s="1" t="n">
        <v>45644.63590277778</v>
      </c>
      <c r="C5097" s="1" t="n">
        <v>46185</v>
      </c>
      <c r="D5097" t="inlineStr">
        <is>
          <t>VÄSTERNORRLANDS LÄN</t>
        </is>
      </c>
      <c r="E5097" t="inlineStr">
        <is>
          <t>SOLLEFTEÅ</t>
        </is>
      </c>
      <c r="F5097" t="inlineStr">
        <is>
          <t>SCA</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51856-2025</t>
        </is>
      </c>
      <c r="B5098" s="1" t="n">
        <v>45952.3637962963</v>
      </c>
      <c r="C5098" s="1" t="n">
        <v>46185</v>
      </c>
      <c r="D5098" t="inlineStr">
        <is>
          <t>VÄSTERNORRLANDS LÄN</t>
        </is>
      </c>
      <c r="E5098" t="inlineStr">
        <is>
          <t>ÖRNSKÖLDSVIK</t>
        </is>
      </c>
      <c r="F5098" t="inlineStr">
        <is>
          <t>Holmen skog AB</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51861-2025</t>
        </is>
      </c>
      <c r="B5099" s="1" t="n">
        <v>45952.36784722222</v>
      </c>
      <c r="C5099" s="1" t="n">
        <v>46185</v>
      </c>
      <c r="D5099" t="inlineStr">
        <is>
          <t>VÄSTERNORRLANDS LÄN</t>
        </is>
      </c>
      <c r="E5099" t="inlineStr">
        <is>
          <t>SUNDSVALL</t>
        </is>
      </c>
      <c r="G5099" t="n">
        <v>0.2</v>
      </c>
      <c r="H5099" t="n">
        <v>0</v>
      </c>
      <c r="I5099" t="n">
        <v>0</v>
      </c>
      <c r="J5099" t="n">
        <v>0</v>
      </c>
      <c r="K5099" t="n">
        <v>0</v>
      </c>
      <c r="L5099" t="n">
        <v>0</v>
      </c>
      <c r="M5099" t="n">
        <v>0</v>
      </c>
      <c r="N5099" t="n">
        <v>0</v>
      </c>
      <c r="O5099" t="n">
        <v>0</v>
      </c>
      <c r="P5099" t="n">
        <v>0</v>
      </c>
      <c r="Q5099" t="n">
        <v>0</v>
      </c>
      <c r="R5099" s="2" t="inlineStr"/>
    </row>
    <row r="5100" ht="15" customHeight="1">
      <c r="A5100" t="inlineStr">
        <is>
          <t>A 20738-2022</t>
        </is>
      </c>
      <c r="B5100" s="1" t="n">
        <v>44700</v>
      </c>
      <c r="C5100" s="1" t="n">
        <v>46185</v>
      </c>
      <c r="D5100" t="inlineStr">
        <is>
          <t>VÄSTERNORRLANDS LÄN</t>
        </is>
      </c>
      <c r="E5100" t="inlineStr">
        <is>
          <t>SOLLEFTEÅ</t>
        </is>
      </c>
      <c r="G5100" t="n">
        <v>8.1</v>
      </c>
      <c r="H5100" t="n">
        <v>0</v>
      </c>
      <c r="I5100" t="n">
        <v>0</v>
      </c>
      <c r="J5100" t="n">
        <v>0</v>
      </c>
      <c r="K5100" t="n">
        <v>0</v>
      </c>
      <c r="L5100" t="n">
        <v>0</v>
      </c>
      <c r="M5100" t="n">
        <v>0</v>
      </c>
      <c r="N5100" t="n">
        <v>0</v>
      </c>
      <c r="O5100" t="n">
        <v>0</v>
      </c>
      <c r="P5100" t="n">
        <v>0</v>
      </c>
      <c r="Q5100" t="n">
        <v>0</v>
      </c>
      <c r="R5100" s="2" t="inlineStr"/>
    </row>
    <row r="5101" ht="15" customHeight="1">
      <c r="A5101" t="inlineStr">
        <is>
          <t>A 5669-2026</t>
        </is>
      </c>
      <c r="B5101" s="1" t="n">
        <v>46051.46931712963</v>
      </c>
      <c r="C5101" s="1" t="n">
        <v>46185</v>
      </c>
      <c r="D5101" t="inlineStr">
        <is>
          <t>VÄSTERNORRLANDS LÄN</t>
        </is>
      </c>
      <c r="E5101" t="inlineStr">
        <is>
          <t>ÅNGE</t>
        </is>
      </c>
      <c r="F5101" t="inlineStr">
        <is>
          <t>SCA</t>
        </is>
      </c>
      <c r="G5101" t="n">
        <v>13.6</v>
      </c>
      <c r="H5101" t="n">
        <v>0</v>
      </c>
      <c r="I5101" t="n">
        <v>0</v>
      </c>
      <c r="J5101" t="n">
        <v>0</v>
      </c>
      <c r="K5101" t="n">
        <v>0</v>
      </c>
      <c r="L5101" t="n">
        <v>0</v>
      </c>
      <c r="M5101" t="n">
        <v>0</v>
      </c>
      <c r="N5101" t="n">
        <v>0</v>
      </c>
      <c r="O5101" t="n">
        <v>0</v>
      </c>
      <c r="P5101" t="n">
        <v>0</v>
      </c>
      <c r="Q5101" t="n">
        <v>0</v>
      </c>
      <c r="R5101" s="2" t="inlineStr"/>
    </row>
    <row r="5102" ht="15" customHeight="1">
      <c r="A5102" t="inlineStr">
        <is>
          <t>A 5670-2026</t>
        </is>
      </c>
      <c r="B5102" s="1" t="n">
        <v>46051.46958333333</v>
      </c>
      <c r="C5102" s="1" t="n">
        <v>46185</v>
      </c>
      <c r="D5102" t="inlineStr">
        <is>
          <t>VÄSTERNORRLANDS LÄN</t>
        </is>
      </c>
      <c r="E5102" t="inlineStr">
        <is>
          <t>ÅNGE</t>
        </is>
      </c>
      <c r="F5102" t="inlineStr">
        <is>
          <t>SCA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21136-2024</t>
        </is>
      </c>
      <c r="B5103" s="1" t="n">
        <v>45440</v>
      </c>
      <c r="C5103" s="1" t="n">
        <v>46185</v>
      </c>
      <c r="D5103" t="inlineStr">
        <is>
          <t>VÄSTERNORRLANDS LÄN</t>
        </is>
      </c>
      <c r="E5103" t="inlineStr">
        <is>
          <t>ÖRNSKÖLDSVIK</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21138-2024</t>
        </is>
      </c>
      <c r="B5104" s="1" t="n">
        <v>45440.37989583334</v>
      </c>
      <c r="C5104" s="1" t="n">
        <v>46185</v>
      </c>
      <c r="D5104" t="inlineStr">
        <is>
          <t>VÄSTERNORRLANDS LÄN</t>
        </is>
      </c>
      <c r="E5104" t="inlineStr">
        <is>
          <t>ÖRNSKÖLDSVIK</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34851-2023</t>
        </is>
      </c>
      <c r="B5105" s="1" t="n">
        <v>45141</v>
      </c>
      <c r="C5105" s="1" t="n">
        <v>46185</v>
      </c>
      <c r="D5105" t="inlineStr">
        <is>
          <t>VÄSTERNORRLANDS LÄN</t>
        </is>
      </c>
      <c r="E5105" t="inlineStr">
        <is>
          <t>ÅNGE</t>
        </is>
      </c>
      <c r="F5105" t="inlineStr">
        <is>
          <t>SCA</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5842-2026</t>
        </is>
      </c>
      <c r="B5106" s="1" t="n">
        <v>46052.34503472222</v>
      </c>
      <c r="C5106" s="1" t="n">
        <v>46185</v>
      </c>
      <c r="D5106" t="inlineStr">
        <is>
          <t>VÄSTERNORRLANDS LÄN</t>
        </is>
      </c>
      <c r="E5106" t="inlineStr">
        <is>
          <t>SOLLEFTEÅ</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17514-2023</t>
        </is>
      </c>
      <c r="B5107" s="1" t="n">
        <v>45034</v>
      </c>
      <c r="C5107" s="1" t="n">
        <v>46185</v>
      </c>
      <c r="D5107" t="inlineStr">
        <is>
          <t>VÄSTERNORRLANDS LÄN</t>
        </is>
      </c>
      <c r="E5107" t="inlineStr">
        <is>
          <t>ÖRNSKÖLDSVIK</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6051-2026</t>
        </is>
      </c>
      <c r="B5108" s="1" t="n">
        <v>46052</v>
      </c>
      <c r="C5108" s="1" t="n">
        <v>46185</v>
      </c>
      <c r="D5108" t="inlineStr">
        <is>
          <t>VÄSTERNORRLANDS LÄN</t>
        </is>
      </c>
      <c r="E5108" t="inlineStr">
        <is>
          <t>ÖRNSKÖLDSVIK</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5628-2026</t>
        </is>
      </c>
      <c r="B5109" s="1" t="n">
        <v>46051</v>
      </c>
      <c r="C5109" s="1" t="n">
        <v>46185</v>
      </c>
      <c r="D5109" t="inlineStr">
        <is>
          <t>VÄSTERNORRLANDS LÄN</t>
        </is>
      </c>
      <c r="E5109" t="inlineStr">
        <is>
          <t>ÖRNSKÖLDSVIK</t>
        </is>
      </c>
      <c r="F5109" t="inlineStr">
        <is>
          <t>Holmen skog AB</t>
        </is>
      </c>
      <c r="G5109" t="n">
        <v>8.6</v>
      </c>
      <c r="H5109" t="n">
        <v>0</v>
      </c>
      <c r="I5109" t="n">
        <v>0</v>
      </c>
      <c r="J5109" t="n">
        <v>0</v>
      </c>
      <c r="K5109" t="n">
        <v>0</v>
      </c>
      <c r="L5109" t="n">
        <v>0</v>
      </c>
      <c r="M5109" t="n">
        <v>0</v>
      </c>
      <c r="N5109" t="n">
        <v>0</v>
      </c>
      <c r="O5109" t="n">
        <v>0</v>
      </c>
      <c r="P5109" t="n">
        <v>0</v>
      </c>
      <c r="Q5109" t="n">
        <v>0</v>
      </c>
      <c r="R5109" s="2" t="inlineStr"/>
    </row>
    <row r="5110" ht="15" customHeight="1">
      <c r="A5110" t="inlineStr">
        <is>
          <t>A 17540-2023</t>
        </is>
      </c>
      <c r="B5110" s="1" t="n">
        <v>45036.48344907408</v>
      </c>
      <c r="C5110" s="1" t="n">
        <v>46185</v>
      </c>
      <c r="D5110" t="inlineStr">
        <is>
          <t>VÄSTERNORRLANDS LÄN</t>
        </is>
      </c>
      <c r="E5110" t="inlineStr">
        <is>
          <t>KRAMFORS</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5602-2026</t>
        </is>
      </c>
      <c r="B5111" s="1" t="n">
        <v>46051.34418981482</v>
      </c>
      <c r="C5111" s="1" t="n">
        <v>46185</v>
      </c>
      <c r="D5111" t="inlineStr">
        <is>
          <t>VÄSTERNORRLANDS LÄN</t>
        </is>
      </c>
      <c r="E5111" t="inlineStr">
        <is>
          <t>SUNDSVALL</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61265-2024</t>
        </is>
      </c>
      <c r="B5112" s="1" t="n">
        <v>45644</v>
      </c>
      <c r="C5112" s="1" t="n">
        <v>46185</v>
      </c>
      <c r="D5112" t="inlineStr">
        <is>
          <t>VÄSTERNORRLANDS LÄN</t>
        </is>
      </c>
      <c r="E5112" t="inlineStr">
        <is>
          <t>ÖRNSKÖLDSVIK</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5854-2026</t>
        </is>
      </c>
      <c r="B5113" s="1" t="n">
        <v>46052.3628587963</v>
      </c>
      <c r="C5113" s="1" t="n">
        <v>46185</v>
      </c>
      <c r="D5113" t="inlineStr">
        <is>
          <t>VÄSTERNORRLANDS LÄN</t>
        </is>
      </c>
      <c r="E5113" t="inlineStr">
        <is>
          <t>SUNDSVALL</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5861-2026</t>
        </is>
      </c>
      <c r="B5114" s="1" t="n">
        <v>46052</v>
      </c>
      <c r="C5114" s="1" t="n">
        <v>46185</v>
      </c>
      <c r="D5114" t="inlineStr">
        <is>
          <t>VÄSTERNORRLANDS LÄN</t>
        </is>
      </c>
      <c r="E5114" t="inlineStr">
        <is>
          <t>HÄRNÖSAND</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51599-2025</t>
        </is>
      </c>
      <c r="B5115" s="1" t="n">
        <v>45951.37236111111</v>
      </c>
      <c r="C5115" s="1" t="n">
        <v>46185</v>
      </c>
      <c r="D5115" t="inlineStr">
        <is>
          <t>VÄSTERNORRLANDS LÄN</t>
        </is>
      </c>
      <c r="E5115" t="inlineStr">
        <is>
          <t>ÖRNSKÖLDSVIK</t>
        </is>
      </c>
      <c r="F5115" t="inlineStr">
        <is>
          <t>Holmen skog AB</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51559-2025</t>
        </is>
      </c>
      <c r="B5116" s="1" t="n">
        <v>45950.93180555556</v>
      </c>
      <c r="C5116" s="1" t="n">
        <v>46185</v>
      </c>
      <c r="D5116" t="inlineStr">
        <is>
          <t>VÄSTERNORRLANDS LÄN</t>
        </is>
      </c>
      <c r="E5116" t="inlineStr">
        <is>
          <t>SOLLEFTEÅ</t>
        </is>
      </c>
      <c r="G5116" t="n">
        <v>13.2</v>
      </c>
      <c r="H5116" t="n">
        <v>0</v>
      </c>
      <c r="I5116" t="n">
        <v>0</v>
      </c>
      <c r="J5116" t="n">
        <v>0</v>
      </c>
      <c r="K5116" t="n">
        <v>0</v>
      </c>
      <c r="L5116" t="n">
        <v>0</v>
      </c>
      <c r="M5116" t="n">
        <v>0</v>
      </c>
      <c r="N5116" t="n">
        <v>0</v>
      </c>
      <c r="O5116" t="n">
        <v>0</v>
      </c>
      <c r="P5116" t="n">
        <v>0</v>
      </c>
      <c r="Q5116" t="n">
        <v>0</v>
      </c>
      <c r="R5116" s="2" t="inlineStr"/>
    </row>
    <row r="5117" ht="15" customHeight="1">
      <c r="A5117" t="inlineStr">
        <is>
          <t>A 5612-2026</t>
        </is>
      </c>
      <c r="B5117" s="1" t="n">
        <v>46051.365</v>
      </c>
      <c r="C5117" s="1" t="n">
        <v>46185</v>
      </c>
      <c r="D5117" t="inlineStr">
        <is>
          <t>VÄSTERNORRLANDS LÄN</t>
        </is>
      </c>
      <c r="E5117" t="inlineStr">
        <is>
          <t>HÄRNÖSAND</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5646-2026</t>
        </is>
      </c>
      <c r="B5118" s="1" t="n">
        <v>46051.42618055556</v>
      </c>
      <c r="C5118" s="1" t="n">
        <v>46185</v>
      </c>
      <c r="D5118" t="inlineStr">
        <is>
          <t>VÄSTERNORRLANDS LÄN</t>
        </is>
      </c>
      <c r="E5118" t="inlineStr">
        <is>
          <t>SOLLEFTEÅ</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51705-2025</t>
        </is>
      </c>
      <c r="B5119" s="1" t="n">
        <v>45951.56091435185</v>
      </c>
      <c r="C5119" s="1" t="n">
        <v>46185</v>
      </c>
      <c r="D5119" t="inlineStr">
        <is>
          <t>VÄSTERNORRLANDS LÄN</t>
        </is>
      </c>
      <c r="E5119" t="inlineStr">
        <is>
          <t>KRAMFORS</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51929-2025</t>
        </is>
      </c>
      <c r="B5120" s="1" t="n">
        <v>45952</v>
      </c>
      <c r="C5120" s="1" t="n">
        <v>46185</v>
      </c>
      <c r="D5120" t="inlineStr">
        <is>
          <t>VÄSTERNORRLANDS LÄN</t>
        </is>
      </c>
      <c r="E5120" t="inlineStr">
        <is>
          <t>KRAMFORS</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38350-2023</t>
        </is>
      </c>
      <c r="B5121" s="1" t="n">
        <v>45161.92380787037</v>
      </c>
      <c r="C5121" s="1" t="n">
        <v>46185</v>
      </c>
      <c r="D5121" t="inlineStr">
        <is>
          <t>VÄSTERNORRLANDS LÄN</t>
        </is>
      </c>
      <c r="E5121" t="inlineStr">
        <is>
          <t>SUNDSVALL</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5886-2026</t>
        </is>
      </c>
      <c r="B5122" s="1" t="n">
        <v>46052.41074074074</v>
      </c>
      <c r="C5122" s="1" t="n">
        <v>46185</v>
      </c>
      <c r="D5122" t="inlineStr">
        <is>
          <t>VÄSTERNORRLANDS LÄN</t>
        </is>
      </c>
      <c r="E5122" t="inlineStr">
        <is>
          <t>SUNDSVALL</t>
        </is>
      </c>
      <c r="G5122" t="n">
        <v>9.9</v>
      </c>
      <c r="H5122" t="n">
        <v>0</v>
      </c>
      <c r="I5122" t="n">
        <v>0</v>
      </c>
      <c r="J5122" t="n">
        <v>0</v>
      </c>
      <c r="K5122" t="n">
        <v>0</v>
      </c>
      <c r="L5122" t="n">
        <v>0</v>
      </c>
      <c r="M5122" t="n">
        <v>0</v>
      </c>
      <c r="N5122" t="n">
        <v>0</v>
      </c>
      <c r="O5122" t="n">
        <v>0</v>
      </c>
      <c r="P5122" t="n">
        <v>0</v>
      </c>
      <c r="Q5122" t="n">
        <v>0</v>
      </c>
      <c r="R5122" s="2" t="inlineStr"/>
    </row>
    <row r="5123" ht="15" customHeight="1">
      <c r="A5123" t="inlineStr">
        <is>
          <t>A 5891-2026</t>
        </is>
      </c>
      <c r="B5123" s="1" t="n">
        <v>46052.416875</v>
      </c>
      <c r="C5123" s="1" t="n">
        <v>46185</v>
      </c>
      <c r="D5123" t="inlineStr">
        <is>
          <t>VÄSTERNORRLANDS LÄN</t>
        </is>
      </c>
      <c r="E5123" t="inlineStr">
        <is>
          <t>SUNDSVALL</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53703-2021</t>
        </is>
      </c>
      <c r="B5124" s="1" t="n">
        <v>44469</v>
      </c>
      <c r="C5124" s="1" t="n">
        <v>46185</v>
      </c>
      <c r="D5124" t="inlineStr">
        <is>
          <t>VÄSTERNORRLANDS LÄN</t>
        </is>
      </c>
      <c r="E5124" t="inlineStr">
        <is>
          <t>TIMRÅ</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52091-2025</t>
        </is>
      </c>
      <c r="B5125" s="1" t="n">
        <v>45952.67809027778</v>
      </c>
      <c r="C5125" s="1" t="n">
        <v>46185</v>
      </c>
      <c r="D5125" t="inlineStr">
        <is>
          <t>VÄSTERNORRLANDS LÄN</t>
        </is>
      </c>
      <c r="E5125" t="inlineStr">
        <is>
          <t>TIMRÅ</t>
        </is>
      </c>
      <c r="G5125" t="n">
        <v>4.8</v>
      </c>
      <c r="H5125" t="n">
        <v>0</v>
      </c>
      <c r="I5125" t="n">
        <v>0</v>
      </c>
      <c r="J5125" t="n">
        <v>0</v>
      </c>
      <c r="K5125" t="n">
        <v>0</v>
      </c>
      <c r="L5125" t="n">
        <v>0</v>
      </c>
      <c r="M5125" t="n">
        <v>0</v>
      </c>
      <c r="N5125" t="n">
        <v>0</v>
      </c>
      <c r="O5125" t="n">
        <v>0</v>
      </c>
      <c r="P5125" t="n">
        <v>0</v>
      </c>
      <c r="Q5125" t="n">
        <v>0</v>
      </c>
      <c r="R5125" s="2" t="inlineStr"/>
    </row>
    <row r="5126" ht="15" customHeight="1">
      <c r="A5126" t="inlineStr">
        <is>
          <t>A 21095-2024</t>
        </is>
      </c>
      <c r="B5126" s="1" t="n">
        <v>45439.95034722222</v>
      </c>
      <c r="C5126" s="1" t="n">
        <v>46185</v>
      </c>
      <c r="D5126" t="inlineStr">
        <is>
          <t>VÄSTERNORRLANDS LÄN</t>
        </is>
      </c>
      <c r="E5126" t="inlineStr">
        <is>
          <t>SOLLEFTEÅ</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51779-2025</t>
        </is>
      </c>
      <c r="B5127" s="1" t="n">
        <v>45951.65715277778</v>
      </c>
      <c r="C5127" s="1" t="n">
        <v>46185</v>
      </c>
      <c r="D5127" t="inlineStr">
        <is>
          <t>VÄSTERNORRLANDS LÄN</t>
        </is>
      </c>
      <c r="E5127" t="inlineStr">
        <is>
          <t>TIMRÅ</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51580-2025</t>
        </is>
      </c>
      <c r="B5128" s="1" t="n">
        <v>45951.34542824074</v>
      </c>
      <c r="C5128" s="1" t="n">
        <v>46185</v>
      </c>
      <c r="D5128" t="inlineStr">
        <is>
          <t>VÄSTERNORRLANDS LÄN</t>
        </is>
      </c>
      <c r="E5128" t="inlineStr">
        <is>
          <t>TIMRÅ</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51582-2025</t>
        </is>
      </c>
      <c r="B5129" s="1" t="n">
        <v>45951.34561342592</v>
      </c>
      <c r="C5129" s="1" t="n">
        <v>46185</v>
      </c>
      <c r="D5129" t="inlineStr">
        <is>
          <t>VÄSTERNORRLANDS LÄN</t>
        </is>
      </c>
      <c r="E5129" t="inlineStr">
        <is>
          <t>TIMRÅ</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52081-2025</t>
        </is>
      </c>
      <c r="B5130" s="1" t="n">
        <v>45952.66413194445</v>
      </c>
      <c r="C5130" s="1" t="n">
        <v>46185</v>
      </c>
      <c r="D5130" t="inlineStr">
        <is>
          <t>VÄSTERNORRLANDS LÄN</t>
        </is>
      </c>
      <c r="E5130" t="inlineStr">
        <is>
          <t>ÖRNSKÖLDSVIK</t>
        </is>
      </c>
      <c r="F5130" t="inlineStr">
        <is>
          <t>Holmen skog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52090-2025</t>
        </is>
      </c>
      <c r="B5131" s="1" t="n">
        <v>45952.67783564814</v>
      </c>
      <c r="C5131" s="1" t="n">
        <v>46185</v>
      </c>
      <c r="D5131" t="inlineStr">
        <is>
          <t>VÄSTERNORRLANDS LÄN</t>
        </is>
      </c>
      <c r="E5131" t="inlineStr">
        <is>
          <t>TIMRÅ</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52107-2025</t>
        </is>
      </c>
      <c r="B5132" s="1" t="n">
        <v>45952</v>
      </c>
      <c r="C5132" s="1" t="n">
        <v>46185</v>
      </c>
      <c r="D5132" t="inlineStr">
        <is>
          <t>VÄSTERNORRLANDS LÄN</t>
        </is>
      </c>
      <c r="E5132" t="inlineStr">
        <is>
          <t>KRAMFORS</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8959-2023</t>
        </is>
      </c>
      <c r="B5133" s="1" t="n">
        <v>44974</v>
      </c>
      <c r="C5133" s="1" t="n">
        <v>46185</v>
      </c>
      <c r="D5133" t="inlineStr">
        <is>
          <t>VÄSTERNORRLANDS LÄN</t>
        </is>
      </c>
      <c r="E5133" t="inlineStr">
        <is>
          <t>SOLLEFTEÅ</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5845-2026</t>
        </is>
      </c>
      <c r="B5134" s="1" t="n">
        <v>46052.34831018518</v>
      </c>
      <c r="C5134" s="1" t="n">
        <v>46185</v>
      </c>
      <c r="D5134" t="inlineStr">
        <is>
          <t>VÄSTERNORRLANDS LÄN</t>
        </is>
      </c>
      <c r="E5134" t="inlineStr">
        <is>
          <t>SUNDSVALL</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52055-2025</t>
        </is>
      </c>
      <c r="B5135" s="1" t="n">
        <v>45952.63206018518</v>
      </c>
      <c r="C5135" s="1" t="n">
        <v>46185</v>
      </c>
      <c r="D5135" t="inlineStr">
        <is>
          <t>VÄSTERNORRLANDS LÄN</t>
        </is>
      </c>
      <c r="E5135" t="inlineStr">
        <is>
          <t>ÖRNSKÖLDSVIK</t>
        </is>
      </c>
      <c r="F5135" t="inlineStr">
        <is>
          <t>Holmen skog AB</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6514-2026</t>
        </is>
      </c>
      <c r="B5136" s="1" t="n">
        <v>46052</v>
      </c>
      <c r="C5136" s="1" t="n">
        <v>46185</v>
      </c>
      <c r="D5136" t="inlineStr">
        <is>
          <t>VÄSTERNORRLANDS LÄN</t>
        </is>
      </c>
      <c r="E5136" t="inlineStr">
        <is>
          <t>ÖRNSKÖLDSVIK</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51784-2025</t>
        </is>
      </c>
      <c r="B5137" s="1" t="n">
        <v>45951.67762731481</v>
      </c>
      <c r="C5137" s="1" t="n">
        <v>46185</v>
      </c>
      <c r="D5137" t="inlineStr">
        <is>
          <t>VÄSTERNORRLANDS LÄN</t>
        </is>
      </c>
      <c r="E5137" t="inlineStr">
        <is>
          <t>ÖRNSKÖLDSVIK</t>
        </is>
      </c>
      <c r="F5137" t="inlineStr">
        <is>
          <t>SCA</t>
        </is>
      </c>
      <c r="G5137" t="n">
        <v>7.6</v>
      </c>
      <c r="H5137" t="n">
        <v>0</v>
      </c>
      <c r="I5137" t="n">
        <v>0</v>
      </c>
      <c r="J5137" t="n">
        <v>0</v>
      </c>
      <c r="K5137" t="n">
        <v>0</v>
      </c>
      <c r="L5137" t="n">
        <v>0</v>
      </c>
      <c r="M5137" t="n">
        <v>0</v>
      </c>
      <c r="N5137" t="n">
        <v>0</v>
      </c>
      <c r="O5137" t="n">
        <v>0</v>
      </c>
      <c r="P5137" t="n">
        <v>0</v>
      </c>
      <c r="Q5137" t="n">
        <v>0</v>
      </c>
      <c r="R5137" s="2" t="inlineStr"/>
    </row>
    <row r="5138" ht="15" customHeight="1">
      <c r="A5138" t="inlineStr">
        <is>
          <t>A 12539-2023</t>
        </is>
      </c>
      <c r="B5138" s="1" t="n">
        <v>45000.01452546296</v>
      </c>
      <c r="C5138" s="1" t="n">
        <v>46185</v>
      </c>
      <c r="D5138" t="inlineStr">
        <is>
          <t>VÄSTERNORRLANDS LÄN</t>
        </is>
      </c>
      <c r="E5138" t="inlineStr">
        <is>
          <t>SOLLEFTEÅ</t>
        </is>
      </c>
      <c r="F5138" t="inlineStr">
        <is>
          <t>SCA</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2481-2025</t>
        </is>
      </c>
      <c r="B5139" s="1" t="n">
        <v>45674.48996527777</v>
      </c>
      <c r="C5139" s="1" t="n">
        <v>46185</v>
      </c>
      <c r="D5139" t="inlineStr">
        <is>
          <t>VÄSTERNORRLANDS LÄN</t>
        </is>
      </c>
      <c r="E5139" t="inlineStr">
        <is>
          <t>SOLLEFTEÅ</t>
        </is>
      </c>
      <c r="F5139" t="inlineStr">
        <is>
          <t>SCA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51813-2025</t>
        </is>
      </c>
      <c r="B5140" s="1" t="n">
        <v>45951.83082175926</v>
      </c>
      <c r="C5140" s="1" t="n">
        <v>46185</v>
      </c>
      <c r="D5140" t="inlineStr">
        <is>
          <t>VÄSTERNORRLANDS LÄN</t>
        </is>
      </c>
      <c r="E5140" t="inlineStr">
        <is>
          <t>ÅNGE</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51814-2025</t>
        </is>
      </c>
      <c r="B5141" s="1" t="n">
        <v>45951.83572916667</v>
      </c>
      <c r="C5141" s="1" t="n">
        <v>46185</v>
      </c>
      <c r="D5141" t="inlineStr">
        <is>
          <t>VÄSTERNORRLANDS LÄN</t>
        </is>
      </c>
      <c r="E5141" t="inlineStr">
        <is>
          <t>SUNDSVALL</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51713-2025</t>
        </is>
      </c>
      <c r="B5142" s="1" t="n">
        <v>45951.5744212963</v>
      </c>
      <c r="C5142" s="1" t="n">
        <v>46185</v>
      </c>
      <c r="D5142" t="inlineStr">
        <is>
          <t>VÄSTERNORRLANDS LÄN</t>
        </is>
      </c>
      <c r="E5142" t="inlineStr">
        <is>
          <t>ÖRNSKÖLDSVIK</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52129-2025</t>
        </is>
      </c>
      <c r="B5143" s="1" t="n">
        <v>45952</v>
      </c>
      <c r="C5143" s="1" t="n">
        <v>46185</v>
      </c>
      <c r="D5143" t="inlineStr">
        <is>
          <t>VÄSTERNORRLANDS LÄN</t>
        </is>
      </c>
      <c r="E5143" t="inlineStr">
        <is>
          <t>ÖRNSKÖLDSVIK</t>
        </is>
      </c>
      <c r="G5143" t="n">
        <v>22.6</v>
      </c>
      <c r="H5143" t="n">
        <v>0</v>
      </c>
      <c r="I5143" t="n">
        <v>0</v>
      </c>
      <c r="J5143" t="n">
        <v>0</v>
      </c>
      <c r="K5143" t="n">
        <v>0</v>
      </c>
      <c r="L5143" t="n">
        <v>0</v>
      </c>
      <c r="M5143" t="n">
        <v>0</v>
      </c>
      <c r="N5143" t="n">
        <v>0</v>
      </c>
      <c r="O5143" t="n">
        <v>0</v>
      </c>
      <c r="P5143" t="n">
        <v>0</v>
      </c>
      <c r="Q5143" t="n">
        <v>0</v>
      </c>
      <c r="R5143" s="2" t="inlineStr"/>
    </row>
    <row r="5144" ht="15" customHeight="1">
      <c r="A5144" t="inlineStr">
        <is>
          <t>A 52909-2024</t>
        </is>
      </c>
      <c r="B5144" s="1" t="n">
        <v>45610.69864583333</v>
      </c>
      <c r="C5144" s="1" t="n">
        <v>46185</v>
      </c>
      <c r="D5144" t="inlineStr">
        <is>
          <t>VÄSTERNORRLANDS LÄN</t>
        </is>
      </c>
      <c r="E5144" t="inlineStr">
        <is>
          <t>TIMRÅ</t>
        </is>
      </c>
      <c r="F5144" t="inlineStr">
        <is>
          <t>SCA</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5769-2026</t>
        </is>
      </c>
      <c r="B5145" s="1" t="n">
        <v>46051.64239583333</v>
      </c>
      <c r="C5145" s="1" t="n">
        <v>46185</v>
      </c>
      <c r="D5145" t="inlineStr">
        <is>
          <t>VÄSTERNORRLANDS LÄN</t>
        </is>
      </c>
      <c r="E5145" t="inlineStr">
        <is>
          <t>ÖRNSKÖLDSVIK</t>
        </is>
      </c>
      <c r="F5145" t="inlineStr">
        <is>
          <t>Holmen skog AB</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51706-2025</t>
        </is>
      </c>
      <c r="B5146" s="1" t="n">
        <v>45951.56513888889</v>
      </c>
      <c r="C5146" s="1" t="n">
        <v>46185</v>
      </c>
      <c r="D5146" t="inlineStr">
        <is>
          <t>VÄSTERNORRLANDS LÄN</t>
        </is>
      </c>
      <c r="E5146" t="inlineStr">
        <is>
          <t>KRAMFORS</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51742-2025</t>
        </is>
      </c>
      <c r="B5147" s="1" t="n">
        <v>45951</v>
      </c>
      <c r="C5147" s="1" t="n">
        <v>46185</v>
      </c>
      <c r="D5147" t="inlineStr">
        <is>
          <t>VÄSTERNORRLANDS LÄN</t>
        </is>
      </c>
      <c r="E5147" t="inlineStr">
        <is>
          <t>ÖRNSKÖLDSVIK</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51899-2025</t>
        </is>
      </c>
      <c r="B5148" s="1" t="n">
        <v>45952.44201388889</v>
      </c>
      <c r="C5148" s="1" t="n">
        <v>46185</v>
      </c>
      <c r="D5148" t="inlineStr">
        <is>
          <t>VÄSTERNORRLANDS LÄN</t>
        </is>
      </c>
      <c r="E5148" t="inlineStr">
        <is>
          <t>SOLLEFTEÅ</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10311-2024</t>
        </is>
      </c>
      <c r="B5149" s="1" t="n">
        <v>45365</v>
      </c>
      <c r="C5149" s="1" t="n">
        <v>46185</v>
      </c>
      <c r="D5149" t="inlineStr">
        <is>
          <t>VÄSTERNORRLANDS LÄN</t>
        </is>
      </c>
      <c r="E5149" t="inlineStr">
        <is>
          <t>KRAMFORS</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5671-2026</t>
        </is>
      </c>
      <c r="B5150" s="1" t="n">
        <v>46051.46965277778</v>
      </c>
      <c r="C5150" s="1" t="n">
        <v>46185</v>
      </c>
      <c r="D5150" t="inlineStr">
        <is>
          <t>VÄSTERNORRLANDS LÄN</t>
        </is>
      </c>
      <c r="E5150" t="inlineStr">
        <is>
          <t>ÅNGE</t>
        </is>
      </c>
      <c r="F5150" t="inlineStr">
        <is>
          <t>SCA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51578-2025</t>
        </is>
      </c>
      <c r="B5151" s="1" t="n">
        <v>45951.34520833333</v>
      </c>
      <c r="C5151" s="1" t="n">
        <v>46185</v>
      </c>
      <c r="D5151" t="inlineStr">
        <is>
          <t>VÄSTERNORRLANDS LÄN</t>
        </is>
      </c>
      <c r="E5151" t="inlineStr">
        <is>
          <t>SUNDSVALL</t>
        </is>
      </c>
      <c r="F5151" t="inlineStr">
        <is>
          <t>SCA</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51581-2025</t>
        </is>
      </c>
      <c r="B5152" s="1" t="n">
        <v>45951.34552083333</v>
      </c>
      <c r="C5152" s="1" t="n">
        <v>46185</v>
      </c>
      <c r="D5152" t="inlineStr">
        <is>
          <t>VÄSTERNORRLANDS LÄN</t>
        </is>
      </c>
      <c r="E5152" t="inlineStr">
        <is>
          <t>SUNDSVALL</t>
        </is>
      </c>
      <c r="G5152" t="n">
        <v>5.3</v>
      </c>
      <c r="H5152" t="n">
        <v>0</v>
      </c>
      <c r="I5152" t="n">
        <v>0</v>
      </c>
      <c r="J5152" t="n">
        <v>0</v>
      </c>
      <c r="K5152" t="n">
        <v>0</v>
      </c>
      <c r="L5152" t="n">
        <v>0</v>
      </c>
      <c r="M5152" t="n">
        <v>0</v>
      </c>
      <c r="N5152" t="n">
        <v>0</v>
      </c>
      <c r="O5152" t="n">
        <v>0</v>
      </c>
      <c r="P5152" t="n">
        <v>0</v>
      </c>
      <c r="Q5152" t="n">
        <v>0</v>
      </c>
      <c r="R5152" s="2" t="inlineStr"/>
    </row>
    <row r="5153" ht="15" customHeight="1">
      <c r="A5153" t="inlineStr">
        <is>
          <t>A 51841-2025</t>
        </is>
      </c>
      <c r="B5153" s="1" t="n">
        <v>45952.34482638889</v>
      </c>
      <c r="C5153" s="1" t="n">
        <v>46185</v>
      </c>
      <c r="D5153" t="inlineStr">
        <is>
          <t>VÄSTERNORRLANDS LÄN</t>
        </is>
      </c>
      <c r="E5153" t="inlineStr">
        <is>
          <t>TIMRÅ</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1375-2023</t>
        </is>
      </c>
      <c r="B5154" s="1" t="n">
        <v>44936.66675925926</v>
      </c>
      <c r="C5154" s="1" t="n">
        <v>46185</v>
      </c>
      <c r="D5154" t="inlineStr">
        <is>
          <t>VÄSTERNORRLANDS LÄN</t>
        </is>
      </c>
      <c r="E5154" t="inlineStr">
        <is>
          <t>SUNDSVALL</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11252-2024</t>
        </is>
      </c>
      <c r="B5155" s="1" t="n">
        <v>45371</v>
      </c>
      <c r="C5155" s="1" t="n">
        <v>46185</v>
      </c>
      <c r="D5155" t="inlineStr">
        <is>
          <t>VÄSTERNORRLANDS LÄN</t>
        </is>
      </c>
      <c r="E5155" t="inlineStr">
        <is>
          <t>ÖRNSKÖLDSVIK</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62262-2022</t>
        </is>
      </c>
      <c r="B5156" s="1" t="n">
        <v>44922.94387731481</v>
      </c>
      <c r="C5156" s="1" t="n">
        <v>46185</v>
      </c>
      <c r="D5156" t="inlineStr">
        <is>
          <t>VÄSTERNORRLANDS LÄN</t>
        </is>
      </c>
      <c r="E5156" t="inlineStr">
        <is>
          <t>SOLLEFTEÅ</t>
        </is>
      </c>
      <c r="F5156" t="inlineStr">
        <is>
          <t>SCA</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5732-2026</t>
        </is>
      </c>
      <c r="B5157" s="1" t="n">
        <v>46051.57375</v>
      </c>
      <c r="C5157" s="1" t="n">
        <v>46185</v>
      </c>
      <c r="D5157" t="inlineStr">
        <is>
          <t>VÄSTERNORRLANDS LÄN</t>
        </is>
      </c>
      <c r="E5157" t="inlineStr">
        <is>
          <t>TIMRÅ</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52335-2025</t>
        </is>
      </c>
      <c r="B5158" s="1" t="n">
        <v>45953.68591435185</v>
      </c>
      <c r="C5158" s="1" t="n">
        <v>46185</v>
      </c>
      <c r="D5158" t="inlineStr">
        <is>
          <t>VÄSTERNORRLANDS LÄN</t>
        </is>
      </c>
      <c r="E5158" t="inlineStr">
        <is>
          <t>ÅNGE</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53483-2024</t>
        </is>
      </c>
      <c r="B5159" s="1" t="n">
        <v>45611</v>
      </c>
      <c r="C5159" s="1" t="n">
        <v>46185</v>
      </c>
      <c r="D5159" t="inlineStr">
        <is>
          <t>VÄSTERNORRLANDS LÄN</t>
        </is>
      </c>
      <c r="E5159" t="inlineStr">
        <is>
          <t>SOLLEFTEÅ</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27092-2023</t>
        </is>
      </c>
      <c r="B5160" s="1" t="n">
        <v>45096</v>
      </c>
      <c r="C5160" s="1" t="n">
        <v>46185</v>
      </c>
      <c r="D5160" t="inlineStr">
        <is>
          <t>VÄSTERNORRLANDS LÄN</t>
        </is>
      </c>
      <c r="E5160" t="inlineStr">
        <is>
          <t>ÖRNSKÖLDSVIK</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52561-2025</t>
        </is>
      </c>
      <c r="B5161" s="1" t="n">
        <v>45954.5725</v>
      </c>
      <c r="C5161" s="1" t="n">
        <v>46185</v>
      </c>
      <c r="D5161" t="inlineStr">
        <is>
          <t>VÄSTERNORRLANDS LÄN</t>
        </is>
      </c>
      <c r="E5161" t="inlineStr">
        <is>
          <t>TIMRÅ</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52144-2025</t>
        </is>
      </c>
      <c r="B5162" s="1" t="n">
        <v>45953.34181712963</v>
      </c>
      <c r="C5162" s="1" t="n">
        <v>46185</v>
      </c>
      <c r="D5162" t="inlineStr">
        <is>
          <t>VÄSTERNORRLANDS LÄN</t>
        </is>
      </c>
      <c r="E5162" t="inlineStr">
        <is>
          <t>ÖRNSKÖLDSVIK</t>
        </is>
      </c>
      <c r="G5162" t="n">
        <v>17.9</v>
      </c>
      <c r="H5162" t="n">
        <v>0</v>
      </c>
      <c r="I5162" t="n">
        <v>0</v>
      </c>
      <c r="J5162" t="n">
        <v>0</v>
      </c>
      <c r="K5162" t="n">
        <v>0</v>
      </c>
      <c r="L5162" t="n">
        <v>0</v>
      </c>
      <c r="M5162" t="n">
        <v>0</v>
      </c>
      <c r="N5162" t="n">
        <v>0</v>
      </c>
      <c r="O5162" t="n">
        <v>0</v>
      </c>
      <c r="P5162" t="n">
        <v>0</v>
      </c>
      <c r="Q5162" t="n">
        <v>0</v>
      </c>
      <c r="R5162" s="2" t="inlineStr"/>
    </row>
    <row r="5163" ht="15" customHeight="1">
      <c r="A5163" t="inlineStr">
        <is>
          <t>A 52145-2025</t>
        </is>
      </c>
      <c r="B5163" s="1" t="n">
        <v>45953.34225694444</v>
      </c>
      <c r="C5163" s="1" t="n">
        <v>46185</v>
      </c>
      <c r="D5163" t="inlineStr">
        <is>
          <t>VÄSTERNORRLANDS LÄN</t>
        </is>
      </c>
      <c r="E5163" t="inlineStr">
        <is>
          <t>ÖRNSKÖLDSVIK</t>
        </is>
      </c>
      <c r="F5163" t="inlineStr">
        <is>
          <t>Holmen skog AB</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52151-2025</t>
        </is>
      </c>
      <c r="B5164" s="1" t="n">
        <v>45953.34508101852</v>
      </c>
      <c r="C5164" s="1" t="n">
        <v>46185</v>
      </c>
      <c r="D5164" t="inlineStr">
        <is>
          <t>VÄSTERNORRLANDS LÄN</t>
        </is>
      </c>
      <c r="E5164" t="inlineStr">
        <is>
          <t>TIMRÅ</t>
        </is>
      </c>
      <c r="F5164" t="inlineStr">
        <is>
          <t>SCA</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52142-2025</t>
        </is>
      </c>
      <c r="B5165" s="1" t="n">
        <v>45953.32988425926</v>
      </c>
      <c r="C5165" s="1" t="n">
        <v>46185</v>
      </c>
      <c r="D5165" t="inlineStr">
        <is>
          <t>VÄSTERNORRLANDS LÄN</t>
        </is>
      </c>
      <c r="E5165" t="inlineStr">
        <is>
          <t>ÖRNSKÖLDSVIK</t>
        </is>
      </c>
      <c r="F5165" t="inlineStr">
        <is>
          <t>Holmen skog AB</t>
        </is>
      </c>
      <c r="G5165" t="n">
        <v>10.8</v>
      </c>
      <c r="H5165" t="n">
        <v>0</v>
      </c>
      <c r="I5165" t="n">
        <v>0</v>
      </c>
      <c r="J5165" t="n">
        <v>0</v>
      </c>
      <c r="K5165" t="n">
        <v>0</v>
      </c>
      <c r="L5165" t="n">
        <v>0</v>
      </c>
      <c r="M5165" t="n">
        <v>0</v>
      </c>
      <c r="N5165" t="n">
        <v>0</v>
      </c>
      <c r="O5165" t="n">
        <v>0</v>
      </c>
      <c r="P5165" t="n">
        <v>0</v>
      </c>
      <c r="Q5165" t="n">
        <v>0</v>
      </c>
      <c r="R5165" s="2" t="inlineStr"/>
    </row>
    <row r="5166" ht="15" customHeight="1">
      <c r="A5166" t="inlineStr">
        <is>
          <t>A 5911-2026</t>
        </is>
      </c>
      <c r="B5166" s="1" t="n">
        <v>46052</v>
      </c>
      <c r="C5166" s="1" t="n">
        <v>46185</v>
      </c>
      <c r="D5166" t="inlineStr">
        <is>
          <t>VÄSTERNORRLANDS LÄN</t>
        </is>
      </c>
      <c r="E5166" t="inlineStr">
        <is>
          <t>HÄRNÖSAND</t>
        </is>
      </c>
      <c r="F5166" t="inlineStr">
        <is>
          <t>SCA</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52149-2025</t>
        </is>
      </c>
      <c r="B5167" s="1" t="n">
        <v>45953.34471064815</v>
      </c>
      <c r="C5167" s="1" t="n">
        <v>46185</v>
      </c>
      <c r="D5167" t="inlineStr">
        <is>
          <t>VÄSTERNORRLANDS LÄN</t>
        </is>
      </c>
      <c r="E5167" t="inlineStr">
        <is>
          <t>SUNDSVALL</t>
        </is>
      </c>
      <c r="F5167" t="inlineStr">
        <is>
          <t>SCA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52616-2025</t>
        </is>
      </c>
      <c r="B5168" s="1" t="n">
        <v>45954.67804398148</v>
      </c>
      <c r="C5168" s="1" t="n">
        <v>46185</v>
      </c>
      <c r="D5168" t="inlineStr">
        <is>
          <t>VÄSTERNORRLANDS LÄN</t>
        </is>
      </c>
      <c r="E5168" t="inlineStr">
        <is>
          <t>SUNDSVALL</t>
        </is>
      </c>
      <c r="F5168" t="inlineStr">
        <is>
          <t>SCA</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52627-2025</t>
        </is>
      </c>
      <c r="B5169" s="1" t="n">
        <v>45953</v>
      </c>
      <c r="C5169" s="1" t="n">
        <v>46185</v>
      </c>
      <c r="D5169" t="inlineStr">
        <is>
          <t>VÄSTERNORRLANDS LÄN</t>
        </is>
      </c>
      <c r="E5169" t="inlineStr">
        <is>
          <t>TIMRÅ</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52140-2025</t>
        </is>
      </c>
      <c r="B5170" s="1" t="n">
        <v>45953.32174768519</v>
      </c>
      <c r="C5170" s="1" t="n">
        <v>46185</v>
      </c>
      <c r="D5170" t="inlineStr">
        <is>
          <t>VÄSTERNORRLANDS LÄN</t>
        </is>
      </c>
      <c r="E5170" t="inlineStr">
        <is>
          <t>ÖRNSKÖLDSVIK</t>
        </is>
      </c>
      <c r="F5170" t="inlineStr">
        <is>
          <t>Holmen skog AB</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5616-2026</t>
        </is>
      </c>
      <c r="B5171" s="1" t="n">
        <v>46051.37532407408</v>
      </c>
      <c r="C5171" s="1" t="n">
        <v>46185</v>
      </c>
      <c r="D5171" t="inlineStr">
        <is>
          <t>VÄSTERNORRLANDS LÄN</t>
        </is>
      </c>
      <c r="E5171" t="inlineStr">
        <is>
          <t>SUNDSVALL</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52193-2025</t>
        </is>
      </c>
      <c r="B5172" s="1" t="n">
        <v>45953.38885416667</v>
      </c>
      <c r="C5172" s="1" t="n">
        <v>46185</v>
      </c>
      <c r="D5172" t="inlineStr">
        <is>
          <t>VÄSTERNORRLANDS LÄN</t>
        </is>
      </c>
      <c r="E5172" t="inlineStr">
        <is>
          <t>ÖRNSKÖLDSVIK</t>
        </is>
      </c>
      <c r="F5172" t="inlineStr">
        <is>
          <t>Holmen skog AB</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52196-2025</t>
        </is>
      </c>
      <c r="B5173" s="1" t="n">
        <v>45953.39898148148</v>
      </c>
      <c r="C5173" s="1" t="n">
        <v>46185</v>
      </c>
      <c r="D5173" t="inlineStr">
        <is>
          <t>VÄSTERNORRLANDS LÄN</t>
        </is>
      </c>
      <c r="E5173" t="inlineStr">
        <is>
          <t>ÖRNSKÖLDSVIK</t>
        </is>
      </c>
      <c r="F5173" t="inlineStr">
        <is>
          <t>Holmen skog AB</t>
        </is>
      </c>
      <c r="G5173" t="n">
        <v>11.5</v>
      </c>
      <c r="H5173" t="n">
        <v>0</v>
      </c>
      <c r="I5173" t="n">
        <v>0</v>
      </c>
      <c r="J5173" t="n">
        <v>0</v>
      </c>
      <c r="K5173" t="n">
        <v>0</v>
      </c>
      <c r="L5173" t="n">
        <v>0</v>
      </c>
      <c r="M5173" t="n">
        <v>0</v>
      </c>
      <c r="N5173" t="n">
        <v>0</v>
      </c>
      <c r="O5173" t="n">
        <v>0</v>
      </c>
      <c r="P5173" t="n">
        <v>0</v>
      </c>
      <c r="Q5173" t="n">
        <v>0</v>
      </c>
      <c r="R5173" s="2" t="inlineStr"/>
    </row>
    <row r="5174" ht="15" customHeight="1">
      <c r="A5174" t="inlineStr">
        <is>
          <t>A 52283-2025</t>
        </is>
      </c>
      <c r="B5174" s="1" t="n">
        <v>45953.57346064815</v>
      </c>
      <c r="C5174" s="1" t="n">
        <v>46185</v>
      </c>
      <c r="D5174" t="inlineStr">
        <is>
          <t>VÄSTERNORRLANDS LÄN</t>
        </is>
      </c>
      <c r="E5174" t="inlineStr">
        <is>
          <t>ÅNGE</t>
        </is>
      </c>
      <c r="G5174" t="n">
        <v>8.9</v>
      </c>
      <c r="H5174" t="n">
        <v>0</v>
      </c>
      <c r="I5174" t="n">
        <v>0</v>
      </c>
      <c r="J5174" t="n">
        <v>0</v>
      </c>
      <c r="K5174" t="n">
        <v>0</v>
      </c>
      <c r="L5174" t="n">
        <v>0</v>
      </c>
      <c r="M5174" t="n">
        <v>0</v>
      </c>
      <c r="N5174" t="n">
        <v>0</v>
      </c>
      <c r="O5174" t="n">
        <v>0</v>
      </c>
      <c r="P5174" t="n">
        <v>0</v>
      </c>
      <c r="Q5174" t="n">
        <v>0</v>
      </c>
      <c r="R5174" s="2" t="inlineStr"/>
    </row>
    <row r="5175" ht="15" customHeight="1">
      <c r="A5175" t="inlineStr">
        <is>
          <t>A 52236-2025</t>
        </is>
      </c>
      <c r="B5175" s="1" t="n">
        <v>45953.45596064815</v>
      </c>
      <c r="C5175" s="1" t="n">
        <v>46185</v>
      </c>
      <c r="D5175" t="inlineStr">
        <is>
          <t>VÄSTERNORRLANDS LÄN</t>
        </is>
      </c>
      <c r="E5175" t="inlineStr">
        <is>
          <t>SOLLEFTEÅ</t>
        </is>
      </c>
      <c r="F5175" t="inlineStr">
        <is>
          <t>Holmen skog AB</t>
        </is>
      </c>
      <c r="G5175" t="n">
        <v>7.2</v>
      </c>
      <c r="H5175" t="n">
        <v>0</v>
      </c>
      <c r="I5175" t="n">
        <v>0</v>
      </c>
      <c r="J5175" t="n">
        <v>0</v>
      </c>
      <c r="K5175" t="n">
        <v>0</v>
      </c>
      <c r="L5175" t="n">
        <v>0</v>
      </c>
      <c r="M5175" t="n">
        <v>0</v>
      </c>
      <c r="N5175" t="n">
        <v>0</v>
      </c>
      <c r="O5175" t="n">
        <v>0</v>
      </c>
      <c r="P5175" t="n">
        <v>0</v>
      </c>
      <c r="Q5175" t="n">
        <v>0</v>
      </c>
      <c r="R5175" s="2" t="inlineStr"/>
    </row>
    <row r="5176" ht="15" customHeight="1">
      <c r="A5176" t="inlineStr">
        <is>
          <t>A 12107-2023</t>
        </is>
      </c>
      <c r="B5176" s="1" t="n">
        <v>44995</v>
      </c>
      <c r="C5176" s="1" t="n">
        <v>46185</v>
      </c>
      <c r="D5176" t="inlineStr">
        <is>
          <t>VÄSTERNORRLANDS LÄN</t>
        </is>
      </c>
      <c r="E5176" t="inlineStr">
        <is>
          <t>SOLLEFTEÅ</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52264-2025</t>
        </is>
      </c>
      <c r="B5177" s="1" t="n">
        <v>45953.52818287037</v>
      </c>
      <c r="C5177" s="1" t="n">
        <v>46185</v>
      </c>
      <c r="D5177" t="inlineStr">
        <is>
          <t>VÄSTERNORRLANDS LÄN</t>
        </is>
      </c>
      <c r="E5177" t="inlineStr">
        <is>
          <t>ÖRNSKÖLDSVIK</t>
        </is>
      </c>
      <c r="F5177" t="inlineStr">
        <is>
          <t>Holmen skog AB</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52275-2025</t>
        </is>
      </c>
      <c r="B5178" s="1" t="n">
        <v>45953.55248842593</v>
      </c>
      <c r="C5178" s="1" t="n">
        <v>46185</v>
      </c>
      <c r="D5178" t="inlineStr">
        <is>
          <t>VÄSTERNORRLANDS LÄN</t>
        </is>
      </c>
      <c r="E5178" t="inlineStr">
        <is>
          <t>TIMRÅ</t>
        </is>
      </c>
      <c r="F5178" t="inlineStr">
        <is>
          <t>SCA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4531-2026</t>
        </is>
      </c>
      <c r="B5179" s="1" t="n">
        <v>46046</v>
      </c>
      <c r="C5179" s="1" t="n">
        <v>46185</v>
      </c>
      <c r="D5179" t="inlineStr">
        <is>
          <t>VÄSTERNORRLANDS LÄN</t>
        </is>
      </c>
      <c r="E5179" t="inlineStr">
        <is>
          <t>KRAMFORS</t>
        </is>
      </c>
      <c r="G5179" t="n">
        <v>10.2</v>
      </c>
      <c r="H5179" t="n">
        <v>0</v>
      </c>
      <c r="I5179" t="n">
        <v>0</v>
      </c>
      <c r="J5179" t="n">
        <v>0</v>
      </c>
      <c r="K5179" t="n">
        <v>0</v>
      </c>
      <c r="L5179" t="n">
        <v>0</v>
      </c>
      <c r="M5179" t="n">
        <v>0</v>
      </c>
      <c r="N5179" t="n">
        <v>0</v>
      </c>
      <c r="O5179" t="n">
        <v>0</v>
      </c>
      <c r="P5179" t="n">
        <v>0</v>
      </c>
      <c r="Q5179" t="n">
        <v>0</v>
      </c>
      <c r="R5179" s="2" t="inlineStr"/>
    </row>
    <row r="5180" ht="15" customHeight="1">
      <c r="A5180" t="inlineStr">
        <is>
          <t>A 52411-2025</t>
        </is>
      </c>
      <c r="B5180" s="1" t="n">
        <v>45954.36518518518</v>
      </c>
      <c r="C5180" s="1" t="n">
        <v>46185</v>
      </c>
      <c r="D5180" t="inlineStr">
        <is>
          <t>VÄSTERNORRLANDS LÄN</t>
        </is>
      </c>
      <c r="E5180" t="inlineStr">
        <is>
          <t>ÅNGE</t>
        </is>
      </c>
      <c r="F5180" t="inlineStr">
        <is>
          <t>SCA</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58165-2022</t>
        </is>
      </c>
      <c r="B5181" s="1" t="n">
        <v>44900</v>
      </c>
      <c r="C5181" s="1" t="n">
        <v>46185</v>
      </c>
      <c r="D5181" t="inlineStr">
        <is>
          <t>VÄSTERNORRLANDS LÄN</t>
        </is>
      </c>
      <c r="E5181" t="inlineStr">
        <is>
          <t>SUNDSVALL</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52306-2025</t>
        </is>
      </c>
      <c r="B5182" s="1" t="n">
        <v>45953.63600694444</v>
      </c>
      <c r="C5182" s="1" t="n">
        <v>46185</v>
      </c>
      <c r="D5182" t="inlineStr">
        <is>
          <t>VÄSTERNORRLANDS LÄN</t>
        </is>
      </c>
      <c r="E5182" t="inlineStr">
        <is>
          <t>ÅNGE</t>
        </is>
      </c>
      <c r="F5182" t="inlineStr">
        <is>
          <t>SCA</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52160-2025</t>
        </is>
      </c>
      <c r="B5183" s="1" t="n">
        <v>45953.35965277778</v>
      </c>
      <c r="C5183" s="1" t="n">
        <v>46185</v>
      </c>
      <c r="D5183" t="inlineStr">
        <is>
          <t>VÄSTERNORRLANDS LÄN</t>
        </is>
      </c>
      <c r="E5183" t="inlineStr">
        <is>
          <t>ÖRNSKÖLDSVIK</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64638-2021</t>
        </is>
      </c>
      <c r="B5184" s="1" t="n">
        <v>44511</v>
      </c>
      <c r="C5184" s="1" t="n">
        <v>46185</v>
      </c>
      <c r="D5184" t="inlineStr">
        <is>
          <t>VÄSTERNORRLANDS LÄN</t>
        </is>
      </c>
      <c r="E5184" t="inlineStr">
        <is>
          <t>SOLLEFTEÅ</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6289-2026</t>
        </is>
      </c>
      <c r="B5185" s="1" t="n">
        <v>46055.55256944444</v>
      </c>
      <c r="C5185" s="1" t="n">
        <v>46185</v>
      </c>
      <c r="D5185" t="inlineStr">
        <is>
          <t>VÄSTERNORRLANDS LÄN</t>
        </is>
      </c>
      <c r="E5185" t="inlineStr">
        <is>
          <t>SUNDSVALL</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6288-2026</t>
        </is>
      </c>
      <c r="B5186" s="1" t="n">
        <v>46055.5525</v>
      </c>
      <c r="C5186" s="1" t="n">
        <v>46185</v>
      </c>
      <c r="D5186" t="inlineStr">
        <is>
          <t>VÄSTERNORRLANDS LÄN</t>
        </is>
      </c>
      <c r="E5186" t="inlineStr">
        <is>
          <t>SUNDSVALL</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6290-2026</t>
        </is>
      </c>
      <c r="B5187" s="1" t="n">
        <v>46055.55262731481</v>
      </c>
      <c r="C5187" s="1" t="n">
        <v>46185</v>
      </c>
      <c r="D5187" t="inlineStr">
        <is>
          <t>VÄSTERNORRLANDS LÄN</t>
        </is>
      </c>
      <c r="E5187" t="inlineStr">
        <is>
          <t>SUNDSVALL</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6468-2026</t>
        </is>
      </c>
      <c r="B5188" s="1" t="n">
        <v>46056.32021990741</v>
      </c>
      <c r="C5188" s="1" t="n">
        <v>46185</v>
      </c>
      <c r="D5188" t="inlineStr">
        <is>
          <t>VÄSTERNORRLANDS LÄN</t>
        </is>
      </c>
      <c r="E5188" t="inlineStr">
        <is>
          <t>SOLLEFTEÅ</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52573-2025</t>
        </is>
      </c>
      <c r="B5189" s="1" t="n">
        <v>45954.60927083333</v>
      </c>
      <c r="C5189" s="1" t="n">
        <v>46185</v>
      </c>
      <c r="D5189" t="inlineStr">
        <is>
          <t>VÄSTERNORRLANDS LÄN</t>
        </is>
      </c>
      <c r="E5189" t="inlineStr">
        <is>
          <t>ÖRNSKÖLDSVIK</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6526-2026</t>
        </is>
      </c>
      <c r="B5190" s="1" t="n">
        <v>46056</v>
      </c>
      <c r="C5190" s="1" t="n">
        <v>46185</v>
      </c>
      <c r="D5190" t="inlineStr">
        <is>
          <t>VÄSTERNORRLANDS LÄN</t>
        </is>
      </c>
      <c r="E5190" t="inlineStr">
        <is>
          <t>TIMRÅ</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6358-2026</t>
        </is>
      </c>
      <c r="B5191" s="1" t="n">
        <v>46055.61804398148</v>
      </c>
      <c r="C5191" s="1" t="n">
        <v>46185</v>
      </c>
      <c r="D5191" t="inlineStr">
        <is>
          <t>VÄSTERNORRLANDS LÄN</t>
        </is>
      </c>
      <c r="E5191" t="inlineStr">
        <is>
          <t>ÖRNSKÖLDSVIK</t>
        </is>
      </c>
      <c r="F5191" t="inlineStr">
        <is>
          <t>Holmen skog AB</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52569-2025</t>
        </is>
      </c>
      <c r="B5192" s="1" t="n">
        <v>45954</v>
      </c>
      <c r="C5192" s="1" t="n">
        <v>46185</v>
      </c>
      <c r="D5192" t="inlineStr">
        <is>
          <t>VÄSTERNORRLANDS LÄN</t>
        </is>
      </c>
      <c r="E5192" t="inlineStr">
        <is>
          <t>ÖRNSKÖLDSVIK</t>
        </is>
      </c>
      <c r="G5192" t="n">
        <v>6.6</v>
      </c>
      <c r="H5192" t="n">
        <v>0</v>
      </c>
      <c r="I5192" t="n">
        <v>0</v>
      </c>
      <c r="J5192" t="n">
        <v>0</v>
      </c>
      <c r="K5192" t="n">
        <v>0</v>
      </c>
      <c r="L5192" t="n">
        <v>0</v>
      </c>
      <c r="M5192" t="n">
        <v>0</v>
      </c>
      <c r="N5192" t="n">
        <v>0</v>
      </c>
      <c r="O5192" t="n">
        <v>0</v>
      </c>
      <c r="P5192" t="n">
        <v>0</v>
      </c>
      <c r="Q5192" t="n">
        <v>0</v>
      </c>
      <c r="R5192" s="2" t="inlineStr"/>
    </row>
    <row r="5193" ht="15" customHeight="1">
      <c r="A5193" t="inlineStr">
        <is>
          <t>A 6138-2026</t>
        </is>
      </c>
      <c r="B5193" s="1" t="n">
        <v>46054</v>
      </c>
      <c r="C5193" s="1" t="n">
        <v>46185</v>
      </c>
      <c r="D5193" t="inlineStr">
        <is>
          <t>VÄSTERNORRLANDS LÄN</t>
        </is>
      </c>
      <c r="E5193" t="inlineStr">
        <is>
          <t>HÄRNÖSAND</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67063-2021</t>
        </is>
      </c>
      <c r="B5194" s="1" t="n">
        <v>44522.92043981481</v>
      </c>
      <c r="C5194" s="1" t="n">
        <v>46185</v>
      </c>
      <c r="D5194" t="inlineStr">
        <is>
          <t>VÄSTERNORRLANDS LÄN</t>
        </is>
      </c>
      <c r="E5194" t="inlineStr">
        <is>
          <t>TIMRÅ</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52227-2025</t>
        </is>
      </c>
      <c r="B5195" s="1" t="n">
        <v>45953.44878472222</v>
      </c>
      <c r="C5195" s="1" t="n">
        <v>46185</v>
      </c>
      <c r="D5195" t="inlineStr">
        <is>
          <t>VÄSTERNORRLANDS LÄN</t>
        </is>
      </c>
      <c r="E5195" t="inlineStr">
        <is>
          <t>TIMRÅ</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52255-2025</t>
        </is>
      </c>
      <c r="B5196" s="1" t="n">
        <v>45953.50049768519</v>
      </c>
      <c r="C5196" s="1" t="n">
        <v>46185</v>
      </c>
      <c r="D5196" t="inlineStr">
        <is>
          <t>VÄSTERNORRLANDS LÄN</t>
        </is>
      </c>
      <c r="E5196" t="inlineStr">
        <is>
          <t>ÖRNSKÖLDSVIK</t>
        </is>
      </c>
      <c r="F5196" t="inlineStr">
        <is>
          <t>Holmen skog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52522-2025</t>
        </is>
      </c>
      <c r="B5197" s="1" t="n">
        <v>45954.52670138889</v>
      </c>
      <c r="C5197" s="1" t="n">
        <v>46185</v>
      </c>
      <c r="D5197" t="inlineStr">
        <is>
          <t>VÄSTERNORRLANDS LÄN</t>
        </is>
      </c>
      <c r="E5197" t="inlineStr">
        <is>
          <t>ÖRNSKÖLDSVIK</t>
        </is>
      </c>
      <c r="F5197" t="inlineStr">
        <is>
          <t>Holmen skog AB</t>
        </is>
      </c>
      <c r="G5197" t="n">
        <v>10.7</v>
      </c>
      <c r="H5197" t="n">
        <v>0</v>
      </c>
      <c r="I5197" t="n">
        <v>0</v>
      </c>
      <c r="J5197" t="n">
        <v>0</v>
      </c>
      <c r="K5197" t="n">
        <v>0</v>
      </c>
      <c r="L5197" t="n">
        <v>0</v>
      </c>
      <c r="M5197" t="n">
        <v>0</v>
      </c>
      <c r="N5197" t="n">
        <v>0</v>
      </c>
      <c r="O5197" t="n">
        <v>0</v>
      </c>
      <c r="P5197" t="n">
        <v>0</v>
      </c>
      <c r="Q5197" t="n">
        <v>0</v>
      </c>
      <c r="R5197" s="2" t="inlineStr"/>
    </row>
    <row r="5198" ht="15" customHeight="1">
      <c r="A5198" t="inlineStr">
        <is>
          <t>A 26018-2024</t>
        </is>
      </c>
      <c r="B5198" s="1" t="n">
        <v>45467.95998842592</v>
      </c>
      <c r="C5198" s="1" t="n">
        <v>46185</v>
      </c>
      <c r="D5198" t="inlineStr">
        <is>
          <t>VÄSTERNORRLANDS LÄN</t>
        </is>
      </c>
      <c r="E5198" t="inlineStr">
        <is>
          <t>ÅNGE</t>
        </is>
      </c>
      <c r="F5198" t="inlineStr">
        <is>
          <t>SCA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26021-2024</t>
        </is>
      </c>
      <c r="B5199" s="1" t="n">
        <v>45467</v>
      </c>
      <c r="C5199" s="1" t="n">
        <v>46185</v>
      </c>
      <c r="D5199" t="inlineStr">
        <is>
          <t>VÄSTERNORRLANDS LÄN</t>
        </is>
      </c>
      <c r="E5199" t="inlineStr">
        <is>
          <t>ÅNGE</t>
        </is>
      </c>
      <c r="F5199" t="inlineStr">
        <is>
          <t>SCA</t>
        </is>
      </c>
      <c r="G5199" t="n">
        <v>7.7</v>
      </c>
      <c r="H5199" t="n">
        <v>0</v>
      </c>
      <c r="I5199" t="n">
        <v>0</v>
      </c>
      <c r="J5199" t="n">
        <v>0</v>
      </c>
      <c r="K5199" t="n">
        <v>0</v>
      </c>
      <c r="L5199" t="n">
        <v>0</v>
      </c>
      <c r="M5199" t="n">
        <v>0</v>
      </c>
      <c r="N5199" t="n">
        <v>0</v>
      </c>
      <c r="O5199" t="n">
        <v>0</v>
      </c>
      <c r="P5199" t="n">
        <v>0</v>
      </c>
      <c r="Q5199" t="n">
        <v>0</v>
      </c>
      <c r="R5199" s="2" t="inlineStr"/>
    </row>
    <row r="5200" ht="15" customHeight="1">
      <c r="A5200" t="inlineStr">
        <is>
          <t>A 53403-2024</t>
        </is>
      </c>
      <c r="B5200" s="1" t="n">
        <v>45614.49353009259</v>
      </c>
      <c r="C5200" s="1" t="n">
        <v>46185</v>
      </c>
      <c r="D5200" t="inlineStr">
        <is>
          <t>VÄSTERNORRLANDS LÄN</t>
        </is>
      </c>
      <c r="E5200" t="inlineStr">
        <is>
          <t>SUNDSVALL</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53105-2025</t>
        </is>
      </c>
      <c r="B5201" s="1" t="n">
        <v>45958.4336574074</v>
      </c>
      <c r="C5201" s="1" t="n">
        <v>46185</v>
      </c>
      <c r="D5201" t="inlineStr">
        <is>
          <t>VÄSTERNORRLANDS LÄN</t>
        </is>
      </c>
      <c r="E5201" t="inlineStr">
        <is>
          <t>SUNDSVALL</t>
        </is>
      </c>
      <c r="F5201" t="inlineStr">
        <is>
          <t>Holmen skog AB</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54307-2023</t>
        </is>
      </c>
      <c r="B5202" s="1" t="n">
        <v>45225</v>
      </c>
      <c r="C5202" s="1" t="n">
        <v>46185</v>
      </c>
      <c r="D5202" t="inlineStr">
        <is>
          <t>VÄSTERNORRLANDS LÄN</t>
        </is>
      </c>
      <c r="E5202" t="inlineStr">
        <is>
          <t>SOLLEFTEÅ</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53269-2025</t>
        </is>
      </c>
      <c r="B5203" s="1" t="n">
        <v>45958.6985300926</v>
      </c>
      <c r="C5203" s="1" t="n">
        <v>46185</v>
      </c>
      <c r="D5203" t="inlineStr">
        <is>
          <t>VÄSTERNORRLANDS LÄN</t>
        </is>
      </c>
      <c r="E5203" t="inlineStr">
        <is>
          <t>SOLLEFTEÅ</t>
        </is>
      </c>
      <c r="F5203" t="inlineStr">
        <is>
          <t>SCA</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21089-2025</t>
        </is>
      </c>
      <c r="B5204" s="1" t="n">
        <v>45777</v>
      </c>
      <c r="C5204" s="1" t="n">
        <v>46185</v>
      </c>
      <c r="D5204" t="inlineStr">
        <is>
          <t>VÄSTERNORRLANDS LÄN</t>
        </is>
      </c>
      <c r="E5204" t="inlineStr">
        <is>
          <t>SOLLEFTEÅ</t>
        </is>
      </c>
      <c r="F5204" t="inlineStr">
        <is>
          <t>SCA</t>
        </is>
      </c>
      <c r="G5204" t="n">
        <v>19.9</v>
      </c>
      <c r="H5204" t="n">
        <v>0</v>
      </c>
      <c r="I5204" t="n">
        <v>0</v>
      </c>
      <c r="J5204" t="n">
        <v>0</v>
      </c>
      <c r="K5204" t="n">
        <v>0</v>
      </c>
      <c r="L5204" t="n">
        <v>0</v>
      </c>
      <c r="M5204" t="n">
        <v>0</v>
      </c>
      <c r="N5204" t="n">
        <v>0</v>
      </c>
      <c r="O5204" t="n">
        <v>0</v>
      </c>
      <c r="P5204" t="n">
        <v>0</v>
      </c>
      <c r="Q5204" t="n">
        <v>0</v>
      </c>
      <c r="R5204" s="2" t="inlineStr"/>
    </row>
    <row r="5205" ht="15" customHeight="1">
      <c r="A5205" t="inlineStr">
        <is>
          <t>A 25079-2023</t>
        </is>
      </c>
      <c r="B5205" s="1" t="n">
        <v>45086</v>
      </c>
      <c r="C5205" s="1" t="n">
        <v>46185</v>
      </c>
      <c r="D5205" t="inlineStr">
        <is>
          <t>VÄSTERNORRLANDS LÄN</t>
        </is>
      </c>
      <c r="E5205" t="inlineStr">
        <is>
          <t>SOLLEFTEÅ</t>
        </is>
      </c>
      <c r="F5205" t="inlineStr">
        <is>
          <t>Kommuner</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52996-2024</t>
        </is>
      </c>
      <c r="B5206" s="1" t="n">
        <v>45611.38575231482</v>
      </c>
      <c r="C5206" s="1" t="n">
        <v>46185</v>
      </c>
      <c r="D5206" t="inlineStr">
        <is>
          <t>VÄSTERNORRLANDS LÄN</t>
        </is>
      </c>
      <c r="E5206" t="inlineStr">
        <is>
          <t>ÖRNSKÖLDSVIK</t>
        </is>
      </c>
      <c r="F5206" t="inlineStr">
        <is>
          <t>SCA</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58966-2024</t>
        </is>
      </c>
      <c r="B5207" s="1" t="n">
        <v>45636.59261574074</v>
      </c>
      <c r="C5207" s="1" t="n">
        <v>46185</v>
      </c>
      <c r="D5207" t="inlineStr">
        <is>
          <t>VÄSTERNORRLANDS LÄN</t>
        </is>
      </c>
      <c r="E5207" t="inlineStr">
        <is>
          <t>KRAMFORS</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6173-2026</t>
        </is>
      </c>
      <c r="B5208" s="1" t="n">
        <v>46055.34434027778</v>
      </c>
      <c r="C5208" s="1" t="n">
        <v>46185</v>
      </c>
      <c r="D5208" t="inlineStr">
        <is>
          <t>VÄSTERNORRLANDS LÄN</t>
        </is>
      </c>
      <c r="E5208" t="inlineStr">
        <is>
          <t>ÖRNSKÖLDSVIK</t>
        </is>
      </c>
      <c r="F5208" t="inlineStr">
        <is>
          <t>SCA</t>
        </is>
      </c>
      <c r="G5208" t="n">
        <v>10.9</v>
      </c>
      <c r="H5208" t="n">
        <v>0</v>
      </c>
      <c r="I5208" t="n">
        <v>0</v>
      </c>
      <c r="J5208" t="n">
        <v>0</v>
      </c>
      <c r="K5208" t="n">
        <v>0</v>
      </c>
      <c r="L5208" t="n">
        <v>0</v>
      </c>
      <c r="M5208" t="n">
        <v>0</v>
      </c>
      <c r="N5208" t="n">
        <v>0</v>
      </c>
      <c r="O5208" t="n">
        <v>0</v>
      </c>
      <c r="P5208" t="n">
        <v>0</v>
      </c>
      <c r="Q5208" t="n">
        <v>0</v>
      </c>
      <c r="R5208" s="2" t="inlineStr"/>
    </row>
    <row r="5209" ht="15" customHeight="1">
      <c r="A5209" t="inlineStr">
        <is>
          <t>A 45932-2023</t>
        </is>
      </c>
      <c r="B5209" s="1" t="n">
        <v>45195</v>
      </c>
      <c r="C5209" s="1" t="n">
        <v>46185</v>
      </c>
      <c r="D5209" t="inlineStr">
        <is>
          <t>VÄSTERNORRLANDS LÄN</t>
        </is>
      </c>
      <c r="E5209" t="inlineStr">
        <is>
          <t>ÅNGE</t>
        </is>
      </c>
      <c r="F5209" t="inlineStr">
        <is>
          <t>SCA</t>
        </is>
      </c>
      <c r="G5209" t="n">
        <v>0.1</v>
      </c>
      <c r="H5209" t="n">
        <v>0</v>
      </c>
      <c r="I5209" t="n">
        <v>0</v>
      </c>
      <c r="J5209" t="n">
        <v>0</v>
      </c>
      <c r="K5209" t="n">
        <v>0</v>
      </c>
      <c r="L5209" t="n">
        <v>0</v>
      </c>
      <c r="M5209" t="n">
        <v>0</v>
      </c>
      <c r="N5209" t="n">
        <v>0</v>
      </c>
      <c r="O5209" t="n">
        <v>0</v>
      </c>
      <c r="P5209" t="n">
        <v>0</v>
      </c>
      <c r="Q5209" t="n">
        <v>0</v>
      </c>
      <c r="R5209" s="2" t="inlineStr"/>
    </row>
    <row r="5210" ht="15" customHeight="1">
      <c r="A5210" t="inlineStr">
        <is>
          <t>A 6925-2026</t>
        </is>
      </c>
      <c r="B5210" s="1" t="n">
        <v>46056</v>
      </c>
      <c r="C5210" s="1" t="n">
        <v>46185</v>
      </c>
      <c r="D5210" t="inlineStr">
        <is>
          <t>VÄSTERNORRLANDS LÄN</t>
        </is>
      </c>
      <c r="E5210" t="inlineStr">
        <is>
          <t>SUNDSVALL</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53251-2025</t>
        </is>
      </c>
      <c r="B5211" s="1" t="n">
        <v>45958.66457175926</v>
      </c>
      <c r="C5211" s="1" t="n">
        <v>46185</v>
      </c>
      <c r="D5211" t="inlineStr">
        <is>
          <t>VÄSTERNORRLANDS LÄN</t>
        </is>
      </c>
      <c r="E5211" t="inlineStr">
        <is>
          <t>SUNDSVALL</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53069-2025</t>
        </is>
      </c>
      <c r="B5212" s="1" t="n">
        <v>45958.37827546296</v>
      </c>
      <c r="C5212" s="1" t="n">
        <v>46185</v>
      </c>
      <c r="D5212" t="inlineStr">
        <is>
          <t>VÄSTERNORRLANDS LÄN</t>
        </is>
      </c>
      <c r="E5212" t="inlineStr">
        <is>
          <t>ÖRNSKÖLDSVIK</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6542-2026</t>
        </is>
      </c>
      <c r="B5213" s="1" t="n">
        <v>46056.42770833334</v>
      </c>
      <c r="C5213" s="1" t="n">
        <v>46185</v>
      </c>
      <c r="D5213" t="inlineStr">
        <is>
          <t>VÄSTERNORRLANDS LÄN</t>
        </is>
      </c>
      <c r="E5213" t="inlineStr">
        <is>
          <t>ÅNGE</t>
        </is>
      </c>
      <c r="F5213" t="inlineStr">
        <is>
          <t>SCA</t>
        </is>
      </c>
      <c r="G5213" t="n">
        <v>28.5</v>
      </c>
      <c r="H5213" t="n">
        <v>0</v>
      </c>
      <c r="I5213" t="n">
        <v>0</v>
      </c>
      <c r="J5213" t="n">
        <v>0</v>
      </c>
      <c r="K5213" t="n">
        <v>0</v>
      </c>
      <c r="L5213" t="n">
        <v>0</v>
      </c>
      <c r="M5213" t="n">
        <v>0</v>
      </c>
      <c r="N5213" t="n">
        <v>0</v>
      </c>
      <c r="O5213" t="n">
        <v>0</v>
      </c>
      <c r="P5213" t="n">
        <v>0</v>
      </c>
      <c r="Q5213" t="n">
        <v>0</v>
      </c>
      <c r="R5213" s="2" t="inlineStr"/>
    </row>
    <row r="5214" ht="15" customHeight="1">
      <c r="A5214" t="inlineStr">
        <is>
          <t>A 6547-2026</t>
        </is>
      </c>
      <c r="B5214" s="1" t="n">
        <v>46056.42825231481</v>
      </c>
      <c r="C5214" s="1" t="n">
        <v>46185</v>
      </c>
      <c r="D5214" t="inlineStr">
        <is>
          <t>VÄSTERNORRLANDS LÄN</t>
        </is>
      </c>
      <c r="E5214" t="inlineStr">
        <is>
          <t>ÅNGE</t>
        </is>
      </c>
      <c r="F5214" t="inlineStr">
        <is>
          <t>SCA</t>
        </is>
      </c>
      <c r="G5214" t="n">
        <v>9.199999999999999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62171-2024</t>
        </is>
      </c>
      <c r="B5215" s="1" t="n">
        <v>45657.65657407408</v>
      </c>
      <c r="C5215" s="1" t="n">
        <v>46185</v>
      </c>
      <c r="D5215" t="inlineStr">
        <is>
          <t>VÄSTERNORRLANDS LÄN</t>
        </is>
      </c>
      <c r="E5215" t="inlineStr">
        <is>
          <t>SOLLEFTEÅ</t>
        </is>
      </c>
      <c r="F5215" t="inlineStr">
        <is>
          <t>SCA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6-2025</t>
        </is>
      </c>
      <c r="B5216" s="1" t="n">
        <v>45658.50759259259</v>
      </c>
      <c r="C5216" s="1" t="n">
        <v>46185</v>
      </c>
      <c r="D5216" t="inlineStr">
        <is>
          <t>VÄSTERNORRLANDS LÄN</t>
        </is>
      </c>
      <c r="E5216" t="inlineStr">
        <is>
          <t>ÅNGE</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40690-2024</t>
        </is>
      </c>
      <c r="B5217" s="1" t="n">
        <v>45558.39309027778</v>
      </c>
      <c r="C5217" s="1" t="n">
        <v>46185</v>
      </c>
      <c r="D5217" t="inlineStr">
        <is>
          <t>VÄSTERNORRLANDS LÄN</t>
        </is>
      </c>
      <c r="E5217" t="inlineStr">
        <is>
          <t>ÖRNSKÖLDSVIK</t>
        </is>
      </c>
      <c r="F5217" t="inlineStr">
        <is>
          <t>Holmen skog AB</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657-2025</t>
        </is>
      </c>
      <c r="B5218" s="1" t="n">
        <v>45664.67766203704</v>
      </c>
      <c r="C5218" s="1" t="n">
        <v>46185</v>
      </c>
      <c r="D5218" t="inlineStr">
        <is>
          <t>VÄSTERNORRLANDS LÄN</t>
        </is>
      </c>
      <c r="E5218" t="inlineStr">
        <is>
          <t>SOLLEFTEÅ</t>
        </is>
      </c>
      <c r="F5218" t="inlineStr">
        <is>
          <t>SCA</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27912-2022</t>
        </is>
      </c>
      <c r="B5219" s="1" t="n">
        <v>44743.92454861111</v>
      </c>
      <c r="C5219" s="1" t="n">
        <v>46185</v>
      </c>
      <c r="D5219" t="inlineStr">
        <is>
          <t>VÄSTERNORRLANDS LÄN</t>
        </is>
      </c>
      <c r="E5219" t="inlineStr">
        <is>
          <t>HÄRNÖSAND</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52923-2025</t>
        </is>
      </c>
      <c r="B5220" s="1" t="n">
        <v>45957.61545138889</v>
      </c>
      <c r="C5220" s="1" t="n">
        <v>46185</v>
      </c>
      <c r="D5220" t="inlineStr">
        <is>
          <t>VÄSTERNORRLANDS LÄN</t>
        </is>
      </c>
      <c r="E5220" t="inlineStr">
        <is>
          <t>SUNDSVALL</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6418-2026</t>
        </is>
      </c>
      <c r="B5221" s="1" t="n">
        <v>46055.69087962963</v>
      </c>
      <c r="C5221" s="1" t="n">
        <v>46185</v>
      </c>
      <c r="D5221" t="inlineStr">
        <is>
          <t>VÄSTERNORRLANDS LÄN</t>
        </is>
      </c>
      <c r="E5221" t="inlineStr">
        <is>
          <t>HÄRNÖSAND</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6427-2026</t>
        </is>
      </c>
      <c r="B5222" s="1" t="n">
        <v>46055.71923611111</v>
      </c>
      <c r="C5222" s="1" t="n">
        <v>46185</v>
      </c>
      <c r="D5222" t="inlineStr">
        <is>
          <t>VÄSTERNORRLANDS LÄN</t>
        </is>
      </c>
      <c r="E5222" t="inlineStr">
        <is>
          <t>TIMRÅ</t>
        </is>
      </c>
      <c r="F5222" t="inlineStr">
        <is>
          <t>SCA</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53254-2025</t>
        </is>
      </c>
      <c r="B5223" s="1" t="n">
        <v>45958.66876157407</v>
      </c>
      <c r="C5223" s="1" t="n">
        <v>46185</v>
      </c>
      <c r="D5223" t="inlineStr">
        <is>
          <t>VÄSTERNORRLANDS LÄN</t>
        </is>
      </c>
      <c r="E5223" t="inlineStr">
        <is>
          <t>SUNDSVALL</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52846-2025</t>
        </is>
      </c>
      <c r="B5224" s="1" t="n">
        <v>45957.48726851852</v>
      </c>
      <c r="C5224" s="1" t="n">
        <v>46185</v>
      </c>
      <c r="D5224" t="inlineStr">
        <is>
          <t>VÄSTERNORRLANDS LÄN</t>
        </is>
      </c>
      <c r="E5224" t="inlineStr">
        <is>
          <t>ÖRNSKÖLDSVIK</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52851-2025</t>
        </is>
      </c>
      <c r="B5225" s="1" t="n">
        <v>45957.49204861111</v>
      </c>
      <c r="C5225" s="1" t="n">
        <v>46185</v>
      </c>
      <c r="D5225" t="inlineStr">
        <is>
          <t>VÄSTERNORRLANDS LÄN</t>
        </is>
      </c>
      <c r="E5225" t="inlineStr">
        <is>
          <t>ÖRNSKÖLDSVIK</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52854-2025</t>
        </is>
      </c>
      <c r="B5226" s="1" t="n">
        <v>45957.49766203704</v>
      </c>
      <c r="C5226" s="1" t="n">
        <v>46185</v>
      </c>
      <c r="D5226" t="inlineStr">
        <is>
          <t>VÄSTERNORRLANDS LÄN</t>
        </is>
      </c>
      <c r="E5226" t="inlineStr">
        <is>
          <t>ÖRNSKÖLDSVIK</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52732-2025</t>
        </is>
      </c>
      <c r="B5227" s="1" t="n">
        <v>45957.36707175926</v>
      </c>
      <c r="C5227" s="1" t="n">
        <v>46185</v>
      </c>
      <c r="D5227" t="inlineStr">
        <is>
          <t>VÄSTERNORRLANDS LÄN</t>
        </is>
      </c>
      <c r="E5227" t="inlineStr">
        <is>
          <t>ÖRNSKÖLDSVIK</t>
        </is>
      </c>
      <c r="G5227" t="n">
        <v>22.6</v>
      </c>
      <c r="H5227" t="n">
        <v>0</v>
      </c>
      <c r="I5227" t="n">
        <v>0</v>
      </c>
      <c r="J5227" t="n">
        <v>0</v>
      </c>
      <c r="K5227" t="n">
        <v>0</v>
      </c>
      <c r="L5227" t="n">
        <v>0</v>
      </c>
      <c r="M5227" t="n">
        <v>0</v>
      </c>
      <c r="N5227" t="n">
        <v>0</v>
      </c>
      <c r="O5227" t="n">
        <v>0</v>
      </c>
      <c r="P5227" t="n">
        <v>0</v>
      </c>
      <c r="Q5227" t="n">
        <v>0</v>
      </c>
      <c r="R5227" s="2" t="inlineStr"/>
    </row>
    <row r="5228" ht="15" customHeight="1">
      <c r="A5228" t="inlineStr">
        <is>
          <t>A 31343-2023</t>
        </is>
      </c>
      <c r="B5228" s="1" t="n">
        <v>45104</v>
      </c>
      <c r="C5228" s="1" t="n">
        <v>46185</v>
      </c>
      <c r="D5228" t="inlineStr">
        <is>
          <t>VÄSTERNORRLANDS LÄN</t>
        </is>
      </c>
      <c r="E5228" t="inlineStr">
        <is>
          <t>TIMRÅ</t>
        </is>
      </c>
      <c r="G5228" t="n">
        <v>7.1</v>
      </c>
      <c r="H5228" t="n">
        <v>0</v>
      </c>
      <c r="I5228" t="n">
        <v>0</v>
      </c>
      <c r="J5228" t="n">
        <v>0</v>
      </c>
      <c r="K5228" t="n">
        <v>0</v>
      </c>
      <c r="L5228" t="n">
        <v>0</v>
      </c>
      <c r="M5228" t="n">
        <v>0</v>
      </c>
      <c r="N5228" t="n">
        <v>0</v>
      </c>
      <c r="O5228" t="n">
        <v>0</v>
      </c>
      <c r="P5228" t="n">
        <v>0</v>
      </c>
      <c r="Q5228" t="n">
        <v>0</v>
      </c>
      <c r="R5228" s="2" t="inlineStr"/>
    </row>
    <row r="5229" ht="15" customHeight="1">
      <c r="A5229" t="inlineStr">
        <is>
          <t>A 37726-2023</t>
        </is>
      </c>
      <c r="B5229" s="1" t="n">
        <v>45156</v>
      </c>
      <c r="C5229" s="1" t="n">
        <v>46185</v>
      </c>
      <c r="D5229" t="inlineStr">
        <is>
          <t>VÄSTERNORRLANDS LÄN</t>
        </is>
      </c>
      <c r="E5229" t="inlineStr">
        <is>
          <t>SOLLEFTEÅ</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37736-2023</t>
        </is>
      </c>
      <c r="B5230" s="1" t="n">
        <v>45159</v>
      </c>
      <c r="C5230" s="1" t="n">
        <v>46185</v>
      </c>
      <c r="D5230" t="inlineStr">
        <is>
          <t>VÄSTERNORRLANDS LÄN</t>
        </is>
      </c>
      <c r="E5230" t="inlineStr">
        <is>
          <t>ÖRNSKÖLDSVIK</t>
        </is>
      </c>
      <c r="F5230" t="inlineStr">
        <is>
          <t>Holmen skog AB</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6670-2026</t>
        </is>
      </c>
      <c r="B5231" s="1" t="n">
        <v>46056.59789351852</v>
      </c>
      <c r="C5231" s="1" t="n">
        <v>46185</v>
      </c>
      <c r="D5231" t="inlineStr">
        <is>
          <t>VÄSTERNORRLANDS LÄN</t>
        </is>
      </c>
      <c r="E5231" t="inlineStr">
        <is>
          <t>ÖRNSKÖLDSVIK</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6700-2026</t>
        </is>
      </c>
      <c r="B5232" s="1" t="n">
        <v>46056.64269675926</v>
      </c>
      <c r="C5232" s="1" t="n">
        <v>46185</v>
      </c>
      <c r="D5232" t="inlineStr">
        <is>
          <t>VÄSTERNORRLANDS LÄN</t>
        </is>
      </c>
      <c r="E5232" t="inlineStr">
        <is>
          <t>SUNDSVALL</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52858-2025</t>
        </is>
      </c>
      <c r="B5233" s="1" t="n">
        <v>45957.50284722223</v>
      </c>
      <c r="C5233" s="1" t="n">
        <v>46185</v>
      </c>
      <c r="D5233" t="inlineStr">
        <is>
          <t>VÄSTERNORRLANDS LÄN</t>
        </is>
      </c>
      <c r="E5233" t="inlineStr">
        <is>
          <t>ÅNGE</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52887-2025</t>
        </is>
      </c>
      <c r="B5234" s="1" t="n">
        <v>45957.56839120371</v>
      </c>
      <c r="C5234" s="1" t="n">
        <v>46185</v>
      </c>
      <c r="D5234" t="inlineStr">
        <is>
          <t>VÄSTERNORRLANDS LÄN</t>
        </is>
      </c>
      <c r="E5234" t="inlineStr">
        <is>
          <t>ÖRNSKÖLDSVIK</t>
        </is>
      </c>
      <c r="G5234" t="n">
        <v>10.1</v>
      </c>
      <c r="H5234" t="n">
        <v>0</v>
      </c>
      <c r="I5234" t="n">
        <v>0</v>
      </c>
      <c r="J5234" t="n">
        <v>0</v>
      </c>
      <c r="K5234" t="n">
        <v>0</v>
      </c>
      <c r="L5234" t="n">
        <v>0</v>
      </c>
      <c r="M5234" t="n">
        <v>0</v>
      </c>
      <c r="N5234" t="n">
        <v>0</v>
      </c>
      <c r="O5234" t="n">
        <v>0</v>
      </c>
      <c r="P5234" t="n">
        <v>0</v>
      </c>
      <c r="Q5234" t="n">
        <v>0</v>
      </c>
      <c r="R5234" s="2" t="inlineStr"/>
    </row>
    <row r="5235" ht="15" customHeight="1">
      <c r="A5235" t="inlineStr">
        <is>
          <t>A 6548-2026</t>
        </is>
      </c>
      <c r="B5235" s="1" t="n">
        <v>46056</v>
      </c>
      <c r="C5235" s="1" t="n">
        <v>46185</v>
      </c>
      <c r="D5235" t="inlineStr">
        <is>
          <t>VÄSTERNORRLANDS LÄN</t>
        </is>
      </c>
      <c r="E5235" t="inlineStr">
        <is>
          <t>TIMRÅ</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61121-2024</t>
        </is>
      </c>
      <c r="B5236" s="1" t="n">
        <v>45645.57063657408</v>
      </c>
      <c r="C5236" s="1" t="n">
        <v>46185</v>
      </c>
      <c r="D5236" t="inlineStr">
        <is>
          <t>VÄSTERNORRLANDS LÄN</t>
        </is>
      </c>
      <c r="E5236" t="inlineStr">
        <is>
          <t>ÖRNSKÖLDSVIK</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53030-2025</t>
        </is>
      </c>
      <c r="B5237" s="1" t="n">
        <v>45958.34442129629</v>
      </c>
      <c r="C5237" s="1" t="n">
        <v>46185</v>
      </c>
      <c r="D5237" t="inlineStr">
        <is>
          <t>VÄSTERNORRLANDS LÄN</t>
        </is>
      </c>
      <c r="E5237" t="inlineStr">
        <is>
          <t>SOLLEFTEÅ</t>
        </is>
      </c>
      <c r="F5237" t="inlineStr">
        <is>
          <t>SCA</t>
        </is>
      </c>
      <c r="G5237" t="n">
        <v>11.7</v>
      </c>
      <c r="H5237" t="n">
        <v>0</v>
      </c>
      <c r="I5237" t="n">
        <v>0</v>
      </c>
      <c r="J5237" t="n">
        <v>0</v>
      </c>
      <c r="K5237" t="n">
        <v>0</v>
      </c>
      <c r="L5237" t="n">
        <v>0</v>
      </c>
      <c r="M5237" t="n">
        <v>0</v>
      </c>
      <c r="N5237" t="n">
        <v>0</v>
      </c>
      <c r="O5237" t="n">
        <v>0</v>
      </c>
      <c r="P5237" t="n">
        <v>0</v>
      </c>
      <c r="Q5237" t="n">
        <v>0</v>
      </c>
      <c r="R5237" s="2" t="inlineStr"/>
    </row>
    <row r="5238" ht="15" customHeight="1">
      <c r="A5238" t="inlineStr">
        <is>
          <t>A 6131-2026</t>
        </is>
      </c>
      <c r="B5238" s="1" t="n">
        <v>46054.49123842592</v>
      </c>
      <c r="C5238" s="1" t="n">
        <v>46185</v>
      </c>
      <c r="D5238" t="inlineStr">
        <is>
          <t>VÄSTERNORRLANDS LÄN</t>
        </is>
      </c>
      <c r="E5238" t="inlineStr">
        <is>
          <t>KRAMFORS</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6133-2026</t>
        </is>
      </c>
      <c r="B5239" s="1" t="n">
        <v>46054.51971064815</v>
      </c>
      <c r="C5239" s="1" t="n">
        <v>46185</v>
      </c>
      <c r="D5239" t="inlineStr">
        <is>
          <t>VÄSTERNORRLANDS LÄN</t>
        </is>
      </c>
      <c r="E5239" t="inlineStr">
        <is>
          <t>KRAMFORS</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52780-2025</t>
        </is>
      </c>
      <c r="B5240" s="1" t="n">
        <v>45957.42261574074</v>
      </c>
      <c r="C5240" s="1" t="n">
        <v>46185</v>
      </c>
      <c r="D5240" t="inlineStr">
        <is>
          <t>VÄSTERNORRLANDS LÄN</t>
        </is>
      </c>
      <c r="E5240" t="inlineStr">
        <is>
          <t>SOLLEFTEÅ</t>
        </is>
      </c>
      <c r="G5240" t="n">
        <v>12.4</v>
      </c>
      <c r="H5240" t="n">
        <v>0</v>
      </c>
      <c r="I5240" t="n">
        <v>0</v>
      </c>
      <c r="J5240" t="n">
        <v>0</v>
      </c>
      <c r="K5240" t="n">
        <v>0</v>
      </c>
      <c r="L5240" t="n">
        <v>0</v>
      </c>
      <c r="M5240" t="n">
        <v>0</v>
      </c>
      <c r="N5240" t="n">
        <v>0</v>
      </c>
      <c r="O5240" t="n">
        <v>0</v>
      </c>
      <c r="P5240" t="n">
        <v>0</v>
      </c>
      <c r="Q5240" t="n">
        <v>0</v>
      </c>
      <c r="R5240" s="2" t="inlineStr"/>
    </row>
    <row r="5241" ht="15" customHeight="1">
      <c r="A5241" t="inlineStr">
        <is>
          <t>A 26436-2022</t>
        </is>
      </c>
      <c r="B5241" s="1" t="n">
        <v>44736.93907407407</v>
      </c>
      <c r="C5241" s="1" t="n">
        <v>46185</v>
      </c>
      <c r="D5241" t="inlineStr">
        <is>
          <t>VÄSTERNORRLANDS LÄN</t>
        </is>
      </c>
      <c r="E5241" t="inlineStr">
        <is>
          <t>SUNDSVALL</t>
        </is>
      </c>
      <c r="F5241" t="inlineStr">
        <is>
          <t>Naturvårdsverket</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8712-2025</t>
        </is>
      </c>
      <c r="B5242" s="1" t="n">
        <v>45712.49872685185</v>
      </c>
      <c r="C5242" s="1" t="n">
        <v>46185</v>
      </c>
      <c r="D5242" t="inlineStr">
        <is>
          <t>VÄSTERNORRLANDS LÄN</t>
        </is>
      </c>
      <c r="E5242" t="inlineStr">
        <is>
          <t>SOLLEFTEÅ</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52936-2025</t>
        </is>
      </c>
      <c r="B5243" s="1" t="n">
        <v>45957.63228009259</v>
      </c>
      <c r="C5243" s="1" t="n">
        <v>46185</v>
      </c>
      <c r="D5243" t="inlineStr">
        <is>
          <t>VÄSTERNORRLANDS LÄN</t>
        </is>
      </c>
      <c r="E5243" t="inlineStr">
        <is>
          <t>ÖRNSKÖLDSVIK</t>
        </is>
      </c>
      <c r="F5243" t="inlineStr">
        <is>
          <t>Holmen skog AB</t>
        </is>
      </c>
      <c r="G5243" t="n">
        <v>6.3</v>
      </c>
      <c r="H5243" t="n">
        <v>0</v>
      </c>
      <c r="I5243" t="n">
        <v>0</v>
      </c>
      <c r="J5243" t="n">
        <v>0</v>
      </c>
      <c r="K5243" t="n">
        <v>0</v>
      </c>
      <c r="L5243" t="n">
        <v>0</v>
      </c>
      <c r="M5243" t="n">
        <v>0</v>
      </c>
      <c r="N5243" t="n">
        <v>0</v>
      </c>
      <c r="O5243" t="n">
        <v>0</v>
      </c>
      <c r="P5243" t="n">
        <v>0</v>
      </c>
      <c r="Q5243" t="n">
        <v>0</v>
      </c>
      <c r="R5243" s="2" t="inlineStr"/>
    </row>
    <row r="5244" ht="15" customHeight="1">
      <c r="A5244" t="inlineStr">
        <is>
          <t>A 6186-2026</t>
        </is>
      </c>
      <c r="B5244" s="1" t="n">
        <v>46055.36555555555</v>
      </c>
      <c r="C5244" s="1" t="n">
        <v>46185</v>
      </c>
      <c r="D5244" t="inlineStr">
        <is>
          <t>VÄSTERNORRLANDS LÄN</t>
        </is>
      </c>
      <c r="E5244" t="inlineStr">
        <is>
          <t>ÖRNSKÖLDSVIK</t>
        </is>
      </c>
      <c r="F5244" t="inlineStr">
        <is>
          <t>Holmen skog AB</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53012-2025</t>
        </is>
      </c>
      <c r="B5245" s="1" t="n">
        <v>45957.80320601852</v>
      </c>
      <c r="C5245" s="1" t="n">
        <v>46185</v>
      </c>
      <c r="D5245" t="inlineStr">
        <is>
          <t>VÄSTERNORRLANDS LÄN</t>
        </is>
      </c>
      <c r="E5245" t="inlineStr">
        <is>
          <t>ÅNGE</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6646-2026</t>
        </is>
      </c>
      <c r="B5246" s="1" t="n">
        <v>46056.54938657407</v>
      </c>
      <c r="C5246" s="1" t="n">
        <v>46185</v>
      </c>
      <c r="D5246" t="inlineStr">
        <is>
          <t>VÄSTERNORRLANDS LÄN</t>
        </is>
      </c>
      <c r="E5246" t="inlineStr">
        <is>
          <t>HÄRNÖSAND</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52867-2025</t>
        </is>
      </c>
      <c r="B5247" s="1" t="n">
        <v>45957.51130787037</v>
      </c>
      <c r="C5247" s="1" t="n">
        <v>46185</v>
      </c>
      <c r="D5247" t="inlineStr">
        <is>
          <t>VÄSTERNORRLANDS LÄN</t>
        </is>
      </c>
      <c r="E5247" t="inlineStr">
        <is>
          <t>TIMRÅ</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52971-2025</t>
        </is>
      </c>
      <c r="B5248" s="1" t="n">
        <v>45957.67755787037</v>
      </c>
      <c r="C5248" s="1" t="n">
        <v>46185</v>
      </c>
      <c r="D5248" t="inlineStr">
        <is>
          <t>VÄSTERNORRLANDS LÄN</t>
        </is>
      </c>
      <c r="E5248" t="inlineStr">
        <is>
          <t>KRAMFORS</t>
        </is>
      </c>
      <c r="F5248" t="inlineStr">
        <is>
          <t>SCA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49567-2024</t>
        </is>
      </c>
      <c r="B5249" s="1" t="n">
        <v>45596.49003472222</v>
      </c>
      <c r="C5249" s="1" t="n">
        <v>46185</v>
      </c>
      <c r="D5249" t="inlineStr">
        <is>
          <t>VÄSTERNORRLANDS LÄN</t>
        </is>
      </c>
      <c r="E5249" t="inlineStr">
        <is>
          <t>SOLLEFTEÅ</t>
        </is>
      </c>
      <c r="F5249" t="inlineStr">
        <is>
          <t>SCA</t>
        </is>
      </c>
      <c r="G5249" t="n">
        <v>4.3</v>
      </c>
      <c r="H5249" t="n">
        <v>0</v>
      </c>
      <c r="I5249" t="n">
        <v>0</v>
      </c>
      <c r="J5249" t="n">
        <v>0</v>
      </c>
      <c r="K5249" t="n">
        <v>0</v>
      </c>
      <c r="L5249" t="n">
        <v>0</v>
      </c>
      <c r="M5249" t="n">
        <v>0</v>
      </c>
      <c r="N5249" t="n">
        <v>0</v>
      </c>
      <c r="O5249" t="n">
        <v>0</v>
      </c>
      <c r="P5249" t="n">
        <v>0</v>
      </c>
      <c r="Q5249" t="n">
        <v>0</v>
      </c>
      <c r="R5249" s="2" t="inlineStr"/>
      <c r="U5249">
        <f>HYPERLINK("https://klasma.github.io/Logging_2283/knärot/A 49567-2024 karta knärot.png", "A 49567-2024")</f>
        <v/>
      </c>
      <c r="V5249">
        <f>HYPERLINK("https://klasma.github.io/Logging_2283/klagomål/A 49567-2024 FSC-klagomål.docx", "A 49567-2024")</f>
        <v/>
      </c>
      <c r="W5249">
        <f>HYPERLINK("https://klasma.github.io/Logging_2283/klagomålsmail/A 49567-2024 FSC-klagomål mail.docx", "A 49567-2024")</f>
        <v/>
      </c>
      <c r="X5249">
        <f>HYPERLINK("https://klasma.github.io/Logging_2283/tillsyn/A 49567-2024 tillsynsbegäran.docx", "A 49567-2024")</f>
        <v/>
      </c>
      <c r="Y5249">
        <f>HYPERLINK("https://klasma.github.io/Logging_2283/tillsynsmail/A 49567-2024 tillsynsbegäran mail.docx", "A 49567-2024")</f>
        <v/>
      </c>
    </row>
    <row r="5250" ht="15" customHeight="1">
      <c r="A5250" t="inlineStr">
        <is>
          <t>A 8455-2023</t>
        </is>
      </c>
      <c r="B5250" s="1" t="n">
        <v>44971</v>
      </c>
      <c r="C5250" s="1" t="n">
        <v>46185</v>
      </c>
      <c r="D5250" t="inlineStr">
        <is>
          <t>VÄSTERNORRLANDS LÄN</t>
        </is>
      </c>
      <c r="E5250" t="inlineStr">
        <is>
          <t>KRAMFORS</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53013-2025</t>
        </is>
      </c>
      <c r="B5251" s="1" t="n">
        <v>45957.81732638889</v>
      </c>
      <c r="C5251" s="1" t="n">
        <v>46185</v>
      </c>
      <c r="D5251" t="inlineStr">
        <is>
          <t>VÄSTERNORRLANDS LÄN</t>
        </is>
      </c>
      <c r="E5251" t="inlineStr">
        <is>
          <t>ÅNGE</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53221-2025</t>
        </is>
      </c>
      <c r="B5252" s="1" t="n">
        <v>45958.60331018519</v>
      </c>
      <c r="C5252" s="1" t="n">
        <v>46185</v>
      </c>
      <c r="D5252" t="inlineStr">
        <is>
          <t>VÄSTERNORRLANDS LÄN</t>
        </is>
      </c>
      <c r="E5252" t="inlineStr">
        <is>
          <t>ÅNGE</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58043-2024</t>
        </is>
      </c>
      <c r="B5253" s="1" t="n">
        <v>45631</v>
      </c>
      <c r="C5253" s="1" t="n">
        <v>46185</v>
      </c>
      <c r="D5253" t="inlineStr">
        <is>
          <t>VÄSTERNORRLANDS LÄN</t>
        </is>
      </c>
      <c r="E5253" t="inlineStr">
        <is>
          <t>ÖRNSKÖLDSVIK</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23556-2024</t>
        </is>
      </c>
      <c r="B5254" s="1" t="n">
        <v>45453</v>
      </c>
      <c r="C5254" s="1" t="n">
        <v>46185</v>
      </c>
      <c r="D5254" t="inlineStr">
        <is>
          <t>VÄSTERNORRLANDS LÄN</t>
        </is>
      </c>
      <c r="E5254" t="inlineStr">
        <is>
          <t>TIMRÅ</t>
        </is>
      </c>
      <c r="F5254" t="inlineStr">
        <is>
          <t>SCA</t>
        </is>
      </c>
      <c r="G5254" t="n">
        <v>6.5</v>
      </c>
      <c r="H5254" t="n">
        <v>0</v>
      </c>
      <c r="I5254" t="n">
        <v>0</v>
      </c>
      <c r="J5254" t="n">
        <v>0</v>
      </c>
      <c r="K5254" t="n">
        <v>0</v>
      </c>
      <c r="L5254" t="n">
        <v>0</v>
      </c>
      <c r="M5254" t="n">
        <v>0</v>
      </c>
      <c r="N5254" t="n">
        <v>0</v>
      </c>
      <c r="O5254" t="n">
        <v>0</v>
      </c>
      <c r="P5254" t="n">
        <v>0</v>
      </c>
      <c r="Q5254" t="n">
        <v>0</v>
      </c>
      <c r="R5254" s="2" t="inlineStr"/>
    </row>
    <row r="5255" ht="15" customHeight="1">
      <c r="A5255" t="inlineStr">
        <is>
          <t>A 48697-2024</t>
        </is>
      </c>
      <c r="B5255" s="1" t="n">
        <v>45593.51136574074</v>
      </c>
      <c r="C5255" s="1" t="n">
        <v>46185</v>
      </c>
      <c r="D5255" t="inlineStr">
        <is>
          <t>VÄSTERNORRLANDS LÄN</t>
        </is>
      </c>
      <c r="E5255" t="inlineStr">
        <is>
          <t>ÅNGE</t>
        </is>
      </c>
      <c r="F5255" t="inlineStr">
        <is>
          <t>SCA</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7089-2025</t>
        </is>
      </c>
      <c r="B5256" s="1" t="n">
        <v>45701.74523148148</v>
      </c>
      <c r="C5256" s="1" t="n">
        <v>46185</v>
      </c>
      <c r="D5256" t="inlineStr">
        <is>
          <t>VÄSTERNORRLANDS LÄN</t>
        </is>
      </c>
      <c r="E5256" t="inlineStr">
        <is>
          <t>SUNDSVALL</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7090-2025</t>
        </is>
      </c>
      <c r="B5257" s="1" t="n">
        <v>45701.75070601852</v>
      </c>
      <c r="C5257" s="1" t="n">
        <v>46185</v>
      </c>
      <c r="D5257" t="inlineStr">
        <is>
          <t>VÄSTERNORRLANDS LÄN</t>
        </is>
      </c>
      <c r="E5257" t="inlineStr">
        <is>
          <t>SUNDSVALL</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52824-2025</t>
        </is>
      </c>
      <c r="B5258" s="1" t="n">
        <v>45957.46375</v>
      </c>
      <c r="C5258" s="1" t="n">
        <v>46185</v>
      </c>
      <c r="D5258" t="inlineStr">
        <is>
          <t>VÄSTERNORRLANDS LÄN</t>
        </is>
      </c>
      <c r="E5258" t="inlineStr">
        <is>
          <t>ÖRNSKÖLDSVIK</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52856-2025</t>
        </is>
      </c>
      <c r="B5259" s="1" t="n">
        <v>45957.50234953704</v>
      </c>
      <c r="C5259" s="1" t="n">
        <v>46185</v>
      </c>
      <c r="D5259" t="inlineStr">
        <is>
          <t>VÄSTERNORRLANDS LÄN</t>
        </is>
      </c>
      <c r="E5259" t="inlineStr">
        <is>
          <t>ÖRNSKÖLDSVIK</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40050-2024</t>
        </is>
      </c>
      <c r="B5260" s="1" t="n">
        <v>45553.80729166666</v>
      </c>
      <c r="C5260" s="1" t="n">
        <v>46185</v>
      </c>
      <c r="D5260" t="inlineStr">
        <is>
          <t>VÄSTERNORRLANDS LÄN</t>
        </is>
      </c>
      <c r="E5260" t="inlineStr">
        <is>
          <t>SUNDSVALL</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52821-2025</t>
        </is>
      </c>
      <c r="B5261" s="1" t="n">
        <v>45957.45657407407</v>
      </c>
      <c r="C5261" s="1" t="n">
        <v>46185</v>
      </c>
      <c r="D5261" t="inlineStr">
        <is>
          <t>VÄSTERNORRLANDS LÄN</t>
        </is>
      </c>
      <c r="E5261" t="inlineStr">
        <is>
          <t>ÖRNSKÖLDSVIK</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50638-2023</t>
        </is>
      </c>
      <c r="B5262" s="1" t="n">
        <v>45210</v>
      </c>
      <c r="C5262" s="1" t="n">
        <v>46185</v>
      </c>
      <c r="D5262" t="inlineStr">
        <is>
          <t>VÄSTERNORRLANDS LÄN</t>
        </is>
      </c>
      <c r="E5262" t="inlineStr">
        <is>
          <t>TIMRÅ</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62302-2023</t>
        </is>
      </c>
      <c r="B5263" s="1" t="n">
        <v>45266</v>
      </c>
      <c r="C5263" s="1" t="n">
        <v>46185</v>
      </c>
      <c r="D5263" t="inlineStr">
        <is>
          <t>VÄSTERNORRLANDS LÄN</t>
        </is>
      </c>
      <c r="E5263" t="inlineStr">
        <is>
          <t>SUNDSVALL</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6550-2026</t>
        </is>
      </c>
      <c r="B5264" s="1" t="n">
        <v>46056</v>
      </c>
      <c r="C5264" s="1" t="n">
        <v>46185</v>
      </c>
      <c r="D5264" t="inlineStr">
        <is>
          <t>VÄSTERNORRLANDS LÄN</t>
        </is>
      </c>
      <c r="E5264" t="inlineStr">
        <is>
          <t>TIMRÅ</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6402-2026</t>
        </is>
      </c>
      <c r="B5265" s="1" t="n">
        <v>46055.65847222223</v>
      </c>
      <c r="C5265" s="1" t="n">
        <v>46185</v>
      </c>
      <c r="D5265" t="inlineStr">
        <is>
          <t>VÄSTERNORRLANDS LÄN</t>
        </is>
      </c>
      <c r="E5265" t="inlineStr">
        <is>
          <t>ÖRNSKÖLDSVIK</t>
        </is>
      </c>
      <c r="G5265" t="n">
        <v>13.9</v>
      </c>
      <c r="H5265" t="n">
        <v>0</v>
      </c>
      <c r="I5265" t="n">
        <v>0</v>
      </c>
      <c r="J5265" t="n">
        <v>0</v>
      </c>
      <c r="K5265" t="n">
        <v>0</v>
      </c>
      <c r="L5265" t="n">
        <v>0</v>
      </c>
      <c r="M5265" t="n">
        <v>0</v>
      </c>
      <c r="N5265" t="n">
        <v>0</v>
      </c>
      <c r="O5265" t="n">
        <v>0</v>
      </c>
      <c r="P5265" t="n">
        <v>0</v>
      </c>
      <c r="Q5265" t="n">
        <v>0</v>
      </c>
      <c r="R5265" s="2" t="inlineStr"/>
    </row>
    <row r="5266" ht="15" customHeight="1">
      <c r="A5266" t="inlineStr">
        <is>
          <t>A 61424-2024</t>
        </is>
      </c>
      <c r="B5266" s="1" t="n">
        <v>45646.45277777778</v>
      </c>
      <c r="C5266" s="1" t="n">
        <v>46185</v>
      </c>
      <c r="D5266" t="inlineStr">
        <is>
          <t>VÄSTERNORRLANDS LÄN</t>
        </is>
      </c>
      <c r="E5266" t="inlineStr">
        <is>
          <t>ÖRNSKÖLDSVIK</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2111-2025</t>
        </is>
      </c>
      <c r="B5267" s="1" t="n">
        <v>45672</v>
      </c>
      <c r="C5267" s="1" t="n">
        <v>46185</v>
      </c>
      <c r="D5267" t="inlineStr">
        <is>
          <t>VÄSTERNORRLANDS LÄN</t>
        </is>
      </c>
      <c r="E5267" t="inlineStr">
        <is>
          <t>ÖRNSKÖLDSVIK</t>
        </is>
      </c>
      <c r="G5267" t="n">
        <v>13.7</v>
      </c>
      <c r="H5267" t="n">
        <v>0</v>
      </c>
      <c r="I5267" t="n">
        <v>0</v>
      </c>
      <c r="J5267" t="n">
        <v>0</v>
      </c>
      <c r="K5267" t="n">
        <v>0</v>
      </c>
      <c r="L5267" t="n">
        <v>0</v>
      </c>
      <c r="M5267" t="n">
        <v>0</v>
      </c>
      <c r="N5267" t="n">
        <v>0</v>
      </c>
      <c r="O5267" t="n">
        <v>0</v>
      </c>
      <c r="P5267" t="n">
        <v>0</v>
      </c>
      <c r="Q5267" t="n">
        <v>0</v>
      </c>
      <c r="R5267" s="2" t="inlineStr"/>
    </row>
    <row r="5268" ht="15" customHeight="1">
      <c r="A5268" t="inlineStr">
        <is>
          <t>A 53240-2025</t>
        </is>
      </c>
      <c r="B5268" s="1" t="n">
        <v>45958.63600694444</v>
      </c>
      <c r="C5268" s="1" t="n">
        <v>46185</v>
      </c>
      <c r="D5268" t="inlineStr">
        <is>
          <t>VÄSTERNORRLANDS LÄN</t>
        </is>
      </c>
      <c r="E5268" t="inlineStr">
        <is>
          <t>SOLLEFTEÅ</t>
        </is>
      </c>
      <c r="F5268" t="inlineStr">
        <is>
          <t>SCA</t>
        </is>
      </c>
      <c r="G5268" t="n">
        <v>36.2</v>
      </c>
      <c r="H5268" t="n">
        <v>0</v>
      </c>
      <c r="I5268" t="n">
        <v>0</v>
      </c>
      <c r="J5268" t="n">
        <v>0</v>
      </c>
      <c r="K5268" t="n">
        <v>0</v>
      </c>
      <c r="L5268" t="n">
        <v>0</v>
      </c>
      <c r="M5268" t="n">
        <v>0</v>
      </c>
      <c r="N5268" t="n">
        <v>0</v>
      </c>
      <c r="O5268" t="n">
        <v>0</v>
      </c>
      <c r="P5268" t="n">
        <v>0</v>
      </c>
      <c r="Q5268" t="n">
        <v>0</v>
      </c>
      <c r="R5268" s="2" t="inlineStr"/>
    </row>
    <row r="5269" ht="15" customHeight="1">
      <c r="A5269" t="inlineStr">
        <is>
          <t>A 53033-2025</t>
        </is>
      </c>
      <c r="B5269" s="1" t="n">
        <v>45958.34479166667</v>
      </c>
      <c r="C5269" s="1" t="n">
        <v>46185</v>
      </c>
      <c r="D5269" t="inlineStr">
        <is>
          <t>VÄSTERNORRLANDS LÄN</t>
        </is>
      </c>
      <c r="E5269" t="inlineStr">
        <is>
          <t>ÅNGE</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53097-2025</t>
        </is>
      </c>
      <c r="B5270" s="1" t="n">
        <v>45958.42767361111</v>
      </c>
      <c r="C5270" s="1" t="n">
        <v>46185</v>
      </c>
      <c r="D5270" t="inlineStr">
        <is>
          <t>VÄSTERNORRLANDS LÄN</t>
        </is>
      </c>
      <c r="E5270" t="inlineStr">
        <is>
          <t>SOLLEFTEÅ</t>
        </is>
      </c>
      <c r="F5270" t="inlineStr">
        <is>
          <t>SCA</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53098-2025</t>
        </is>
      </c>
      <c r="B5271" s="1" t="n">
        <v>45958.42774305555</v>
      </c>
      <c r="C5271" s="1" t="n">
        <v>46185</v>
      </c>
      <c r="D5271" t="inlineStr">
        <is>
          <t>VÄSTERNORRLANDS LÄN</t>
        </is>
      </c>
      <c r="E5271" t="inlineStr">
        <is>
          <t>SOLLEFTEÅ</t>
        </is>
      </c>
      <c r="F5271" t="inlineStr">
        <is>
          <t>SCA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9072-2025</t>
        </is>
      </c>
      <c r="B5272" s="1" t="n">
        <v>45713.65673611111</v>
      </c>
      <c r="C5272" s="1" t="n">
        <v>46185</v>
      </c>
      <c r="D5272" t="inlineStr">
        <is>
          <t>VÄSTERNORRLANDS LÄN</t>
        </is>
      </c>
      <c r="E5272" t="inlineStr">
        <is>
          <t>SOLLEFTEÅ</t>
        </is>
      </c>
      <c r="F5272" t="inlineStr">
        <is>
          <t>SCA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34309-2023</t>
        </is>
      </c>
      <c r="B5273" s="1" t="n">
        <v>45138.92300925926</v>
      </c>
      <c r="C5273" s="1" t="n">
        <v>46185</v>
      </c>
      <c r="D5273" t="inlineStr">
        <is>
          <t>VÄSTERNORRLANDS LÄN</t>
        </is>
      </c>
      <c r="E5273" t="inlineStr">
        <is>
          <t>SOLLEFTEÅ</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6725-2026</t>
        </is>
      </c>
      <c r="B5274" s="1" t="n">
        <v>46056.67760416667</v>
      </c>
      <c r="C5274" s="1" t="n">
        <v>46185</v>
      </c>
      <c r="D5274" t="inlineStr">
        <is>
          <t>VÄSTERNORRLANDS LÄN</t>
        </is>
      </c>
      <c r="E5274" t="inlineStr">
        <is>
          <t>SOLLEFTEÅ</t>
        </is>
      </c>
      <c r="F5274" t="inlineStr">
        <is>
          <t>SCA</t>
        </is>
      </c>
      <c r="G5274" t="n">
        <v>27.7</v>
      </c>
      <c r="H5274" t="n">
        <v>0</v>
      </c>
      <c r="I5274" t="n">
        <v>0</v>
      </c>
      <c r="J5274" t="n">
        <v>0</v>
      </c>
      <c r="K5274" t="n">
        <v>0</v>
      </c>
      <c r="L5274" t="n">
        <v>0</v>
      </c>
      <c r="M5274" t="n">
        <v>0</v>
      </c>
      <c r="N5274" t="n">
        <v>0</v>
      </c>
      <c r="O5274" t="n">
        <v>0</v>
      </c>
      <c r="P5274" t="n">
        <v>0</v>
      </c>
      <c r="Q5274" t="n">
        <v>0</v>
      </c>
      <c r="R5274" s="2" t="inlineStr"/>
    </row>
    <row r="5275" ht="15" customHeight="1">
      <c r="A5275" t="inlineStr">
        <is>
          <t>A 34330-2023</t>
        </is>
      </c>
      <c r="B5275" s="1" t="n">
        <v>45138</v>
      </c>
      <c r="C5275" s="1" t="n">
        <v>46185</v>
      </c>
      <c r="D5275" t="inlineStr">
        <is>
          <t>VÄSTERNORRLANDS LÄN</t>
        </is>
      </c>
      <c r="E5275" t="inlineStr">
        <is>
          <t>SOLLEFTEÅ</t>
        </is>
      </c>
      <c r="F5275" t="inlineStr">
        <is>
          <t>SCA</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17436-2023</t>
        </is>
      </c>
      <c r="B5276" s="1" t="n">
        <v>45035.92699074074</v>
      </c>
      <c r="C5276" s="1" t="n">
        <v>46185</v>
      </c>
      <c r="D5276" t="inlineStr">
        <is>
          <t>VÄSTERNORRLANDS LÄN</t>
        </is>
      </c>
      <c r="E5276" t="inlineStr">
        <is>
          <t>SUNDSVALL</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13736-2025</t>
        </is>
      </c>
      <c r="B5277" s="1" t="n">
        <v>45736</v>
      </c>
      <c r="C5277" s="1" t="n">
        <v>46185</v>
      </c>
      <c r="D5277" t="inlineStr">
        <is>
          <t>VÄSTERNORRLANDS LÄN</t>
        </is>
      </c>
      <c r="E5277" t="inlineStr">
        <is>
          <t>ÖRNSKÖLDSVIK</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52993-2025</t>
        </is>
      </c>
      <c r="B5278" s="1" t="n">
        <v>45957</v>
      </c>
      <c r="C5278" s="1" t="n">
        <v>46185</v>
      </c>
      <c r="D5278" t="inlineStr">
        <is>
          <t>VÄSTERNORRLANDS LÄN</t>
        </is>
      </c>
      <c r="E5278" t="inlineStr">
        <is>
          <t>SUNDSVALL</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52767-2025</t>
        </is>
      </c>
      <c r="B5279" s="1" t="n">
        <v>45957.40163194444</v>
      </c>
      <c r="C5279" s="1" t="n">
        <v>46185</v>
      </c>
      <c r="D5279" t="inlineStr">
        <is>
          <t>VÄSTERNORRLANDS LÄN</t>
        </is>
      </c>
      <c r="E5279" t="inlineStr">
        <is>
          <t>SOLLEFTEÅ</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57110-2024</t>
        </is>
      </c>
      <c r="B5280" s="1" t="n">
        <v>45629.36476851852</v>
      </c>
      <c r="C5280" s="1" t="n">
        <v>46185</v>
      </c>
      <c r="D5280" t="inlineStr">
        <is>
          <t>VÄSTERNORRLANDS LÄN</t>
        </is>
      </c>
      <c r="E5280" t="inlineStr">
        <is>
          <t>SUNDSVALL</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52974-2025</t>
        </is>
      </c>
      <c r="B5281" s="1" t="n">
        <v>45957.67858796296</v>
      </c>
      <c r="C5281" s="1" t="n">
        <v>46185</v>
      </c>
      <c r="D5281" t="inlineStr">
        <is>
          <t>VÄSTERNORRLANDS LÄN</t>
        </is>
      </c>
      <c r="E5281" t="inlineStr">
        <is>
          <t>SOLLEFTEÅ</t>
        </is>
      </c>
      <c r="F5281" t="inlineStr">
        <is>
          <t>SCA</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6733-2026</t>
        </is>
      </c>
      <c r="B5282" s="1" t="n">
        <v>46056.6880787037</v>
      </c>
      <c r="C5282" s="1" t="n">
        <v>46185</v>
      </c>
      <c r="D5282" t="inlineStr">
        <is>
          <t>VÄSTERNORRLANDS LÄN</t>
        </is>
      </c>
      <c r="E5282" t="inlineStr">
        <is>
          <t>SUNDSVALL</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59189-2024</t>
        </is>
      </c>
      <c r="B5283" s="1" t="n">
        <v>45637</v>
      </c>
      <c r="C5283" s="1" t="n">
        <v>46185</v>
      </c>
      <c r="D5283" t="inlineStr">
        <is>
          <t>VÄSTERNORRLANDS LÄN</t>
        </is>
      </c>
      <c r="E5283" t="inlineStr">
        <is>
          <t>TIMRÅ</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53976-2024</t>
        </is>
      </c>
      <c r="B5284" s="1" t="n">
        <v>45616.32620370371</v>
      </c>
      <c r="C5284" s="1" t="n">
        <v>46185</v>
      </c>
      <c r="D5284" t="inlineStr">
        <is>
          <t>VÄSTERNORRLANDS LÄN</t>
        </is>
      </c>
      <c r="E5284" t="inlineStr">
        <is>
          <t>ÖRNSKÖLDSVIK</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774-2025</t>
        </is>
      </c>
      <c r="B5285" s="1" t="n">
        <v>45659</v>
      </c>
      <c r="C5285" s="1" t="n">
        <v>46185</v>
      </c>
      <c r="D5285" t="inlineStr">
        <is>
          <t>VÄSTERNORRLANDS LÄN</t>
        </is>
      </c>
      <c r="E5285" t="inlineStr">
        <is>
          <t>SOLLEFTEÅ</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775-2025</t>
        </is>
      </c>
      <c r="B5286" s="1" t="n">
        <v>45659</v>
      </c>
      <c r="C5286" s="1" t="n">
        <v>46185</v>
      </c>
      <c r="D5286" t="inlineStr">
        <is>
          <t>VÄSTERNORRLANDS LÄN</t>
        </is>
      </c>
      <c r="E5286" t="inlineStr">
        <is>
          <t>SOLLEFTEÅ</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31177-2023</t>
        </is>
      </c>
      <c r="B5287" s="1" t="n">
        <v>45113</v>
      </c>
      <c r="C5287" s="1" t="n">
        <v>46185</v>
      </c>
      <c r="D5287" t="inlineStr">
        <is>
          <t>VÄSTERNORRLANDS LÄN</t>
        </is>
      </c>
      <c r="E5287" t="inlineStr">
        <is>
          <t>SOLLEFTEÅ</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53431-2025</t>
        </is>
      </c>
      <c r="B5288" s="1" t="n">
        <v>45959</v>
      </c>
      <c r="C5288" s="1" t="n">
        <v>46185</v>
      </c>
      <c r="D5288" t="inlineStr">
        <is>
          <t>VÄSTERNORRLANDS LÄN</t>
        </is>
      </c>
      <c r="E5288" t="inlineStr">
        <is>
          <t>KRAMFORS</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53463-2025</t>
        </is>
      </c>
      <c r="B5289" s="1" t="n">
        <v>45959.68188657407</v>
      </c>
      <c r="C5289" s="1" t="n">
        <v>46185</v>
      </c>
      <c r="D5289" t="inlineStr">
        <is>
          <t>VÄSTERNORRLANDS LÄN</t>
        </is>
      </c>
      <c r="E5289" t="inlineStr">
        <is>
          <t>SUNDSVALL</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53653-2025</t>
        </is>
      </c>
      <c r="B5290" s="1" t="n">
        <v>45960.53180555555</v>
      </c>
      <c r="C5290" s="1" t="n">
        <v>46185</v>
      </c>
      <c r="D5290" t="inlineStr">
        <is>
          <t>VÄSTERNORRLANDS LÄN</t>
        </is>
      </c>
      <c r="E5290" t="inlineStr">
        <is>
          <t>ÖRNSKÖLDSVIK</t>
        </is>
      </c>
      <c r="F5290" t="inlineStr">
        <is>
          <t>SCA</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53313-2025</t>
        </is>
      </c>
      <c r="B5291" s="1" t="n">
        <v>45959.34465277778</v>
      </c>
      <c r="C5291" s="1" t="n">
        <v>46185</v>
      </c>
      <c r="D5291" t="inlineStr">
        <is>
          <t>VÄSTERNORRLANDS LÄN</t>
        </is>
      </c>
      <c r="E5291" t="inlineStr">
        <is>
          <t>SUNDSVALL</t>
        </is>
      </c>
      <c r="F5291" t="inlineStr">
        <is>
          <t>SCA</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53258-2025</t>
        </is>
      </c>
      <c r="B5292" s="1" t="n">
        <v>45958.6775</v>
      </c>
      <c r="C5292" s="1" t="n">
        <v>46185</v>
      </c>
      <c r="D5292" t="inlineStr">
        <is>
          <t>VÄSTERNORRLANDS LÄN</t>
        </is>
      </c>
      <c r="E5292" t="inlineStr">
        <is>
          <t>SUNDSVALL</t>
        </is>
      </c>
      <c r="F5292" t="inlineStr">
        <is>
          <t>SCA</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49789-2025</t>
        </is>
      </c>
      <c r="B5293" s="1" t="n">
        <v>45940</v>
      </c>
      <c r="C5293" s="1" t="n">
        <v>46185</v>
      </c>
      <c r="D5293" t="inlineStr">
        <is>
          <t>VÄSTERNORRLANDS LÄN</t>
        </is>
      </c>
      <c r="E5293" t="inlineStr">
        <is>
          <t>SOLLEFTEÅ</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46320-2022</t>
        </is>
      </c>
      <c r="B5294" s="1" t="n">
        <v>44847</v>
      </c>
      <c r="C5294" s="1" t="n">
        <v>46185</v>
      </c>
      <c r="D5294" t="inlineStr">
        <is>
          <t>VÄSTERNORRLANDS LÄN</t>
        </is>
      </c>
      <c r="E5294" t="inlineStr">
        <is>
          <t>HÄRNÖSAND</t>
        </is>
      </c>
      <c r="F5294" t="inlineStr">
        <is>
          <t>Kyrkan</t>
        </is>
      </c>
      <c r="G5294" t="n">
        <v>7</v>
      </c>
      <c r="H5294" t="n">
        <v>0</v>
      </c>
      <c r="I5294" t="n">
        <v>0</v>
      </c>
      <c r="J5294" t="n">
        <v>0</v>
      </c>
      <c r="K5294" t="n">
        <v>0</v>
      </c>
      <c r="L5294" t="n">
        <v>0</v>
      </c>
      <c r="M5294" t="n">
        <v>0</v>
      </c>
      <c r="N5294" t="n">
        <v>0</v>
      </c>
      <c r="O5294" t="n">
        <v>0</v>
      </c>
      <c r="P5294" t="n">
        <v>0</v>
      </c>
      <c r="Q5294" t="n">
        <v>0</v>
      </c>
      <c r="R5294" s="2" t="inlineStr"/>
    </row>
    <row r="5295" ht="15" customHeight="1">
      <c r="A5295" t="inlineStr">
        <is>
          <t>A 53675-2025</t>
        </is>
      </c>
      <c r="B5295" s="1" t="n">
        <v>45960.55678240741</v>
      </c>
      <c r="C5295" s="1" t="n">
        <v>46185</v>
      </c>
      <c r="D5295" t="inlineStr">
        <is>
          <t>VÄSTERNORRLANDS LÄN</t>
        </is>
      </c>
      <c r="E5295" t="inlineStr">
        <is>
          <t>ÖRNSKÖLDSVIK</t>
        </is>
      </c>
      <c r="F5295" t="inlineStr">
        <is>
          <t>Holmen skog AB</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23869-2024</t>
        </is>
      </c>
      <c r="B5296" s="1" t="n">
        <v>45455.60939814815</v>
      </c>
      <c r="C5296" s="1" t="n">
        <v>46185</v>
      </c>
      <c r="D5296" t="inlineStr">
        <is>
          <t>VÄSTERNORRLANDS LÄN</t>
        </is>
      </c>
      <c r="E5296" t="inlineStr">
        <is>
          <t>ÖRNSKÖLDSVIK</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23878-2024</t>
        </is>
      </c>
      <c r="B5297" s="1" t="n">
        <v>45455</v>
      </c>
      <c r="C5297" s="1" t="n">
        <v>46185</v>
      </c>
      <c r="D5297" t="inlineStr">
        <is>
          <t>VÄSTERNORRLANDS LÄN</t>
        </is>
      </c>
      <c r="E5297" t="inlineStr">
        <is>
          <t>TIMRÅ</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5040-2024</t>
        </is>
      </c>
      <c r="B5298" s="1" t="n">
        <v>45329.88962962963</v>
      </c>
      <c r="C5298" s="1" t="n">
        <v>46185</v>
      </c>
      <c r="D5298" t="inlineStr">
        <is>
          <t>VÄSTERNORRLANDS LÄN</t>
        </is>
      </c>
      <c r="E5298" t="inlineStr">
        <is>
          <t>SOLLEFTEÅ</t>
        </is>
      </c>
      <c r="F5298" t="inlineStr">
        <is>
          <t>Övriga Aktiebolag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53659-2025</t>
        </is>
      </c>
      <c r="B5299" s="1" t="n">
        <v>45960.53931712963</v>
      </c>
      <c r="C5299" s="1" t="n">
        <v>46185</v>
      </c>
      <c r="D5299" t="inlineStr">
        <is>
          <t>VÄSTERNORRLANDS LÄN</t>
        </is>
      </c>
      <c r="E5299" t="inlineStr">
        <is>
          <t>ÖRNSKÖLDSVIK</t>
        </is>
      </c>
      <c r="F5299" t="inlineStr">
        <is>
          <t>Holmen skog AB</t>
        </is>
      </c>
      <c r="G5299" t="n">
        <v>6.6</v>
      </c>
      <c r="H5299" t="n">
        <v>0</v>
      </c>
      <c r="I5299" t="n">
        <v>0</v>
      </c>
      <c r="J5299" t="n">
        <v>0</v>
      </c>
      <c r="K5299" t="n">
        <v>0</v>
      </c>
      <c r="L5299" t="n">
        <v>0</v>
      </c>
      <c r="M5299" t="n">
        <v>0</v>
      </c>
      <c r="N5299" t="n">
        <v>0</v>
      </c>
      <c r="O5299" t="n">
        <v>0</v>
      </c>
      <c r="P5299" t="n">
        <v>0</v>
      </c>
      <c r="Q5299" t="n">
        <v>0</v>
      </c>
      <c r="R5299" s="2" t="inlineStr"/>
    </row>
    <row r="5300" ht="15" customHeight="1">
      <c r="A5300" t="inlineStr">
        <is>
          <t>A 62082-2023</t>
        </is>
      </c>
      <c r="B5300" s="1" t="n">
        <v>45266</v>
      </c>
      <c r="C5300" s="1" t="n">
        <v>46185</v>
      </c>
      <c r="D5300" t="inlineStr">
        <is>
          <t>VÄSTERNORRLANDS LÄN</t>
        </is>
      </c>
      <c r="E5300" t="inlineStr">
        <is>
          <t>ÖRNSKÖLDSVIK</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62099-2023</t>
        </is>
      </c>
      <c r="B5301" s="1" t="n">
        <v>45266</v>
      </c>
      <c r="C5301" s="1" t="n">
        <v>46185</v>
      </c>
      <c r="D5301" t="inlineStr">
        <is>
          <t>VÄSTERNORRLANDS LÄN</t>
        </is>
      </c>
      <c r="E5301" t="inlineStr">
        <is>
          <t>SOLLEFTEÅ</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13539-2024</t>
        </is>
      </c>
      <c r="B5302" s="1" t="n">
        <v>45387.92583333333</v>
      </c>
      <c r="C5302" s="1" t="n">
        <v>46185</v>
      </c>
      <c r="D5302" t="inlineStr">
        <is>
          <t>VÄSTERNORRLANDS LÄN</t>
        </is>
      </c>
      <c r="E5302" t="inlineStr">
        <is>
          <t>SOLLEFTEÅ</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8962-2024</t>
        </is>
      </c>
      <c r="B5303" s="1" t="n">
        <v>45357.46949074074</v>
      </c>
      <c r="C5303" s="1" t="n">
        <v>46185</v>
      </c>
      <c r="D5303" t="inlineStr">
        <is>
          <t>VÄSTERNORRLANDS LÄN</t>
        </is>
      </c>
      <c r="E5303" t="inlineStr">
        <is>
          <t>SUNDSVALL</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53372-2025</t>
        </is>
      </c>
      <c r="B5304" s="1" t="n">
        <v>45959.50277777778</v>
      </c>
      <c r="C5304" s="1" t="n">
        <v>46185</v>
      </c>
      <c r="D5304" t="inlineStr">
        <is>
          <t>VÄSTERNORRLANDS LÄN</t>
        </is>
      </c>
      <c r="E5304" t="inlineStr">
        <is>
          <t>KRAMFORS</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11764-2024</t>
        </is>
      </c>
      <c r="B5305" s="1" t="n">
        <v>45373.94837962963</v>
      </c>
      <c r="C5305" s="1" t="n">
        <v>46185</v>
      </c>
      <c r="D5305" t="inlineStr">
        <is>
          <t>VÄSTERNORRLANDS LÄN</t>
        </is>
      </c>
      <c r="E5305" t="inlineStr">
        <is>
          <t>ÅNGE</t>
        </is>
      </c>
      <c r="F5305" t="inlineStr">
        <is>
          <t>SCA</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4530-2026</t>
        </is>
      </c>
      <c r="B5306" s="1" t="n">
        <v>46046</v>
      </c>
      <c r="C5306" s="1" t="n">
        <v>46185</v>
      </c>
      <c r="D5306" t="inlineStr">
        <is>
          <t>VÄSTERNORRLANDS LÄN</t>
        </is>
      </c>
      <c r="E5306" t="inlineStr">
        <is>
          <t>KRAMFORS</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6527-2026</t>
        </is>
      </c>
      <c r="B5307" s="1" t="n">
        <v>46056</v>
      </c>
      <c r="C5307" s="1" t="n">
        <v>46185</v>
      </c>
      <c r="D5307" t="inlineStr">
        <is>
          <t>VÄSTERNORRLANDS LÄN</t>
        </is>
      </c>
      <c r="E5307" t="inlineStr">
        <is>
          <t>TIMRÅ</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18417-2023</t>
        </is>
      </c>
      <c r="B5308" s="1" t="n">
        <v>45042</v>
      </c>
      <c r="C5308" s="1" t="n">
        <v>46185</v>
      </c>
      <c r="D5308" t="inlineStr">
        <is>
          <t>VÄSTERNORRLANDS LÄN</t>
        </is>
      </c>
      <c r="E5308" t="inlineStr">
        <is>
          <t>ÖRNSKÖLDSVIK</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58526-2024</t>
        </is>
      </c>
      <c r="B5309" s="1" t="n">
        <v>45635.44359953704</v>
      </c>
      <c r="C5309" s="1" t="n">
        <v>46185</v>
      </c>
      <c r="D5309" t="inlineStr">
        <is>
          <t>VÄSTERNORRLANDS LÄN</t>
        </is>
      </c>
      <c r="E5309" t="inlineStr">
        <is>
          <t>ÖRNSKÖLDSVIK</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53449-2025</t>
        </is>
      </c>
      <c r="B5310" s="1" t="n">
        <v>45959</v>
      </c>
      <c r="C5310" s="1" t="n">
        <v>46185</v>
      </c>
      <c r="D5310" t="inlineStr">
        <is>
          <t>VÄSTERNORRLANDS LÄN</t>
        </is>
      </c>
      <c r="E5310" t="inlineStr">
        <is>
          <t>KRAMFORS</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53452-2025</t>
        </is>
      </c>
      <c r="B5311" s="1" t="n">
        <v>45959.65700231482</v>
      </c>
      <c r="C5311" s="1" t="n">
        <v>46185</v>
      </c>
      <c r="D5311" t="inlineStr">
        <is>
          <t>VÄSTERNORRLANDS LÄN</t>
        </is>
      </c>
      <c r="E5311" t="inlineStr">
        <is>
          <t>KRAMFORS</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53530-2025</t>
        </is>
      </c>
      <c r="B5312" s="1" t="n">
        <v>45960.36521990741</v>
      </c>
      <c r="C5312" s="1" t="n">
        <v>46185</v>
      </c>
      <c r="D5312" t="inlineStr">
        <is>
          <t>VÄSTERNORRLANDS LÄN</t>
        </is>
      </c>
      <c r="E5312" t="inlineStr">
        <is>
          <t>SOLLEFTEÅ</t>
        </is>
      </c>
      <c r="F5312" t="inlineStr">
        <is>
          <t>SCA</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53550-2025</t>
        </is>
      </c>
      <c r="B5313" s="1" t="n">
        <v>45960.38583333333</v>
      </c>
      <c r="C5313" s="1" t="n">
        <v>46185</v>
      </c>
      <c r="D5313" t="inlineStr">
        <is>
          <t>VÄSTERNORRLANDS LÄN</t>
        </is>
      </c>
      <c r="E5313" t="inlineStr">
        <is>
          <t>SOLLEFTEÅ</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6691-2026</t>
        </is>
      </c>
      <c r="B5314" s="1" t="n">
        <v>46056</v>
      </c>
      <c r="C5314" s="1" t="n">
        <v>46185</v>
      </c>
      <c r="D5314" t="inlineStr">
        <is>
          <t>VÄSTERNORRLANDS LÄN</t>
        </is>
      </c>
      <c r="E5314" t="inlineStr">
        <is>
          <t>SUNDSVALL</t>
        </is>
      </c>
      <c r="F5314" t="inlineStr">
        <is>
          <t>SCA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53740-2025</t>
        </is>
      </c>
      <c r="B5315" s="1" t="n">
        <v>45960</v>
      </c>
      <c r="C5315" s="1" t="n">
        <v>46185</v>
      </c>
      <c r="D5315" t="inlineStr">
        <is>
          <t>VÄSTERNORRLANDS LÄN</t>
        </is>
      </c>
      <c r="E5315" t="inlineStr">
        <is>
          <t>ÖRNSKÖLDSVIK</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57846-2024</t>
        </is>
      </c>
      <c r="B5316" s="1" t="n">
        <v>45631.40759259259</v>
      </c>
      <c r="C5316" s="1" t="n">
        <v>46185</v>
      </c>
      <c r="D5316" t="inlineStr">
        <is>
          <t>VÄSTERNORRLANDS LÄN</t>
        </is>
      </c>
      <c r="E5316" t="inlineStr">
        <is>
          <t>SOLLEFTEÅ</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53537-2025</t>
        </is>
      </c>
      <c r="B5317" s="1" t="n">
        <v>45960.37328703704</v>
      </c>
      <c r="C5317" s="1" t="n">
        <v>46185</v>
      </c>
      <c r="D5317" t="inlineStr">
        <is>
          <t>VÄSTERNORRLANDS LÄN</t>
        </is>
      </c>
      <c r="E5317" t="inlineStr">
        <is>
          <t>ÖRNSKÖLDSVIK</t>
        </is>
      </c>
      <c r="F5317" t="inlineStr">
        <is>
          <t>Holmen skog AB</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53509-2025</t>
        </is>
      </c>
      <c r="B5318" s="1" t="n">
        <v>45960.34506944445</v>
      </c>
      <c r="C5318" s="1" t="n">
        <v>46185</v>
      </c>
      <c r="D5318" t="inlineStr">
        <is>
          <t>VÄSTERNORRLANDS LÄN</t>
        </is>
      </c>
      <c r="E5318" t="inlineStr">
        <is>
          <t>ÅNGE</t>
        </is>
      </c>
      <c r="F5318" t="inlineStr">
        <is>
          <t>SCA</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49791-2025</t>
        </is>
      </c>
      <c r="B5319" s="1" t="n">
        <v>45940</v>
      </c>
      <c r="C5319" s="1" t="n">
        <v>46185</v>
      </c>
      <c r="D5319" t="inlineStr">
        <is>
          <t>VÄSTERNORRLANDS LÄN</t>
        </is>
      </c>
      <c r="E5319" t="inlineStr">
        <is>
          <t>SOLLEFTEÅ</t>
        </is>
      </c>
      <c r="F5319" t="inlineStr">
        <is>
          <t>SCA</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6650-2026</t>
        </is>
      </c>
      <c r="B5320" s="1" t="n">
        <v>46056.55253472222</v>
      </c>
      <c r="C5320" s="1" t="n">
        <v>46185</v>
      </c>
      <c r="D5320" t="inlineStr">
        <is>
          <t>VÄSTERNORRLANDS LÄN</t>
        </is>
      </c>
      <c r="E5320" t="inlineStr">
        <is>
          <t>SUNDSVALL</t>
        </is>
      </c>
      <c r="F5320" t="inlineStr">
        <is>
          <t>SCA</t>
        </is>
      </c>
      <c r="G5320" t="n">
        <v>6.7</v>
      </c>
      <c r="H5320" t="n">
        <v>0</v>
      </c>
      <c r="I5320" t="n">
        <v>0</v>
      </c>
      <c r="J5320" t="n">
        <v>0</v>
      </c>
      <c r="K5320" t="n">
        <v>0</v>
      </c>
      <c r="L5320" t="n">
        <v>0</v>
      </c>
      <c r="M5320" t="n">
        <v>0</v>
      </c>
      <c r="N5320" t="n">
        <v>0</v>
      </c>
      <c r="O5320" t="n">
        <v>0</v>
      </c>
      <c r="P5320" t="n">
        <v>0</v>
      </c>
      <c r="Q5320" t="n">
        <v>0</v>
      </c>
      <c r="R5320" s="2" t="inlineStr"/>
    </row>
    <row r="5321" ht="15" customHeight="1">
      <c r="A5321" t="inlineStr">
        <is>
          <t>A 6132-2026</t>
        </is>
      </c>
      <c r="B5321" s="1" t="n">
        <v>46054.50747685185</v>
      </c>
      <c r="C5321" s="1" t="n">
        <v>46185</v>
      </c>
      <c r="D5321" t="inlineStr">
        <is>
          <t>VÄSTERNORRLANDS LÄN</t>
        </is>
      </c>
      <c r="E5321" t="inlineStr">
        <is>
          <t>KRAMFORS</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53640-2025</t>
        </is>
      </c>
      <c r="B5322" s="1" t="n">
        <v>45960.51094907407</v>
      </c>
      <c r="C5322" s="1" t="n">
        <v>46185</v>
      </c>
      <c r="D5322" t="inlineStr">
        <is>
          <t>VÄSTERNORRLANDS LÄN</t>
        </is>
      </c>
      <c r="E5322" t="inlineStr">
        <is>
          <t>ÖRNSKÖLDSVIK</t>
        </is>
      </c>
      <c r="F5322" t="inlineStr">
        <is>
          <t>Holmen skog AB</t>
        </is>
      </c>
      <c r="G5322" t="n">
        <v>9.6</v>
      </c>
      <c r="H5322" t="n">
        <v>0</v>
      </c>
      <c r="I5322" t="n">
        <v>0</v>
      </c>
      <c r="J5322" t="n">
        <v>0</v>
      </c>
      <c r="K5322" t="n">
        <v>0</v>
      </c>
      <c r="L5322" t="n">
        <v>0</v>
      </c>
      <c r="M5322" t="n">
        <v>0</v>
      </c>
      <c r="N5322" t="n">
        <v>0</v>
      </c>
      <c r="O5322" t="n">
        <v>0</v>
      </c>
      <c r="P5322" t="n">
        <v>0</v>
      </c>
      <c r="Q5322" t="n">
        <v>0</v>
      </c>
      <c r="R5322" s="2" t="inlineStr"/>
    </row>
    <row r="5323" ht="15" customHeight="1">
      <c r="A5323" t="inlineStr">
        <is>
          <t>A 53733-2025</t>
        </is>
      </c>
      <c r="B5323" s="1" t="n">
        <v>45960.6437037037</v>
      </c>
      <c r="C5323" s="1" t="n">
        <v>46185</v>
      </c>
      <c r="D5323" t="inlineStr">
        <is>
          <t>VÄSTERNORRLANDS LÄN</t>
        </is>
      </c>
      <c r="E5323" t="inlineStr">
        <is>
          <t>ÖRNSKÖLDSVIK</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54059-2024</t>
        </is>
      </c>
      <c r="B5324" s="1" t="n">
        <v>45616.46943287037</v>
      </c>
      <c r="C5324" s="1" t="n">
        <v>46185</v>
      </c>
      <c r="D5324" t="inlineStr">
        <is>
          <t>VÄSTERNORRLANDS LÄN</t>
        </is>
      </c>
      <c r="E5324" t="inlineStr">
        <is>
          <t>ÅNGE</t>
        </is>
      </c>
      <c r="F5324" t="inlineStr">
        <is>
          <t>SCA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53468-2025</t>
        </is>
      </c>
      <c r="B5325" s="1" t="n">
        <v>45959.69859953703</v>
      </c>
      <c r="C5325" s="1" t="n">
        <v>46185</v>
      </c>
      <c r="D5325" t="inlineStr">
        <is>
          <t>VÄSTERNORRLANDS LÄN</t>
        </is>
      </c>
      <c r="E5325" t="inlineStr">
        <is>
          <t>SOLLEFTEÅ</t>
        </is>
      </c>
      <c r="F5325" t="inlineStr">
        <is>
          <t>SCA</t>
        </is>
      </c>
      <c r="G5325" t="n">
        <v>6.3</v>
      </c>
      <c r="H5325" t="n">
        <v>0</v>
      </c>
      <c r="I5325" t="n">
        <v>0</v>
      </c>
      <c r="J5325" t="n">
        <v>0</v>
      </c>
      <c r="K5325" t="n">
        <v>0</v>
      </c>
      <c r="L5325" t="n">
        <v>0</v>
      </c>
      <c r="M5325" t="n">
        <v>0</v>
      </c>
      <c r="N5325" t="n">
        <v>0</v>
      </c>
      <c r="O5325" t="n">
        <v>0</v>
      </c>
      <c r="P5325" t="n">
        <v>0</v>
      </c>
      <c r="Q5325" t="n">
        <v>0</v>
      </c>
      <c r="R5325" s="2" t="inlineStr"/>
    </row>
    <row r="5326" ht="15" customHeight="1">
      <c r="A5326" t="inlineStr">
        <is>
          <t>A 53327-2025</t>
        </is>
      </c>
      <c r="B5326" s="1" t="n">
        <v>45959.36515046296</v>
      </c>
      <c r="C5326" s="1" t="n">
        <v>46185</v>
      </c>
      <c r="D5326" t="inlineStr">
        <is>
          <t>VÄSTERNORRLANDS LÄN</t>
        </is>
      </c>
      <c r="E5326" t="inlineStr">
        <is>
          <t>HÄRNÖSAND</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53328-2025</t>
        </is>
      </c>
      <c r="B5327" s="1" t="n">
        <v>45959.36518518518</v>
      </c>
      <c r="C5327" s="1" t="n">
        <v>46185</v>
      </c>
      <c r="D5327" t="inlineStr">
        <is>
          <t>VÄSTERNORRLANDS LÄN</t>
        </is>
      </c>
      <c r="E5327" t="inlineStr">
        <is>
          <t>HÄRNÖSAND</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6615-2026</t>
        </is>
      </c>
      <c r="B5328" s="1" t="n">
        <v>46056.49050925926</v>
      </c>
      <c r="C5328" s="1" t="n">
        <v>46185</v>
      </c>
      <c r="D5328" t="inlineStr">
        <is>
          <t>VÄSTERNORRLANDS LÄN</t>
        </is>
      </c>
      <c r="E5328" t="inlineStr">
        <is>
          <t>SOLLEFTEÅ</t>
        </is>
      </c>
      <c r="F5328" t="inlineStr">
        <is>
          <t>SCA</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6625-2026</t>
        </is>
      </c>
      <c r="B5329" s="1" t="n">
        <v>46056</v>
      </c>
      <c r="C5329" s="1" t="n">
        <v>46185</v>
      </c>
      <c r="D5329" t="inlineStr">
        <is>
          <t>VÄSTERNORRLANDS LÄN</t>
        </is>
      </c>
      <c r="E5329" t="inlineStr">
        <is>
          <t>TIMRÅ</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53368-2025</t>
        </is>
      </c>
      <c r="B5330" s="1" t="n">
        <v>45959.49068287037</v>
      </c>
      <c r="C5330" s="1" t="n">
        <v>46185</v>
      </c>
      <c r="D5330" t="inlineStr">
        <is>
          <t>VÄSTERNORRLANDS LÄN</t>
        </is>
      </c>
      <c r="E5330" t="inlineStr">
        <is>
          <t>KRAMFORS</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53374-2025</t>
        </is>
      </c>
      <c r="B5331" s="1" t="n">
        <v>45959.51681712963</v>
      </c>
      <c r="C5331" s="1" t="n">
        <v>46185</v>
      </c>
      <c r="D5331" t="inlineStr">
        <is>
          <t>VÄSTERNORRLANDS LÄN</t>
        </is>
      </c>
      <c r="E5331" t="inlineStr">
        <is>
          <t>ÖRNSKÖLDSVIK</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53528-2025</t>
        </is>
      </c>
      <c r="B5332" s="1" t="n">
        <v>45960.36251157407</v>
      </c>
      <c r="C5332" s="1" t="n">
        <v>46185</v>
      </c>
      <c r="D5332" t="inlineStr">
        <is>
          <t>VÄSTERNORRLANDS LÄN</t>
        </is>
      </c>
      <c r="E5332" t="inlineStr">
        <is>
          <t>ÖRNSKÖLDSVIK</t>
        </is>
      </c>
      <c r="F5332" t="inlineStr">
        <is>
          <t>Holmen skog AB</t>
        </is>
      </c>
      <c r="G5332" t="n">
        <v>9.1</v>
      </c>
      <c r="H5332" t="n">
        <v>0</v>
      </c>
      <c r="I5332" t="n">
        <v>0</v>
      </c>
      <c r="J5332" t="n">
        <v>0</v>
      </c>
      <c r="K5332" t="n">
        <v>0</v>
      </c>
      <c r="L5332" t="n">
        <v>0</v>
      </c>
      <c r="M5332" t="n">
        <v>0</v>
      </c>
      <c r="N5332" t="n">
        <v>0</v>
      </c>
      <c r="O5332" t="n">
        <v>0</v>
      </c>
      <c r="P5332" t="n">
        <v>0</v>
      </c>
      <c r="Q5332" t="n">
        <v>0</v>
      </c>
      <c r="R5332" s="2" t="inlineStr"/>
    </row>
    <row r="5333" ht="15" customHeight="1">
      <c r="A5333" t="inlineStr">
        <is>
          <t>A 51297-2025</t>
        </is>
      </c>
      <c r="B5333" s="1" t="n">
        <v>45950.35905092592</v>
      </c>
      <c r="C5333" s="1" t="n">
        <v>46185</v>
      </c>
      <c r="D5333" t="inlineStr">
        <is>
          <t>VÄSTERNORRLANDS LÄN</t>
        </is>
      </c>
      <c r="E5333" t="inlineStr">
        <is>
          <t>ÖRNSKÖLDSVIK</t>
        </is>
      </c>
      <c r="F5333" t="inlineStr">
        <is>
          <t>Holmen skog AB</t>
        </is>
      </c>
      <c r="G5333" t="n">
        <v>16.9</v>
      </c>
      <c r="H5333" t="n">
        <v>0</v>
      </c>
      <c r="I5333" t="n">
        <v>0</v>
      </c>
      <c r="J5333" t="n">
        <v>0</v>
      </c>
      <c r="K5333" t="n">
        <v>0</v>
      </c>
      <c r="L5333" t="n">
        <v>0</v>
      </c>
      <c r="M5333" t="n">
        <v>0</v>
      </c>
      <c r="N5333" t="n">
        <v>0</v>
      </c>
      <c r="O5333" t="n">
        <v>0</v>
      </c>
      <c r="P5333" t="n">
        <v>0</v>
      </c>
      <c r="Q5333" t="n">
        <v>0</v>
      </c>
      <c r="R5333" s="2" t="inlineStr"/>
    </row>
    <row r="5334" ht="15" customHeight="1">
      <c r="A5334" t="inlineStr">
        <is>
          <t>A 3750-2025</t>
        </is>
      </c>
      <c r="B5334" s="1" t="n">
        <v>45681.580625</v>
      </c>
      <c r="C5334" s="1" t="n">
        <v>46185</v>
      </c>
      <c r="D5334" t="inlineStr">
        <is>
          <t>VÄSTERNORRLANDS LÄN</t>
        </is>
      </c>
      <c r="E5334" t="inlineStr">
        <is>
          <t>SOLLEFTEÅ</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7392-2026</t>
        </is>
      </c>
      <c r="B5335" s="1" t="n">
        <v>46057</v>
      </c>
      <c r="C5335" s="1" t="n">
        <v>46185</v>
      </c>
      <c r="D5335" t="inlineStr">
        <is>
          <t>VÄSTERNORRLANDS LÄN</t>
        </is>
      </c>
      <c r="E5335" t="inlineStr">
        <is>
          <t>SUNDSVALL</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53639-2025</t>
        </is>
      </c>
      <c r="B5336" s="1" t="n">
        <v>45960</v>
      </c>
      <c r="C5336" s="1" t="n">
        <v>46185</v>
      </c>
      <c r="D5336" t="inlineStr">
        <is>
          <t>VÄSTERNORRLANDS LÄN</t>
        </is>
      </c>
      <c r="E5336" t="inlineStr">
        <is>
          <t>SOLLEFTEÅ</t>
        </is>
      </c>
      <c r="F5336" t="inlineStr">
        <is>
          <t>SCA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6808-2026</t>
        </is>
      </c>
      <c r="B5337" s="1" t="n">
        <v>46057</v>
      </c>
      <c r="C5337" s="1" t="n">
        <v>46185</v>
      </c>
      <c r="D5337" t="inlineStr">
        <is>
          <t>VÄSTERNORRLANDS LÄN</t>
        </is>
      </c>
      <c r="E5337" t="inlineStr">
        <is>
          <t>KRAMFORS</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53381-2025</t>
        </is>
      </c>
      <c r="B5338" s="1" t="n">
        <v>45959.53690972222</v>
      </c>
      <c r="C5338" s="1" t="n">
        <v>46185</v>
      </c>
      <c r="D5338" t="inlineStr">
        <is>
          <t>VÄSTERNORRLANDS LÄN</t>
        </is>
      </c>
      <c r="E5338" t="inlineStr">
        <is>
          <t>ÅNGE</t>
        </is>
      </c>
      <c r="G5338" t="n">
        <v>9.6</v>
      </c>
      <c r="H5338" t="n">
        <v>0</v>
      </c>
      <c r="I5338" t="n">
        <v>0</v>
      </c>
      <c r="J5338" t="n">
        <v>0</v>
      </c>
      <c r="K5338" t="n">
        <v>0</v>
      </c>
      <c r="L5338" t="n">
        <v>0</v>
      </c>
      <c r="M5338" t="n">
        <v>0</v>
      </c>
      <c r="N5338" t="n">
        <v>0</v>
      </c>
      <c r="O5338" t="n">
        <v>0</v>
      </c>
      <c r="P5338" t="n">
        <v>0</v>
      </c>
      <c r="Q5338" t="n">
        <v>0</v>
      </c>
      <c r="R5338" s="2" t="inlineStr"/>
    </row>
    <row r="5339" ht="15" customHeight="1">
      <c r="A5339" t="inlineStr">
        <is>
          <t>A 53791-2025</t>
        </is>
      </c>
      <c r="B5339" s="1" t="n">
        <v>45960.72030092592</v>
      </c>
      <c r="C5339" s="1" t="n">
        <v>46185</v>
      </c>
      <c r="D5339" t="inlineStr">
        <is>
          <t>VÄSTERNORRLANDS LÄN</t>
        </is>
      </c>
      <c r="E5339" t="inlineStr">
        <is>
          <t>KRAMFORS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53713-2025</t>
        </is>
      </c>
      <c r="B5340" s="1" t="n">
        <v>45960.61568287037</v>
      </c>
      <c r="C5340" s="1" t="n">
        <v>46185</v>
      </c>
      <c r="D5340" t="inlineStr">
        <is>
          <t>VÄSTERNORRLANDS LÄN</t>
        </is>
      </c>
      <c r="E5340" t="inlineStr">
        <is>
          <t>ÅNGE</t>
        </is>
      </c>
      <c r="F5340" t="inlineStr">
        <is>
          <t>SCA</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6795-2026</t>
        </is>
      </c>
      <c r="B5341" s="1" t="n">
        <v>46057.34429398148</v>
      </c>
      <c r="C5341" s="1" t="n">
        <v>46185</v>
      </c>
      <c r="D5341" t="inlineStr">
        <is>
          <t>VÄSTERNORRLANDS LÄN</t>
        </is>
      </c>
      <c r="E5341" t="inlineStr">
        <is>
          <t>ÅNGE</t>
        </is>
      </c>
      <c r="F5341" t="inlineStr">
        <is>
          <t>SCA</t>
        </is>
      </c>
      <c r="G5341" t="n">
        <v>7.5</v>
      </c>
      <c r="H5341" t="n">
        <v>0</v>
      </c>
      <c r="I5341" t="n">
        <v>0</v>
      </c>
      <c r="J5341" t="n">
        <v>0</v>
      </c>
      <c r="K5341" t="n">
        <v>0</v>
      </c>
      <c r="L5341" t="n">
        <v>0</v>
      </c>
      <c r="M5341" t="n">
        <v>0</v>
      </c>
      <c r="N5341" t="n">
        <v>0</v>
      </c>
      <c r="O5341" t="n">
        <v>0</v>
      </c>
      <c r="P5341" t="n">
        <v>0</v>
      </c>
      <c r="Q5341" t="n">
        <v>0</v>
      </c>
      <c r="R5341" s="2" t="inlineStr"/>
    </row>
    <row r="5342" ht="15" customHeight="1">
      <c r="A5342" t="inlineStr">
        <is>
          <t>A 6797-2026</t>
        </is>
      </c>
      <c r="B5342" s="1" t="n">
        <v>46057.34459490741</v>
      </c>
      <c r="C5342" s="1" t="n">
        <v>46185</v>
      </c>
      <c r="D5342" t="inlineStr">
        <is>
          <t>VÄSTERNORRLANDS LÄN</t>
        </is>
      </c>
      <c r="E5342" t="inlineStr">
        <is>
          <t>ÅNGE</t>
        </is>
      </c>
      <c r="F5342" t="inlineStr">
        <is>
          <t>SCA</t>
        </is>
      </c>
      <c r="G5342" t="n">
        <v>10.7</v>
      </c>
      <c r="H5342" t="n">
        <v>0</v>
      </c>
      <c r="I5342" t="n">
        <v>0</v>
      </c>
      <c r="J5342" t="n">
        <v>0</v>
      </c>
      <c r="K5342" t="n">
        <v>0</v>
      </c>
      <c r="L5342" t="n">
        <v>0</v>
      </c>
      <c r="M5342" t="n">
        <v>0</v>
      </c>
      <c r="N5342" t="n">
        <v>0</v>
      </c>
      <c r="O5342" t="n">
        <v>0</v>
      </c>
      <c r="P5342" t="n">
        <v>0</v>
      </c>
      <c r="Q5342" t="n">
        <v>0</v>
      </c>
      <c r="R5342" s="2" t="inlineStr"/>
    </row>
    <row r="5343" ht="15" customHeight="1">
      <c r="A5343" t="inlineStr">
        <is>
          <t>A 6818-2026</t>
        </is>
      </c>
      <c r="B5343" s="1" t="n">
        <v>46057.38607638889</v>
      </c>
      <c r="C5343" s="1" t="n">
        <v>46185</v>
      </c>
      <c r="D5343" t="inlineStr">
        <is>
          <t>VÄSTERNORRLANDS LÄN</t>
        </is>
      </c>
      <c r="E5343" t="inlineStr">
        <is>
          <t>SUNDSVALL</t>
        </is>
      </c>
      <c r="F5343" t="inlineStr">
        <is>
          <t>SCA</t>
        </is>
      </c>
      <c r="G5343" t="n">
        <v>19.2</v>
      </c>
      <c r="H5343" t="n">
        <v>0</v>
      </c>
      <c r="I5343" t="n">
        <v>0</v>
      </c>
      <c r="J5343" t="n">
        <v>0</v>
      </c>
      <c r="K5343" t="n">
        <v>0</v>
      </c>
      <c r="L5343" t="n">
        <v>0</v>
      </c>
      <c r="M5343" t="n">
        <v>0</v>
      </c>
      <c r="N5343" t="n">
        <v>0</v>
      </c>
      <c r="O5343" t="n">
        <v>0</v>
      </c>
      <c r="P5343" t="n">
        <v>0</v>
      </c>
      <c r="Q5343" t="n">
        <v>0</v>
      </c>
      <c r="R5343" s="2" t="inlineStr"/>
    </row>
    <row r="5344" ht="15" customHeight="1">
      <c r="A5344" t="inlineStr">
        <is>
          <t>A 53508-2025</t>
        </is>
      </c>
      <c r="B5344" s="1" t="n">
        <v>45960.34491898148</v>
      </c>
      <c r="C5344" s="1" t="n">
        <v>46185</v>
      </c>
      <c r="D5344" t="inlineStr">
        <is>
          <t>VÄSTERNORRLANDS LÄN</t>
        </is>
      </c>
      <c r="E5344" t="inlineStr">
        <is>
          <t>TIMRÅ</t>
        </is>
      </c>
      <c r="F5344" t="inlineStr">
        <is>
          <t>SCA</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53321-2025</t>
        </is>
      </c>
      <c r="B5345" s="1" t="n">
        <v>45959.35797453704</v>
      </c>
      <c r="C5345" s="1" t="n">
        <v>46185</v>
      </c>
      <c r="D5345" t="inlineStr">
        <is>
          <t>VÄSTERNORRLANDS LÄN</t>
        </is>
      </c>
      <c r="E5345" t="inlineStr">
        <is>
          <t>ÖRNSKÖLDSVIK</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53553-2025</t>
        </is>
      </c>
      <c r="B5346" s="1" t="n">
        <v>45960.38935185185</v>
      </c>
      <c r="C5346" s="1" t="n">
        <v>46185</v>
      </c>
      <c r="D5346" t="inlineStr">
        <is>
          <t>VÄSTERNORRLANDS LÄN</t>
        </is>
      </c>
      <c r="E5346" t="inlineStr">
        <is>
          <t>ÖRNSKÖLDSVIK</t>
        </is>
      </c>
      <c r="F5346" t="inlineStr">
        <is>
          <t>Holmen skog AB</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39079-2023</t>
        </is>
      </c>
      <c r="B5347" s="1" t="n">
        <v>45163.95831018518</v>
      </c>
      <c r="C5347" s="1" t="n">
        <v>46185</v>
      </c>
      <c r="D5347" t="inlineStr">
        <is>
          <t>VÄSTERNORRLANDS LÄN</t>
        </is>
      </c>
      <c r="E5347" t="inlineStr">
        <is>
          <t>ÖRNSKÖLDSVIK</t>
        </is>
      </c>
      <c r="F5347" t="inlineStr">
        <is>
          <t>SCA</t>
        </is>
      </c>
      <c r="G5347" t="n">
        <v>9</v>
      </c>
      <c r="H5347" t="n">
        <v>0</v>
      </c>
      <c r="I5347" t="n">
        <v>0</v>
      </c>
      <c r="J5347" t="n">
        <v>0</v>
      </c>
      <c r="K5347" t="n">
        <v>0</v>
      </c>
      <c r="L5347" t="n">
        <v>0</v>
      </c>
      <c r="M5347" t="n">
        <v>0</v>
      </c>
      <c r="N5347" t="n">
        <v>0</v>
      </c>
      <c r="O5347" t="n">
        <v>0</v>
      </c>
      <c r="P5347" t="n">
        <v>0</v>
      </c>
      <c r="Q5347" t="n">
        <v>0</v>
      </c>
      <c r="R5347" s="2" t="inlineStr"/>
    </row>
    <row r="5348" ht="15" customHeight="1">
      <c r="A5348" t="inlineStr">
        <is>
          <t>A 53790-2025</t>
        </is>
      </c>
      <c r="B5348" s="1" t="n">
        <v>45960.72025462963</v>
      </c>
      <c r="C5348" s="1" t="n">
        <v>46185</v>
      </c>
      <c r="D5348" t="inlineStr">
        <is>
          <t>VÄSTERNORRLANDS LÄN</t>
        </is>
      </c>
      <c r="E5348" t="inlineStr">
        <is>
          <t>KRAMFORS</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43531-2023</t>
        </is>
      </c>
      <c r="B5349" s="1" t="n">
        <v>45184.52731481481</v>
      </c>
      <c r="C5349" s="1" t="n">
        <v>46185</v>
      </c>
      <c r="D5349" t="inlineStr">
        <is>
          <t>VÄSTERNORRLANDS LÄN</t>
        </is>
      </c>
      <c r="E5349" t="inlineStr">
        <is>
          <t>SOLLEFTEÅ</t>
        </is>
      </c>
      <c r="F5349" t="inlineStr">
        <is>
          <t>Holmen skog AB</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53611-2025</t>
        </is>
      </c>
      <c r="B5350" s="1" t="n">
        <v>45960.46984953704</v>
      </c>
      <c r="C5350" s="1" t="n">
        <v>46185</v>
      </c>
      <c r="D5350" t="inlineStr">
        <is>
          <t>VÄSTERNORRLANDS LÄN</t>
        </is>
      </c>
      <c r="E5350" t="inlineStr">
        <is>
          <t>SUNDSVALL</t>
        </is>
      </c>
      <c r="F5350" t="inlineStr">
        <is>
          <t>SCA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6901-2026</t>
        </is>
      </c>
      <c r="B5351" s="1" t="n">
        <v>46057.4903587963</v>
      </c>
      <c r="C5351" s="1" t="n">
        <v>46185</v>
      </c>
      <c r="D5351" t="inlineStr">
        <is>
          <t>VÄSTERNORRLANDS LÄN</t>
        </is>
      </c>
      <c r="E5351" t="inlineStr">
        <is>
          <t>ÅNGE</t>
        </is>
      </c>
      <c r="F5351" t="inlineStr">
        <is>
          <t>SCA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7283-2026</t>
        </is>
      </c>
      <c r="B5352" s="1" t="n">
        <v>46058.63606481482</v>
      </c>
      <c r="C5352" s="1" t="n">
        <v>46185</v>
      </c>
      <c r="D5352" t="inlineStr">
        <is>
          <t>VÄSTERNORRLANDS LÄN</t>
        </is>
      </c>
      <c r="E5352" t="inlineStr">
        <is>
          <t>ÅNGE</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53382-2025</t>
        </is>
      </c>
      <c r="B5353" s="1" t="n">
        <v>45959</v>
      </c>
      <c r="C5353" s="1" t="n">
        <v>46185</v>
      </c>
      <c r="D5353" t="inlineStr">
        <is>
          <t>VÄSTERNORRLANDS LÄN</t>
        </is>
      </c>
      <c r="E5353" t="inlineStr">
        <is>
          <t>SOLLEFTEÅ</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53922-2025</t>
        </is>
      </c>
      <c r="B5354" s="1" t="n">
        <v>45961.45351851852</v>
      </c>
      <c r="C5354" s="1" t="n">
        <v>46185</v>
      </c>
      <c r="D5354" t="inlineStr">
        <is>
          <t>VÄSTERNORRLANDS LÄN</t>
        </is>
      </c>
      <c r="E5354" t="inlineStr">
        <is>
          <t>ÖRNSKÖLDSVIK</t>
        </is>
      </c>
      <c r="F5354" t="inlineStr">
        <is>
          <t>Holmen skog AB</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28449-2022</t>
        </is>
      </c>
      <c r="B5355" s="1" t="n">
        <v>44747.68142361111</v>
      </c>
      <c r="C5355" s="1" t="n">
        <v>46185</v>
      </c>
      <c r="D5355" t="inlineStr">
        <is>
          <t>VÄSTERNORRLANDS LÄN</t>
        </is>
      </c>
      <c r="E5355" t="inlineStr">
        <is>
          <t>SUNDSVALL</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44158-2024</t>
        </is>
      </c>
      <c r="B5356" s="1" t="n">
        <v>45572</v>
      </c>
      <c r="C5356" s="1" t="n">
        <v>46185</v>
      </c>
      <c r="D5356" t="inlineStr">
        <is>
          <t>VÄSTERNORRLANDS LÄN</t>
        </is>
      </c>
      <c r="E5356" t="inlineStr">
        <is>
          <t>ÅNGE</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44159-2024</t>
        </is>
      </c>
      <c r="B5357" s="1" t="n">
        <v>45572.69930555556</v>
      </c>
      <c r="C5357" s="1" t="n">
        <v>46185</v>
      </c>
      <c r="D5357" t="inlineStr">
        <is>
          <t>VÄSTERNORRLANDS LÄN</t>
        </is>
      </c>
      <c r="E5357" t="inlineStr">
        <is>
          <t>ÖRNSKÖLDSVIK</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53902-2025</t>
        </is>
      </c>
      <c r="B5358" s="1" t="n">
        <v>45961.43697916667</v>
      </c>
      <c r="C5358" s="1" t="n">
        <v>46185</v>
      </c>
      <c r="D5358" t="inlineStr">
        <is>
          <t>VÄSTERNORRLANDS LÄN</t>
        </is>
      </c>
      <c r="E5358" t="inlineStr">
        <is>
          <t>ÖRNSKÖLDSVIK</t>
        </is>
      </c>
      <c r="F5358" t="inlineStr">
        <is>
          <t>Holmen skog AB</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53934-2025</t>
        </is>
      </c>
      <c r="B5359" s="1" t="n">
        <v>45961.47958333333</v>
      </c>
      <c r="C5359" s="1" t="n">
        <v>46185</v>
      </c>
      <c r="D5359" t="inlineStr">
        <is>
          <t>VÄSTERNORRLANDS LÄN</t>
        </is>
      </c>
      <c r="E5359" t="inlineStr">
        <is>
          <t>ÖRNSKÖLDSVIK</t>
        </is>
      </c>
      <c r="F5359" t="inlineStr">
        <is>
          <t>Holmen skog AB</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53799-2025</t>
        </is>
      </c>
      <c r="B5360" s="1" t="n">
        <v>45960.77087962963</v>
      </c>
      <c r="C5360" s="1" t="n">
        <v>46185</v>
      </c>
      <c r="D5360" t="inlineStr">
        <is>
          <t>VÄSTERNORRLANDS LÄN</t>
        </is>
      </c>
      <c r="E5360" t="inlineStr">
        <is>
          <t>ÖRNSKÖLDSVIK</t>
        </is>
      </c>
      <c r="F5360" t="inlineStr">
        <is>
          <t>Holmen skog AB</t>
        </is>
      </c>
      <c r="G5360" t="n">
        <v>9.6</v>
      </c>
      <c r="H5360" t="n">
        <v>0</v>
      </c>
      <c r="I5360" t="n">
        <v>0</v>
      </c>
      <c r="J5360" t="n">
        <v>0</v>
      </c>
      <c r="K5360" t="n">
        <v>0</v>
      </c>
      <c r="L5360" t="n">
        <v>0</v>
      </c>
      <c r="M5360" t="n">
        <v>0</v>
      </c>
      <c r="N5360" t="n">
        <v>0</v>
      </c>
      <c r="O5360" t="n">
        <v>0</v>
      </c>
      <c r="P5360" t="n">
        <v>0</v>
      </c>
      <c r="Q5360" t="n">
        <v>0</v>
      </c>
      <c r="R5360" s="2" t="inlineStr"/>
    </row>
    <row r="5361" ht="15" customHeight="1">
      <c r="A5361" t="inlineStr">
        <is>
          <t>A 53832-2025</t>
        </is>
      </c>
      <c r="B5361" s="1" t="n">
        <v>45961.34505787037</v>
      </c>
      <c r="C5361" s="1" t="n">
        <v>46185</v>
      </c>
      <c r="D5361" t="inlineStr">
        <is>
          <t>VÄSTERNORRLANDS LÄN</t>
        </is>
      </c>
      <c r="E5361" t="inlineStr">
        <is>
          <t>SUNDSVALL</t>
        </is>
      </c>
      <c r="F5361" t="inlineStr">
        <is>
          <t>SCA</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11764-2025</t>
        </is>
      </c>
      <c r="B5362" s="1" t="n">
        <v>45727.65665509259</v>
      </c>
      <c r="C5362" s="1" t="n">
        <v>46185</v>
      </c>
      <c r="D5362" t="inlineStr">
        <is>
          <t>VÄSTERNORRLANDS LÄN</t>
        </is>
      </c>
      <c r="E5362" t="inlineStr">
        <is>
          <t>SUNDSVALL</t>
        </is>
      </c>
      <c r="F5362" t="inlineStr">
        <is>
          <t>SCA</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2299-2025</t>
        </is>
      </c>
      <c r="B5363" s="1" t="n">
        <v>45673.59516203704</v>
      </c>
      <c r="C5363" s="1" t="n">
        <v>46185</v>
      </c>
      <c r="D5363" t="inlineStr">
        <is>
          <t>VÄSTERNORRLANDS LÄN</t>
        </is>
      </c>
      <c r="E5363" t="inlineStr">
        <is>
          <t>ÅNGE</t>
        </is>
      </c>
      <c r="F5363" t="inlineStr">
        <is>
          <t>SCA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1306-2025</t>
        </is>
      </c>
      <c r="B5364" s="1" t="n">
        <v>45667.55081018519</v>
      </c>
      <c r="C5364" s="1" t="n">
        <v>46185</v>
      </c>
      <c r="D5364" t="inlineStr">
        <is>
          <t>VÄSTERNORRLANDS LÄN</t>
        </is>
      </c>
      <c r="E5364" t="inlineStr">
        <is>
          <t>HÄRNÖSAND</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28651-2023</t>
        </is>
      </c>
      <c r="B5365" s="1" t="n">
        <v>45096</v>
      </c>
      <c r="C5365" s="1" t="n">
        <v>46185</v>
      </c>
      <c r="D5365" t="inlineStr">
        <is>
          <t>VÄSTERNORRLANDS LÄN</t>
        </is>
      </c>
      <c r="E5365" t="inlineStr">
        <is>
          <t>ÖRNSKÖLDSVIK</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54184-2025</t>
        </is>
      </c>
      <c r="B5366" s="1" t="n">
        <v>45964</v>
      </c>
      <c r="C5366" s="1" t="n">
        <v>46185</v>
      </c>
      <c r="D5366" t="inlineStr">
        <is>
          <t>VÄSTERNORRLANDS LÄN</t>
        </is>
      </c>
      <c r="E5366" t="inlineStr">
        <is>
          <t>KRAMFORS</t>
        </is>
      </c>
      <c r="G5366" t="n">
        <v>6.3</v>
      </c>
      <c r="H5366" t="n">
        <v>0</v>
      </c>
      <c r="I5366" t="n">
        <v>0</v>
      </c>
      <c r="J5366" t="n">
        <v>0</v>
      </c>
      <c r="K5366" t="n">
        <v>0</v>
      </c>
      <c r="L5366" t="n">
        <v>0</v>
      </c>
      <c r="M5366" t="n">
        <v>0</v>
      </c>
      <c r="N5366" t="n">
        <v>0</v>
      </c>
      <c r="O5366" t="n">
        <v>0</v>
      </c>
      <c r="P5366" t="n">
        <v>0</v>
      </c>
      <c r="Q5366" t="n">
        <v>0</v>
      </c>
      <c r="R5366" s="2" t="inlineStr"/>
    </row>
    <row r="5367" ht="15" customHeight="1">
      <c r="A5367" t="inlineStr">
        <is>
          <t>A 47164-2023</t>
        </is>
      </c>
      <c r="B5367" s="1" t="n">
        <v>45201</v>
      </c>
      <c r="C5367" s="1" t="n">
        <v>46185</v>
      </c>
      <c r="D5367" t="inlineStr">
        <is>
          <t>VÄSTERNORRLANDS LÄN</t>
        </is>
      </c>
      <c r="E5367" t="inlineStr">
        <is>
          <t>ÖRNSKÖLDSVIK</t>
        </is>
      </c>
      <c r="F5367" t="inlineStr">
        <is>
          <t>SCA</t>
        </is>
      </c>
      <c r="G5367" t="n">
        <v>10.5</v>
      </c>
      <c r="H5367" t="n">
        <v>0</v>
      </c>
      <c r="I5367" t="n">
        <v>0</v>
      </c>
      <c r="J5367" t="n">
        <v>0</v>
      </c>
      <c r="K5367" t="n">
        <v>0</v>
      </c>
      <c r="L5367" t="n">
        <v>0</v>
      </c>
      <c r="M5367" t="n">
        <v>0</v>
      </c>
      <c r="N5367" t="n">
        <v>0</v>
      </c>
      <c r="O5367" t="n">
        <v>0</v>
      </c>
      <c r="P5367" t="n">
        <v>0</v>
      </c>
      <c r="Q5367" t="n">
        <v>0</v>
      </c>
      <c r="R5367" s="2" t="inlineStr"/>
    </row>
    <row r="5368" ht="15" customHeight="1">
      <c r="A5368" t="inlineStr">
        <is>
          <t>A 53974-2025</t>
        </is>
      </c>
      <c r="B5368" s="1" t="n">
        <v>45961.55261574074</v>
      </c>
      <c r="C5368" s="1" t="n">
        <v>46185</v>
      </c>
      <c r="D5368" t="inlineStr">
        <is>
          <t>VÄSTERNORRLANDS LÄN</t>
        </is>
      </c>
      <c r="E5368" t="inlineStr">
        <is>
          <t>SOLLEFTEÅ</t>
        </is>
      </c>
      <c r="F5368" t="inlineStr">
        <is>
          <t>SCA</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49312-2024</t>
        </is>
      </c>
      <c r="B5369" s="1" t="n">
        <v>45595.55799768519</v>
      </c>
      <c r="C5369" s="1" t="n">
        <v>46185</v>
      </c>
      <c r="D5369" t="inlineStr">
        <is>
          <t>VÄSTERNORRLANDS LÄN</t>
        </is>
      </c>
      <c r="E5369" t="inlineStr">
        <is>
          <t>ÖRNSKÖLDSVIK</t>
        </is>
      </c>
      <c r="G5369" t="n">
        <v>7.8</v>
      </c>
      <c r="H5369" t="n">
        <v>0</v>
      </c>
      <c r="I5369" t="n">
        <v>0</v>
      </c>
      <c r="J5369" t="n">
        <v>0</v>
      </c>
      <c r="K5369" t="n">
        <v>0</v>
      </c>
      <c r="L5369" t="n">
        <v>0</v>
      </c>
      <c r="M5369" t="n">
        <v>0</v>
      </c>
      <c r="N5369" t="n">
        <v>0</v>
      </c>
      <c r="O5369" t="n">
        <v>0</v>
      </c>
      <c r="P5369" t="n">
        <v>0</v>
      </c>
      <c r="Q5369" t="n">
        <v>0</v>
      </c>
      <c r="R5369" s="2" t="inlineStr"/>
    </row>
    <row r="5370" ht="15" customHeight="1">
      <c r="A5370" t="inlineStr">
        <is>
          <t>A 7291-2026</t>
        </is>
      </c>
      <c r="B5370" s="1" t="n">
        <v>46058.64001157408</v>
      </c>
      <c r="C5370" s="1" t="n">
        <v>46185</v>
      </c>
      <c r="D5370" t="inlineStr">
        <is>
          <t>VÄSTERNORRLANDS LÄN</t>
        </is>
      </c>
      <c r="E5370" t="inlineStr">
        <is>
          <t>ÖRNSKÖLDSVIK</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54196-2025</t>
        </is>
      </c>
      <c r="B5371" s="1" t="n">
        <v>45964.57424768519</v>
      </c>
      <c r="C5371" s="1" t="n">
        <v>46185</v>
      </c>
      <c r="D5371" t="inlineStr">
        <is>
          <t>VÄSTERNORRLANDS LÄN</t>
        </is>
      </c>
      <c r="E5371" t="inlineStr">
        <is>
          <t>KRAMFORS</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54273-2025</t>
        </is>
      </c>
      <c r="B5372" s="1" t="n">
        <v>45964.67859953704</v>
      </c>
      <c r="C5372" s="1" t="n">
        <v>46185</v>
      </c>
      <c r="D5372" t="inlineStr">
        <is>
          <t>VÄSTERNORRLANDS LÄN</t>
        </is>
      </c>
      <c r="E5372" t="inlineStr">
        <is>
          <t>KRAMFORS</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2488-2022</t>
        </is>
      </c>
      <c r="B5373" s="1" t="n">
        <v>44579.67612268519</v>
      </c>
      <c r="C5373" s="1" t="n">
        <v>46185</v>
      </c>
      <c r="D5373" t="inlineStr">
        <is>
          <t>VÄSTERNORRLANDS LÄN</t>
        </is>
      </c>
      <c r="E5373" t="inlineStr">
        <is>
          <t>ÖRNSKÖLDSVIK</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54185-2025</t>
        </is>
      </c>
      <c r="B5374" s="1" t="n">
        <v>45964.56795138889</v>
      </c>
      <c r="C5374" s="1" t="n">
        <v>46185</v>
      </c>
      <c r="D5374" t="inlineStr">
        <is>
          <t>VÄSTERNORRLANDS LÄN</t>
        </is>
      </c>
      <c r="E5374" t="inlineStr">
        <is>
          <t>KRAMFORS</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54188-2025</t>
        </is>
      </c>
      <c r="B5375" s="1" t="n">
        <v>45964.56894675926</v>
      </c>
      <c r="C5375" s="1" t="n">
        <v>46185</v>
      </c>
      <c r="D5375" t="inlineStr">
        <is>
          <t>VÄSTERNORRLANDS LÄN</t>
        </is>
      </c>
      <c r="E5375" t="inlineStr">
        <is>
          <t>KRAMFORS</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51303-2024</t>
        </is>
      </c>
      <c r="B5376" s="1" t="n">
        <v>45604.30552083333</v>
      </c>
      <c r="C5376" s="1" t="n">
        <v>46185</v>
      </c>
      <c r="D5376" t="inlineStr">
        <is>
          <t>VÄSTERNORRLANDS LÄN</t>
        </is>
      </c>
      <c r="E5376" t="inlineStr">
        <is>
          <t>ÖRNSKÖLDSVIK</t>
        </is>
      </c>
      <c r="F5376" t="inlineStr">
        <is>
          <t>Holmen skog AB</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44639-2023</t>
        </is>
      </c>
      <c r="B5377" s="1" t="n">
        <v>45184</v>
      </c>
      <c r="C5377" s="1" t="n">
        <v>46185</v>
      </c>
      <c r="D5377" t="inlineStr">
        <is>
          <t>VÄSTERNORRLANDS LÄN</t>
        </is>
      </c>
      <c r="E5377" t="inlineStr">
        <is>
          <t>ÅNGE</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54272-2025</t>
        </is>
      </c>
      <c r="B5378" s="1" t="n">
        <v>45964.67846064815</v>
      </c>
      <c r="C5378" s="1" t="n">
        <v>46185</v>
      </c>
      <c r="D5378" t="inlineStr">
        <is>
          <t>VÄSTERNORRLANDS LÄN</t>
        </is>
      </c>
      <c r="E5378" t="inlineStr">
        <is>
          <t>SOLLEFTEÅ</t>
        </is>
      </c>
      <c r="F5378" t="inlineStr">
        <is>
          <t>SCA</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54256-2025</t>
        </is>
      </c>
      <c r="B5379" s="1" t="n">
        <v>45964.65710648148</v>
      </c>
      <c r="C5379" s="1" t="n">
        <v>46185</v>
      </c>
      <c r="D5379" t="inlineStr">
        <is>
          <t>VÄSTERNORRLANDS LÄN</t>
        </is>
      </c>
      <c r="E5379" t="inlineStr">
        <is>
          <t>SOLLEFTEÅ</t>
        </is>
      </c>
      <c r="F5379" t="inlineStr">
        <is>
          <t>SCA</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54042-2025</t>
        </is>
      </c>
      <c r="B5380" s="1" t="n">
        <v>45963.78603009259</v>
      </c>
      <c r="C5380" s="1" t="n">
        <v>46185</v>
      </c>
      <c r="D5380" t="inlineStr">
        <is>
          <t>VÄSTERNORRLANDS LÄN</t>
        </is>
      </c>
      <c r="E5380" t="inlineStr">
        <is>
          <t>ÖRNSKÖLDSVIK</t>
        </is>
      </c>
      <c r="F5380" t="inlineStr">
        <is>
          <t>Holmen skog AB</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7059-2026</t>
        </is>
      </c>
      <c r="B5381" s="1" t="n">
        <v>46057.89136574074</v>
      </c>
      <c r="C5381" s="1" t="n">
        <v>46185</v>
      </c>
      <c r="D5381" t="inlineStr">
        <is>
          <t>VÄSTERNORRLANDS LÄN</t>
        </is>
      </c>
      <c r="E5381" t="inlineStr">
        <is>
          <t>SUNDSVALL</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7106-2026</t>
        </is>
      </c>
      <c r="B5382" s="1" t="n">
        <v>46058.36534722222</v>
      </c>
      <c r="C5382" s="1" t="n">
        <v>46185</v>
      </c>
      <c r="D5382" t="inlineStr">
        <is>
          <t>VÄSTERNORRLANDS LÄN</t>
        </is>
      </c>
      <c r="E5382" t="inlineStr">
        <is>
          <t>ÖRNSKÖLDSVIK</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43136-2023</t>
        </is>
      </c>
      <c r="B5383" s="1" t="n">
        <v>45180</v>
      </c>
      <c r="C5383" s="1" t="n">
        <v>46185</v>
      </c>
      <c r="D5383" t="inlineStr">
        <is>
          <t>VÄSTERNORRLANDS LÄN</t>
        </is>
      </c>
      <c r="E5383" t="inlineStr">
        <is>
          <t>KRAMFORS</t>
        </is>
      </c>
      <c r="G5383" t="n">
        <v>10.2</v>
      </c>
      <c r="H5383" t="n">
        <v>0</v>
      </c>
      <c r="I5383" t="n">
        <v>0</v>
      </c>
      <c r="J5383" t="n">
        <v>0</v>
      </c>
      <c r="K5383" t="n">
        <v>0</v>
      </c>
      <c r="L5383" t="n">
        <v>0</v>
      </c>
      <c r="M5383" t="n">
        <v>0</v>
      </c>
      <c r="N5383" t="n">
        <v>0</v>
      </c>
      <c r="O5383" t="n">
        <v>0</v>
      </c>
      <c r="P5383" t="n">
        <v>0</v>
      </c>
      <c r="Q5383" t="n">
        <v>0</v>
      </c>
      <c r="R5383" s="2" t="inlineStr"/>
    </row>
    <row r="5384" ht="15" customHeight="1">
      <c r="A5384" t="inlineStr">
        <is>
          <t>A 58754-2024</t>
        </is>
      </c>
      <c r="B5384" s="1" t="n">
        <v>45635.71917824074</v>
      </c>
      <c r="C5384" s="1" t="n">
        <v>46185</v>
      </c>
      <c r="D5384" t="inlineStr">
        <is>
          <t>VÄSTERNORRLANDS LÄN</t>
        </is>
      </c>
      <c r="E5384" t="inlineStr">
        <is>
          <t>TIMRÅ</t>
        </is>
      </c>
      <c r="F5384" t="inlineStr">
        <is>
          <t>SCA</t>
        </is>
      </c>
      <c r="G5384" t="n">
        <v>9.1</v>
      </c>
      <c r="H5384" t="n">
        <v>0</v>
      </c>
      <c r="I5384" t="n">
        <v>0</v>
      </c>
      <c r="J5384" t="n">
        <v>0</v>
      </c>
      <c r="K5384" t="n">
        <v>0</v>
      </c>
      <c r="L5384" t="n">
        <v>0</v>
      </c>
      <c r="M5384" t="n">
        <v>0</v>
      </c>
      <c r="N5384" t="n">
        <v>0</v>
      </c>
      <c r="O5384" t="n">
        <v>0</v>
      </c>
      <c r="P5384" t="n">
        <v>0</v>
      </c>
      <c r="Q5384" t="n">
        <v>0</v>
      </c>
      <c r="R5384" s="2" t="inlineStr"/>
    </row>
    <row r="5385" ht="15" customHeight="1">
      <c r="A5385" t="inlineStr">
        <is>
          <t>A 53926-2025</t>
        </is>
      </c>
      <c r="B5385" s="1" t="n">
        <v>45961.46501157407</v>
      </c>
      <c r="C5385" s="1" t="n">
        <v>46185</v>
      </c>
      <c r="D5385" t="inlineStr">
        <is>
          <t>VÄSTERNORRLANDS LÄN</t>
        </is>
      </c>
      <c r="E5385" t="inlineStr">
        <is>
          <t>ÖRNSKÖLDSVIK</t>
        </is>
      </c>
      <c r="F5385" t="inlineStr">
        <is>
          <t>Holmen skog AB</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53830-2025</t>
        </is>
      </c>
      <c r="B5386" s="1" t="n">
        <v>45961.34489583333</v>
      </c>
      <c r="C5386" s="1" t="n">
        <v>46185</v>
      </c>
      <c r="D5386" t="inlineStr">
        <is>
          <t>VÄSTERNORRLANDS LÄN</t>
        </is>
      </c>
      <c r="E5386" t="inlineStr">
        <is>
          <t>SUNDSVALL</t>
        </is>
      </c>
      <c r="F5386" t="inlineStr">
        <is>
          <t>SCA</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54026-2025</t>
        </is>
      </c>
      <c r="B5387" s="1" t="n">
        <v>45961.91059027778</v>
      </c>
      <c r="C5387" s="1" t="n">
        <v>46185</v>
      </c>
      <c r="D5387" t="inlineStr">
        <is>
          <t>VÄSTERNORRLANDS LÄN</t>
        </is>
      </c>
      <c r="E5387" t="inlineStr">
        <is>
          <t>ÖRNSKÖLDSVIK</t>
        </is>
      </c>
      <c r="F5387" t="inlineStr">
        <is>
          <t>Holmen skog AB</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54103-2025</t>
        </is>
      </c>
      <c r="B5388" s="1" t="n">
        <v>45964.42760416667</v>
      </c>
      <c r="C5388" s="1" t="n">
        <v>46185</v>
      </c>
      <c r="D5388" t="inlineStr">
        <is>
          <t>VÄSTERNORRLANDS LÄN</t>
        </is>
      </c>
      <c r="E5388" t="inlineStr">
        <is>
          <t>KRAMFORS</t>
        </is>
      </c>
      <c r="F5388" t="inlineStr">
        <is>
          <t>SCA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41381-2022</t>
        </is>
      </c>
      <c r="B5389" s="1" t="n">
        <v>44826</v>
      </c>
      <c r="C5389" s="1" t="n">
        <v>46185</v>
      </c>
      <c r="D5389" t="inlineStr">
        <is>
          <t>VÄSTERNORRLANDS LÄN</t>
        </is>
      </c>
      <c r="E5389" t="inlineStr">
        <is>
          <t>KRAMFORS</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54024-2025</t>
        </is>
      </c>
      <c r="B5390" s="1" t="n">
        <v>45961.79054398148</v>
      </c>
      <c r="C5390" s="1" t="n">
        <v>46185</v>
      </c>
      <c r="D5390" t="inlineStr">
        <is>
          <t>VÄSTERNORRLANDS LÄN</t>
        </is>
      </c>
      <c r="E5390" t="inlineStr">
        <is>
          <t>ÖRNSKÖLDSVIK</t>
        </is>
      </c>
      <c r="F5390" t="inlineStr">
        <is>
          <t>Holmen skog AB</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54271-2025</t>
        </is>
      </c>
      <c r="B5391" s="1" t="n">
        <v>45964.67839120371</v>
      </c>
      <c r="C5391" s="1" t="n">
        <v>46185</v>
      </c>
      <c r="D5391" t="inlineStr">
        <is>
          <t>VÄSTERNORRLANDS LÄN</t>
        </is>
      </c>
      <c r="E5391" t="inlineStr">
        <is>
          <t>SOLLEFTEÅ</t>
        </is>
      </c>
      <c r="F5391" t="inlineStr">
        <is>
          <t>SCA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17009-2023</t>
        </is>
      </c>
      <c r="B5392" s="1" t="n">
        <v>45033.9455787037</v>
      </c>
      <c r="C5392" s="1" t="n">
        <v>46185</v>
      </c>
      <c r="D5392" t="inlineStr">
        <is>
          <t>VÄSTERNORRLANDS LÄN</t>
        </is>
      </c>
      <c r="E5392" t="inlineStr">
        <is>
          <t>ÅNGE</t>
        </is>
      </c>
      <c r="F5392" t="inlineStr">
        <is>
          <t>SCA</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54226-2025</t>
        </is>
      </c>
      <c r="B5393" s="1" t="n">
        <v>45964.61069444445</v>
      </c>
      <c r="C5393" s="1" t="n">
        <v>46185</v>
      </c>
      <c r="D5393" t="inlineStr">
        <is>
          <t>VÄSTERNORRLANDS LÄN</t>
        </is>
      </c>
      <c r="E5393" t="inlineStr">
        <is>
          <t>ÖRNSKÖLDSVIK</t>
        </is>
      </c>
      <c r="F5393" t="inlineStr">
        <is>
          <t>Holmen skog AB</t>
        </is>
      </c>
      <c r="G5393" t="n">
        <v>4.9</v>
      </c>
      <c r="H5393" t="n">
        <v>0</v>
      </c>
      <c r="I5393" t="n">
        <v>0</v>
      </c>
      <c r="J5393" t="n">
        <v>0</v>
      </c>
      <c r="K5393" t="n">
        <v>0</v>
      </c>
      <c r="L5393" t="n">
        <v>0</v>
      </c>
      <c r="M5393" t="n">
        <v>0</v>
      </c>
      <c r="N5393" t="n">
        <v>0</v>
      </c>
      <c r="O5393" t="n">
        <v>0</v>
      </c>
      <c r="P5393" t="n">
        <v>0</v>
      </c>
      <c r="Q5393" t="n">
        <v>0</v>
      </c>
      <c r="R5393" s="2" t="inlineStr"/>
    </row>
    <row r="5394" ht="15" customHeight="1">
      <c r="A5394" t="inlineStr">
        <is>
          <t>A 10872-2025</t>
        </is>
      </c>
      <c r="B5394" s="1" t="n">
        <v>45722.63076388889</v>
      </c>
      <c r="C5394" s="1" t="n">
        <v>46185</v>
      </c>
      <c r="D5394" t="inlineStr">
        <is>
          <t>VÄSTERNORRLANDS LÄN</t>
        </is>
      </c>
      <c r="E5394" t="inlineStr">
        <is>
          <t>ÖRNSKÖLDSVIK</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7026-2026</t>
        </is>
      </c>
      <c r="B5395" s="1" t="n">
        <v>46057.67420138889</v>
      </c>
      <c r="C5395" s="1" t="n">
        <v>46185</v>
      </c>
      <c r="D5395" t="inlineStr">
        <is>
          <t>VÄSTERNORRLANDS LÄN</t>
        </is>
      </c>
      <c r="E5395" t="inlineStr">
        <is>
          <t>ÅNGE</t>
        </is>
      </c>
      <c r="G5395" t="n">
        <v>18.4</v>
      </c>
      <c r="H5395" t="n">
        <v>0</v>
      </c>
      <c r="I5395" t="n">
        <v>0</v>
      </c>
      <c r="J5395" t="n">
        <v>0</v>
      </c>
      <c r="K5395" t="n">
        <v>0</v>
      </c>
      <c r="L5395" t="n">
        <v>0</v>
      </c>
      <c r="M5395" t="n">
        <v>0</v>
      </c>
      <c r="N5395" t="n">
        <v>0</v>
      </c>
      <c r="O5395" t="n">
        <v>0</v>
      </c>
      <c r="P5395" t="n">
        <v>0</v>
      </c>
      <c r="Q5395" t="n">
        <v>0</v>
      </c>
      <c r="R5395" s="2" t="inlineStr"/>
    </row>
    <row r="5396" ht="15" customHeight="1">
      <c r="A5396" t="inlineStr">
        <is>
          <t>A 48611-2022</t>
        </is>
      </c>
      <c r="B5396" s="1" t="n">
        <v>44859</v>
      </c>
      <c r="C5396" s="1" t="n">
        <v>46185</v>
      </c>
      <c r="D5396" t="inlineStr">
        <is>
          <t>VÄSTERNORRLANDS LÄN</t>
        </is>
      </c>
      <c r="E5396" t="inlineStr">
        <is>
          <t>ÖRNSKÖLDSVIK</t>
        </is>
      </c>
      <c r="F5396" t="inlineStr">
        <is>
          <t>Holmen skog AB</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54255-2025</t>
        </is>
      </c>
      <c r="B5397" s="1" t="n">
        <v>45964.65692129629</v>
      </c>
      <c r="C5397" s="1" t="n">
        <v>46185</v>
      </c>
      <c r="D5397" t="inlineStr">
        <is>
          <t>VÄSTERNORRLANDS LÄN</t>
        </is>
      </c>
      <c r="E5397" t="inlineStr">
        <is>
          <t>SOLLEFTEÅ</t>
        </is>
      </c>
      <c r="F5397" t="inlineStr">
        <is>
          <t>SCA</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60578-2024</t>
        </is>
      </c>
      <c r="B5398" s="1" t="n">
        <v>45644.34434027778</v>
      </c>
      <c r="C5398" s="1" t="n">
        <v>46185</v>
      </c>
      <c r="D5398" t="inlineStr">
        <is>
          <t>VÄSTERNORRLANDS LÄN</t>
        </is>
      </c>
      <c r="E5398" t="inlineStr">
        <is>
          <t>ÅNGE</t>
        </is>
      </c>
      <c r="F5398" t="inlineStr">
        <is>
          <t>SCA</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7154-2026</t>
        </is>
      </c>
      <c r="B5399" s="1" t="n">
        <v>46058.42788194444</v>
      </c>
      <c r="C5399" s="1" t="n">
        <v>46185</v>
      </c>
      <c r="D5399" t="inlineStr">
        <is>
          <t>VÄSTERNORRLANDS LÄN</t>
        </is>
      </c>
      <c r="E5399" t="inlineStr">
        <is>
          <t>SOLLEFTEÅ</t>
        </is>
      </c>
      <c r="F5399" t="inlineStr">
        <is>
          <t>SCA</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7161-2026</t>
        </is>
      </c>
      <c r="B5400" s="1" t="n">
        <v>46058.44846064815</v>
      </c>
      <c r="C5400" s="1" t="n">
        <v>46185</v>
      </c>
      <c r="D5400" t="inlineStr">
        <is>
          <t>VÄSTERNORRLANDS LÄN</t>
        </is>
      </c>
      <c r="E5400" t="inlineStr">
        <is>
          <t>SOLLEFTEÅ</t>
        </is>
      </c>
      <c r="F5400" t="inlineStr">
        <is>
          <t>SCA</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7162-2026</t>
        </is>
      </c>
      <c r="B5401" s="1" t="n">
        <v>46058.44864583333</v>
      </c>
      <c r="C5401" s="1" t="n">
        <v>46185</v>
      </c>
      <c r="D5401" t="inlineStr">
        <is>
          <t>VÄSTERNORRLANDS LÄN</t>
        </is>
      </c>
      <c r="E5401" t="inlineStr">
        <is>
          <t>SUNDSVALL</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54069-2025</t>
        </is>
      </c>
      <c r="B5402" s="1" t="n">
        <v>45964.3446875</v>
      </c>
      <c r="C5402" s="1" t="n">
        <v>46185</v>
      </c>
      <c r="D5402" t="inlineStr">
        <is>
          <t>VÄSTERNORRLANDS LÄN</t>
        </is>
      </c>
      <c r="E5402" t="inlineStr">
        <is>
          <t>KRAMFORS</t>
        </is>
      </c>
      <c r="F5402" t="inlineStr">
        <is>
          <t>SCA</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54025-2025</t>
        </is>
      </c>
      <c r="B5403" s="1" t="n">
        <v>45961.83200231481</v>
      </c>
      <c r="C5403" s="1" t="n">
        <v>46185</v>
      </c>
      <c r="D5403" t="inlineStr">
        <is>
          <t>VÄSTERNORRLANDS LÄN</t>
        </is>
      </c>
      <c r="E5403" t="inlineStr">
        <is>
          <t>ÖRNSKÖLDSVIK</t>
        </is>
      </c>
      <c r="F5403" t="inlineStr">
        <is>
          <t>Holmen skog AB</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54613-2024</t>
        </is>
      </c>
      <c r="B5404" s="1" t="n">
        <v>45617.70974537037</v>
      </c>
      <c r="C5404" s="1" t="n">
        <v>46185</v>
      </c>
      <c r="D5404" t="inlineStr">
        <is>
          <t>VÄSTERNORRLANDS LÄN</t>
        </is>
      </c>
      <c r="E5404" t="inlineStr">
        <is>
          <t>ÖRNSKÖLDSVIK</t>
        </is>
      </c>
      <c r="F5404" t="inlineStr">
        <is>
          <t>Holmen skog AB</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35624-2023</t>
        </is>
      </c>
      <c r="B5405" s="1" t="n">
        <v>45147.54612268518</v>
      </c>
      <c r="C5405" s="1" t="n">
        <v>46185</v>
      </c>
      <c r="D5405" t="inlineStr">
        <is>
          <t>VÄSTERNORRLANDS LÄN</t>
        </is>
      </c>
      <c r="E5405" t="inlineStr">
        <is>
          <t>ÖRNSKÖLDSVIK</t>
        </is>
      </c>
      <c r="F5405" t="inlineStr">
        <is>
          <t>Holmen skog AB</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47248-2025</t>
        </is>
      </c>
      <c r="B5406" s="1" t="n">
        <v>45930</v>
      </c>
      <c r="C5406" s="1" t="n">
        <v>46185</v>
      </c>
      <c r="D5406" t="inlineStr">
        <is>
          <t>VÄSTERNORRLANDS LÄN</t>
        </is>
      </c>
      <c r="E5406" t="inlineStr">
        <is>
          <t>SUNDSVALL</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7304-2026</t>
        </is>
      </c>
      <c r="B5407" s="1" t="n">
        <v>46058.65677083333</v>
      </c>
      <c r="C5407" s="1" t="n">
        <v>46185</v>
      </c>
      <c r="D5407" t="inlineStr">
        <is>
          <t>VÄSTERNORRLANDS LÄN</t>
        </is>
      </c>
      <c r="E5407" t="inlineStr">
        <is>
          <t>SOLLEFTEÅ</t>
        </is>
      </c>
      <c r="F5407" t="inlineStr">
        <is>
          <t>SCA</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54068-2025</t>
        </is>
      </c>
      <c r="B5408" s="1" t="n">
        <v>45964.34452546296</v>
      </c>
      <c r="C5408" s="1" t="n">
        <v>46185</v>
      </c>
      <c r="D5408" t="inlineStr">
        <is>
          <t>VÄSTERNORRLANDS LÄN</t>
        </is>
      </c>
      <c r="E5408" t="inlineStr">
        <is>
          <t>KRAMFORS</t>
        </is>
      </c>
      <c r="F5408" t="inlineStr">
        <is>
          <t>SCA</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35682-2023</t>
        </is>
      </c>
      <c r="B5409" s="1" t="n">
        <v>45147</v>
      </c>
      <c r="C5409" s="1" t="n">
        <v>46185</v>
      </c>
      <c r="D5409" t="inlineStr">
        <is>
          <t>VÄSTERNORRLANDS LÄN</t>
        </is>
      </c>
      <c r="E5409" t="inlineStr">
        <is>
          <t>SUNDSVALL</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6975-2026</t>
        </is>
      </c>
      <c r="B5410" s="1" t="n">
        <v>46057.59436342592</v>
      </c>
      <c r="C5410" s="1" t="n">
        <v>46185</v>
      </c>
      <c r="D5410" t="inlineStr">
        <is>
          <t>VÄSTERNORRLANDS LÄN</t>
        </is>
      </c>
      <c r="E5410" t="inlineStr">
        <is>
          <t>ÅNGE</t>
        </is>
      </c>
      <c r="F5410" t="inlineStr">
        <is>
          <t>SCA</t>
        </is>
      </c>
      <c r="G5410" t="n">
        <v>20.7</v>
      </c>
      <c r="H5410" t="n">
        <v>0</v>
      </c>
      <c r="I5410" t="n">
        <v>0</v>
      </c>
      <c r="J5410" t="n">
        <v>0</v>
      </c>
      <c r="K5410" t="n">
        <v>0</v>
      </c>
      <c r="L5410" t="n">
        <v>0</v>
      </c>
      <c r="M5410" t="n">
        <v>0</v>
      </c>
      <c r="N5410" t="n">
        <v>0</v>
      </c>
      <c r="O5410" t="n">
        <v>0</v>
      </c>
      <c r="P5410" t="n">
        <v>0</v>
      </c>
      <c r="Q5410" t="n">
        <v>0</v>
      </c>
      <c r="R5410" s="2" t="inlineStr"/>
    </row>
    <row r="5411" ht="15" customHeight="1">
      <c r="A5411" t="inlineStr">
        <is>
          <t>A 34342-2024</t>
        </is>
      </c>
      <c r="B5411" s="1" t="n">
        <v>45525.32556712963</v>
      </c>
      <c r="C5411" s="1" t="n">
        <v>46185</v>
      </c>
      <c r="D5411" t="inlineStr">
        <is>
          <t>VÄSTERNORRLANDS LÄN</t>
        </is>
      </c>
      <c r="E5411" t="inlineStr">
        <is>
          <t>ÖRNSKÖLDSVIK</t>
        </is>
      </c>
      <c r="F5411" t="inlineStr">
        <is>
          <t>Holmen skog AB</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54187-2025</t>
        </is>
      </c>
      <c r="B5412" s="1" t="n">
        <v>45964</v>
      </c>
      <c r="C5412" s="1" t="n">
        <v>46185</v>
      </c>
      <c r="D5412" t="inlineStr">
        <is>
          <t>VÄSTERNORRLANDS LÄN</t>
        </is>
      </c>
      <c r="E5412" t="inlineStr">
        <is>
          <t>KRAMFORS</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54197-2025</t>
        </is>
      </c>
      <c r="B5413" s="1" t="n">
        <v>45964</v>
      </c>
      <c r="C5413" s="1" t="n">
        <v>46185</v>
      </c>
      <c r="D5413" t="inlineStr">
        <is>
          <t>VÄSTERNORRLANDS LÄN</t>
        </is>
      </c>
      <c r="E5413" t="inlineStr">
        <is>
          <t>ÅNGE</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37914-2022</t>
        </is>
      </c>
      <c r="B5414" s="1" t="n">
        <v>44811</v>
      </c>
      <c r="C5414" s="1" t="n">
        <v>46185</v>
      </c>
      <c r="D5414" t="inlineStr">
        <is>
          <t>VÄSTERNORRLANDS LÄN</t>
        </is>
      </c>
      <c r="E5414" t="inlineStr">
        <is>
          <t>ÖRNSKÖLDSVIK</t>
        </is>
      </c>
      <c r="F5414" t="inlineStr">
        <is>
          <t>Holmen skog AB</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53867-2025</t>
        </is>
      </c>
      <c r="B5415" s="1" t="n">
        <v>45961.38581018519</v>
      </c>
      <c r="C5415" s="1" t="n">
        <v>46185</v>
      </c>
      <c r="D5415" t="inlineStr">
        <is>
          <t>VÄSTERNORRLANDS LÄN</t>
        </is>
      </c>
      <c r="E5415" t="inlineStr">
        <is>
          <t>SOLLEFTEÅ</t>
        </is>
      </c>
      <c r="F5415" t="inlineStr">
        <is>
          <t>SCA</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10947-2025</t>
        </is>
      </c>
      <c r="B5416" s="1" t="n">
        <v>45723.34417824074</v>
      </c>
      <c r="C5416" s="1" t="n">
        <v>46185</v>
      </c>
      <c r="D5416" t="inlineStr">
        <is>
          <t>VÄSTERNORRLANDS LÄN</t>
        </is>
      </c>
      <c r="E5416" t="inlineStr">
        <is>
          <t>TIMRÅ</t>
        </is>
      </c>
      <c r="F5416" t="inlineStr">
        <is>
          <t>SCA</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61174-2024</t>
        </is>
      </c>
      <c r="B5417" s="1" t="n">
        <v>45645</v>
      </c>
      <c r="C5417" s="1" t="n">
        <v>46185</v>
      </c>
      <c r="D5417" t="inlineStr">
        <is>
          <t>VÄSTERNORRLANDS LÄN</t>
        </is>
      </c>
      <c r="E5417" t="inlineStr">
        <is>
          <t>KRAMFORS</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61176-2024</t>
        </is>
      </c>
      <c r="B5418" s="1" t="n">
        <v>45645.60534722222</v>
      </c>
      <c r="C5418" s="1" t="n">
        <v>46185</v>
      </c>
      <c r="D5418" t="inlineStr">
        <is>
          <t>VÄSTERNORRLANDS LÄN</t>
        </is>
      </c>
      <c r="E5418" t="inlineStr">
        <is>
          <t>KRAMFORS</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53833-2025</t>
        </is>
      </c>
      <c r="B5419" s="1" t="n">
        <v>45961.34518518519</v>
      </c>
      <c r="C5419" s="1" t="n">
        <v>46185</v>
      </c>
      <c r="D5419" t="inlineStr">
        <is>
          <t>VÄSTERNORRLANDS LÄN</t>
        </is>
      </c>
      <c r="E5419" t="inlineStr">
        <is>
          <t>SOLLEFTEÅ</t>
        </is>
      </c>
      <c r="F5419" t="inlineStr">
        <is>
          <t>SCA</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6869-2026</t>
        </is>
      </c>
      <c r="B5420" s="1" t="n">
        <v>46057.44512731482</v>
      </c>
      <c r="C5420" s="1" t="n">
        <v>46185</v>
      </c>
      <c r="D5420" t="inlineStr">
        <is>
          <t>VÄSTERNORRLANDS LÄN</t>
        </is>
      </c>
      <c r="E5420" t="inlineStr">
        <is>
          <t>ÖRNSKÖLDSVIK</t>
        </is>
      </c>
      <c r="F5420" t="inlineStr">
        <is>
          <t>Holmen skog AB</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54194-2025</t>
        </is>
      </c>
      <c r="B5421" s="1" t="n">
        <v>45964.57395833333</v>
      </c>
      <c r="C5421" s="1" t="n">
        <v>46185</v>
      </c>
      <c r="D5421" t="inlineStr">
        <is>
          <t>VÄSTERNORRLANDS LÄN</t>
        </is>
      </c>
      <c r="E5421" t="inlineStr">
        <is>
          <t>SOLLEFTEÅ</t>
        </is>
      </c>
      <c r="F5421" t="inlineStr">
        <is>
          <t>SCA</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25034-2023</t>
        </is>
      </c>
      <c r="B5422" s="1" t="n">
        <v>45085</v>
      </c>
      <c r="C5422" s="1" t="n">
        <v>46185</v>
      </c>
      <c r="D5422" t="inlineStr">
        <is>
          <t>VÄSTERNORRLANDS LÄN</t>
        </is>
      </c>
      <c r="E5422" t="inlineStr">
        <is>
          <t>ÅNGE</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7005-2026</t>
        </is>
      </c>
      <c r="B5423" s="1" t="n">
        <v>46057.63594907407</v>
      </c>
      <c r="C5423" s="1" t="n">
        <v>46185</v>
      </c>
      <c r="D5423" t="inlineStr">
        <is>
          <t>VÄSTERNORRLANDS LÄN</t>
        </is>
      </c>
      <c r="E5423" t="inlineStr">
        <is>
          <t>ÅNGE</t>
        </is>
      </c>
      <c r="F5423" t="inlineStr">
        <is>
          <t>SCA</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7489-2026</t>
        </is>
      </c>
      <c r="B5424" s="1" t="n">
        <v>46058</v>
      </c>
      <c r="C5424" s="1" t="n">
        <v>46185</v>
      </c>
      <c r="D5424" t="inlineStr">
        <is>
          <t>VÄSTERNORRLANDS LÄN</t>
        </is>
      </c>
      <c r="E5424" t="inlineStr">
        <is>
          <t>SUNDSVALL</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7289-2026</t>
        </is>
      </c>
      <c r="B5425" s="1" t="n">
        <v>46058.63939814815</v>
      </c>
      <c r="C5425" s="1" t="n">
        <v>46185</v>
      </c>
      <c r="D5425" t="inlineStr">
        <is>
          <t>VÄSTERNORRLANDS LÄN</t>
        </is>
      </c>
      <c r="E5425" t="inlineStr">
        <is>
          <t>ÖRNSKÖLDSVIK</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7205-2026</t>
        </is>
      </c>
      <c r="B5426" s="1" t="n">
        <v>46058</v>
      </c>
      <c r="C5426" s="1" t="n">
        <v>46185</v>
      </c>
      <c r="D5426" t="inlineStr">
        <is>
          <t>VÄSTERNORRLANDS LÄN</t>
        </is>
      </c>
      <c r="E5426" t="inlineStr">
        <is>
          <t>HÄRNÖSAND</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6932-2026</t>
        </is>
      </c>
      <c r="B5427" s="1" t="n">
        <v>46057.55331018518</v>
      </c>
      <c r="C5427" s="1" t="n">
        <v>46185</v>
      </c>
      <c r="D5427" t="inlineStr">
        <is>
          <t>VÄSTERNORRLANDS LÄN</t>
        </is>
      </c>
      <c r="E5427" t="inlineStr">
        <is>
          <t>ÅNGE</t>
        </is>
      </c>
      <c r="G5427" t="n">
        <v>11.2</v>
      </c>
      <c r="H5427" t="n">
        <v>0</v>
      </c>
      <c r="I5427" t="n">
        <v>0</v>
      </c>
      <c r="J5427" t="n">
        <v>0</v>
      </c>
      <c r="K5427" t="n">
        <v>0</v>
      </c>
      <c r="L5427" t="n">
        <v>0</v>
      </c>
      <c r="M5427" t="n">
        <v>0</v>
      </c>
      <c r="N5427" t="n">
        <v>0</v>
      </c>
      <c r="O5427" t="n">
        <v>0</v>
      </c>
      <c r="P5427" t="n">
        <v>0</v>
      </c>
      <c r="Q5427" t="n">
        <v>0</v>
      </c>
      <c r="R5427" s="2" t="inlineStr"/>
    </row>
    <row r="5428" ht="15" customHeight="1">
      <c r="A5428" t="inlineStr">
        <is>
          <t>A 7109-2026</t>
        </is>
      </c>
      <c r="B5428" s="1" t="n">
        <v>46058</v>
      </c>
      <c r="C5428" s="1" t="n">
        <v>46185</v>
      </c>
      <c r="D5428" t="inlineStr">
        <is>
          <t>VÄSTERNORRLANDS LÄN</t>
        </is>
      </c>
      <c r="E5428" t="inlineStr">
        <is>
          <t>SUNDSVALL</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6978-2026</t>
        </is>
      </c>
      <c r="B5429" s="1" t="n">
        <v>46057.59460648148</v>
      </c>
      <c r="C5429" s="1" t="n">
        <v>46185</v>
      </c>
      <c r="D5429" t="inlineStr">
        <is>
          <t>VÄSTERNORRLANDS LÄN</t>
        </is>
      </c>
      <c r="E5429" t="inlineStr">
        <is>
          <t>TIMRÅ</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7184-2026</t>
        </is>
      </c>
      <c r="B5430" s="1" t="n">
        <v>46058.49020833334</v>
      </c>
      <c r="C5430" s="1" t="n">
        <v>46185</v>
      </c>
      <c r="D5430" t="inlineStr">
        <is>
          <t>VÄSTERNORRLANDS LÄN</t>
        </is>
      </c>
      <c r="E5430" t="inlineStr">
        <is>
          <t>ÅNGE</t>
        </is>
      </c>
      <c r="F5430" t="inlineStr">
        <is>
          <t>SCA</t>
        </is>
      </c>
      <c r="G5430" t="n">
        <v>19.3</v>
      </c>
      <c r="H5430" t="n">
        <v>0</v>
      </c>
      <c r="I5430" t="n">
        <v>0</v>
      </c>
      <c r="J5430" t="n">
        <v>0</v>
      </c>
      <c r="K5430" t="n">
        <v>0</v>
      </c>
      <c r="L5430" t="n">
        <v>0</v>
      </c>
      <c r="M5430" t="n">
        <v>0</v>
      </c>
      <c r="N5430" t="n">
        <v>0</v>
      </c>
      <c r="O5430" t="n">
        <v>0</v>
      </c>
      <c r="P5430" t="n">
        <v>0</v>
      </c>
      <c r="Q5430" t="n">
        <v>0</v>
      </c>
      <c r="R5430" s="2" t="inlineStr"/>
    </row>
    <row r="5431" ht="15" customHeight="1">
      <c r="A5431" t="inlineStr">
        <is>
          <t>A 29584-2021</t>
        </is>
      </c>
      <c r="B5431" s="1" t="n">
        <v>44361</v>
      </c>
      <c r="C5431" s="1" t="n">
        <v>46185</v>
      </c>
      <c r="D5431" t="inlineStr">
        <is>
          <t>VÄSTERNORRLANDS LÄN</t>
        </is>
      </c>
      <c r="E5431" t="inlineStr">
        <is>
          <t>SUNDSVALL</t>
        </is>
      </c>
      <c r="G5431" t="n">
        <v>14.6</v>
      </c>
      <c r="H5431" t="n">
        <v>0</v>
      </c>
      <c r="I5431" t="n">
        <v>0</v>
      </c>
      <c r="J5431" t="n">
        <v>0</v>
      </c>
      <c r="K5431" t="n">
        <v>0</v>
      </c>
      <c r="L5431" t="n">
        <v>0</v>
      </c>
      <c r="M5431" t="n">
        <v>0</v>
      </c>
      <c r="N5431" t="n">
        <v>0</v>
      </c>
      <c r="O5431" t="n">
        <v>0</v>
      </c>
      <c r="P5431" t="n">
        <v>0</v>
      </c>
      <c r="Q5431" t="n">
        <v>0</v>
      </c>
      <c r="R5431" s="2" t="inlineStr"/>
    </row>
    <row r="5432" ht="15" customHeight="1">
      <c r="A5432" t="inlineStr">
        <is>
          <t>A 35250-2022</t>
        </is>
      </c>
      <c r="B5432" s="1" t="n">
        <v>44798.33560185185</v>
      </c>
      <c r="C5432" s="1" t="n">
        <v>46185</v>
      </c>
      <c r="D5432" t="inlineStr">
        <is>
          <t>VÄSTERNORRLANDS LÄN</t>
        </is>
      </c>
      <c r="E5432" t="inlineStr">
        <is>
          <t>ÖRNSKÖLDSVIK</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35266-2022</t>
        </is>
      </c>
      <c r="B5433" s="1" t="n">
        <v>44798</v>
      </c>
      <c r="C5433" s="1" t="n">
        <v>46185</v>
      </c>
      <c r="D5433" t="inlineStr">
        <is>
          <t>VÄSTERNORRLANDS LÄN</t>
        </is>
      </c>
      <c r="E5433" t="inlineStr">
        <is>
          <t>ÖRNSKÖLDSVIK</t>
        </is>
      </c>
      <c r="F5433" t="inlineStr">
        <is>
          <t>Kyrkan</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6918-2026</t>
        </is>
      </c>
      <c r="B5434" s="1" t="n">
        <v>46057.53289351852</v>
      </c>
      <c r="C5434" s="1" t="n">
        <v>46185</v>
      </c>
      <c r="D5434" t="inlineStr">
        <is>
          <t>VÄSTERNORRLANDS LÄN</t>
        </is>
      </c>
      <c r="E5434" t="inlineStr">
        <is>
          <t>ÅNGE</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60583-2024</t>
        </is>
      </c>
      <c r="B5435" s="1" t="n">
        <v>45644</v>
      </c>
      <c r="C5435" s="1" t="n">
        <v>46185</v>
      </c>
      <c r="D5435" t="inlineStr">
        <is>
          <t>VÄSTERNORRLANDS LÄN</t>
        </is>
      </c>
      <c r="E5435" t="inlineStr">
        <is>
          <t>SOLLEFTEÅ</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6976-2026</t>
        </is>
      </c>
      <c r="B5436" s="1" t="n">
        <v>46057.59456018519</v>
      </c>
      <c r="C5436" s="1" t="n">
        <v>46185</v>
      </c>
      <c r="D5436" t="inlineStr">
        <is>
          <t>VÄSTERNORRLANDS LÄN</t>
        </is>
      </c>
      <c r="E5436" t="inlineStr">
        <is>
          <t>TIMRÅ</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7288-2026</t>
        </is>
      </c>
      <c r="B5437" s="1" t="n">
        <v>46058.63849537037</v>
      </c>
      <c r="C5437" s="1" t="n">
        <v>46185</v>
      </c>
      <c r="D5437" t="inlineStr">
        <is>
          <t>VÄSTERNORRLANDS LÄN</t>
        </is>
      </c>
      <c r="E5437" t="inlineStr">
        <is>
          <t>SUNDSVALL</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7290-2026</t>
        </is>
      </c>
      <c r="B5438" s="1" t="n">
        <v>46058.6397337963</v>
      </c>
      <c r="C5438" s="1" t="n">
        <v>46185</v>
      </c>
      <c r="D5438" t="inlineStr">
        <is>
          <t>VÄSTERNORRLANDS LÄN</t>
        </is>
      </c>
      <c r="E5438" t="inlineStr">
        <is>
          <t>ÖRNSKÖLDSVIK</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5580-2025</t>
        </is>
      </c>
      <c r="B5439" s="1" t="n">
        <v>45693.54991898148</v>
      </c>
      <c r="C5439" s="1" t="n">
        <v>46185</v>
      </c>
      <c r="D5439" t="inlineStr">
        <is>
          <t>VÄSTERNORRLANDS LÄN</t>
        </is>
      </c>
      <c r="E5439" t="inlineStr">
        <is>
          <t>ÖRNSKÖLDSVIK</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61245-2024</t>
        </is>
      </c>
      <c r="B5440" s="1" t="n">
        <v>45645</v>
      </c>
      <c r="C5440" s="1" t="n">
        <v>46185</v>
      </c>
      <c r="D5440" t="inlineStr">
        <is>
          <t>VÄSTERNORRLANDS LÄN</t>
        </is>
      </c>
      <c r="E5440" t="inlineStr">
        <is>
          <t>HÄRNÖSAND</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58481-2024</t>
        </is>
      </c>
      <c r="B5441" s="1" t="n">
        <v>45635.39123842592</v>
      </c>
      <c r="C5441" s="1" t="n">
        <v>46185</v>
      </c>
      <c r="D5441" t="inlineStr">
        <is>
          <t>VÄSTERNORRLANDS LÄN</t>
        </is>
      </c>
      <c r="E5441" t="inlineStr">
        <is>
          <t>ÖRNSKÖLDSVIK</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40098-2023</t>
        </is>
      </c>
      <c r="B5442" s="1" t="n">
        <v>45168.93726851852</v>
      </c>
      <c r="C5442" s="1" t="n">
        <v>46185</v>
      </c>
      <c r="D5442" t="inlineStr">
        <is>
          <t>VÄSTERNORRLANDS LÄN</t>
        </is>
      </c>
      <c r="E5442" t="inlineStr">
        <is>
          <t>SOLLEFTEÅ</t>
        </is>
      </c>
      <c r="F5442" t="inlineStr">
        <is>
          <t>SCA</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54472-2025</t>
        </is>
      </c>
      <c r="B5443" s="1" t="n">
        <v>45965.57381944444</v>
      </c>
      <c r="C5443" s="1" t="n">
        <v>46185</v>
      </c>
      <c r="D5443" t="inlineStr">
        <is>
          <t>VÄSTERNORRLANDS LÄN</t>
        </is>
      </c>
      <c r="E5443" t="inlineStr">
        <is>
          <t>SOLLEFTEÅ</t>
        </is>
      </c>
      <c r="F5443" t="inlineStr">
        <is>
          <t>SCA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54357-2025</t>
        </is>
      </c>
      <c r="B5444" s="1" t="n">
        <v>45965.3858912037</v>
      </c>
      <c r="C5444" s="1" t="n">
        <v>46185</v>
      </c>
      <c r="D5444" t="inlineStr">
        <is>
          <t>VÄSTERNORRLANDS LÄN</t>
        </is>
      </c>
      <c r="E5444" t="inlineStr">
        <is>
          <t>ÅNGE</t>
        </is>
      </c>
      <c r="F5444" t="inlineStr">
        <is>
          <t>SCA</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54471-2025</t>
        </is>
      </c>
      <c r="B5445" s="1" t="n">
        <v>45965.57357638889</v>
      </c>
      <c r="C5445" s="1" t="n">
        <v>46185</v>
      </c>
      <c r="D5445" t="inlineStr">
        <is>
          <t>VÄSTERNORRLANDS LÄN</t>
        </is>
      </c>
      <c r="E5445" t="inlineStr">
        <is>
          <t>SOLLEFTEÅ</t>
        </is>
      </c>
      <c r="F5445" t="inlineStr">
        <is>
          <t>SCA</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54486-2025</t>
        </is>
      </c>
      <c r="B5446" s="1" t="n">
        <v>45965.59438657408</v>
      </c>
      <c r="C5446" s="1" t="n">
        <v>46185</v>
      </c>
      <c r="D5446" t="inlineStr">
        <is>
          <t>VÄSTERNORRLANDS LÄN</t>
        </is>
      </c>
      <c r="E5446" t="inlineStr">
        <is>
          <t>SOLLEFTEÅ</t>
        </is>
      </c>
      <c r="F5446" t="inlineStr">
        <is>
          <t>SCA</t>
        </is>
      </c>
      <c r="G5446" t="n">
        <v>10</v>
      </c>
      <c r="H5446" t="n">
        <v>0</v>
      </c>
      <c r="I5446" t="n">
        <v>0</v>
      </c>
      <c r="J5446" t="n">
        <v>0</v>
      </c>
      <c r="K5446" t="n">
        <v>0</v>
      </c>
      <c r="L5446" t="n">
        <v>0</v>
      </c>
      <c r="M5446" t="n">
        <v>0</v>
      </c>
      <c r="N5446" t="n">
        <v>0</v>
      </c>
      <c r="O5446" t="n">
        <v>0</v>
      </c>
      <c r="P5446" t="n">
        <v>0</v>
      </c>
      <c r="Q5446" t="n">
        <v>0</v>
      </c>
      <c r="R5446" s="2" t="inlineStr"/>
    </row>
    <row r="5447" ht="15" customHeight="1">
      <c r="A5447" t="inlineStr">
        <is>
          <t>A 54487-2025</t>
        </is>
      </c>
      <c r="B5447" s="1" t="n">
        <v>45965.59460648148</v>
      </c>
      <c r="C5447" s="1" t="n">
        <v>46185</v>
      </c>
      <c r="D5447" t="inlineStr">
        <is>
          <t>VÄSTERNORRLANDS LÄN</t>
        </is>
      </c>
      <c r="E5447" t="inlineStr">
        <is>
          <t>SOLLEFTEÅ</t>
        </is>
      </c>
      <c r="F5447" t="inlineStr">
        <is>
          <t>SCA</t>
        </is>
      </c>
      <c r="G5447" t="n">
        <v>6</v>
      </c>
      <c r="H5447" t="n">
        <v>0</v>
      </c>
      <c r="I5447" t="n">
        <v>0</v>
      </c>
      <c r="J5447" t="n">
        <v>0</v>
      </c>
      <c r="K5447" t="n">
        <v>0</v>
      </c>
      <c r="L5447" t="n">
        <v>0</v>
      </c>
      <c r="M5447" t="n">
        <v>0</v>
      </c>
      <c r="N5447" t="n">
        <v>0</v>
      </c>
      <c r="O5447" t="n">
        <v>0</v>
      </c>
      <c r="P5447" t="n">
        <v>0</v>
      </c>
      <c r="Q5447" t="n">
        <v>0</v>
      </c>
      <c r="R5447" s="2" t="inlineStr"/>
    </row>
    <row r="5448" ht="15" customHeight="1">
      <c r="A5448" t="inlineStr">
        <is>
          <t>A 7284-2026</t>
        </is>
      </c>
      <c r="B5448" s="1" t="n">
        <v>46058.63614583333</v>
      </c>
      <c r="C5448" s="1" t="n">
        <v>46185</v>
      </c>
      <c r="D5448" t="inlineStr">
        <is>
          <t>VÄSTERNORRLANDS LÄN</t>
        </is>
      </c>
      <c r="E5448" t="inlineStr">
        <is>
          <t>ÅNGE</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54356-2025</t>
        </is>
      </c>
      <c r="B5449" s="1" t="n">
        <v>45965.38269675926</v>
      </c>
      <c r="C5449" s="1" t="n">
        <v>46185</v>
      </c>
      <c r="D5449" t="inlineStr">
        <is>
          <t>VÄSTERNORRLANDS LÄN</t>
        </is>
      </c>
      <c r="E5449" t="inlineStr">
        <is>
          <t>KRAMFORS</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39121-2025</t>
        </is>
      </c>
      <c r="B5450" s="1" t="n">
        <v>45884</v>
      </c>
      <c r="C5450" s="1" t="n">
        <v>46185</v>
      </c>
      <c r="D5450" t="inlineStr">
        <is>
          <t>VÄSTERNORRLANDS LÄN</t>
        </is>
      </c>
      <c r="E5450" t="inlineStr">
        <is>
          <t>KRAMFORS</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7397-2026</t>
        </is>
      </c>
      <c r="B5451" s="1" t="n">
        <v>46059.37511574074</v>
      </c>
      <c r="C5451" s="1" t="n">
        <v>46185</v>
      </c>
      <c r="D5451" t="inlineStr">
        <is>
          <t>VÄSTERNORRLANDS LÄN</t>
        </is>
      </c>
      <c r="E5451" t="inlineStr">
        <is>
          <t>SOLLEFTEÅ</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7634-2026</t>
        </is>
      </c>
      <c r="B5452" s="1" t="n">
        <v>46062.36506944444</v>
      </c>
      <c r="C5452" s="1" t="n">
        <v>46185</v>
      </c>
      <c r="D5452" t="inlineStr">
        <is>
          <t>VÄSTERNORRLANDS LÄN</t>
        </is>
      </c>
      <c r="E5452" t="inlineStr">
        <is>
          <t>ÅNGE</t>
        </is>
      </c>
      <c r="F5452" t="inlineStr">
        <is>
          <t>SCA</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54349-2025</t>
        </is>
      </c>
      <c r="B5453" s="1" t="n">
        <v>45965.37119212963</v>
      </c>
      <c r="C5453" s="1" t="n">
        <v>46185</v>
      </c>
      <c r="D5453" t="inlineStr">
        <is>
          <t>VÄSTERNORRLANDS LÄN</t>
        </is>
      </c>
      <c r="E5453" t="inlineStr">
        <is>
          <t>ÖRNSKÖLDSVIK</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7547-2026</t>
        </is>
      </c>
      <c r="B5454" s="1" t="n">
        <v>46059.67755787037</v>
      </c>
      <c r="C5454" s="1" t="n">
        <v>46185</v>
      </c>
      <c r="D5454" t="inlineStr">
        <is>
          <t>VÄSTERNORRLANDS LÄN</t>
        </is>
      </c>
      <c r="E5454" t="inlineStr">
        <is>
          <t>ÅNGE</t>
        </is>
      </c>
      <c r="F5454" t="inlineStr">
        <is>
          <t>SCA</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7617-2026</t>
        </is>
      </c>
      <c r="B5455" s="1" t="n">
        <v>46062.33678240741</v>
      </c>
      <c r="C5455" s="1" t="n">
        <v>46185</v>
      </c>
      <c r="D5455" t="inlineStr">
        <is>
          <t>VÄSTERNORRLANDS LÄN</t>
        </is>
      </c>
      <c r="E5455" t="inlineStr">
        <is>
          <t>SUNDSVALL</t>
        </is>
      </c>
      <c r="F5455" t="inlineStr">
        <is>
          <t>Holmen skog AB</t>
        </is>
      </c>
      <c r="G5455" t="n">
        <v>31.3</v>
      </c>
      <c r="H5455" t="n">
        <v>0</v>
      </c>
      <c r="I5455" t="n">
        <v>0</v>
      </c>
      <c r="J5455" t="n">
        <v>0</v>
      </c>
      <c r="K5455" t="n">
        <v>0</v>
      </c>
      <c r="L5455" t="n">
        <v>0</v>
      </c>
      <c r="M5455" t="n">
        <v>0</v>
      </c>
      <c r="N5455" t="n">
        <v>0</v>
      </c>
      <c r="O5455" t="n">
        <v>0</v>
      </c>
      <c r="P5455" t="n">
        <v>0</v>
      </c>
      <c r="Q5455" t="n">
        <v>0</v>
      </c>
      <c r="R5455" s="2" t="inlineStr"/>
    </row>
    <row r="5456" ht="15" customHeight="1">
      <c r="A5456" t="inlineStr">
        <is>
          <t>A 54680-2025</t>
        </is>
      </c>
      <c r="B5456" s="1" t="n">
        <v>45966.42751157407</v>
      </c>
      <c r="C5456" s="1" t="n">
        <v>46185</v>
      </c>
      <c r="D5456" t="inlineStr">
        <is>
          <t>VÄSTERNORRLANDS LÄN</t>
        </is>
      </c>
      <c r="E5456" t="inlineStr">
        <is>
          <t>ÅNGE</t>
        </is>
      </c>
      <c r="F5456" t="inlineStr">
        <is>
          <t>SCA</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54705-2025</t>
        </is>
      </c>
      <c r="B5457" s="1" t="n">
        <v>45966.4853125</v>
      </c>
      <c r="C5457" s="1" t="n">
        <v>46185</v>
      </c>
      <c r="D5457" t="inlineStr">
        <is>
          <t>VÄSTERNORRLANDS LÄN</t>
        </is>
      </c>
      <c r="E5457" t="inlineStr">
        <is>
          <t>ÅNGE</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7756-2026</t>
        </is>
      </c>
      <c r="B5458" s="1" t="n">
        <v>46062.55083333333</v>
      </c>
      <c r="C5458" s="1" t="n">
        <v>46185</v>
      </c>
      <c r="D5458" t="inlineStr">
        <is>
          <t>VÄSTERNORRLANDS LÄN</t>
        </is>
      </c>
      <c r="E5458" t="inlineStr">
        <is>
          <t>ÖRNSKÖLDSVIK</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54819-2025</t>
        </is>
      </c>
      <c r="B5459" s="1" t="n">
        <v>45966.65709490741</v>
      </c>
      <c r="C5459" s="1" t="n">
        <v>46185</v>
      </c>
      <c r="D5459" t="inlineStr">
        <is>
          <t>VÄSTERNORRLANDS LÄN</t>
        </is>
      </c>
      <c r="E5459" t="inlineStr">
        <is>
          <t>ÅNGE</t>
        </is>
      </c>
      <c r="F5459" t="inlineStr">
        <is>
          <t>SCA</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7687-2026</t>
        </is>
      </c>
      <c r="B5460" s="1" t="n">
        <v>46059</v>
      </c>
      <c r="C5460" s="1" t="n">
        <v>46185</v>
      </c>
      <c r="D5460" t="inlineStr">
        <is>
          <t>VÄSTERNORRLANDS LÄN</t>
        </is>
      </c>
      <c r="E5460" t="inlineStr">
        <is>
          <t>ÖRNSKÖLDSVIK</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7786-2026</t>
        </is>
      </c>
      <c r="B5461" s="1" t="n">
        <v>46062.58525462963</v>
      </c>
      <c r="C5461" s="1" t="n">
        <v>46185</v>
      </c>
      <c r="D5461" t="inlineStr">
        <is>
          <t>VÄSTERNORRLANDS LÄN</t>
        </is>
      </c>
      <c r="E5461" t="inlineStr">
        <is>
          <t>KRAMFORS</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54818-2025</t>
        </is>
      </c>
      <c r="B5462" s="1" t="n">
        <v>45966.656875</v>
      </c>
      <c r="C5462" s="1" t="n">
        <v>46185</v>
      </c>
      <c r="D5462" t="inlineStr">
        <is>
          <t>VÄSTERNORRLANDS LÄN</t>
        </is>
      </c>
      <c r="E5462" t="inlineStr">
        <is>
          <t>SUNDSVALL</t>
        </is>
      </c>
      <c r="F5462" t="inlineStr">
        <is>
          <t>SCA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7548-2026</t>
        </is>
      </c>
      <c r="B5463" s="1" t="n">
        <v>46059.67776620371</v>
      </c>
      <c r="C5463" s="1" t="n">
        <v>46185</v>
      </c>
      <c r="D5463" t="inlineStr">
        <is>
          <t>VÄSTERNORRLANDS LÄN</t>
        </is>
      </c>
      <c r="E5463" t="inlineStr">
        <is>
          <t>ÅNGE</t>
        </is>
      </c>
      <c r="F5463" t="inlineStr">
        <is>
          <t>SCA</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7635-2026</t>
        </is>
      </c>
      <c r="B5464" s="1" t="n">
        <v>46062.36525462963</v>
      </c>
      <c r="C5464" s="1" t="n">
        <v>46185</v>
      </c>
      <c r="D5464" t="inlineStr">
        <is>
          <t>VÄSTERNORRLANDS LÄN</t>
        </is>
      </c>
      <c r="E5464" t="inlineStr">
        <is>
          <t>SUNDSVALL</t>
        </is>
      </c>
      <c r="F5464" t="inlineStr">
        <is>
          <t>SCA</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7386-2026</t>
        </is>
      </c>
      <c r="B5465" s="1" t="n">
        <v>46059.36519675926</v>
      </c>
      <c r="C5465" s="1" t="n">
        <v>46185</v>
      </c>
      <c r="D5465" t="inlineStr">
        <is>
          <t>VÄSTERNORRLANDS LÄN</t>
        </is>
      </c>
      <c r="E5465" t="inlineStr">
        <is>
          <t>SOLLEFTEÅ</t>
        </is>
      </c>
      <c r="F5465" t="inlineStr">
        <is>
          <t>SCA</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54715-2025</t>
        </is>
      </c>
      <c r="B5466" s="1" t="n">
        <v>45966.50961805556</v>
      </c>
      <c r="C5466" s="1" t="n">
        <v>46185</v>
      </c>
      <c r="D5466" t="inlineStr">
        <is>
          <t>VÄSTERNORRLANDS LÄN</t>
        </is>
      </c>
      <c r="E5466" t="inlineStr">
        <is>
          <t>ÅNGE</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7387-2026</t>
        </is>
      </c>
      <c r="B5467" s="1" t="n">
        <v>46059.36527777778</v>
      </c>
      <c r="C5467" s="1" t="n">
        <v>46185</v>
      </c>
      <c r="D5467" t="inlineStr">
        <is>
          <t>VÄSTERNORRLANDS LÄN</t>
        </is>
      </c>
      <c r="E5467" t="inlineStr">
        <is>
          <t>SOLLEFTEÅ</t>
        </is>
      </c>
      <c r="F5467" t="inlineStr">
        <is>
          <t>SCA</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17166-2025</t>
        </is>
      </c>
      <c r="B5468" s="1" t="n">
        <v>45756.36495370371</v>
      </c>
      <c r="C5468" s="1" t="n">
        <v>46185</v>
      </c>
      <c r="D5468" t="inlineStr">
        <is>
          <t>VÄSTERNORRLANDS LÄN</t>
        </is>
      </c>
      <c r="E5468" t="inlineStr">
        <is>
          <t>SUNDSVALL</t>
        </is>
      </c>
      <c r="F5468" t="inlineStr">
        <is>
          <t>SCA</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54511-2025</t>
        </is>
      </c>
      <c r="B5469" s="1" t="n">
        <v>45965.62</v>
      </c>
      <c r="C5469" s="1" t="n">
        <v>46185</v>
      </c>
      <c r="D5469" t="inlineStr">
        <is>
          <t>VÄSTERNORRLANDS LÄN</t>
        </is>
      </c>
      <c r="E5469" t="inlineStr">
        <is>
          <t>ÖRNSKÖLDSVIK</t>
        </is>
      </c>
      <c r="F5469" t="inlineStr">
        <is>
          <t>Holmen skog AB</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54397-2025</t>
        </is>
      </c>
      <c r="B5470" s="1" t="n">
        <v>45965.44869212963</v>
      </c>
      <c r="C5470" s="1" t="n">
        <v>46185</v>
      </c>
      <c r="D5470" t="inlineStr">
        <is>
          <t>VÄSTERNORRLANDS LÄN</t>
        </is>
      </c>
      <c r="E5470" t="inlineStr">
        <is>
          <t>SOLLEFTEÅ</t>
        </is>
      </c>
      <c r="F5470" t="inlineStr">
        <is>
          <t>SCA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11248-2025</t>
        </is>
      </c>
      <c r="B5471" s="1" t="n">
        <v>45726</v>
      </c>
      <c r="C5471" s="1" t="n">
        <v>46185</v>
      </c>
      <c r="D5471" t="inlineStr">
        <is>
          <t>VÄSTERNORRLANDS LÄN</t>
        </is>
      </c>
      <c r="E5471" t="inlineStr">
        <is>
          <t>KRAMFORS</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54484-2025</t>
        </is>
      </c>
      <c r="B5472" s="1" t="n">
        <v>45965</v>
      </c>
      <c r="C5472" s="1" t="n">
        <v>46185</v>
      </c>
      <c r="D5472" t="inlineStr">
        <is>
          <t>VÄSTERNORRLANDS LÄN</t>
        </is>
      </c>
      <c r="E5472" t="inlineStr">
        <is>
          <t>ÖRNSKÖLDSVIK</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54500-2025</t>
        </is>
      </c>
      <c r="B5473" s="1" t="n">
        <v>45965</v>
      </c>
      <c r="C5473" s="1" t="n">
        <v>46185</v>
      </c>
      <c r="D5473" t="inlineStr">
        <is>
          <t>VÄSTERNORRLANDS LÄN</t>
        </is>
      </c>
      <c r="E5473" t="inlineStr">
        <is>
          <t>ÖRNSKÖLDSVIK</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54620-2025</t>
        </is>
      </c>
      <c r="B5474" s="1" t="n">
        <v>45966.34483796296</v>
      </c>
      <c r="C5474" s="1" t="n">
        <v>46185</v>
      </c>
      <c r="D5474" t="inlineStr">
        <is>
          <t>VÄSTERNORRLANDS LÄN</t>
        </is>
      </c>
      <c r="E5474" t="inlineStr">
        <is>
          <t>ÖRNSKÖLDSVIK</t>
        </is>
      </c>
      <c r="F5474" t="inlineStr">
        <is>
          <t>SCA</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61616-2024</t>
        </is>
      </c>
      <c r="B5475" s="1" t="n">
        <v>45645</v>
      </c>
      <c r="C5475" s="1" t="n">
        <v>46185</v>
      </c>
      <c r="D5475" t="inlineStr">
        <is>
          <t>VÄSTERNORRLANDS LÄN</t>
        </is>
      </c>
      <c r="E5475" t="inlineStr">
        <is>
          <t>SOLLEFTEÅ</t>
        </is>
      </c>
      <c r="G5475" t="n">
        <v>6.5</v>
      </c>
      <c r="H5475" t="n">
        <v>0</v>
      </c>
      <c r="I5475" t="n">
        <v>0</v>
      </c>
      <c r="J5475" t="n">
        <v>0</v>
      </c>
      <c r="K5475" t="n">
        <v>0</v>
      </c>
      <c r="L5475" t="n">
        <v>0</v>
      </c>
      <c r="M5475" t="n">
        <v>0</v>
      </c>
      <c r="N5475" t="n">
        <v>0</v>
      </c>
      <c r="O5475" t="n">
        <v>0</v>
      </c>
      <c r="P5475" t="n">
        <v>0</v>
      </c>
      <c r="Q5475" t="n">
        <v>0</v>
      </c>
      <c r="R5475" s="2" t="inlineStr"/>
    </row>
    <row r="5476" ht="15" customHeight="1">
      <c r="A5476" t="inlineStr">
        <is>
          <t>A 54539-2025</t>
        </is>
      </c>
      <c r="B5476" s="1" t="n">
        <v>45965.64638888889</v>
      </c>
      <c r="C5476" s="1" t="n">
        <v>46185</v>
      </c>
      <c r="D5476" t="inlineStr">
        <is>
          <t>VÄSTERNORRLANDS LÄN</t>
        </is>
      </c>
      <c r="E5476" t="inlineStr">
        <is>
          <t>ÖRNSKÖLDSVIK</t>
        </is>
      </c>
      <c r="F5476" t="inlineStr">
        <is>
          <t>Holmen skog AB</t>
        </is>
      </c>
      <c r="G5476" t="n">
        <v>6.1</v>
      </c>
      <c r="H5476" t="n">
        <v>0</v>
      </c>
      <c r="I5476" t="n">
        <v>0</v>
      </c>
      <c r="J5476" t="n">
        <v>0</v>
      </c>
      <c r="K5476" t="n">
        <v>0</v>
      </c>
      <c r="L5476" t="n">
        <v>0</v>
      </c>
      <c r="M5476" t="n">
        <v>0</v>
      </c>
      <c r="N5476" t="n">
        <v>0</v>
      </c>
      <c r="O5476" t="n">
        <v>0</v>
      </c>
      <c r="P5476" t="n">
        <v>0</v>
      </c>
      <c r="Q5476" t="n">
        <v>0</v>
      </c>
      <c r="R5476" s="2" t="inlineStr"/>
    </row>
    <row r="5477" ht="15" customHeight="1">
      <c r="A5477" t="inlineStr">
        <is>
          <t>A 54347-2025</t>
        </is>
      </c>
      <c r="B5477" s="1" t="n">
        <v>45965.36548611111</v>
      </c>
      <c r="C5477" s="1" t="n">
        <v>46185</v>
      </c>
      <c r="D5477" t="inlineStr">
        <is>
          <t>VÄSTERNORRLANDS LÄN</t>
        </is>
      </c>
      <c r="E5477" t="inlineStr">
        <is>
          <t>TIMRÅ</t>
        </is>
      </c>
      <c r="F5477" t="inlineStr">
        <is>
          <t>SCA</t>
        </is>
      </c>
      <c r="G5477" t="n">
        <v>11.6</v>
      </c>
      <c r="H5477" t="n">
        <v>0</v>
      </c>
      <c r="I5477" t="n">
        <v>0</v>
      </c>
      <c r="J5477" t="n">
        <v>0</v>
      </c>
      <c r="K5477" t="n">
        <v>0</v>
      </c>
      <c r="L5477" t="n">
        <v>0</v>
      </c>
      <c r="M5477" t="n">
        <v>0</v>
      </c>
      <c r="N5477" t="n">
        <v>0</v>
      </c>
      <c r="O5477" t="n">
        <v>0</v>
      </c>
      <c r="P5477" t="n">
        <v>0</v>
      </c>
      <c r="Q5477" t="n">
        <v>0</v>
      </c>
      <c r="R5477" s="2" t="inlineStr"/>
    </row>
    <row r="5478" ht="15" customHeight="1">
      <c r="A5478" t="inlineStr">
        <is>
          <t>A 373-2025</t>
        </is>
      </c>
      <c r="B5478" s="1" t="n">
        <v>45661.62334490741</v>
      </c>
      <c r="C5478" s="1" t="n">
        <v>46185</v>
      </c>
      <c r="D5478" t="inlineStr">
        <is>
          <t>VÄSTERNORRLANDS LÄN</t>
        </is>
      </c>
      <c r="E5478" t="inlineStr">
        <is>
          <t>ÖRNSKÖLDSVIK</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54854-2025</t>
        </is>
      </c>
      <c r="B5479" s="1" t="n">
        <v>45966</v>
      </c>
      <c r="C5479" s="1" t="n">
        <v>46185</v>
      </c>
      <c r="D5479" t="inlineStr">
        <is>
          <t>VÄSTERNORRLANDS LÄN</t>
        </is>
      </c>
      <c r="E5479" t="inlineStr">
        <is>
          <t>SUNDSVALL</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23488-2023</t>
        </is>
      </c>
      <c r="B5480" s="1" t="n">
        <v>45072</v>
      </c>
      <c r="C5480" s="1" t="n">
        <v>46185</v>
      </c>
      <c r="D5480" t="inlineStr">
        <is>
          <t>VÄSTERNORRLANDS LÄN</t>
        </is>
      </c>
      <c r="E5480" t="inlineStr">
        <is>
          <t>SOLLEFTEÅ</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51519-2025</t>
        </is>
      </c>
      <c r="B5481" s="1" t="n">
        <v>45950</v>
      </c>
      <c r="C5481" s="1" t="n">
        <v>46185</v>
      </c>
      <c r="D5481" t="inlineStr">
        <is>
          <t>VÄSTERNORRLANDS LÄN</t>
        </is>
      </c>
      <c r="E5481" t="inlineStr">
        <is>
          <t>KRAMFORS</t>
        </is>
      </c>
      <c r="G5481" t="n">
        <v>14.9</v>
      </c>
      <c r="H5481" t="n">
        <v>0</v>
      </c>
      <c r="I5481" t="n">
        <v>0</v>
      </c>
      <c r="J5481" t="n">
        <v>0</v>
      </c>
      <c r="K5481" t="n">
        <v>0</v>
      </c>
      <c r="L5481" t="n">
        <v>0</v>
      </c>
      <c r="M5481" t="n">
        <v>0</v>
      </c>
      <c r="N5481" t="n">
        <v>0</v>
      </c>
      <c r="O5481" t="n">
        <v>0</v>
      </c>
      <c r="P5481" t="n">
        <v>0</v>
      </c>
      <c r="Q5481" t="n">
        <v>0</v>
      </c>
      <c r="R5481" s="2" t="inlineStr"/>
    </row>
    <row r="5482" ht="15" customHeight="1">
      <c r="A5482" t="inlineStr">
        <is>
          <t>A 54947-2025</t>
        </is>
      </c>
      <c r="B5482" s="1" t="n">
        <v>45967.4485300926</v>
      </c>
      <c r="C5482" s="1" t="n">
        <v>46185</v>
      </c>
      <c r="D5482" t="inlineStr">
        <is>
          <t>VÄSTERNORRLANDS LÄN</t>
        </is>
      </c>
      <c r="E5482" t="inlineStr">
        <is>
          <t>SOLLEFTEÅ</t>
        </is>
      </c>
      <c r="F5482" t="inlineStr">
        <is>
          <t>SCA</t>
        </is>
      </c>
      <c r="G5482" t="n">
        <v>9.800000000000001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55026-2025</t>
        </is>
      </c>
      <c r="B5483" s="1" t="n">
        <v>45967</v>
      </c>
      <c r="C5483" s="1" t="n">
        <v>46185</v>
      </c>
      <c r="D5483" t="inlineStr">
        <is>
          <t>VÄSTERNORRLANDS LÄN</t>
        </is>
      </c>
      <c r="E5483" t="inlineStr">
        <is>
          <t>SUNDSVALL</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10282-2025</t>
        </is>
      </c>
      <c r="B5484" s="1" t="n">
        <v>45720.40659722222</v>
      </c>
      <c r="C5484" s="1" t="n">
        <v>46185</v>
      </c>
      <c r="D5484" t="inlineStr">
        <is>
          <t>VÄSTERNORRLANDS LÄN</t>
        </is>
      </c>
      <c r="E5484" t="inlineStr">
        <is>
          <t>ÅNGE</t>
        </is>
      </c>
      <c r="F5484" t="inlineStr">
        <is>
          <t>SCA</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55053-2025</t>
        </is>
      </c>
      <c r="B5485" s="1" t="n">
        <v>45967.67755787037</v>
      </c>
      <c r="C5485" s="1" t="n">
        <v>46185</v>
      </c>
      <c r="D5485" t="inlineStr">
        <is>
          <t>VÄSTERNORRLANDS LÄN</t>
        </is>
      </c>
      <c r="E5485" t="inlineStr">
        <is>
          <t>SOLLEFTEÅ</t>
        </is>
      </c>
      <c r="F5485" t="inlineStr">
        <is>
          <t>SCA</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54903-2025</t>
        </is>
      </c>
      <c r="B5486" s="1" t="n">
        <v>45967.36623842592</v>
      </c>
      <c r="C5486" s="1" t="n">
        <v>46185</v>
      </c>
      <c r="D5486" t="inlineStr">
        <is>
          <t>VÄSTERNORRLANDS LÄN</t>
        </is>
      </c>
      <c r="E5486" t="inlineStr">
        <is>
          <t>SOLLEFTEÅ</t>
        </is>
      </c>
      <c r="F5486" t="inlineStr">
        <is>
          <t>SCA</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55115-2025</t>
        </is>
      </c>
      <c r="B5487" s="1" t="n">
        <v>45968</v>
      </c>
      <c r="C5487" s="1" t="n">
        <v>46185</v>
      </c>
      <c r="D5487" t="inlineStr">
        <is>
          <t>VÄSTERNORRLANDS LÄN</t>
        </is>
      </c>
      <c r="E5487" t="inlineStr">
        <is>
          <t>SOLLEFTEÅ</t>
        </is>
      </c>
      <c r="F5487" t="inlineStr">
        <is>
          <t>SCA</t>
        </is>
      </c>
      <c r="G5487" t="n">
        <v>9.1</v>
      </c>
      <c r="H5487" t="n">
        <v>0</v>
      </c>
      <c r="I5487" t="n">
        <v>0</v>
      </c>
      <c r="J5487" t="n">
        <v>0</v>
      </c>
      <c r="K5487" t="n">
        <v>0</v>
      </c>
      <c r="L5487" t="n">
        <v>0</v>
      </c>
      <c r="M5487" t="n">
        <v>0</v>
      </c>
      <c r="N5487" t="n">
        <v>0</v>
      </c>
      <c r="O5487" t="n">
        <v>0</v>
      </c>
      <c r="P5487" t="n">
        <v>0</v>
      </c>
      <c r="Q5487" t="n">
        <v>0</v>
      </c>
      <c r="R5487" s="2" t="inlineStr"/>
    </row>
    <row r="5488" ht="15" customHeight="1">
      <c r="A5488" t="inlineStr">
        <is>
          <t>A 36987-2021</t>
        </is>
      </c>
      <c r="B5488" s="1" t="n">
        <v>44393</v>
      </c>
      <c r="C5488" s="1" t="n">
        <v>46185</v>
      </c>
      <c r="D5488" t="inlineStr">
        <is>
          <t>VÄSTERNORRLANDS LÄN</t>
        </is>
      </c>
      <c r="E5488" t="inlineStr">
        <is>
          <t>TIMRÅ</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17377-2024</t>
        </is>
      </c>
      <c r="B5489" s="1" t="n">
        <v>45414</v>
      </c>
      <c r="C5489" s="1" t="n">
        <v>46185</v>
      </c>
      <c r="D5489" t="inlineStr">
        <is>
          <t>VÄSTERNORRLANDS LÄN</t>
        </is>
      </c>
      <c r="E5489" t="inlineStr">
        <is>
          <t>SUNDSVALL</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55009-2025</t>
        </is>
      </c>
      <c r="B5490" s="1" t="n">
        <v>45967.61523148148</v>
      </c>
      <c r="C5490" s="1" t="n">
        <v>46185</v>
      </c>
      <c r="D5490" t="inlineStr">
        <is>
          <t>VÄSTERNORRLANDS LÄN</t>
        </is>
      </c>
      <c r="E5490" t="inlineStr">
        <is>
          <t>SUNDSVALL</t>
        </is>
      </c>
      <c r="F5490" t="inlineStr">
        <is>
          <t>SCA</t>
        </is>
      </c>
      <c r="G5490" t="n">
        <v>5.4</v>
      </c>
      <c r="H5490" t="n">
        <v>0</v>
      </c>
      <c r="I5490" t="n">
        <v>0</v>
      </c>
      <c r="J5490" t="n">
        <v>0</v>
      </c>
      <c r="K5490" t="n">
        <v>0</v>
      </c>
      <c r="L5490" t="n">
        <v>0</v>
      </c>
      <c r="M5490" t="n">
        <v>0</v>
      </c>
      <c r="N5490" t="n">
        <v>0</v>
      </c>
      <c r="O5490" t="n">
        <v>0</v>
      </c>
      <c r="P5490" t="n">
        <v>0</v>
      </c>
      <c r="Q5490" t="n">
        <v>0</v>
      </c>
      <c r="R5490" s="2" t="inlineStr"/>
    </row>
    <row r="5491" ht="15" customHeight="1">
      <c r="A5491" t="inlineStr">
        <is>
          <t>A 112-2025</t>
        </is>
      </c>
      <c r="B5491" s="1" t="n">
        <v>45659</v>
      </c>
      <c r="C5491" s="1" t="n">
        <v>46185</v>
      </c>
      <c r="D5491" t="inlineStr">
        <is>
          <t>VÄSTERNORRLANDS LÄN</t>
        </is>
      </c>
      <c r="E5491" t="inlineStr">
        <is>
          <t>SUNDSVALL</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55094-2025</t>
        </is>
      </c>
      <c r="B5492" s="1" t="n">
        <v>45968.34483796296</v>
      </c>
      <c r="C5492" s="1" t="n">
        <v>46185</v>
      </c>
      <c r="D5492" t="inlineStr">
        <is>
          <t>VÄSTERNORRLANDS LÄN</t>
        </is>
      </c>
      <c r="E5492" t="inlineStr">
        <is>
          <t>SOLLEFTEÅ</t>
        </is>
      </c>
      <c r="F5492" t="inlineStr">
        <is>
          <t>SCA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7816-2026</t>
        </is>
      </c>
      <c r="B5493" s="1" t="n">
        <v>46059</v>
      </c>
      <c r="C5493" s="1" t="n">
        <v>46185</v>
      </c>
      <c r="D5493" t="inlineStr">
        <is>
          <t>VÄSTERNORRLANDS LÄN</t>
        </is>
      </c>
      <c r="E5493" t="inlineStr">
        <is>
          <t>SUNDSVALL</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7826-2026</t>
        </is>
      </c>
      <c r="B5494" s="1" t="n">
        <v>46062</v>
      </c>
      <c r="C5494" s="1" t="n">
        <v>46185</v>
      </c>
      <c r="D5494" t="inlineStr">
        <is>
          <t>VÄSTERNORRLANDS LÄN</t>
        </is>
      </c>
      <c r="E5494" t="inlineStr">
        <is>
          <t>ÅNGE</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55204-2025</t>
        </is>
      </c>
      <c r="B5495" s="1" t="n">
        <v>45968.56802083334</v>
      </c>
      <c r="C5495" s="1" t="n">
        <v>46185</v>
      </c>
      <c r="D5495" t="inlineStr">
        <is>
          <t>VÄSTERNORRLANDS LÄN</t>
        </is>
      </c>
      <c r="E5495" t="inlineStr">
        <is>
          <t>ÖRNSKÖLDSVIK</t>
        </is>
      </c>
      <c r="F5495" t="inlineStr">
        <is>
          <t>Holmen skog AB</t>
        </is>
      </c>
      <c r="G5495" t="n">
        <v>8.4</v>
      </c>
      <c r="H5495" t="n">
        <v>0</v>
      </c>
      <c r="I5495" t="n">
        <v>0</v>
      </c>
      <c r="J5495" t="n">
        <v>0</v>
      </c>
      <c r="K5495" t="n">
        <v>0</v>
      </c>
      <c r="L5495" t="n">
        <v>0</v>
      </c>
      <c r="M5495" t="n">
        <v>0</v>
      </c>
      <c r="N5495" t="n">
        <v>0</v>
      </c>
      <c r="O5495" t="n">
        <v>0</v>
      </c>
      <c r="P5495" t="n">
        <v>0</v>
      </c>
      <c r="Q5495" t="n">
        <v>0</v>
      </c>
      <c r="R5495" s="2" t="inlineStr"/>
    </row>
    <row r="5496" ht="15" customHeight="1">
      <c r="A5496" t="inlineStr">
        <is>
          <t>A 137-2025</t>
        </is>
      </c>
      <c r="B5496" s="1" t="n">
        <v>45659.57684027778</v>
      </c>
      <c r="C5496" s="1" t="n">
        <v>46185</v>
      </c>
      <c r="D5496" t="inlineStr">
        <is>
          <t>VÄSTERNORRLANDS LÄN</t>
        </is>
      </c>
      <c r="E5496" t="inlineStr">
        <is>
          <t>ÅNGE</t>
        </is>
      </c>
      <c r="G5496" t="n">
        <v>0.2</v>
      </c>
      <c r="H5496" t="n">
        <v>0</v>
      </c>
      <c r="I5496" t="n">
        <v>0</v>
      </c>
      <c r="J5496" t="n">
        <v>0</v>
      </c>
      <c r="K5496" t="n">
        <v>0</v>
      </c>
      <c r="L5496" t="n">
        <v>0</v>
      </c>
      <c r="M5496" t="n">
        <v>0</v>
      </c>
      <c r="N5496" t="n">
        <v>0</v>
      </c>
      <c r="O5496" t="n">
        <v>0</v>
      </c>
      <c r="P5496" t="n">
        <v>0</v>
      </c>
      <c r="Q5496" t="n">
        <v>0</v>
      </c>
      <c r="R5496" s="2" t="inlineStr"/>
    </row>
    <row r="5497" ht="15" customHeight="1">
      <c r="A5497" t="inlineStr">
        <is>
          <t>A 54925-2025</t>
        </is>
      </c>
      <c r="B5497" s="1" t="n">
        <v>45967.40699074074</v>
      </c>
      <c r="C5497" s="1" t="n">
        <v>46185</v>
      </c>
      <c r="D5497" t="inlineStr">
        <is>
          <t>VÄSTERNORRLANDS LÄN</t>
        </is>
      </c>
      <c r="E5497" t="inlineStr">
        <is>
          <t>ÅNGE</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55116-2025</t>
        </is>
      </c>
      <c r="B5498" s="1" t="n">
        <v>45968.38623842593</v>
      </c>
      <c r="C5498" s="1" t="n">
        <v>46185</v>
      </c>
      <c r="D5498" t="inlineStr">
        <is>
          <t>VÄSTERNORRLANDS LÄN</t>
        </is>
      </c>
      <c r="E5498" t="inlineStr">
        <is>
          <t>SOLLEFTEÅ</t>
        </is>
      </c>
      <c r="F5498" t="inlineStr">
        <is>
          <t>SCA</t>
        </is>
      </c>
      <c r="G5498" t="n">
        <v>9.5</v>
      </c>
      <c r="H5498" t="n">
        <v>0</v>
      </c>
      <c r="I5498" t="n">
        <v>0</v>
      </c>
      <c r="J5498" t="n">
        <v>0</v>
      </c>
      <c r="K5498" t="n">
        <v>0</v>
      </c>
      <c r="L5498" t="n">
        <v>0</v>
      </c>
      <c r="M5498" t="n">
        <v>0</v>
      </c>
      <c r="N5498" t="n">
        <v>0</v>
      </c>
      <c r="O5498" t="n">
        <v>0</v>
      </c>
      <c r="P5498" t="n">
        <v>0</v>
      </c>
      <c r="Q5498" t="n">
        <v>0</v>
      </c>
      <c r="R5498" s="2" t="inlineStr"/>
    </row>
    <row r="5499" ht="15" customHeight="1">
      <c r="A5499" t="inlineStr">
        <is>
          <t>A 63785-2025</t>
        </is>
      </c>
      <c r="B5499" s="1" t="n">
        <v>46019</v>
      </c>
      <c r="C5499" s="1" t="n">
        <v>46185</v>
      </c>
      <c r="D5499" t="inlineStr">
        <is>
          <t>VÄSTERNORRLANDS LÄN</t>
        </is>
      </c>
      <c r="E5499" t="inlineStr">
        <is>
          <t>ÖRNSKÖLDSVIK</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7751-2026</t>
        </is>
      </c>
      <c r="B5500" s="1" t="n">
        <v>46062.54716435185</v>
      </c>
      <c r="C5500" s="1" t="n">
        <v>46185</v>
      </c>
      <c r="D5500" t="inlineStr">
        <is>
          <t>VÄSTERNORRLANDS LÄN</t>
        </is>
      </c>
      <c r="E5500" t="inlineStr">
        <is>
          <t>ÖRNSKÖLDSVIK</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55212-2025</t>
        </is>
      </c>
      <c r="B5501" s="1" t="n">
        <v>45968.58164351852</v>
      </c>
      <c r="C5501" s="1" t="n">
        <v>46185</v>
      </c>
      <c r="D5501" t="inlineStr">
        <is>
          <t>VÄSTERNORRLANDS LÄN</t>
        </is>
      </c>
      <c r="E5501" t="inlineStr">
        <is>
          <t>ÖRNSKÖLDSVIK</t>
        </is>
      </c>
      <c r="F5501" t="inlineStr">
        <is>
          <t>Holmen skog AB</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55213-2025</t>
        </is>
      </c>
      <c r="B5502" s="1" t="n">
        <v>45968.5834837963</v>
      </c>
      <c r="C5502" s="1" t="n">
        <v>46185</v>
      </c>
      <c r="D5502" t="inlineStr">
        <is>
          <t>VÄSTERNORRLANDS LÄN</t>
        </is>
      </c>
      <c r="E5502" t="inlineStr">
        <is>
          <t>ÖRNSKÖLDSVIK</t>
        </is>
      </c>
      <c r="F5502" t="inlineStr">
        <is>
          <t>Holmen skog AB</t>
        </is>
      </c>
      <c r="G5502" t="n">
        <v>7.8</v>
      </c>
      <c r="H5502" t="n">
        <v>0</v>
      </c>
      <c r="I5502" t="n">
        <v>0</v>
      </c>
      <c r="J5502" t="n">
        <v>0</v>
      </c>
      <c r="K5502" t="n">
        <v>0</v>
      </c>
      <c r="L5502" t="n">
        <v>0</v>
      </c>
      <c r="M5502" t="n">
        <v>0</v>
      </c>
      <c r="N5502" t="n">
        <v>0</v>
      </c>
      <c r="O5502" t="n">
        <v>0</v>
      </c>
      <c r="P5502" t="n">
        <v>0</v>
      </c>
      <c r="Q5502" t="n">
        <v>0</v>
      </c>
      <c r="R5502" s="2" t="inlineStr"/>
    </row>
    <row r="5503" ht="15" customHeight="1">
      <c r="A5503" t="inlineStr">
        <is>
          <t>A 30282-2021</t>
        </is>
      </c>
      <c r="B5503" s="1" t="n">
        <v>44364</v>
      </c>
      <c r="C5503" s="1" t="n">
        <v>46185</v>
      </c>
      <c r="D5503" t="inlineStr">
        <is>
          <t>VÄSTERNORRLANDS LÄN</t>
        </is>
      </c>
      <c r="E5503" t="inlineStr">
        <is>
          <t>ÖRNSKÖLDSVIK</t>
        </is>
      </c>
      <c r="F5503" t="inlineStr">
        <is>
          <t>Holmen skog AB</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33911-2021</t>
        </is>
      </c>
      <c r="B5504" s="1" t="n">
        <v>44378</v>
      </c>
      <c r="C5504" s="1" t="n">
        <v>46185</v>
      </c>
      <c r="D5504" t="inlineStr">
        <is>
          <t>VÄSTERNORRLANDS LÄN</t>
        </is>
      </c>
      <c r="E5504" t="inlineStr">
        <is>
          <t>KRAMFORS</t>
        </is>
      </c>
      <c r="G5504" t="n">
        <v>7.2</v>
      </c>
      <c r="H5504" t="n">
        <v>0</v>
      </c>
      <c r="I5504" t="n">
        <v>0</v>
      </c>
      <c r="J5504" t="n">
        <v>0</v>
      </c>
      <c r="K5504" t="n">
        <v>0</v>
      </c>
      <c r="L5504" t="n">
        <v>0</v>
      </c>
      <c r="M5504" t="n">
        <v>0</v>
      </c>
      <c r="N5504" t="n">
        <v>0</v>
      </c>
      <c r="O5504" t="n">
        <v>0</v>
      </c>
      <c r="P5504" t="n">
        <v>0</v>
      </c>
      <c r="Q5504" t="n">
        <v>0</v>
      </c>
      <c r="R5504" s="2" t="inlineStr"/>
    </row>
    <row r="5505" ht="15" customHeight="1">
      <c r="A5505" t="inlineStr">
        <is>
          <t>A 54946-2025</t>
        </is>
      </c>
      <c r="B5505" s="1" t="n">
        <v>45967.44832175926</v>
      </c>
      <c r="C5505" s="1" t="n">
        <v>46185</v>
      </c>
      <c r="D5505" t="inlineStr">
        <is>
          <t>VÄSTERNORRLANDS LÄN</t>
        </is>
      </c>
      <c r="E5505" t="inlineStr">
        <is>
          <t>SOLLEFTEÅ</t>
        </is>
      </c>
      <c r="F5505" t="inlineStr">
        <is>
          <t>Kyrkan</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55006-2025</t>
        </is>
      </c>
      <c r="B5506" s="1" t="n">
        <v>45967.61280092593</v>
      </c>
      <c r="C5506" s="1" t="n">
        <v>46185</v>
      </c>
      <c r="D5506" t="inlineStr">
        <is>
          <t>VÄSTERNORRLANDS LÄN</t>
        </is>
      </c>
      <c r="E5506" t="inlineStr">
        <is>
          <t>ÖRNSKÖLDSVIK</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10071-2023</t>
        </is>
      </c>
      <c r="B5507" s="1" t="n">
        <v>44985.92418981482</v>
      </c>
      <c r="C5507" s="1" t="n">
        <v>46185</v>
      </c>
      <c r="D5507" t="inlineStr">
        <is>
          <t>VÄSTERNORRLANDS LÄN</t>
        </is>
      </c>
      <c r="E5507" t="inlineStr">
        <is>
          <t>ÅNGE</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8670-2023</t>
        </is>
      </c>
      <c r="B5508" s="1" t="n">
        <v>44977</v>
      </c>
      <c r="C5508" s="1" t="n">
        <v>46185</v>
      </c>
      <c r="D5508" t="inlineStr">
        <is>
          <t>VÄSTERNORRLANDS LÄN</t>
        </is>
      </c>
      <c r="E5508" t="inlineStr">
        <is>
          <t>SOLLEFTEÅ</t>
        </is>
      </c>
      <c r="F5508" t="inlineStr">
        <is>
          <t>SCA</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44533-2023</t>
        </is>
      </c>
      <c r="B5509" s="1" t="n">
        <v>45183</v>
      </c>
      <c r="C5509" s="1" t="n">
        <v>46185</v>
      </c>
      <c r="D5509" t="inlineStr">
        <is>
          <t>VÄSTERNORRLANDS LÄN</t>
        </is>
      </c>
      <c r="E5509" t="inlineStr">
        <is>
          <t>SOLLEFTEÅ</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54934-2025</t>
        </is>
      </c>
      <c r="B5510" s="1" t="n">
        <v>45967.42795138889</v>
      </c>
      <c r="C5510" s="1" t="n">
        <v>46185</v>
      </c>
      <c r="D5510" t="inlineStr">
        <is>
          <t>VÄSTERNORRLANDS LÄN</t>
        </is>
      </c>
      <c r="E5510" t="inlineStr">
        <is>
          <t>SOLLEFTEÅ</t>
        </is>
      </c>
      <c r="F5510" t="inlineStr">
        <is>
          <t>SCA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57519-2024</t>
        </is>
      </c>
      <c r="B5511" s="1" t="n">
        <v>45630.40659722222</v>
      </c>
      <c r="C5511" s="1" t="n">
        <v>46185</v>
      </c>
      <c r="D5511" t="inlineStr">
        <is>
          <t>VÄSTERNORRLANDS LÄN</t>
        </is>
      </c>
      <c r="E5511" t="inlineStr">
        <is>
          <t>SUNDSVALL</t>
        </is>
      </c>
      <c r="F5511" t="inlineStr">
        <is>
          <t>SCA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10726-2025</t>
        </is>
      </c>
      <c r="B5512" s="1" t="n">
        <v>45722.38599537037</v>
      </c>
      <c r="C5512" s="1" t="n">
        <v>46185</v>
      </c>
      <c r="D5512" t="inlineStr">
        <is>
          <t>VÄSTERNORRLANDS LÄN</t>
        </is>
      </c>
      <c r="E5512" t="inlineStr">
        <is>
          <t>SOLLEFTEÅ</t>
        </is>
      </c>
      <c r="F5512" t="inlineStr">
        <is>
          <t>SCA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54950-2025</t>
        </is>
      </c>
      <c r="B5513" s="1" t="n">
        <v>45967.44888888889</v>
      </c>
      <c r="C5513" s="1" t="n">
        <v>46185</v>
      </c>
      <c r="D5513" t="inlineStr">
        <is>
          <t>VÄSTERNORRLANDS LÄN</t>
        </is>
      </c>
      <c r="E5513" t="inlineStr">
        <is>
          <t>SOLLEFTEÅ</t>
        </is>
      </c>
      <c r="F5513" t="inlineStr">
        <is>
          <t>SCA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51528-2025</t>
        </is>
      </c>
      <c r="B5514" s="1" t="n">
        <v>45950</v>
      </c>
      <c r="C5514" s="1" t="n">
        <v>46185</v>
      </c>
      <c r="D5514" t="inlineStr">
        <is>
          <t>VÄSTERNORRLANDS LÄN</t>
        </is>
      </c>
      <c r="E5514" t="inlineStr">
        <is>
          <t>KRAMFORS</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24417-2024</t>
        </is>
      </c>
      <c r="B5515" s="1" t="n">
        <v>45457.80538194445</v>
      </c>
      <c r="C5515" s="1" t="n">
        <v>46185</v>
      </c>
      <c r="D5515" t="inlineStr">
        <is>
          <t>VÄSTERNORRLANDS LÄN</t>
        </is>
      </c>
      <c r="E5515" t="inlineStr">
        <is>
          <t>ÖRNSKÖLDSVIK</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40452-2023</t>
        </is>
      </c>
      <c r="B5516" s="1" t="n">
        <v>45168</v>
      </c>
      <c r="C5516" s="1" t="n">
        <v>46185</v>
      </c>
      <c r="D5516" t="inlineStr">
        <is>
          <t>VÄSTERNORRLANDS LÄN</t>
        </is>
      </c>
      <c r="E5516" t="inlineStr">
        <is>
          <t>HÄRNÖSAND</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54926-2025</t>
        </is>
      </c>
      <c r="B5517" s="1" t="n">
        <v>45967.40707175926</v>
      </c>
      <c r="C5517" s="1" t="n">
        <v>46185</v>
      </c>
      <c r="D5517" t="inlineStr">
        <is>
          <t>VÄSTERNORRLANDS LÄN</t>
        </is>
      </c>
      <c r="E5517" t="inlineStr">
        <is>
          <t>ÅNGE</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7946-2026</t>
        </is>
      </c>
      <c r="B5518" s="1" t="n">
        <v>46062</v>
      </c>
      <c r="C5518" s="1" t="n">
        <v>46185</v>
      </c>
      <c r="D5518" t="inlineStr">
        <is>
          <t>VÄSTERNORRLANDS LÄN</t>
        </is>
      </c>
      <c r="E5518" t="inlineStr">
        <is>
          <t>ÅNGE</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54935-2025</t>
        </is>
      </c>
      <c r="B5519" s="1" t="n">
        <v>45967.428125</v>
      </c>
      <c r="C5519" s="1" t="n">
        <v>46185</v>
      </c>
      <c r="D5519" t="inlineStr">
        <is>
          <t>VÄSTERNORRLANDS LÄN</t>
        </is>
      </c>
      <c r="E5519" t="inlineStr">
        <is>
          <t>SOLLEFTEÅ</t>
        </is>
      </c>
      <c r="F5519" t="inlineStr">
        <is>
          <t>Kyrkan</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55148-2025</t>
        </is>
      </c>
      <c r="B5520" s="1" t="n">
        <v>45968.44716435186</v>
      </c>
      <c r="C5520" s="1" t="n">
        <v>46185</v>
      </c>
      <c r="D5520" t="inlineStr">
        <is>
          <t>VÄSTERNORRLANDS LÄN</t>
        </is>
      </c>
      <c r="E5520" t="inlineStr">
        <is>
          <t>KRAMFORS</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55193-2025</t>
        </is>
      </c>
      <c r="B5521" s="1" t="n">
        <v>45968.54936342593</v>
      </c>
      <c r="C5521" s="1" t="n">
        <v>46185</v>
      </c>
      <c r="D5521" t="inlineStr">
        <is>
          <t>VÄSTERNORRLANDS LÄN</t>
        </is>
      </c>
      <c r="E5521" t="inlineStr">
        <is>
          <t>ÖRNSKÖLDSVIK</t>
        </is>
      </c>
      <c r="F5521" t="inlineStr">
        <is>
          <t>Holmen skog AB</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42354-2021</t>
        </is>
      </c>
      <c r="B5522" s="1" t="n">
        <v>44427.44137731481</v>
      </c>
      <c r="C5522" s="1" t="n">
        <v>46185</v>
      </c>
      <c r="D5522" t="inlineStr">
        <is>
          <t>VÄSTERNORRLANDS LÄN</t>
        </is>
      </c>
      <c r="E5522" t="inlineStr">
        <is>
          <t>ÖRNSKÖLDSVIK</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54936-2025</t>
        </is>
      </c>
      <c r="B5523" s="1" t="n">
        <v>45967.42828703704</v>
      </c>
      <c r="C5523" s="1" t="n">
        <v>46185</v>
      </c>
      <c r="D5523" t="inlineStr">
        <is>
          <t>VÄSTERNORRLANDS LÄN</t>
        </is>
      </c>
      <c r="E5523" t="inlineStr">
        <is>
          <t>SOLLEFTEÅ</t>
        </is>
      </c>
      <c r="F5523" t="inlineStr">
        <is>
          <t>SCA</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54939-2025</t>
        </is>
      </c>
      <c r="B5524" s="1" t="n">
        <v>45967.43951388889</v>
      </c>
      <c r="C5524" s="1" t="n">
        <v>46185</v>
      </c>
      <c r="D5524" t="inlineStr">
        <is>
          <t>VÄSTERNORRLANDS LÄN</t>
        </is>
      </c>
      <c r="E5524" t="inlineStr">
        <is>
          <t>ÖRNSKÖLDSVIK</t>
        </is>
      </c>
      <c r="F5524" t="inlineStr">
        <is>
          <t>Holmen skog AB</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31071-2022</t>
        </is>
      </c>
      <c r="B5525" s="1" t="n">
        <v>44769</v>
      </c>
      <c r="C5525" s="1" t="n">
        <v>46185</v>
      </c>
      <c r="D5525" t="inlineStr">
        <is>
          <t>VÄSTERNORRLANDS LÄN</t>
        </is>
      </c>
      <c r="E5525" t="inlineStr">
        <is>
          <t>KRAMFORS</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16549-2023</t>
        </is>
      </c>
      <c r="B5526" s="1" t="n">
        <v>45029</v>
      </c>
      <c r="C5526" s="1" t="n">
        <v>46185</v>
      </c>
      <c r="D5526" t="inlineStr">
        <is>
          <t>VÄSTERNORRLANDS LÄN</t>
        </is>
      </c>
      <c r="E5526" t="inlineStr">
        <is>
          <t>ÖRNSKÖLDSVIK</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16568-2023</t>
        </is>
      </c>
      <c r="B5527" s="1" t="n">
        <v>45029.94200231481</v>
      </c>
      <c r="C5527" s="1" t="n">
        <v>46185</v>
      </c>
      <c r="D5527" t="inlineStr">
        <is>
          <t>VÄSTERNORRLANDS LÄN</t>
        </is>
      </c>
      <c r="E5527" t="inlineStr">
        <is>
          <t>SUNDSVALL</t>
        </is>
      </c>
      <c r="F5527" t="inlineStr">
        <is>
          <t>SCA</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54951-2025</t>
        </is>
      </c>
      <c r="B5528" s="1" t="n">
        <v>45967.44902777778</v>
      </c>
      <c r="C5528" s="1" t="n">
        <v>46185</v>
      </c>
      <c r="D5528" t="inlineStr">
        <is>
          <t>VÄSTERNORRLANDS LÄN</t>
        </is>
      </c>
      <c r="E5528" t="inlineStr">
        <is>
          <t>SOLLEFTEÅ</t>
        </is>
      </c>
      <c r="F5528" t="inlineStr">
        <is>
          <t>Kyrkan</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54956-2025</t>
        </is>
      </c>
      <c r="B5529" s="1" t="n">
        <v>45967.46923611111</v>
      </c>
      <c r="C5529" s="1" t="n">
        <v>46185</v>
      </c>
      <c r="D5529" t="inlineStr">
        <is>
          <t>VÄSTERNORRLANDS LÄN</t>
        </is>
      </c>
      <c r="E5529" t="inlineStr">
        <is>
          <t>SOLLEFTEÅ</t>
        </is>
      </c>
      <c r="F5529" t="inlineStr">
        <is>
          <t>SCA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55093-2025</t>
        </is>
      </c>
      <c r="B5530" s="1" t="n">
        <v>45968.34474537037</v>
      </c>
      <c r="C5530" s="1" t="n">
        <v>46185</v>
      </c>
      <c r="D5530" t="inlineStr">
        <is>
          <t>VÄSTERNORRLANDS LÄN</t>
        </is>
      </c>
      <c r="E5530" t="inlineStr">
        <is>
          <t>ÖRNSKÖLDSVIK</t>
        </is>
      </c>
      <c r="F5530" t="inlineStr">
        <is>
          <t>SCA</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55013-2025</t>
        </is>
      </c>
      <c r="B5531" s="1" t="n">
        <v>45967.61578703704</v>
      </c>
      <c r="C5531" s="1" t="n">
        <v>46185</v>
      </c>
      <c r="D5531" t="inlineStr">
        <is>
          <t>VÄSTERNORRLANDS LÄN</t>
        </is>
      </c>
      <c r="E5531" t="inlineStr">
        <is>
          <t>SOLLEFTEÅ</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55038-2025</t>
        </is>
      </c>
      <c r="B5532" s="1" t="n">
        <v>45967.65527777778</v>
      </c>
      <c r="C5532" s="1" t="n">
        <v>46185</v>
      </c>
      <c r="D5532" t="inlineStr">
        <is>
          <t>VÄSTERNORRLANDS LÄN</t>
        </is>
      </c>
      <c r="E5532" t="inlineStr">
        <is>
          <t>ÅNGE</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7574-2026</t>
        </is>
      </c>
      <c r="B5533" s="1" t="n">
        <v>46060.7765625</v>
      </c>
      <c r="C5533" s="1" t="n">
        <v>46185</v>
      </c>
      <c r="D5533" t="inlineStr">
        <is>
          <t>VÄSTERNORRLANDS LÄN</t>
        </is>
      </c>
      <c r="E5533" t="inlineStr">
        <is>
          <t>HÄRNÖSAND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55214-2025</t>
        </is>
      </c>
      <c r="B5534" s="1" t="n">
        <v>45968.58409722222</v>
      </c>
      <c r="C5534" s="1" t="n">
        <v>46185</v>
      </c>
      <c r="D5534" t="inlineStr">
        <is>
          <t>VÄSTERNORRLANDS LÄN</t>
        </is>
      </c>
      <c r="E5534" t="inlineStr">
        <is>
          <t>ÖRNSKÖLDSVIK</t>
        </is>
      </c>
      <c r="F5534" t="inlineStr">
        <is>
          <t>Holmen skog AB</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55219-2025</t>
        </is>
      </c>
      <c r="B5535" s="1" t="n">
        <v>45968.58971064815</v>
      </c>
      <c r="C5535" s="1" t="n">
        <v>46185</v>
      </c>
      <c r="D5535" t="inlineStr">
        <is>
          <t>VÄSTERNORRLANDS LÄN</t>
        </is>
      </c>
      <c r="E5535" t="inlineStr">
        <is>
          <t>ÖRNSKÖLDSVIK</t>
        </is>
      </c>
      <c r="F5535" t="inlineStr">
        <is>
          <t>Holmen skog AB</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55244-2025</t>
        </is>
      </c>
      <c r="B5536" s="1" t="n">
        <v>45968.6209375</v>
      </c>
      <c r="C5536" s="1" t="n">
        <v>46185</v>
      </c>
      <c r="D5536" t="inlineStr">
        <is>
          <t>VÄSTERNORRLANDS LÄN</t>
        </is>
      </c>
      <c r="E5536" t="inlineStr">
        <is>
          <t>ÖRNSKÖLDSVIK</t>
        </is>
      </c>
      <c r="F5536" t="inlineStr">
        <is>
          <t>Holmen skog AB</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55136-2025</t>
        </is>
      </c>
      <c r="B5537" s="1" t="n">
        <v>45968.42752314815</v>
      </c>
      <c r="C5537" s="1" t="n">
        <v>46185</v>
      </c>
      <c r="D5537" t="inlineStr">
        <is>
          <t>VÄSTERNORRLANDS LÄN</t>
        </is>
      </c>
      <c r="E5537" t="inlineStr">
        <is>
          <t>SOLLEFTEÅ</t>
        </is>
      </c>
      <c r="F5537" t="inlineStr">
        <is>
          <t>SCA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8028-2026</t>
        </is>
      </c>
      <c r="B5538" s="1" t="n">
        <v>46063.57350694444</v>
      </c>
      <c r="C5538" s="1" t="n">
        <v>46185</v>
      </c>
      <c r="D5538" t="inlineStr">
        <is>
          <t>VÄSTERNORRLANDS LÄN</t>
        </is>
      </c>
      <c r="E5538" t="inlineStr">
        <is>
          <t>SOLLEFTEÅ</t>
        </is>
      </c>
      <c r="F5538" t="inlineStr">
        <is>
          <t>SCA</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27509-2022</t>
        </is>
      </c>
      <c r="B5539" s="1" t="n">
        <v>44742</v>
      </c>
      <c r="C5539" s="1" t="n">
        <v>46185</v>
      </c>
      <c r="D5539" t="inlineStr">
        <is>
          <t>VÄSTERNORRLANDS LÄN</t>
        </is>
      </c>
      <c r="E5539" t="inlineStr">
        <is>
          <t>ÖRNSKÖLDSVIK</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47939-2022</t>
        </is>
      </c>
      <c r="B5540" s="1" t="n">
        <v>44853</v>
      </c>
      <c r="C5540" s="1" t="n">
        <v>46185</v>
      </c>
      <c r="D5540" t="inlineStr">
        <is>
          <t>VÄSTERNORRLANDS LÄN</t>
        </is>
      </c>
      <c r="E5540" t="inlineStr">
        <is>
          <t>HÄRNÖSAND</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60720-2024</t>
        </is>
      </c>
      <c r="B5541" s="1" t="n">
        <v>45638</v>
      </c>
      <c r="C5541" s="1" t="n">
        <v>46185</v>
      </c>
      <c r="D5541" t="inlineStr">
        <is>
          <t>VÄSTERNORRLANDS LÄN</t>
        </is>
      </c>
      <c r="E5541" t="inlineStr">
        <is>
          <t>ÖRNSKÖLDSVIK</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195-2025</t>
        </is>
      </c>
      <c r="B5542" s="1" t="n">
        <v>45659.79195601852</v>
      </c>
      <c r="C5542" s="1" t="n">
        <v>46185</v>
      </c>
      <c r="D5542" t="inlineStr">
        <is>
          <t>VÄSTERNORRLANDS LÄN</t>
        </is>
      </c>
      <c r="E5542" t="inlineStr">
        <is>
          <t>ÖRNSKÖLDSVIK</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12693-2025</t>
        </is>
      </c>
      <c r="B5543" s="1" t="n">
        <v>45733.45829861111</v>
      </c>
      <c r="C5543" s="1" t="n">
        <v>46185</v>
      </c>
      <c r="D5543" t="inlineStr">
        <is>
          <t>VÄSTERNORRLANDS LÄN</t>
        </is>
      </c>
      <c r="E5543" t="inlineStr">
        <is>
          <t>ÖRNSKÖLDSVIK</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46804-2023</t>
        </is>
      </c>
      <c r="B5544" s="1" t="n">
        <v>45198</v>
      </c>
      <c r="C5544" s="1" t="n">
        <v>46185</v>
      </c>
      <c r="D5544" t="inlineStr">
        <is>
          <t>VÄSTERNORRLANDS LÄN</t>
        </is>
      </c>
      <c r="E5544" t="inlineStr">
        <is>
          <t>SOLLEFTEÅ</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55157-2025</t>
        </is>
      </c>
      <c r="B5545" s="1" t="n">
        <v>45968.46418981482</v>
      </c>
      <c r="C5545" s="1" t="n">
        <v>46185</v>
      </c>
      <c r="D5545" t="inlineStr">
        <is>
          <t>VÄSTERNORRLANDS LÄN</t>
        </is>
      </c>
      <c r="E5545" t="inlineStr">
        <is>
          <t>KRAMFORS</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55091-2025</t>
        </is>
      </c>
      <c r="B5546" s="1" t="n">
        <v>45968.34451388889</v>
      </c>
      <c r="C5546" s="1" t="n">
        <v>46185</v>
      </c>
      <c r="D5546" t="inlineStr">
        <is>
          <t>VÄSTERNORRLANDS LÄN</t>
        </is>
      </c>
      <c r="E5546" t="inlineStr">
        <is>
          <t>ÖRNSKÖLDSVIK</t>
        </is>
      </c>
      <c r="F5546" t="inlineStr">
        <is>
          <t>SCA</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55133-2025</t>
        </is>
      </c>
      <c r="B5547" s="1" t="n">
        <v>45968.41929398148</v>
      </c>
      <c r="C5547" s="1" t="n">
        <v>46185</v>
      </c>
      <c r="D5547" t="inlineStr">
        <is>
          <t>VÄSTERNORRLANDS LÄN</t>
        </is>
      </c>
      <c r="E5547" t="inlineStr">
        <is>
          <t>SUNDSVALL</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55137-2025</t>
        </is>
      </c>
      <c r="B5548" s="1" t="n">
        <v>45968.42770833334</v>
      </c>
      <c r="C5548" s="1" t="n">
        <v>46185</v>
      </c>
      <c r="D5548" t="inlineStr">
        <is>
          <t>VÄSTERNORRLANDS LÄN</t>
        </is>
      </c>
      <c r="E5548" t="inlineStr">
        <is>
          <t>SOLLEFTEÅ</t>
        </is>
      </c>
      <c r="F5548" t="inlineStr">
        <is>
          <t>SCA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46822-2023</t>
        </is>
      </c>
      <c r="B5549" s="1" t="n">
        <v>45198</v>
      </c>
      <c r="C5549" s="1" t="n">
        <v>46185</v>
      </c>
      <c r="D5549" t="inlineStr">
        <is>
          <t>VÄSTERNORRLANDS LÄN</t>
        </is>
      </c>
      <c r="E5549" t="inlineStr">
        <is>
          <t>KRAMFORS</t>
        </is>
      </c>
      <c r="F5549" t="inlineStr">
        <is>
          <t>SCA</t>
        </is>
      </c>
      <c r="G5549" t="n">
        <v>21.2</v>
      </c>
      <c r="H5549" t="n">
        <v>0</v>
      </c>
      <c r="I5549" t="n">
        <v>0</v>
      </c>
      <c r="J5549" t="n">
        <v>0</v>
      </c>
      <c r="K5549" t="n">
        <v>0</v>
      </c>
      <c r="L5549" t="n">
        <v>0</v>
      </c>
      <c r="M5549" t="n">
        <v>0</v>
      </c>
      <c r="N5549" t="n">
        <v>0</v>
      </c>
      <c r="O5549" t="n">
        <v>0</v>
      </c>
      <c r="P5549" t="n">
        <v>0</v>
      </c>
      <c r="Q5549" t="n">
        <v>0</v>
      </c>
      <c r="R5549" s="2" t="inlineStr"/>
    </row>
    <row r="5550" ht="15" customHeight="1">
      <c r="A5550" t="inlineStr">
        <is>
          <t>A 8127-2026</t>
        </is>
      </c>
      <c r="B5550" s="1" t="n">
        <v>46064.28782407408</v>
      </c>
      <c r="C5550" s="1" t="n">
        <v>46185</v>
      </c>
      <c r="D5550" t="inlineStr">
        <is>
          <t>VÄSTERNORRLANDS LÄN</t>
        </is>
      </c>
      <c r="E5550" t="inlineStr">
        <is>
          <t>KRAMFORS</t>
        </is>
      </c>
      <c r="G5550" t="n">
        <v>7.3</v>
      </c>
      <c r="H5550" t="n">
        <v>0</v>
      </c>
      <c r="I5550" t="n">
        <v>0</v>
      </c>
      <c r="J5550" t="n">
        <v>0</v>
      </c>
      <c r="K5550" t="n">
        <v>0</v>
      </c>
      <c r="L5550" t="n">
        <v>0</v>
      </c>
      <c r="M5550" t="n">
        <v>0</v>
      </c>
      <c r="N5550" t="n">
        <v>0</v>
      </c>
      <c r="O5550" t="n">
        <v>0</v>
      </c>
      <c r="P5550" t="n">
        <v>0</v>
      </c>
      <c r="Q5550" t="n">
        <v>0</v>
      </c>
      <c r="R5550" s="2" t="inlineStr"/>
    </row>
    <row r="5551" ht="15" customHeight="1">
      <c r="A5551" t="inlineStr">
        <is>
          <t>A 55096-2025</t>
        </is>
      </c>
      <c r="B5551" s="1" t="n">
        <v>45968.34510416666</v>
      </c>
      <c r="C5551" s="1" t="n">
        <v>46185</v>
      </c>
      <c r="D5551" t="inlineStr">
        <is>
          <t>VÄSTERNORRLANDS LÄN</t>
        </is>
      </c>
      <c r="E5551" t="inlineStr">
        <is>
          <t>SOLLEFTEÅ</t>
        </is>
      </c>
      <c r="F5551" t="inlineStr">
        <is>
          <t>SCA</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55101-2025</t>
        </is>
      </c>
      <c r="B5552" s="1" t="n">
        <v>45968.35240740741</v>
      </c>
      <c r="C5552" s="1" t="n">
        <v>46185</v>
      </c>
      <c r="D5552" t="inlineStr">
        <is>
          <t>VÄSTERNORRLANDS LÄN</t>
        </is>
      </c>
      <c r="E5552" t="inlineStr">
        <is>
          <t>SUNDSVALL</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55103-2025</t>
        </is>
      </c>
      <c r="B5553" s="1" t="n">
        <v>45968.3553125</v>
      </c>
      <c r="C5553" s="1" t="n">
        <v>46185</v>
      </c>
      <c r="D5553" t="inlineStr">
        <is>
          <t>VÄSTERNORRLANDS LÄN</t>
        </is>
      </c>
      <c r="E5553" t="inlineStr">
        <is>
          <t>ÖRNSKÖLDSVIK</t>
        </is>
      </c>
      <c r="F5553" t="inlineStr">
        <is>
          <t>Holmen skog AB</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8284-2026</t>
        </is>
      </c>
      <c r="B5554" s="1" t="n">
        <v>46064.56364583333</v>
      </c>
      <c r="C5554" s="1" t="n">
        <v>46185</v>
      </c>
      <c r="D5554" t="inlineStr">
        <is>
          <t>VÄSTERNORRLANDS LÄN</t>
        </is>
      </c>
      <c r="E5554" t="inlineStr">
        <is>
          <t>ÅNGE</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55134-2025</t>
        </is>
      </c>
      <c r="B5555" s="1" t="n">
        <v>45968.42226851852</v>
      </c>
      <c r="C5555" s="1" t="n">
        <v>46185</v>
      </c>
      <c r="D5555" t="inlineStr">
        <is>
          <t>VÄSTERNORRLANDS LÄN</t>
        </is>
      </c>
      <c r="E5555" t="inlineStr">
        <is>
          <t>SUNDSVALL</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7896-2026</t>
        </is>
      </c>
      <c r="B5556" s="1" t="n">
        <v>46063</v>
      </c>
      <c r="C5556" s="1" t="n">
        <v>46185</v>
      </c>
      <c r="D5556" t="inlineStr">
        <is>
          <t>VÄSTERNORRLANDS LÄN</t>
        </is>
      </c>
      <c r="E5556" t="inlineStr">
        <is>
          <t>HÄRNÖSAND</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58578-2024</t>
        </is>
      </c>
      <c r="B5557" s="1" t="n">
        <v>45635</v>
      </c>
      <c r="C5557" s="1" t="n">
        <v>46185</v>
      </c>
      <c r="D5557" t="inlineStr">
        <is>
          <t>VÄSTERNORRLANDS LÄN</t>
        </is>
      </c>
      <c r="E5557" t="inlineStr">
        <is>
          <t>SOLLEFTEÅ</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58588-2024</t>
        </is>
      </c>
      <c r="B5558" s="1" t="n">
        <v>45635.50605324074</v>
      </c>
      <c r="C5558" s="1" t="n">
        <v>46185</v>
      </c>
      <c r="D5558" t="inlineStr">
        <is>
          <t>VÄSTERNORRLANDS LÄN</t>
        </is>
      </c>
      <c r="E5558" t="inlineStr">
        <is>
          <t>SOLLEFTEÅ</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8128-2026</t>
        </is>
      </c>
      <c r="B5559" s="1" t="n">
        <v>46064.2893287037</v>
      </c>
      <c r="C5559" s="1" t="n">
        <v>46185</v>
      </c>
      <c r="D5559" t="inlineStr">
        <is>
          <t>VÄSTERNORRLANDS LÄN</t>
        </is>
      </c>
      <c r="E5559" t="inlineStr">
        <is>
          <t>KRAMFORS</t>
        </is>
      </c>
      <c r="G5559" t="n">
        <v>6.4</v>
      </c>
      <c r="H5559" t="n">
        <v>0</v>
      </c>
      <c r="I5559" t="n">
        <v>0</v>
      </c>
      <c r="J5559" t="n">
        <v>0</v>
      </c>
      <c r="K5559" t="n">
        <v>0</v>
      </c>
      <c r="L5559" t="n">
        <v>0</v>
      </c>
      <c r="M5559" t="n">
        <v>0</v>
      </c>
      <c r="N5559" t="n">
        <v>0</v>
      </c>
      <c r="O5559" t="n">
        <v>0</v>
      </c>
      <c r="P5559" t="n">
        <v>0</v>
      </c>
      <c r="Q5559" t="n">
        <v>0</v>
      </c>
      <c r="R5559" s="2" t="inlineStr"/>
    </row>
    <row r="5560" ht="15" customHeight="1">
      <c r="A5560" t="inlineStr">
        <is>
          <t>A 10821-2025</t>
        </is>
      </c>
      <c r="B5560" s="1" t="n">
        <v>45722.5502662037</v>
      </c>
      <c r="C5560" s="1" t="n">
        <v>46185</v>
      </c>
      <c r="D5560" t="inlineStr">
        <is>
          <t>VÄSTERNORRLANDS LÄN</t>
        </is>
      </c>
      <c r="E5560" t="inlineStr">
        <is>
          <t>ÖRNSKÖLDSVIK</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55168-2025</t>
        </is>
      </c>
      <c r="B5561" s="1" t="n">
        <v>45968</v>
      </c>
      <c r="C5561" s="1" t="n">
        <v>46185</v>
      </c>
      <c r="D5561" t="inlineStr">
        <is>
          <t>VÄSTERNORRLANDS LÄN</t>
        </is>
      </c>
      <c r="E5561" t="inlineStr">
        <is>
          <t>SOLLEFTEÅ</t>
        </is>
      </c>
      <c r="F5561" t="inlineStr">
        <is>
          <t>SCA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8242-2026</t>
        </is>
      </c>
      <c r="B5562" s="1" t="n">
        <v>46064.49005787037</v>
      </c>
      <c r="C5562" s="1" t="n">
        <v>46185</v>
      </c>
      <c r="D5562" t="inlineStr">
        <is>
          <t>VÄSTERNORRLANDS LÄN</t>
        </is>
      </c>
      <c r="E5562" t="inlineStr">
        <is>
          <t>SUNDSVALL</t>
        </is>
      </c>
      <c r="F5562" t="inlineStr">
        <is>
          <t>SCA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55408-2025</t>
        </is>
      </c>
      <c r="B5563" s="1" t="n">
        <v>45971.45810185185</v>
      </c>
      <c r="C5563" s="1" t="n">
        <v>46185</v>
      </c>
      <c r="D5563" t="inlineStr">
        <is>
          <t>VÄSTERNORRLANDS LÄN</t>
        </is>
      </c>
      <c r="E5563" t="inlineStr">
        <is>
          <t>ÖRNSKÖLDSVIK</t>
        </is>
      </c>
      <c r="G5563" t="n">
        <v>6.2</v>
      </c>
      <c r="H5563" t="n">
        <v>0</v>
      </c>
      <c r="I5563" t="n">
        <v>0</v>
      </c>
      <c r="J5563" t="n">
        <v>0</v>
      </c>
      <c r="K5563" t="n">
        <v>0</v>
      </c>
      <c r="L5563" t="n">
        <v>0</v>
      </c>
      <c r="M5563" t="n">
        <v>0</v>
      </c>
      <c r="N5563" t="n">
        <v>0</v>
      </c>
      <c r="O5563" t="n">
        <v>0</v>
      </c>
      <c r="P5563" t="n">
        <v>0</v>
      </c>
      <c r="Q5563" t="n">
        <v>0</v>
      </c>
      <c r="R5563" s="2" t="inlineStr"/>
    </row>
    <row r="5564" ht="15" customHeight="1">
      <c r="A5564" t="inlineStr">
        <is>
          <t>A 55397-2025</t>
        </is>
      </c>
      <c r="B5564" s="1" t="n">
        <v>45971.4491550926</v>
      </c>
      <c r="C5564" s="1" t="n">
        <v>46185</v>
      </c>
      <c r="D5564" t="inlineStr">
        <is>
          <t>VÄSTERNORRLANDS LÄN</t>
        </is>
      </c>
      <c r="E5564" t="inlineStr">
        <is>
          <t>ÖRNSKÖLDSVIK</t>
        </is>
      </c>
      <c r="G5564" t="n">
        <v>8.4</v>
      </c>
      <c r="H5564" t="n">
        <v>0</v>
      </c>
      <c r="I5564" t="n">
        <v>0</v>
      </c>
      <c r="J5564" t="n">
        <v>0</v>
      </c>
      <c r="K5564" t="n">
        <v>0</v>
      </c>
      <c r="L5564" t="n">
        <v>0</v>
      </c>
      <c r="M5564" t="n">
        <v>0</v>
      </c>
      <c r="N5564" t="n">
        <v>0</v>
      </c>
      <c r="O5564" t="n">
        <v>0</v>
      </c>
      <c r="P5564" t="n">
        <v>0</v>
      </c>
      <c r="Q5564" t="n">
        <v>0</v>
      </c>
      <c r="R5564" s="2" t="inlineStr"/>
    </row>
    <row r="5565" ht="15" customHeight="1">
      <c r="A5565" t="inlineStr">
        <is>
          <t>A 34619-2023</t>
        </is>
      </c>
      <c r="B5565" s="1" t="n">
        <v>45138</v>
      </c>
      <c r="C5565" s="1" t="n">
        <v>46185</v>
      </c>
      <c r="D5565" t="inlineStr">
        <is>
          <t>VÄSTERNORRLANDS LÄN</t>
        </is>
      </c>
      <c r="E5565" t="inlineStr">
        <is>
          <t>HÄRNÖSAND</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55657-2025</t>
        </is>
      </c>
      <c r="B5566" s="1" t="n">
        <v>45972.39055555555</v>
      </c>
      <c r="C5566" s="1" t="n">
        <v>46185</v>
      </c>
      <c r="D5566" t="inlineStr">
        <is>
          <t>VÄSTERNORRLANDS LÄN</t>
        </is>
      </c>
      <c r="E5566" t="inlineStr">
        <is>
          <t>ÖRNSKÖLDSVIK</t>
        </is>
      </c>
      <c r="F5566" t="inlineStr">
        <is>
          <t>Holmen skog AB</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5437-2025</t>
        </is>
      </c>
      <c r="B5567" s="1" t="n">
        <v>45692</v>
      </c>
      <c r="C5567" s="1" t="n">
        <v>46185</v>
      </c>
      <c r="D5567" t="inlineStr">
        <is>
          <t>VÄSTERNORRLANDS LÄN</t>
        </is>
      </c>
      <c r="E5567" t="inlineStr">
        <is>
          <t>ÖRNSKÖLDSVIK</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38054-2024</t>
        </is>
      </c>
      <c r="B5568" s="1" t="n">
        <v>45544.71916666667</v>
      </c>
      <c r="C5568" s="1" t="n">
        <v>46185</v>
      </c>
      <c r="D5568" t="inlineStr">
        <is>
          <t>VÄSTERNORRLANDS LÄN</t>
        </is>
      </c>
      <c r="E5568" t="inlineStr">
        <is>
          <t>SOLLEFTEÅ</t>
        </is>
      </c>
      <c r="F5568" t="inlineStr">
        <is>
          <t>SCA</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55591-2025</t>
        </is>
      </c>
      <c r="B5569" s="1" t="n">
        <v>45971.68888888889</v>
      </c>
      <c r="C5569" s="1" t="n">
        <v>46185</v>
      </c>
      <c r="D5569" t="inlineStr">
        <is>
          <t>VÄSTERNORRLANDS LÄN</t>
        </is>
      </c>
      <c r="E5569" t="inlineStr">
        <is>
          <t>TIMRÅ</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55676-2021</t>
        </is>
      </c>
      <c r="B5570" s="1" t="n">
        <v>44476</v>
      </c>
      <c r="C5570" s="1" t="n">
        <v>46185</v>
      </c>
      <c r="D5570" t="inlineStr">
        <is>
          <t>VÄSTERNORRLANDS LÄN</t>
        </is>
      </c>
      <c r="E5570" t="inlineStr">
        <is>
          <t>SUNDSVALL</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2246-2026</t>
        </is>
      </c>
      <c r="B5571" s="1" t="n">
        <v>46036</v>
      </c>
      <c r="C5571" s="1" t="n">
        <v>46185</v>
      </c>
      <c r="D5571" t="inlineStr">
        <is>
          <t>VÄSTERNORRLANDS LÄN</t>
        </is>
      </c>
      <c r="E5571" t="inlineStr">
        <is>
          <t>SUNDSVALL</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55326-2025</t>
        </is>
      </c>
      <c r="B5572" s="1" t="n">
        <v>45971.33721064815</v>
      </c>
      <c r="C5572" s="1" t="n">
        <v>46185</v>
      </c>
      <c r="D5572" t="inlineStr">
        <is>
          <t>VÄSTERNORRLANDS LÄN</t>
        </is>
      </c>
      <c r="E5572" t="inlineStr">
        <is>
          <t>ÖRNSKÖLDSVIK</t>
        </is>
      </c>
      <c r="F5572" t="inlineStr">
        <is>
          <t>Holmen skog AB</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14870-2025</t>
        </is>
      </c>
      <c r="B5573" s="1" t="n">
        <v>45743.44844907407</v>
      </c>
      <c r="C5573" s="1" t="n">
        <v>46185</v>
      </c>
      <c r="D5573" t="inlineStr">
        <is>
          <t>VÄSTERNORRLANDS LÄN</t>
        </is>
      </c>
      <c r="E5573" t="inlineStr">
        <is>
          <t>KRAMFORS</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48239-2023</t>
        </is>
      </c>
      <c r="B5574" s="1" t="n">
        <v>45205.50068287037</v>
      </c>
      <c r="C5574" s="1" t="n">
        <v>46185</v>
      </c>
      <c r="D5574" t="inlineStr">
        <is>
          <t>VÄSTERNORRLANDS LÄN</t>
        </is>
      </c>
      <c r="E5574" t="inlineStr">
        <is>
          <t>ÖRNSKÖLDSVIK</t>
        </is>
      </c>
      <c r="F5574" t="inlineStr">
        <is>
          <t>Holmen skog AB</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55586-2025</t>
        </is>
      </c>
      <c r="B5575" s="1" t="n">
        <v>45971</v>
      </c>
      <c r="C5575" s="1" t="n">
        <v>46185</v>
      </c>
      <c r="D5575" t="inlineStr">
        <is>
          <t>VÄSTERNORRLANDS LÄN</t>
        </is>
      </c>
      <c r="E5575" t="inlineStr">
        <is>
          <t>SOLLEFTEÅ</t>
        </is>
      </c>
      <c r="G5575" t="n">
        <v>7.8</v>
      </c>
      <c r="H5575" t="n">
        <v>0</v>
      </c>
      <c r="I5575" t="n">
        <v>0</v>
      </c>
      <c r="J5575" t="n">
        <v>0</v>
      </c>
      <c r="K5575" t="n">
        <v>0</v>
      </c>
      <c r="L5575" t="n">
        <v>0</v>
      </c>
      <c r="M5575" t="n">
        <v>0</v>
      </c>
      <c r="N5575" t="n">
        <v>0</v>
      </c>
      <c r="O5575" t="n">
        <v>0</v>
      </c>
      <c r="P5575" t="n">
        <v>0</v>
      </c>
      <c r="Q5575" t="n">
        <v>0</v>
      </c>
      <c r="R5575" s="2" t="inlineStr"/>
    </row>
    <row r="5576" ht="15" customHeight="1">
      <c r="A5576" t="inlineStr">
        <is>
          <t>A 55482-2025</t>
        </is>
      </c>
      <c r="B5576" s="1" t="n">
        <v>45971.56703703704</v>
      </c>
      <c r="C5576" s="1" t="n">
        <v>46185</v>
      </c>
      <c r="D5576" t="inlineStr">
        <is>
          <t>VÄSTERNORRLANDS LÄN</t>
        </is>
      </c>
      <c r="E5576" t="inlineStr">
        <is>
          <t>ÖRNSKÖLDSVIK</t>
        </is>
      </c>
      <c r="F5576" t="inlineStr">
        <is>
          <t>Holmen skog AB</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28798-2024</t>
        </is>
      </c>
      <c r="B5577" s="1" t="n">
        <v>45478</v>
      </c>
      <c r="C5577" s="1" t="n">
        <v>46185</v>
      </c>
      <c r="D5577" t="inlineStr">
        <is>
          <t>VÄSTERNORRLANDS LÄN</t>
        </is>
      </c>
      <c r="E5577" t="inlineStr">
        <is>
          <t>SUNDSVALL</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48323-2023</t>
        </is>
      </c>
      <c r="B5578" s="1" t="n">
        <v>45201</v>
      </c>
      <c r="C5578" s="1" t="n">
        <v>46185</v>
      </c>
      <c r="D5578" t="inlineStr">
        <is>
          <t>VÄSTERNORRLANDS LÄN</t>
        </is>
      </c>
      <c r="E5578" t="inlineStr">
        <is>
          <t>ÖRNSKÖLDSVIK</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15692-2022</t>
        </is>
      </c>
      <c r="B5579" s="1" t="n">
        <v>44663</v>
      </c>
      <c r="C5579" s="1" t="n">
        <v>46185</v>
      </c>
      <c r="D5579" t="inlineStr">
        <is>
          <t>VÄSTERNORRLANDS LÄN</t>
        </is>
      </c>
      <c r="E5579" t="inlineStr">
        <is>
          <t>ÖRNSKÖLDSVIK</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55749-2025</t>
        </is>
      </c>
      <c r="B5580" s="1" t="n">
        <v>45972.58099537037</v>
      </c>
      <c r="C5580" s="1" t="n">
        <v>46185</v>
      </c>
      <c r="D5580" t="inlineStr">
        <is>
          <t>VÄSTERNORRLANDS LÄN</t>
        </is>
      </c>
      <c r="E5580" t="inlineStr">
        <is>
          <t>ÖRNSKÖLDSVIK</t>
        </is>
      </c>
      <c r="F5580" t="inlineStr">
        <is>
          <t>Holmen skog AB</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55725-2025</t>
        </is>
      </c>
      <c r="B5581" s="1" t="n">
        <v>45972.53172453704</v>
      </c>
      <c r="C5581" s="1" t="n">
        <v>46185</v>
      </c>
      <c r="D5581" t="inlineStr">
        <is>
          <t>VÄSTERNORRLANDS LÄN</t>
        </is>
      </c>
      <c r="E5581" t="inlineStr">
        <is>
          <t>SOLLEFTEÅ</t>
        </is>
      </c>
      <c r="F5581" t="inlineStr">
        <is>
          <t>SCA</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55747-2025</t>
        </is>
      </c>
      <c r="B5582" s="1" t="n">
        <v>45972.57777777778</v>
      </c>
      <c r="C5582" s="1" t="n">
        <v>46185</v>
      </c>
      <c r="D5582" t="inlineStr">
        <is>
          <t>VÄSTERNORRLANDS LÄN</t>
        </is>
      </c>
      <c r="E5582" t="inlineStr">
        <is>
          <t>ÖRNSKÖLDSVIK</t>
        </is>
      </c>
      <c r="F5582" t="inlineStr">
        <is>
          <t>Holmen skog AB</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55387-2025</t>
        </is>
      </c>
      <c r="B5583" s="1" t="n">
        <v>45971.43796296296</v>
      </c>
      <c r="C5583" s="1" t="n">
        <v>46185</v>
      </c>
      <c r="D5583" t="inlineStr">
        <is>
          <t>VÄSTERNORRLANDS LÄN</t>
        </is>
      </c>
      <c r="E5583" t="inlineStr">
        <is>
          <t>ÖRNSKÖLDSVIK</t>
        </is>
      </c>
      <c r="G5583" t="n">
        <v>8.800000000000001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8124-2025</t>
        </is>
      </c>
      <c r="B5584" s="1" t="n">
        <v>45707</v>
      </c>
      <c r="C5584" s="1" t="n">
        <v>46185</v>
      </c>
      <c r="D5584" t="inlineStr">
        <is>
          <t>VÄSTERNORRLANDS LÄN</t>
        </is>
      </c>
      <c r="E5584" t="inlineStr">
        <is>
          <t>SOLLEFTEÅ</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35602-2023</t>
        </is>
      </c>
      <c r="B5585" s="1" t="n">
        <v>45147.5024537037</v>
      </c>
      <c r="C5585" s="1" t="n">
        <v>46185</v>
      </c>
      <c r="D5585" t="inlineStr">
        <is>
          <t>VÄSTERNORRLANDS LÄN</t>
        </is>
      </c>
      <c r="E5585" t="inlineStr">
        <is>
          <t>ÖRNSKÖLDSVIK</t>
        </is>
      </c>
      <c r="F5585" t="inlineStr">
        <is>
          <t>Holmen skog AB</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55563-2025</t>
        </is>
      </c>
      <c r="B5586" s="1" t="n">
        <v>45971.65373842593</v>
      </c>
      <c r="C5586" s="1" t="n">
        <v>46185</v>
      </c>
      <c r="D5586" t="inlineStr">
        <is>
          <t>VÄSTERNORRLANDS LÄN</t>
        </is>
      </c>
      <c r="E5586" t="inlineStr">
        <is>
          <t>SUNDSVALL</t>
        </is>
      </c>
      <c r="G5586" t="n">
        <v>7.4</v>
      </c>
      <c r="H5586" t="n">
        <v>0</v>
      </c>
      <c r="I5586" t="n">
        <v>0</v>
      </c>
      <c r="J5586" t="n">
        <v>0</v>
      </c>
      <c r="K5586" t="n">
        <v>0</v>
      </c>
      <c r="L5586" t="n">
        <v>0</v>
      </c>
      <c r="M5586" t="n">
        <v>0</v>
      </c>
      <c r="N5586" t="n">
        <v>0</v>
      </c>
      <c r="O5586" t="n">
        <v>0</v>
      </c>
      <c r="P5586" t="n">
        <v>0</v>
      </c>
      <c r="Q5586" t="n">
        <v>0</v>
      </c>
      <c r="R5586" s="2" t="inlineStr"/>
    </row>
    <row r="5587" ht="15" customHeight="1">
      <c r="A5587" t="inlineStr">
        <is>
          <t>A 8145-2026</t>
        </is>
      </c>
      <c r="B5587" s="1" t="n">
        <v>46064.34459490741</v>
      </c>
      <c r="C5587" s="1" t="n">
        <v>46185</v>
      </c>
      <c r="D5587" t="inlineStr">
        <is>
          <t>VÄSTERNORRLANDS LÄN</t>
        </is>
      </c>
      <c r="E5587" t="inlineStr">
        <is>
          <t>ÅNGE</t>
        </is>
      </c>
      <c r="F5587" t="inlineStr">
        <is>
          <t>SCA</t>
        </is>
      </c>
      <c r="G5587" t="n">
        <v>11.6</v>
      </c>
      <c r="H5587" t="n">
        <v>0</v>
      </c>
      <c r="I5587" t="n">
        <v>0</v>
      </c>
      <c r="J5587" t="n">
        <v>0</v>
      </c>
      <c r="K5587" t="n">
        <v>0</v>
      </c>
      <c r="L5587" t="n">
        <v>0</v>
      </c>
      <c r="M5587" t="n">
        <v>0</v>
      </c>
      <c r="N5587" t="n">
        <v>0</v>
      </c>
      <c r="O5587" t="n">
        <v>0</v>
      </c>
      <c r="P5587" t="n">
        <v>0</v>
      </c>
      <c r="Q5587" t="n">
        <v>0</v>
      </c>
      <c r="R5587" s="2" t="inlineStr"/>
    </row>
    <row r="5588" ht="15" customHeight="1">
      <c r="A5588" t="inlineStr">
        <is>
          <t>A 55583-2025</t>
        </is>
      </c>
      <c r="B5588" s="1" t="n">
        <v>45971.67804398148</v>
      </c>
      <c r="C5588" s="1" t="n">
        <v>46185</v>
      </c>
      <c r="D5588" t="inlineStr">
        <is>
          <t>VÄSTERNORRLANDS LÄN</t>
        </is>
      </c>
      <c r="E5588" t="inlineStr">
        <is>
          <t>SOLLEFTEÅ</t>
        </is>
      </c>
      <c r="F5588" t="inlineStr">
        <is>
          <t>SCA</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55659-2025</t>
        </is>
      </c>
      <c r="B5589" s="1" t="n">
        <v>45972.39212962963</v>
      </c>
      <c r="C5589" s="1" t="n">
        <v>46185</v>
      </c>
      <c r="D5589" t="inlineStr">
        <is>
          <t>VÄSTERNORRLANDS LÄN</t>
        </is>
      </c>
      <c r="E5589" t="inlineStr">
        <is>
          <t>ÖRNSKÖLDSVIK</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55663-2025</t>
        </is>
      </c>
      <c r="B5590" s="1" t="n">
        <v>45972.3959837963</v>
      </c>
      <c r="C5590" s="1" t="n">
        <v>46185</v>
      </c>
      <c r="D5590" t="inlineStr">
        <is>
          <t>VÄSTERNORRLANDS LÄN</t>
        </is>
      </c>
      <c r="E5590" t="inlineStr">
        <is>
          <t>ÖRNSKÖLDSVIK</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23688-2025</t>
        </is>
      </c>
      <c r="B5591" s="1" t="n">
        <v>45793.34438657408</v>
      </c>
      <c r="C5591" s="1" t="n">
        <v>46185</v>
      </c>
      <c r="D5591" t="inlineStr">
        <is>
          <t>VÄSTERNORRLANDS LÄN</t>
        </is>
      </c>
      <c r="E5591" t="inlineStr">
        <is>
          <t>HÄRNÖSAND</t>
        </is>
      </c>
      <c r="F5591" t="inlineStr">
        <is>
          <t>SCA</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55582-2025</t>
        </is>
      </c>
      <c r="B5592" s="1" t="n">
        <v>45971.67768518518</v>
      </c>
      <c r="C5592" s="1" t="n">
        <v>46185</v>
      </c>
      <c r="D5592" t="inlineStr">
        <is>
          <t>VÄSTERNORRLANDS LÄN</t>
        </is>
      </c>
      <c r="E5592" t="inlineStr">
        <is>
          <t>SOLLEFTEÅ</t>
        </is>
      </c>
      <c r="F5592" t="inlineStr">
        <is>
          <t>SCA</t>
        </is>
      </c>
      <c r="G5592" t="n">
        <v>5.3</v>
      </c>
      <c r="H5592" t="n">
        <v>0</v>
      </c>
      <c r="I5592" t="n">
        <v>0</v>
      </c>
      <c r="J5592" t="n">
        <v>0</v>
      </c>
      <c r="K5592" t="n">
        <v>0</v>
      </c>
      <c r="L5592" t="n">
        <v>0</v>
      </c>
      <c r="M5592" t="n">
        <v>0</v>
      </c>
      <c r="N5592" t="n">
        <v>0</v>
      </c>
      <c r="O5592" t="n">
        <v>0</v>
      </c>
      <c r="P5592" t="n">
        <v>0</v>
      </c>
      <c r="Q5592" t="n">
        <v>0</v>
      </c>
      <c r="R5592" s="2" t="inlineStr"/>
    </row>
    <row r="5593" ht="15" customHeight="1">
      <c r="A5593" t="inlineStr">
        <is>
          <t>A 55533-2025</t>
        </is>
      </c>
      <c r="B5593" s="1" t="n">
        <v>45971.62730324074</v>
      </c>
      <c r="C5593" s="1" t="n">
        <v>46185</v>
      </c>
      <c r="D5593" t="inlineStr">
        <is>
          <t>VÄSTERNORRLANDS LÄN</t>
        </is>
      </c>
      <c r="E5593" t="inlineStr">
        <is>
          <t>ÖRNSKÖLDSVIK</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55466-2025</t>
        </is>
      </c>
      <c r="B5594" s="1" t="n">
        <v>45971.52743055556</v>
      </c>
      <c r="C5594" s="1" t="n">
        <v>46185</v>
      </c>
      <c r="D5594" t="inlineStr">
        <is>
          <t>VÄSTERNORRLANDS LÄN</t>
        </is>
      </c>
      <c r="E5594" t="inlineStr">
        <is>
          <t>ÖRNSKÖLDSVIK</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43964-2023</t>
        </is>
      </c>
      <c r="B5595" s="1" t="n">
        <v>45187</v>
      </c>
      <c r="C5595" s="1" t="n">
        <v>46185</v>
      </c>
      <c r="D5595" t="inlineStr">
        <is>
          <t>VÄSTERNORRLANDS LÄN</t>
        </is>
      </c>
      <c r="E5595" t="inlineStr">
        <is>
          <t>TIMRÅ</t>
        </is>
      </c>
      <c r="F5595" t="inlineStr">
        <is>
          <t>SCA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55449-2025</t>
        </is>
      </c>
      <c r="B5596" s="1" t="n">
        <v>45971.50532407407</v>
      </c>
      <c r="C5596" s="1" t="n">
        <v>46185</v>
      </c>
      <c r="D5596" t="inlineStr">
        <is>
          <t>VÄSTERNORRLANDS LÄN</t>
        </is>
      </c>
      <c r="E5596" t="inlineStr">
        <is>
          <t>ÖRNSKÖLDSVIK</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55556-2025</t>
        </is>
      </c>
      <c r="B5597" s="1" t="n">
        <v>45971.64694444444</v>
      </c>
      <c r="C5597" s="1" t="n">
        <v>46185</v>
      </c>
      <c r="D5597" t="inlineStr">
        <is>
          <t>VÄSTERNORRLANDS LÄN</t>
        </is>
      </c>
      <c r="E5597" t="inlineStr">
        <is>
          <t>ÅNGE</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16362-2023</t>
        </is>
      </c>
      <c r="B5598" s="1" t="n">
        <v>45028.9250462963</v>
      </c>
      <c r="C5598" s="1" t="n">
        <v>46185</v>
      </c>
      <c r="D5598" t="inlineStr">
        <is>
          <t>VÄSTERNORRLANDS LÄN</t>
        </is>
      </c>
      <c r="E5598" t="inlineStr">
        <is>
          <t>ÅNGE</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55779-2025</t>
        </is>
      </c>
      <c r="B5599" s="1" t="n">
        <v>45972.62805555556</v>
      </c>
      <c r="C5599" s="1" t="n">
        <v>46185</v>
      </c>
      <c r="D5599" t="inlineStr">
        <is>
          <t>VÄSTERNORRLANDS LÄN</t>
        </is>
      </c>
      <c r="E5599" t="inlineStr">
        <is>
          <t>ÖRNSKÖLDSVIK</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24867-2023</t>
        </is>
      </c>
      <c r="B5600" s="1" t="n">
        <v>45085</v>
      </c>
      <c r="C5600" s="1" t="n">
        <v>46185</v>
      </c>
      <c r="D5600" t="inlineStr">
        <is>
          <t>VÄSTERNORRLANDS LÄN</t>
        </is>
      </c>
      <c r="E5600" t="inlineStr">
        <is>
          <t>ÖRNSKÖLDSVIK</t>
        </is>
      </c>
      <c r="F5600" t="inlineStr">
        <is>
          <t>Holmen skog AB</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55790-2025</t>
        </is>
      </c>
      <c r="B5601" s="1" t="n">
        <v>45972.64644675926</v>
      </c>
      <c r="C5601" s="1" t="n">
        <v>46185</v>
      </c>
      <c r="D5601" t="inlineStr">
        <is>
          <t>VÄSTERNORRLANDS LÄN</t>
        </is>
      </c>
      <c r="E5601" t="inlineStr">
        <is>
          <t>SOLLEFTEÅ</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8084-2026</t>
        </is>
      </c>
      <c r="B5602" s="1" t="n">
        <v>46063.6775462963</v>
      </c>
      <c r="C5602" s="1" t="n">
        <v>46185</v>
      </c>
      <c r="D5602" t="inlineStr">
        <is>
          <t>VÄSTERNORRLANDS LÄN</t>
        </is>
      </c>
      <c r="E5602" t="inlineStr">
        <is>
          <t>SOLLEFTEÅ</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1268-2025</t>
        </is>
      </c>
      <c r="B5603" s="1" t="n">
        <v>45667</v>
      </c>
      <c r="C5603" s="1" t="n">
        <v>46185</v>
      </c>
      <c r="D5603" t="inlineStr">
        <is>
          <t>VÄSTERNORRLANDS LÄN</t>
        </is>
      </c>
      <c r="E5603" t="inlineStr">
        <is>
          <t>ÖRNSKÖLDSVIK</t>
        </is>
      </c>
      <c r="G5603" t="n">
        <v>7.7</v>
      </c>
      <c r="H5603" t="n">
        <v>0</v>
      </c>
      <c r="I5603" t="n">
        <v>0</v>
      </c>
      <c r="J5603" t="n">
        <v>0</v>
      </c>
      <c r="K5603" t="n">
        <v>0</v>
      </c>
      <c r="L5603" t="n">
        <v>0</v>
      </c>
      <c r="M5603" t="n">
        <v>0</v>
      </c>
      <c r="N5603" t="n">
        <v>0</v>
      </c>
      <c r="O5603" t="n">
        <v>0</v>
      </c>
      <c r="P5603" t="n">
        <v>0</v>
      </c>
      <c r="Q5603" t="n">
        <v>0</v>
      </c>
      <c r="R5603" s="2" t="inlineStr"/>
    </row>
    <row r="5604" ht="15" customHeight="1">
      <c r="A5604" t="inlineStr">
        <is>
          <t>A 55365-2025</t>
        </is>
      </c>
      <c r="B5604" s="1" t="n">
        <v>45971.40697916667</v>
      </c>
      <c r="C5604" s="1" t="n">
        <v>46185</v>
      </c>
      <c r="D5604" t="inlineStr">
        <is>
          <t>VÄSTERNORRLANDS LÄN</t>
        </is>
      </c>
      <c r="E5604" t="inlineStr">
        <is>
          <t>SUNDSVALL</t>
        </is>
      </c>
      <c r="F5604" t="inlineStr">
        <is>
          <t>SCA</t>
        </is>
      </c>
      <c r="G5604" t="n">
        <v>5.6</v>
      </c>
      <c r="H5604" t="n">
        <v>0</v>
      </c>
      <c r="I5604" t="n">
        <v>0</v>
      </c>
      <c r="J5604" t="n">
        <v>0</v>
      </c>
      <c r="K5604" t="n">
        <v>0</v>
      </c>
      <c r="L5604" t="n">
        <v>0</v>
      </c>
      <c r="M5604" t="n">
        <v>0</v>
      </c>
      <c r="N5604" t="n">
        <v>0</v>
      </c>
      <c r="O5604" t="n">
        <v>0</v>
      </c>
      <c r="P5604" t="n">
        <v>0</v>
      </c>
      <c r="Q5604" t="n">
        <v>0</v>
      </c>
      <c r="R5604" s="2" t="inlineStr"/>
    </row>
    <row r="5605" ht="15" customHeight="1">
      <c r="A5605" t="inlineStr">
        <is>
          <t>A 55803-2025</t>
        </is>
      </c>
      <c r="B5605" s="1" t="n">
        <v>45972.67751157407</v>
      </c>
      <c r="C5605" s="1" t="n">
        <v>46185</v>
      </c>
      <c r="D5605" t="inlineStr">
        <is>
          <t>VÄSTERNORRLANDS LÄN</t>
        </is>
      </c>
      <c r="E5605" t="inlineStr">
        <is>
          <t>SUNDSVALL</t>
        </is>
      </c>
      <c r="F5605" t="inlineStr">
        <is>
          <t>Naturvårdsverket</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55376-2025</t>
        </is>
      </c>
      <c r="B5606" s="1" t="n">
        <v>45971.42753472222</v>
      </c>
      <c r="C5606" s="1" t="n">
        <v>46185</v>
      </c>
      <c r="D5606" t="inlineStr">
        <is>
          <t>VÄSTERNORRLANDS LÄN</t>
        </is>
      </c>
      <c r="E5606" t="inlineStr">
        <is>
          <t>SUNDSVALL</t>
        </is>
      </c>
      <c r="F5606" t="inlineStr">
        <is>
          <t>SCA</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32048-2024</t>
        </is>
      </c>
      <c r="B5607" s="1" t="n">
        <v>45510</v>
      </c>
      <c r="C5607" s="1" t="n">
        <v>46185</v>
      </c>
      <c r="D5607" t="inlineStr">
        <is>
          <t>VÄSTERNORRLANDS LÄN</t>
        </is>
      </c>
      <c r="E5607" t="inlineStr">
        <is>
          <t>TIMRÅ</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55565-2025</t>
        </is>
      </c>
      <c r="B5608" s="1" t="n">
        <v>45971.65561342592</v>
      </c>
      <c r="C5608" s="1" t="n">
        <v>46185</v>
      </c>
      <c r="D5608" t="inlineStr">
        <is>
          <t>VÄSTERNORRLANDS LÄN</t>
        </is>
      </c>
      <c r="E5608" t="inlineStr">
        <is>
          <t>SUNDSVALL</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7897-2026</t>
        </is>
      </c>
      <c r="B5609" s="1" t="n">
        <v>46063.34446759259</v>
      </c>
      <c r="C5609" s="1" t="n">
        <v>46185</v>
      </c>
      <c r="D5609" t="inlineStr">
        <is>
          <t>VÄSTERNORRLANDS LÄN</t>
        </is>
      </c>
      <c r="E5609" t="inlineStr">
        <is>
          <t>HÄRNÖSAND</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52924-2025</t>
        </is>
      </c>
      <c r="B5610" s="1" t="n">
        <v>45957</v>
      </c>
      <c r="C5610" s="1" t="n">
        <v>46185</v>
      </c>
      <c r="D5610" t="inlineStr">
        <is>
          <t>VÄSTERNORRLANDS LÄN</t>
        </is>
      </c>
      <c r="E5610" t="inlineStr">
        <is>
          <t>KRAMFORS</t>
        </is>
      </c>
      <c r="G5610" t="n">
        <v>7.6</v>
      </c>
      <c r="H5610" t="n">
        <v>0</v>
      </c>
      <c r="I5610" t="n">
        <v>0</v>
      </c>
      <c r="J5610" t="n">
        <v>0</v>
      </c>
      <c r="K5610" t="n">
        <v>0</v>
      </c>
      <c r="L5610" t="n">
        <v>0</v>
      </c>
      <c r="M5610" t="n">
        <v>0</v>
      </c>
      <c r="N5610" t="n">
        <v>0</v>
      </c>
      <c r="O5610" t="n">
        <v>0</v>
      </c>
      <c r="P5610" t="n">
        <v>0</v>
      </c>
      <c r="Q5610" t="n">
        <v>0</v>
      </c>
      <c r="R5610" s="2" t="inlineStr"/>
    </row>
    <row r="5611" ht="15" customHeight="1">
      <c r="A5611" t="inlineStr">
        <is>
          <t>A 55332-2025</t>
        </is>
      </c>
      <c r="B5611" s="1" t="n">
        <v>45971</v>
      </c>
      <c r="C5611" s="1" t="n">
        <v>46185</v>
      </c>
      <c r="D5611" t="inlineStr">
        <is>
          <t>VÄSTERNORRLANDS LÄN</t>
        </is>
      </c>
      <c r="E5611" t="inlineStr">
        <is>
          <t>KRAMFORS</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28779-2023</t>
        </is>
      </c>
      <c r="B5612" s="1" t="n">
        <v>45104.34314814815</v>
      </c>
      <c r="C5612" s="1" t="n">
        <v>46185</v>
      </c>
      <c r="D5612" t="inlineStr">
        <is>
          <t>VÄSTERNORRLANDS LÄN</t>
        </is>
      </c>
      <c r="E5612" t="inlineStr">
        <is>
          <t>ÅNGE</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63607-2021</t>
        </is>
      </c>
      <c r="B5613" s="1" t="n">
        <v>44508.94650462963</v>
      </c>
      <c r="C5613" s="1" t="n">
        <v>46185</v>
      </c>
      <c r="D5613" t="inlineStr">
        <is>
          <t>VÄSTERNORRLANDS LÄN</t>
        </is>
      </c>
      <c r="E5613" t="inlineStr">
        <is>
          <t>ÅNGE</t>
        </is>
      </c>
      <c r="F5613" t="inlineStr">
        <is>
          <t>SCA</t>
        </is>
      </c>
      <c r="G5613" t="n">
        <v>6.7</v>
      </c>
      <c r="H5613" t="n">
        <v>0</v>
      </c>
      <c r="I5613" t="n">
        <v>0</v>
      </c>
      <c r="J5613" t="n">
        <v>0</v>
      </c>
      <c r="K5613" t="n">
        <v>0</v>
      </c>
      <c r="L5613" t="n">
        <v>0</v>
      </c>
      <c r="M5613" t="n">
        <v>0</v>
      </c>
      <c r="N5613" t="n">
        <v>0</v>
      </c>
      <c r="O5613" t="n">
        <v>0</v>
      </c>
      <c r="P5613" t="n">
        <v>0</v>
      </c>
      <c r="Q5613" t="n">
        <v>0</v>
      </c>
      <c r="R5613" s="2" t="inlineStr"/>
    </row>
    <row r="5614" ht="15" customHeight="1">
      <c r="A5614" t="inlineStr">
        <is>
          <t>A 63651-2021</t>
        </is>
      </c>
      <c r="B5614" s="1" t="n">
        <v>44508</v>
      </c>
      <c r="C5614" s="1" t="n">
        <v>46185</v>
      </c>
      <c r="D5614" t="inlineStr">
        <is>
          <t>VÄSTERNORRLANDS LÄN</t>
        </is>
      </c>
      <c r="E5614" t="inlineStr">
        <is>
          <t>SUNDSVALL</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55402-2025</t>
        </is>
      </c>
      <c r="B5615" s="1" t="n">
        <v>45971.45252314815</v>
      </c>
      <c r="C5615" s="1" t="n">
        <v>46185</v>
      </c>
      <c r="D5615" t="inlineStr">
        <is>
          <t>VÄSTERNORRLANDS LÄN</t>
        </is>
      </c>
      <c r="E5615" t="inlineStr">
        <is>
          <t>ÖRNSKÖLDSVIK</t>
        </is>
      </c>
      <c r="G5615" t="n">
        <v>4.9</v>
      </c>
      <c r="H5615" t="n">
        <v>0</v>
      </c>
      <c r="I5615" t="n">
        <v>0</v>
      </c>
      <c r="J5615" t="n">
        <v>0</v>
      </c>
      <c r="K5615" t="n">
        <v>0</v>
      </c>
      <c r="L5615" t="n">
        <v>0</v>
      </c>
      <c r="M5615" t="n">
        <v>0</v>
      </c>
      <c r="N5615" t="n">
        <v>0</v>
      </c>
      <c r="O5615" t="n">
        <v>0</v>
      </c>
      <c r="P5615" t="n">
        <v>0</v>
      </c>
      <c r="Q5615" t="n">
        <v>0</v>
      </c>
      <c r="R5615" s="2" t="inlineStr"/>
    </row>
    <row r="5616" ht="15" customHeight="1">
      <c r="A5616" t="inlineStr">
        <is>
          <t>A 30226-2024</t>
        </is>
      </c>
      <c r="B5616" s="1" t="n">
        <v>45489</v>
      </c>
      <c r="C5616" s="1" t="n">
        <v>46185</v>
      </c>
      <c r="D5616" t="inlineStr">
        <is>
          <t>VÄSTERNORRLANDS LÄN</t>
        </is>
      </c>
      <c r="E5616" t="inlineStr">
        <is>
          <t>ÖRNSKÖLDSVIK</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30235-2024</t>
        </is>
      </c>
      <c r="B5617" s="1" t="n">
        <v>45490.49040509259</v>
      </c>
      <c r="C5617" s="1" t="n">
        <v>46185</v>
      </c>
      <c r="D5617" t="inlineStr">
        <is>
          <t>VÄSTERNORRLANDS LÄN</t>
        </is>
      </c>
      <c r="E5617" t="inlineStr">
        <is>
          <t>ÅNGE</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36523-2023</t>
        </is>
      </c>
      <c r="B5618" s="1" t="n">
        <v>45153</v>
      </c>
      <c r="C5618" s="1" t="n">
        <v>46185</v>
      </c>
      <c r="D5618" t="inlineStr">
        <is>
          <t>VÄSTERNORRLANDS LÄN</t>
        </is>
      </c>
      <c r="E5618" t="inlineStr">
        <is>
          <t>KRAMFORS</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10369-2023</t>
        </is>
      </c>
      <c r="B5619" s="1" t="n">
        <v>44980</v>
      </c>
      <c r="C5619" s="1" t="n">
        <v>46185</v>
      </c>
      <c r="D5619" t="inlineStr">
        <is>
          <t>VÄSTERNORRLANDS LÄN</t>
        </is>
      </c>
      <c r="E5619" t="inlineStr">
        <is>
          <t>ÖRNSKÖLDSVIK</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10865-2025</t>
        </is>
      </c>
      <c r="B5620" s="1" t="n">
        <v>45722.61526620371</v>
      </c>
      <c r="C5620" s="1" t="n">
        <v>46185</v>
      </c>
      <c r="D5620" t="inlineStr">
        <is>
          <t>VÄSTERNORRLANDS LÄN</t>
        </is>
      </c>
      <c r="E5620" t="inlineStr">
        <is>
          <t>SOLLEFTEÅ</t>
        </is>
      </c>
      <c r="F5620" t="inlineStr">
        <is>
          <t>SCA</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56195-2025</t>
        </is>
      </c>
      <c r="B5621" s="1" t="n">
        <v>45974.44819444444</v>
      </c>
      <c r="C5621" s="1" t="n">
        <v>46185</v>
      </c>
      <c r="D5621" t="inlineStr">
        <is>
          <t>VÄSTERNORRLANDS LÄN</t>
        </is>
      </c>
      <c r="E5621" t="inlineStr">
        <is>
          <t>SUNDSVALL</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56337-2025</t>
        </is>
      </c>
      <c r="B5622" s="1" t="n">
        <v>45974.64597222222</v>
      </c>
      <c r="C5622" s="1" t="n">
        <v>46185</v>
      </c>
      <c r="D5622" t="inlineStr">
        <is>
          <t>VÄSTERNORRLANDS LÄN</t>
        </is>
      </c>
      <c r="E5622" t="inlineStr">
        <is>
          <t>KRAMFORS</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55937-2025</t>
        </is>
      </c>
      <c r="B5623" s="1" t="n">
        <v>45973.44518518518</v>
      </c>
      <c r="C5623" s="1" t="n">
        <v>46185</v>
      </c>
      <c r="D5623" t="inlineStr">
        <is>
          <t>VÄSTERNORRLANDS LÄN</t>
        </is>
      </c>
      <c r="E5623" t="inlineStr">
        <is>
          <t>ÖRNSKÖLDSVIK</t>
        </is>
      </c>
      <c r="F5623" t="inlineStr">
        <is>
          <t>Holmen skog AB</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46971-2022</t>
        </is>
      </c>
      <c r="B5624" s="1" t="n">
        <v>44851.953125</v>
      </c>
      <c r="C5624" s="1" t="n">
        <v>46185</v>
      </c>
      <c r="D5624" t="inlineStr">
        <is>
          <t>VÄSTERNORRLANDS LÄN</t>
        </is>
      </c>
      <c r="E5624" t="inlineStr">
        <is>
          <t>TIMRÅ</t>
        </is>
      </c>
      <c r="F5624" t="inlineStr">
        <is>
          <t>SCA</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1846-2026</t>
        </is>
      </c>
      <c r="B5625" s="1" t="n">
        <v>46035</v>
      </c>
      <c r="C5625" s="1" t="n">
        <v>46185</v>
      </c>
      <c r="D5625" t="inlineStr">
        <is>
          <t>VÄSTERNORRLANDS LÄN</t>
        </is>
      </c>
      <c r="E5625" t="inlineStr">
        <is>
          <t>ÅNGE</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7936-2026</t>
        </is>
      </c>
      <c r="B5626" s="1" t="n">
        <v>46063.40401620371</v>
      </c>
      <c r="C5626" s="1" t="n">
        <v>46185</v>
      </c>
      <c r="D5626" t="inlineStr">
        <is>
          <t>VÄSTERNORRLANDS LÄN</t>
        </is>
      </c>
      <c r="E5626" t="inlineStr">
        <is>
          <t>KRAMFORS</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7937-2026</t>
        </is>
      </c>
      <c r="B5627" s="1" t="n">
        <v>46063.40416666667</v>
      </c>
      <c r="C5627" s="1" t="n">
        <v>46185</v>
      </c>
      <c r="D5627" t="inlineStr">
        <is>
          <t>VÄSTERNORRLANDS LÄN</t>
        </is>
      </c>
      <c r="E5627" t="inlineStr">
        <is>
          <t>KRAMFORS</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8022-2026</t>
        </is>
      </c>
      <c r="B5628" s="1" t="n">
        <v>46063.55681712963</v>
      </c>
      <c r="C5628" s="1" t="n">
        <v>46185</v>
      </c>
      <c r="D5628" t="inlineStr">
        <is>
          <t>VÄSTERNORRLANDS LÄN</t>
        </is>
      </c>
      <c r="E5628" t="inlineStr">
        <is>
          <t>ÖRNSKÖLDSVIK</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29662-2024</t>
        </is>
      </c>
      <c r="B5629" s="1" t="n">
        <v>45484.93993055556</v>
      </c>
      <c r="C5629" s="1" t="n">
        <v>46185</v>
      </c>
      <c r="D5629" t="inlineStr">
        <is>
          <t>VÄSTERNORRLANDS LÄN</t>
        </is>
      </c>
      <c r="E5629" t="inlineStr">
        <is>
          <t>SUNDSVALL</t>
        </is>
      </c>
      <c r="F5629" t="inlineStr">
        <is>
          <t>SCA</t>
        </is>
      </c>
      <c r="G5629" t="n">
        <v>27.8</v>
      </c>
      <c r="H5629" t="n">
        <v>0</v>
      </c>
      <c r="I5629" t="n">
        <v>0</v>
      </c>
      <c r="J5629" t="n">
        <v>0</v>
      </c>
      <c r="K5629" t="n">
        <v>0</v>
      </c>
      <c r="L5629" t="n">
        <v>0</v>
      </c>
      <c r="M5629" t="n">
        <v>0</v>
      </c>
      <c r="N5629" t="n">
        <v>0</v>
      </c>
      <c r="O5629" t="n">
        <v>0</v>
      </c>
      <c r="P5629" t="n">
        <v>0</v>
      </c>
      <c r="Q5629" t="n">
        <v>0</v>
      </c>
      <c r="R5629" s="2" t="inlineStr"/>
    </row>
    <row r="5630" ht="15" customHeight="1">
      <c r="A5630" t="inlineStr">
        <is>
          <t>A 8088-2026</t>
        </is>
      </c>
      <c r="B5630" s="1" t="n">
        <v>46063</v>
      </c>
      <c r="C5630" s="1" t="n">
        <v>46185</v>
      </c>
      <c r="D5630" t="inlineStr">
        <is>
          <t>VÄSTERNORRLANDS LÄN</t>
        </is>
      </c>
      <c r="E5630" t="inlineStr">
        <is>
          <t>SOLLEFTEÅ</t>
        </is>
      </c>
      <c r="F5630" t="inlineStr">
        <is>
          <t>Kyrkan</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56289-2025</t>
        </is>
      </c>
      <c r="B5631" s="1" t="n">
        <v>45974.59734953703</v>
      </c>
      <c r="C5631" s="1" t="n">
        <v>46185</v>
      </c>
      <c r="D5631" t="inlineStr">
        <is>
          <t>VÄSTERNORRLANDS LÄN</t>
        </is>
      </c>
      <c r="E5631" t="inlineStr">
        <is>
          <t>KRAMFORS</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57455-2023</t>
        </is>
      </c>
      <c r="B5632" s="1" t="n">
        <v>45246</v>
      </c>
      <c r="C5632" s="1" t="n">
        <v>46185</v>
      </c>
      <c r="D5632" t="inlineStr">
        <is>
          <t>VÄSTERNORRLANDS LÄN</t>
        </is>
      </c>
      <c r="E5632" t="inlineStr">
        <is>
          <t>SUNDSVALL</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57469-2023</t>
        </is>
      </c>
      <c r="B5633" s="1" t="n">
        <v>45240</v>
      </c>
      <c r="C5633" s="1" t="n">
        <v>46185</v>
      </c>
      <c r="D5633" t="inlineStr">
        <is>
          <t>VÄSTERNORRLANDS LÄN</t>
        </is>
      </c>
      <c r="E5633" t="inlineStr">
        <is>
          <t>ÖRNSKÖLDSVIK</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57480-2023</t>
        </is>
      </c>
      <c r="B5634" s="1" t="n">
        <v>45240</v>
      </c>
      <c r="C5634" s="1" t="n">
        <v>46185</v>
      </c>
      <c r="D5634" t="inlineStr">
        <is>
          <t>VÄSTERNORRLANDS LÄN</t>
        </is>
      </c>
      <c r="E5634" t="inlineStr">
        <is>
          <t>ÖRNSKÖLDSVIK</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56361-2025</t>
        </is>
      </c>
      <c r="B5635" s="1" t="n">
        <v>45974.66362268518</v>
      </c>
      <c r="C5635" s="1" t="n">
        <v>46185</v>
      </c>
      <c r="D5635" t="inlineStr">
        <is>
          <t>VÄSTERNORRLANDS LÄN</t>
        </is>
      </c>
      <c r="E5635" t="inlineStr">
        <is>
          <t>KRAMFORS</t>
        </is>
      </c>
      <c r="G5635" t="n">
        <v>8</v>
      </c>
      <c r="H5635" t="n">
        <v>0</v>
      </c>
      <c r="I5635" t="n">
        <v>0</v>
      </c>
      <c r="J5635" t="n">
        <v>0</v>
      </c>
      <c r="K5635" t="n">
        <v>0</v>
      </c>
      <c r="L5635" t="n">
        <v>0</v>
      </c>
      <c r="M5635" t="n">
        <v>0</v>
      </c>
      <c r="N5635" t="n">
        <v>0</v>
      </c>
      <c r="O5635" t="n">
        <v>0</v>
      </c>
      <c r="P5635" t="n">
        <v>0</v>
      </c>
      <c r="Q5635" t="n">
        <v>0</v>
      </c>
      <c r="R5635" s="2" t="inlineStr"/>
    </row>
    <row r="5636" ht="15" customHeight="1">
      <c r="A5636" t="inlineStr">
        <is>
          <t>A 56362-2025</t>
        </is>
      </c>
      <c r="B5636" s="1" t="n">
        <v>45974.66378472222</v>
      </c>
      <c r="C5636" s="1" t="n">
        <v>46185</v>
      </c>
      <c r="D5636" t="inlineStr">
        <is>
          <t>VÄSTERNORRLANDS LÄN</t>
        </is>
      </c>
      <c r="E5636" t="inlineStr">
        <is>
          <t>KRAMFORS</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56164-2025</t>
        </is>
      </c>
      <c r="B5637" s="1" t="n">
        <v>45974.38157407408</v>
      </c>
      <c r="C5637" s="1" t="n">
        <v>46185</v>
      </c>
      <c r="D5637" t="inlineStr">
        <is>
          <t>VÄSTERNORRLANDS LÄN</t>
        </is>
      </c>
      <c r="E5637" t="inlineStr">
        <is>
          <t>ÖRNSKÖLDSVIK</t>
        </is>
      </c>
      <c r="F5637" t="inlineStr">
        <is>
          <t>Holmen skog AB</t>
        </is>
      </c>
      <c r="G5637" t="n">
        <v>6.1</v>
      </c>
      <c r="H5637" t="n">
        <v>0</v>
      </c>
      <c r="I5637" t="n">
        <v>0</v>
      </c>
      <c r="J5637" t="n">
        <v>0</v>
      </c>
      <c r="K5637" t="n">
        <v>0</v>
      </c>
      <c r="L5637" t="n">
        <v>0</v>
      </c>
      <c r="M5637" t="n">
        <v>0</v>
      </c>
      <c r="N5637" t="n">
        <v>0</v>
      </c>
      <c r="O5637" t="n">
        <v>0</v>
      </c>
      <c r="P5637" t="n">
        <v>0</v>
      </c>
      <c r="Q5637" t="n">
        <v>0</v>
      </c>
      <c r="R5637" s="2" t="inlineStr"/>
    </row>
    <row r="5638" ht="15" customHeight="1">
      <c r="A5638" t="inlineStr">
        <is>
          <t>A 8143-2026</t>
        </is>
      </c>
      <c r="B5638" s="1" t="n">
        <v>46064.34438657408</v>
      </c>
      <c r="C5638" s="1" t="n">
        <v>46185</v>
      </c>
      <c r="D5638" t="inlineStr">
        <is>
          <t>VÄSTERNORRLANDS LÄN</t>
        </is>
      </c>
      <c r="E5638" t="inlineStr">
        <is>
          <t>ÅNGE</t>
        </is>
      </c>
      <c r="F5638" t="inlineStr">
        <is>
          <t>SCA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55743-2025</t>
        </is>
      </c>
      <c r="B5639" s="1" t="n">
        <v>45972.57387731481</v>
      </c>
      <c r="C5639" s="1" t="n">
        <v>46185</v>
      </c>
      <c r="D5639" t="inlineStr">
        <is>
          <t>VÄSTERNORRLANDS LÄN</t>
        </is>
      </c>
      <c r="E5639" t="inlineStr">
        <is>
          <t>KRAMFORS</t>
        </is>
      </c>
      <c r="F5639" t="inlineStr">
        <is>
          <t>SCA</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55772-2025</t>
        </is>
      </c>
      <c r="B5640" s="1" t="n">
        <v>45972.61564814814</v>
      </c>
      <c r="C5640" s="1" t="n">
        <v>46185</v>
      </c>
      <c r="D5640" t="inlineStr">
        <is>
          <t>VÄSTERNORRLANDS LÄN</t>
        </is>
      </c>
      <c r="E5640" t="inlineStr">
        <is>
          <t>HÄRNÖSAND</t>
        </is>
      </c>
      <c r="F5640" t="inlineStr">
        <is>
          <t>SCA</t>
        </is>
      </c>
      <c r="G5640" t="n">
        <v>15.6</v>
      </c>
      <c r="H5640" t="n">
        <v>0</v>
      </c>
      <c r="I5640" t="n">
        <v>0</v>
      </c>
      <c r="J5640" t="n">
        <v>0</v>
      </c>
      <c r="K5640" t="n">
        <v>0</v>
      </c>
      <c r="L5640" t="n">
        <v>0</v>
      </c>
      <c r="M5640" t="n">
        <v>0</v>
      </c>
      <c r="N5640" t="n">
        <v>0</v>
      </c>
      <c r="O5640" t="n">
        <v>0</v>
      </c>
      <c r="P5640" t="n">
        <v>0</v>
      </c>
      <c r="Q5640" t="n">
        <v>0</v>
      </c>
      <c r="R5640" s="2" t="inlineStr"/>
    </row>
    <row r="5641" ht="15" customHeight="1">
      <c r="A5641" t="inlineStr">
        <is>
          <t>A 55808-2025</t>
        </is>
      </c>
      <c r="B5641" s="1" t="n">
        <v>45972.67839120371</v>
      </c>
      <c r="C5641" s="1" t="n">
        <v>46185</v>
      </c>
      <c r="D5641" t="inlineStr">
        <is>
          <t>VÄSTERNORRLANDS LÄN</t>
        </is>
      </c>
      <c r="E5641" t="inlineStr">
        <is>
          <t>SUNDSVALL</t>
        </is>
      </c>
      <c r="F5641" t="inlineStr">
        <is>
          <t>Naturvårdsverket</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8206-2026</t>
        </is>
      </c>
      <c r="B5642" s="1" t="n">
        <v>46064.44851851852</v>
      </c>
      <c r="C5642" s="1" t="n">
        <v>46185</v>
      </c>
      <c r="D5642" t="inlineStr">
        <is>
          <t>VÄSTERNORRLANDS LÄN</t>
        </is>
      </c>
      <c r="E5642" t="inlineStr">
        <is>
          <t>SOLLEFTEÅ</t>
        </is>
      </c>
      <c r="F5642" t="inlineStr">
        <is>
          <t>SCA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8207-2026</t>
        </is>
      </c>
      <c r="B5643" s="1" t="n">
        <v>46064.44872685185</v>
      </c>
      <c r="C5643" s="1" t="n">
        <v>46185</v>
      </c>
      <c r="D5643" t="inlineStr">
        <is>
          <t>VÄSTERNORRLANDS LÄN</t>
        </is>
      </c>
      <c r="E5643" t="inlineStr">
        <is>
          <t>SOLLEFTEÅ</t>
        </is>
      </c>
      <c r="F5643" t="inlineStr">
        <is>
          <t>SCA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7918-2026</t>
        </is>
      </c>
      <c r="B5644" s="1" t="n">
        <v>46063.38263888889</v>
      </c>
      <c r="C5644" s="1" t="n">
        <v>46185</v>
      </c>
      <c r="D5644" t="inlineStr">
        <is>
          <t>VÄSTERNORRLANDS LÄN</t>
        </is>
      </c>
      <c r="E5644" t="inlineStr">
        <is>
          <t>SUNDSVALL</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38432-2022</t>
        </is>
      </c>
      <c r="B5645" s="1" t="n">
        <v>44812</v>
      </c>
      <c r="C5645" s="1" t="n">
        <v>46185</v>
      </c>
      <c r="D5645" t="inlineStr">
        <is>
          <t>VÄSTERNORRLANDS LÄN</t>
        </is>
      </c>
      <c r="E5645" t="inlineStr">
        <is>
          <t>SOLLEFTEÅ</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8413-2026</t>
        </is>
      </c>
      <c r="B5646" s="1" t="n">
        <v>46065</v>
      </c>
      <c r="C5646" s="1" t="n">
        <v>46185</v>
      </c>
      <c r="D5646" t="inlineStr">
        <is>
          <t>VÄSTERNORRLANDS LÄN</t>
        </is>
      </c>
      <c r="E5646" t="inlineStr">
        <is>
          <t>HÄRNÖSAND</t>
        </is>
      </c>
      <c r="F5646" t="inlineStr">
        <is>
          <t>Kyrkan</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8414-2026</t>
        </is>
      </c>
      <c r="B5647" s="1" t="n">
        <v>46065</v>
      </c>
      <c r="C5647" s="1" t="n">
        <v>46185</v>
      </c>
      <c r="D5647" t="inlineStr">
        <is>
          <t>VÄSTERNORRLANDS LÄN</t>
        </is>
      </c>
      <c r="E5647" t="inlineStr">
        <is>
          <t>HÄRNÖSAND</t>
        </is>
      </c>
      <c r="F5647" t="inlineStr">
        <is>
          <t>Kyrkan</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27998-2023</t>
        </is>
      </c>
      <c r="B5648" s="1" t="n">
        <v>45098.92375</v>
      </c>
      <c r="C5648" s="1" t="n">
        <v>46185</v>
      </c>
      <c r="D5648" t="inlineStr">
        <is>
          <t>VÄSTERNORRLANDS LÄN</t>
        </is>
      </c>
      <c r="E5648" t="inlineStr">
        <is>
          <t>SUNDSVALL</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55865-2025</t>
        </is>
      </c>
      <c r="B5649" s="1" t="n">
        <v>45973.34901620371</v>
      </c>
      <c r="C5649" s="1" t="n">
        <v>46185</v>
      </c>
      <c r="D5649" t="inlineStr">
        <is>
          <t>VÄSTERNORRLANDS LÄN</t>
        </is>
      </c>
      <c r="E5649" t="inlineStr">
        <is>
          <t>ÖRNSKÖLDSVIK</t>
        </is>
      </c>
      <c r="F5649" t="inlineStr">
        <is>
          <t>Holmen skog AB</t>
        </is>
      </c>
      <c r="G5649" t="n">
        <v>9.9</v>
      </c>
      <c r="H5649" t="n">
        <v>0</v>
      </c>
      <c r="I5649" t="n">
        <v>0</v>
      </c>
      <c r="J5649" t="n">
        <v>0</v>
      </c>
      <c r="K5649" t="n">
        <v>0</v>
      </c>
      <c r="L5649" t="n">
        <v>0</v>
      </c>
      <c r="M5649" t="n">
        <v>0</v>
      </c>
      <c r="N5649" t="n">
        <v>0</v>
      </c>
      <c r="O5649" t="n">
        <v>0</v>
      </c>
      <c r="P5649" t="n">
        <v>0</v>
      </c>
      <c r="Q5649" t="n">
        <v>0</v>
      </c>
      <c r="R5649" s="2" t="inlineStr"/>
    </row>
    <row r="5650" ht="15" customHeight="1">
      <c r="A5650" t="inlineStr">
        <is>
          <t>A 8630-2026</t>
        </is>
      </c>
      <c r="B5650" s="1" t="n">
        <v>46066.33487268518</v>
      </c>
      <c r="C5650" s="1" t="n">
        <v>46185</v>
      </c>
      <c r="D5650" t="inlineStr">
        <is>
          <t>VÄSTERNORRLANDS LÄN</t>
        </is>
      </c>
      <c r="E5650" t="inlineStr">
        <is>
          <t>TIMRÅ</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30692-2021</t>
        </is>
      </c>
      <c r="B5651" s="1" t="n">
        <v>44365</v>
      </c>
      <c r="C5651" s="1" t="n">
        <v>46185</v>
      </c>
      <c r="D5651" t="inlineStr">
        <is>
          <t>VÄSTERNORRLANDS LÄN</t>
        </is>
      </c>
      <c r="E5651" t="inlineStr">
        <is>
          <t>SOLLEFTEÅ</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8463-2026</t>
        </is>
      </c>
      <c r="B5652" s="1" t="n">
        <v>46065.43620370371</v>
      </c>
      <c r="C5652" s="1" t="n">
        <v>46185</v>
      </c>
      <c r="D5652" t="inlineStr">
        <is>
          <t>VÄSTERNORRLANDS LÄN</t>
        </is>
      </c>
      <c r="E5652" t="inlineStr">
        <is>
          <t>SUNDSVALL</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56156-2025</t>
        </is>
      </c>
      <c r="B5653" s="1" t="n">
        <v>45974.36638888889</v>
      </c>
      <c r="C5653" s="1" t="n">
        <v>46185</v>
      </c>
      <c r="D5653" t="inlineStr">
        <is>
          <t>VÄSTERNORRLANDS LÄN</t>
        </is>
      </c>
      <c r="E5653" t="inlineStr">
        <is>
          <t>KRAMFORS</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8647-2026</t>
        </is>
      </c>
      <c r="B5654" s="1" t="n">
        <v>46065</v>
      </c>
      <c r="C5654" s="1" t="n">
        <v>46185</v>
      </c>
      <c r="D5654" t="inlineStr">
        <is>
          <t>VÄSTERNORRLANDS LÄN</t>
        </is>
      </c>
      <c r="E5654" t="inlineStr">
        <is>
          <t>SOLLEFTEÅ</t>
        </is>
      </c>
      <c r="F5654" t="inlineStr">
        <is>
          <t>Övriga Aktiebolag</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8666-2026</t>
        </is>
      </c>
      <c r="B5655" s="1" t="n">
        <v>46066.38591435185</v>
      </c>
      <c r="C5655" s="1" t="n">
        <v>46185</v>
      </c>
      <c r="D5655" t="inlineStr">
        <is>
          <t>VÄSTERNORRLANDS LÄN</t>
        </is>
      </c>
      <c r="E5655" t="inlineStr">
        <is>
          <t>SOLLEFTEÅ</t>
        </is>
      </c>
      <c r="F5655" t="inlineStr">
        <is>
          <t>SCA</t>
        </is>
      </c>
      <c r="G5655" t="n">
        <v>27.7</v>
      </c>
      <c r="H5655" t="n">
        <v>0</v>
      </c>
      <c r="I5655" t="n">
        <v>0</v>
      </c>
      <c r="J5655" t="n">
        <v>0</v>
      </c>
      <c r="K5655" t="n">
        <v>0</v>
      </c>
      <c r="L5655" t="n">
        <v>0</v>
      </c>
      <c r="M5655" t="n">
        <v>0</v>
      </c>
      <c r="N5655" t="n">
        <v>0</v>
      </c>
      <c r="O5655" t="n">
        <v>0</v>
      </c>
      <c r="P5655" t="n">
        <v>0</v>
      </c>
      <c r="Q5655" t="n">
        <v>0</v>
      </c>
      <c r="R5655" s="2" t="inlineStr"/>
    </row>
    <row r="5656" ht="15" customHeight="1">
      <c r="A5656" t="inlineStr">
        <is>
          <t>A 8688-2026</t>
        </is>
      </c>
      <c r="B5656" s="1" t="n">
        <v>46066.44523148148</v>
      </c>
      <c r="C5656" s="1" t="n">
        <v>46185</v>
      </c>
      <c r="D5656" t="inlineStr">
        <is>
          <t>VÄSTERNORRLANDS LÄN</t>
        </is>
      </c>
      <c r="E5656" t="inlineStr">
        <is>
          <t>SUNDSVALL</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48612-2022</t>
        </is>
      </c>
      <c r="B5657" s="1" t="n">
        <v>44854</v>
      </c>
      <c r="C5657" s="1" t="n">
        <v>46185</v>
      </c>
      <c r="D5657" t="inlineStr">
        <is>
          <t>VÄSTERNORRLANDS LÄN</t>
        </is>
      </c>
      <c r="E5657" t="inlineStr">
        <is>
          <t>ÖRNSKÖLDSVIK</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56278-2025</t>
        </is>
      </c>
      <c r="B5658" s="1" t="n">
        <v>45974.58819444444</v>
      </c>
      <c r="C5658" s="1" t="n">
        <v>46185</v>
      </c>
      <c r="D5658" t="inlineStr">
        <is>
          <t>VÄSTERNORRLANDS LÄN</t>
        </is>
      </c>
      <c r="E5658" t="inlineStr">
        <is>
          <t>KRAMFORS</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41370-2023</t>
        </is>
      </c>
      <c r="B5659" s="1" t="n">
        <v>45174.85951388889</v>
      </c>
      <c r="C5659" s="1" t="n">
        <v>46185</v>
      </c>
      <c r="D5659" t="inlineStr">
        <is>
          <t>VÄSTERNORRLANDS LÄN</t>
        </is>
      </c>
      <c r="E5659" t="inlineStr">
        <is>
          <t>ÅNGE</t>
        </is>
      </c>
      <c r="F5659" t="inlineStr">
        <is>
          <t>Sveaskog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56160-2025</t>
        </is>
      </c>
      <c r="B5660" s="1" t="n">
        <v>45974.37546296296</v>
      </c>
      <c r="C5660" s="1" t="n">
        <v>46185</v>
      </c>
      <c r="D5660" t="inlineStr">
        <is>
          <t>VÄSTERNORRLANDS LÄN</t>
        </is>
      </c>
      <c r="E5660" t="inlineStr">
        <is>
          <t>ÖRNSKÖLDSVIK</t>
        </is>
      </c>
      <c r="F5660" t="inlineStr">
        <is>
          <t>Holmen skog AB</t>
        </is>
      </c>
      <c r="G5660" t="n">
        <v>11.8</v>
      </c>
      <c r="H5660" t="n">
        <v>0</v>
      </c>
      <c r="I5660" t="n">
        <v>0</v>
      </c>
      <c r="J5660" t="n">
        <v>0</v>
      </c>
      <c r="K5660" t="n">
        <v>0</v>
      </c>
      <c r="L5660" t="n">
        <v>0</v>
      </c>
      <c r="M5660" t="n">
        <v>0</v>
      </c>
      <c r="N5660" t="n">
        <v>0</v>
      </c>
      <c r="O5660" t="n">
        <v>0</v>
      </c>
      <c r="P5660" t="n">
        <v>0</v>
      </c>
      <c r="Q5660" t="n">
        <v>0</v>
      </c>
      <c r="R5660" s="2" t="inlineStr"/>
    </row>
    <row r="5661" ht="15" customHeight="1">
      <c r="A5661" t="inlineStr">
        <is>
          <t>A 8638-2026</t>
        </is>
      </c>
      <c r="B5661" s="1" t="n">
        <v>46066.3546875</v>
      </c>
      <c r="C5661" s="1" t="n">
        <v>46185</v>
      </c>
      <c r="D5661" t="inlineStr">
        <is>
          <t>VÄSTERNORRLANDS LÄN</t>
        </is>
      </c>
      <c r="E5661" t="inlineStr">
        <is>
          <t>ÅNGE</t>
        </is>
      </c>
      <c r="F5661" t="inlineStr">
        <is>
          <t>SCA</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8834-2026</t>
        </is>
      </c>
      <c r="B5662" s="1" t="n">
        <v>46066.63671296297</v>
      </c>
      <c r="C5662" s="1" t="n">
        <v>46185</v>
      </c>
      <c r="D5662" t="inlineStr">
        <is>
          <t>VÄSTERNORRLANDS LÄN</t>
        </is>
      </c>
      <c r="E5662" t="inlineStr">
        <is>
          <t>SOLLEFTEÅ</t>
        </is>
      </c>
      <c r="F5662" t="inlineStr">
        <is>
          <t>SCA</t>
        </is>
      </c>
      <c r="G5662" t="n">
        <v>28.4</v>
      </c>
      <c r="H5662" t="n">
        <v>0</v>
      </c>
      <c r="I5662" t="n">
        <v>0</v>
      </c>
      <c r="J5662" t="n">
        <v>0</v>
      </c>
      <c r="K5662" t="n">
        <v>0</v>
      </c>
      <c r="L5662" t="n">
        <v>0</v>
      </c>
      <c r="M5662" t="n">
        <v>0</v>
      </c>
      <c r="N5662" t="n">
        <v>0</v>
      </c>
      <c r="O5662" t="n">
        <v>0</v>
      </c>
      <c r="P5662" t="n">
        <v>0</v>
      </c>
      <c r="Q5662" t="n">
        <v>0</v>
      </c>
      <c r="R5662" s="2" t="inlineStr"/>
    </row>
    <row r="5663" ht="15" customHeight="1">
      <c r="A5663" t="inlineStr">
        <is>
          <t>A 55933-2025</t>
        </is>
      </c>
      <c r="B5663" s="1" t="n">
        <v>45973.4406712963</v>
      </c>
      <c r="C5663" s="1" t="n">
        <v>46185</v>
      </c>
      <c r="D5663" t="inlineStr">
        <is>
          <t>VÄSTERNORRLANDS LÄN</t>
        </is>
      </c>
      <c r="E5663" t="inlineStr">
        <is>
          <t>ÖRNSKÖLDSVIK</t>
        </is>
      </c>
      <c r="F5663" t="inlineStr">
        <is>
          <t>Holmen skog AB</t>
        </is>
      </c>
      <c r="G5663" t="n">
        <v>4.8</v>
      </c>
      <c r="H5663" t="n">
        <v>0</v>
      </c>
      <c r="I5663" t="n">
        <v>0</v>
      </c>
      <c r="J5663" t="n">
        <v>0</v>
      </c>
      <c r="K5663" t="n">
        <v>0</v>
      </c>
      <c r="L5663" t="n">
        <v>0</v>
      </c>
      <c r="M5663" t="n">
        <v>0</v>
      </c>
      <c r="N5663" t="n">
        <v>0</v>
      </c>
      <c r="O5663" t="n">
        <v>0</v>
      </c>
      <c r="P5663" t="n">
        <v>0</v>
      </c>
      <c r="Q5663" t="n">
        <v>0</v>
      </c>
      <c r="R5663" s="2" t="inlineStr"/>
    </row>
    <row r="5664" ht="15" customHeight="1">
      <c r="A5664" t="inlineStr">
        <is>
          <t>A 55935-2025</t>
        </is>
      </c>
      <c r="B5664" s="1" t="n">
        <v>45973.44372685185</v>
      </c>
      <c r="C5664" s="1" t="n">
        <v>46185</v>
      </c>
      <c r="D5664" t="inlineStr">
        <is>
          <t>VÄSTERNORRLANDS LÄN</t>
        </is>
      </c>
      <c r="E5664" t="inlineStr">
        <is>
          <t>ÖRNSKÖLDSVIK</t>
        </is>
      </c>
      <c r="F5664" t="inlineStr">
        <is>
          <t>Holmen skog AB</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55904-2025</t>
        </is>
      </c>
      <c r="B5665" s="1" t="n">
        <v>45973.39056712963</v>
      </c>
      <c r="C5665" s="1" t="n">
        <v>46185</v>
      </c>
      <c r="D5665" t="inlineStr">
        <is>
          <t>VÄSTERNORRLANDS LÄN</t>
        </is>
      </c>
      <c r="E5665" t="inlineStr">
        <is>
          <t>ÖRNSKÖLDSVIK</t>
        </is>
      </c>
      <c r="F5665" t="inlineStr">
        <is>
          <t>Holmen skog AB</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52759-2023</t>
        </is>
      </c>
      <c r="B5666" s="1" t="n">
        <v>45225</v>
      </c>
      <c r="C5666" s="1" t="n">
        <v>46185</v>
      </c>
      <c r="D5666" t="inlineStr">
        <is>
          <t>VÄSTERNORRLANDS LÄN</t>
        </is>
      </c>
      <c r="E5666" t="inlineStr">
        <is>
          <t>SUNDSVALL</t>
        </is>
      </c>
      <c r="F5666" t="inlineStr">
        <is>
          <t>SCA</t>
        </is>
      </c>
      <c r="G5666" t="n">
        <v>6.3</v>
      </c>
      <c r="H5666" t="n">
        <v>0</v>
      </c>
      <c r="I5666" t="n">
        <v>0</v>
      </c>
      <c r="J5666" t="n">
        <v>0</v>
      </c>
      <c r="K5666" t="n">
        <v>0</v>
      </c>
      <c r="L5666" t="n">
        <v>0</v>
      </c>
      <c r="M5666" t="n">
        <v>0</v>
      </c>
      <c r="N5666" t="n">
        <v>0</v>
      </c>
      <c r="O5666" t="n">
        <v>0</v>
      </c>
      <c r="P5666" t="n">
        <v>0</v>
      </c>
      <c r="Q5666" t="n">
        <v>0</v>
      </c>
      <c r="R5666" s="2" t="inlineStr"/>
    </row>
    <row r="5667" ht="15" customHeight="1">
      <c r="A5667" t="inlineStr">
        <is>
          <t>A 56358-2025</t>
        </is>
      </c>
      <c r="B5667" s="1" t="n">
        <v>45974.66315972222</v>
      </c>
      <c r="C5667" s="1" t="n">
        <v>46185</v>
      </c>
      <c r="D5667" t="inlineStr">
        <is>
          <t>VÄSTERNORRLANDS LÄN</t>
        </is>
      </c>
      <c r="E5667" t="inlineStr">
        <is>
          <t>KRAMFORS</t>
        </is>
      </c>
      <c r="G5667" t="n">
        <v>5.3</v>
      </c>
      <c r="H5667" t="n">
        <v>0</v>
      </c>
      <c r="I5667" t="n">
        <v>0</v>
      </c>
      <c r="J5667" t="n">
        <v>0</v>
      </c>
      <c r="K5667" t="n">
        <v>0</v>
      </c>
      <c r="L5667" t="n">
        <v>0</v>
      </c>
      <c r="M5667" t="n">
        <v>0</v>
      </c>
      <c r="N5667" t="n">
        <v>0</v>
      </c>
      <c r="O5667" t="n">
        <v>0</v>
      </c>
      <c r="P5667" t="n">
        <v>0</v>
      </c>
      <c r="Q5667" t="n">
        <v>0</v>
      </c>
      <c r="R5667" s="2" t="inlineStr"/>
    </row>
    <row r="5668" ht="15" customHeight="1">
      <c r="A5668" t="inlineStr">
        <is>
          <t>A 56359-2025</t>
        </is>
      </c>
      <c r="B5668" s="1" t="n">
        <v>45974.66335648148</v>
      </c>
      <c r="C5668" s="1" t="n">
        <v>46185</v>
      </c>
      <c r="D5668" t="inlineStr">
        <is>
          <t>VÄSTERNORRLANDS LÄN</t>
        </is>
      </c>
      <c r="E5668" t="inlineStr">
        <is>
          <t>KRAMFORS</t>
        </is>
      </c>
      <c r="G5668" t="n">
        <v>5.3</v>
      </c>
      <c r="H5668" t="n">
        <v>0</v>
      </c>
      <c r="I5668" t="n">
        <v>0</v>
      </c>
      <c r="J5668" t="n">
        <v>0</v>
      </c>
      <c r="K5668" t="n">
        <v>0</v>
      </c>
      <c r="L5668" t="n">
        <v>0</v>
      </c>
      <c r="M5668" t="n">
        <v>0</v>
      </c>
      <c r="N5668" t="n">
        <v>0</v>
      </c>
      <c r="O5668" t="n">
        <v>0</v>
      </c>
      <c r="P5668" t="n">
        <v>0</v>
      </c>
      <c r="Q5668" t="n">
        <v>0</v>
      </c>
      <c r="R5668" s="2" t="inlineStr"/>
    </row>
    <row r="5669" ht="15" customHeight="1">
      <c r="A5669" t="inlineStr">
        <is>
          <t>A 8569-2026</t>
        </is>
      </c>
      <c r="B5669" s="1" t="n">
        <v>46065.67476851852</v>
      </c>
      <c r="C5669" s="1" t="n">
        <v>46185</v>
      </c>
      <c r="D5669" t="inlineStr">
        <is>
          <t>VÄSTERNORRLANDS LÄN</t>
        </is>
      </c>
      <c r="E5669" t="inlineStr">
        <is>
          <t>ÅNGE</t>
        </is>
      </c>
      <c r="F5669" t="inlineStr">
        <is>
          <t>SCA</t>
        </is>
      </c>
      <c r="G5669" t="n">
        <v>30.5</v>
      </c>
      <c r="H5669" t="n">
        <v>0</v>
      </c>
      <c r="I5669" t="n">
        <v>0</v>
      </c>
      <c r="J5669" t="n">
        <v>0</v>
      </c>
      <c r="K5669" t="n">
        <v>0</v>
      </c>
      <c r="L5669" t="n">
        <v>0</v>
      </c>
      <c r="M5669" t="n">
        <v>0</v>
      </c>
      <c r="N5669" t="n">
        <v>0</v>
      </c>
      <c r="O5669" t="n">
        <v>0</v>
      </c>
      <c r="P5669" t="n">
        <v>0</v>
      </c>
      <c r="Q5669" t="n">
        <v>0</v>
      </c>
      <c r="R5669" s="2" t="inlineStr"/>
    </row>
    <row r="5670" ht="15" customHeight="1">
      <c r="A5670" t="inlineStr">
        <is>
          <t>A 38284-2022</t>
        </is>
      </c>
      <c r="B5670" s="1" t="n">
        <v>44812.55149305556</v>
      </c>
      <c r="C5670" s="1" t="n">
        <v>46185</v>
      </c>
      <c r="D5670" t="inlineStr">
        <is>
          <t>VÄSTERNORRLANDS LÄN</t>
        </is>
      </c>
      <c r="E5670" t="inlineStr">
        <is>
          <t>ÅNGE</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55773-2025</t>
        </is>
      </c>
      <c r="B5671" s="1" t="n">
        <v>45972.61591435185</v>
      </c>
      <c r="C5671" s="1" t="n">
        <v>46185</v>
      </c>
      <c r="D5671" t="inlineStr">
        <is>
          <t>VÄSTERNORRLANDS LÄN</t>
        </is>
      </c>
      <c r="E5671" t="inlineStr">
        <is>
          <t>HÄRNÖSAND</t>
        </is>
      </c>
      <c r="F5671" t="inlineStr">
        <is>
          <t>SCA</t>
        </is>
      </c>
      <c r="G5671" t="n">
        <v>12.2</v>
      </c>
      <c r="H5671" t="n">
        <v>0</v>
      </c>
      <c r="I5671" t="n">
        <v>0</v>
      </c>
      <c r="J5671" t="n">
        <v>0</v>
      </c>
      <c r="K5671" t="n">
        <v>0</v>
      </c>
      <c r="L5671" t="n">
        <v>0</v>
      </c>
      <c r="M5671" t="n">
        <v>0</v>
      </c>
      <c r="N5671" t="n">
        <v>0</v>
      </c>
      <c r="O5671" t="n">
        <v>0</v>
      </c>
      <c r="P5671" t="n">
        <v>0</v>
      </c>
      <c r="Q5671" t="n">
        <v>0</v>
      </c>
      <c r="R5671" s="2" t="inlineStr"/>
    </row>
    <row r="5672" ht="15" customHeight="1">
      <c r="A5672" t="inlineStr">
        <is>
          <t>A 55960-2025</t>
        </is>
      </c>
      <c r="B5672" s="1" t="n">
        <v>45973.47875</v>
      </c>
      <c r="C5672" s="1" t="n">
        <v>46185</v>
      </c>
      <c r="D5672" t="inlineStr">
        <is>
          <t>VÄSTERNORRLANDS LÄN</t>
        </is>
      </c>
      <c r="E5672" t="inlineStr">
        <is>
          <t>ÖRNSKÖLDSVIK</t>
        </is>
      </c>
      <c r="F5672" t="inlineStr">
        <is>
          <t>Holmen skog AB</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56393-2025</t>
        </is>
      </c>
      <c r="B5673" s="1" t="n">
        <v>45974.74042824074</v>
      </c>
      <c r="C5673" s="1" t="n">
        <v>46185</v>
      </c>
      <c r="D5673" t="inlineStr">
        <is>
          <t>VÄSTERNORRLANDS LÄN</t>
        </is>
      </c>
      <c r="E5673" t="inlineStr">
        <is>
          <t>SOLLEFTEÅ</t>
        </is>
      </c>
      <c r="F5673" t="inlineStr">
        <is>
          <t>Holmen skog AB</t>
        </is>
      </c>
      <c r="G5673" t="n">
        <v>6</v>
      </c>
      <c r="H5673" t="n">
        <v>0</v>
      </c>
      <c r="I5673" t="n">
        <v>0</v>
      </c>
      <c r="J5673" t="n">
        <v>0</v>
      </c>
      <c r="K5673" t="n">
        <v>0</v>
      </c>
      <c r="L5673" t="n">
        <v>0</v>
      </c>
      <c r="M5673" t="n">
        <v>0</v>
      </c>
      <c r="N5673" t="n">
        <v>0</v>
      </c>
      <c r="O5673" t="n">
        <v>0</v>
      </c>
      <c r="P5673" t="n">
        <v>0</v>
      </c>
      <c r="Q5673" t="n">
        <v>0</v>
      </c>
      <c r="R5673" s="2" t="inlineStr"/>
    </row>
    <row r="5674" ht="15" customHeight="1">
      <c r="A5674" t="inlineStr">
        <is>
          <t>A 56222-2025</t>
        </is>
      </c>
      <c r="B5674" s="1" t="n">
        <v>45974.50135416666</v>
      </c>
      <c r="C5674" s="1" t="n">
        <v>46185</v>
      </c>
      <c r="D5674" t="inlineStr">
        <is>
          <t>VÄSTERNORRLANDS LÄN</t>
        </is>
      </c>
      <c r="E5674" t="inlineStr">
        <is>
          <t>ÖRNSKÖLDSVIK</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8692-2026</t>
        </is>
      </c>
      <c r="B5675" s="1" t="n">
        <v>46066.44842592593</v>
      </c>
      <c r="C5675" s="1" t="n">
        <v>46185</v>
      </c>
      <c r="D5675" t="inlineStr">
        <is>
          <t>VÄSTERNORRLANDS LÄN</t>
        </is>
      </c>
      <c r="E5675" t="inlineStr">
        <is>
          <t>SOLLEFTEÅ</t>
        </is>
      </c>
      <c r="G5675" t="n">
        <v>5.3</v>
      </c>
      <c r="H5675" t="n">
        <v>0</v>
      </c>
      <c r="I5675" t="n">
        <v>0</v>
      </c>
      <c r="J5675" t="n">
        <v>0</v>
      </c>
      <c r="K5675" t="n">
        <v>0</v>
      </c>
      <c r="L5675" t="n">
        <v>0</v>
      </c>
      <c r="M5675" t="n">
        <v>0</v>
      </c>
      <c r="N5675" t="n">
        <v>0</v>
      </c>
      <c r="O5675" t="n">
        <v>0</v>
      </c>
      <c r="P5675" t="n">
        <v>0</v>
      </c>
      <c r="Q5675" t="n">
        <v>0</v>
      </c>
      <c r="R5675" s="2" t="inlineStr"/>
    </row>
    <row r="5676" ht="15" customHeight="1">
      <c r="A5676" t="inlineStr">
        <is>
          <t>A 56223-2025</t>
        </is>
      </c>
      <c r="B5676" s="1" t="n">
        <v>45974.50142361111</v>
      </c>
      <c r="C5676" s="1" t="n">
        <v>46185</v>
      </c>
      <c r="D5676" t="inlineStr">
        <is>
          <t>VÄSTERNORRLANDS LÄN</t>
        </is>
      </c>
      <c r="E5676" t="inlineStr">
        <is>
          <t>ÖRNSKÖLDSVIK</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56356-2023</t>
        </is>
      </c>
      <c r="B5677" s="1" t="n">
        <v>45236</v>
      </c>
      <c r="C5677" s="1" t="n">
        <v>46185</v>
      </c>
      <c r="D5677" t="inlineStr">
        <is>
          <t>VÄSTERNORRLANDS LÄN</t>
        </is>
      </c>
      <c r="E5677" t="inlineStr">
        <is>
          <t>SOLLEFTEÅ</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56339-2025</t>
        </is>
      </c>
      <c r="B5678" s="1" t="n">
        <v>45974.64638888889</v>
      </c>
      <c r="C5678" s="1" t="n">
        <v>46185</v>
      </c>
      <c r="D5678" t="inlineStr">
        <is>
          <t>VÄSTERNORRLANDS LÄN</t>
        </is>
      </c>
      <c r="E5678" t="inlineStr">
        <is>
          <t>KRAMFORS</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55686-2025</t>
        </is>
      </c>
      <c r="B5679" s="1" t="n">
        <v>45972.42771990741</v>
      </c>
      <c r="C5679" s="1" t="n">
        <v>46185</v>
      </c>
      <c r="D5679" t="inlineStr">
        <is>
          <t>VÄSTERNORRLANDS LÄN</t>
        </is>
      </c>
      <c r="E5679" t="inlineStr">
        <is>
          <t>SOLLEFTEÅ</t>
        </is>
      </c>
      <c r="F5679" t="inlineStr">
        <is>
          <t>SCA</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7014-2025</t>
        </is>
      </c>
      <c r="B5680" s="1" t="n">
        <v>45701.61085648148</v>
      </c>
      <c r="C5680" s="1" t="n">
        <v>46185</v>
      </c>
      <c r="D5680" t="inlineStr">
        <is>
          <t>VÄSTERNORRLANDS LÄN</t>
        </is>
      </c>
      <c r="E5680" t="inlineStr">
        <is>
          <t>SOLLEFTEÅ</t>
        </is>
      </c>
      <c r="G5680" t="n">
        <v>9.6</v>
      </c>
      <c r="H5680" t="n">
        <v>0</v>
      </c>
      <c r="I5680" t="n">
        <v>0</v>
      </c>
      <c r="J5680" t="n">
        <v>0</v>
      </c>
      <c r="K5680" t="n">
        <v>0</v>
      </c>
      <c r="L5680" t="n">
        <v>0</v>
      </c>
      <c r="M5680" t="n">
        <v>0</v>
      </c>
      <c r="N5680" t="n">
        <v>0</v>
      </c>
      <c r="O5680" t="n">
        <v>0</v>
      </c>
      <c r="P5680" t="n">
        <v>0</v>
      </c>
      <c r="Q5680" t="n">
        <v>0</v>
      </c>
      <c r="R5680" s="2" t="inlineStr"/>
    </row>
    <row r="5681" ht="15" customHeight="1">
      <c r="A5681" t="inlineStr">
        <is>
          <t>A 58936-2024</t>
        </is>
      </c>
      <c r="B5681" s="1" t="n">
        <v>45636</v>
      </c>
      <c r="C5681" s="1" t="n">
        <v>46185</v>
      </c>
      <c r="D5681" t="inlineStr">
        <is>
          <t>VÄSTERNORRLANDS LÄN</t>
        </is>
      </c>
      <c r="E5681" t="inlineStr">
        <is>
          <t>ÖRNSKÖLDSVIK</t>
        </is>
      </c>
      <c r="G5681" t="n">
        <v>7.3</v>
      </c>
      <c r="H5681" t="n">
        <v>0</v>
      </c>
      <c r="I5681" t="n">
        <v>0</v>
      </c>
      <c r="J5681" t="n">
        <v>0</v>
      </c>
      <c r="K5681" t="n">
        <v>0</v>
      </c>
      <c r="L5681" t="n">
        <v>0</v>
      </c>
      <c r="M5681" t="n">
        <v>0</v>
      </c>
      <c r="N5681" t="n">
        <v>0</v>
      </c>
      <c r="O5681" t="n">
        <v>0</v>
      </c>
      <c r="P5681" t="n">
        <v>0</v>
      </c>
      <c r="Q5681" t="n">
        <v>0</v>
      </c>
      <c r="R5681" s="2" t="inlineStr"/>
    </row>
    <row r="5682" ht="15" customHeight="1">
      <c r="A5682" t="inlineStr">
        <is>
          <t>A 55645-2025</t>
        </is>
      </c>
      <c r="B5682" s="1" t="n">
        <v>45972.36501157407</v>
      </c>
      <c r="C5682" s="1" t="n">
        <v>46185</v>
      </c>
      <c r="D5682" t="inlineStr">
        <is>
          <t>VÄSTERNORRLANDS LÄN</t>
        </is>
      </c>
      <c r="E5682" t="inlineStr">
        <is>
          <t>SUNDSVALL</t>
        </is>
      </c>
      <c r="F5682" t="inlineStr">
        <is>
          <t>SCA</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55655-2025</t>
        </is>
      </c>
      <c r="B5683" s="1" t="n">
        <v>45972.38774305556</v>
      </c>
      <c r="C5683" s="1" t="n">
        <v>46185</v>
      </c>
      <c r="D5683" t="inlineStr">
        <is>
          <t>VÄSTERNORRLANDS LÄN</t>
        </is>
      </c>
      <c r="E5683" t="inlineStr">
        <is>
          <t>ÖRNSKÖLDSVIK</t>
        </is>
      </c>
      <c r="G5683" t="n">
        <v>8.9</v>
      </c>
      <c r="H5683" t="n">
        <v>0</v>
      </c>
      <c r="I5683" t="n">
        <v>0</v>
      </c>
      <c r="J5683" t="n">
        <v>0</v>
      </c>
      <c r="K5683" t="n">
        <v>0</v>
      </c>
      <c r="L5683" t="n">
        <v>0</v>
      </c>
      <c r="M5683" t="n">
        <v>0</v>
      </c>
      <c r="N5683" t="n">
        <v>0</v>
      </c>
      <c r="O5683" t="n">
        <v>0</v>
      </c>
      <c r="P5683" t="n">
        <v>0</v>
      </c>
      <c r="Q5683" t="n">
        <v>0</v>
      </c>
      <c r="R5683" s="2" t="inlineStr"/>
    </row>
    <row r="5684" ht="15" customHeight="1">
      <c r="A5684" t="inlineStr">
        <is>
          <t>A 40572-2021</t>
        </is>
      </c>
      <c r="B5684" s="1" t="n">
        <v>44420</v>
      </c>
      <c r="C5684" s="1" t="n">
        <v>46185</v>
      </c>
      <c r="D5684" t="inlineStr">
        <is>
          <t>VÄSTERNORRLANDS LÄN</t>
        </is>
      </c>
      <c r="E5684" t="inlineStr">
        <is>
          <t>ÖRNSKÖLDSVIK</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56355-2025</t>
        </is>
      </c>
      <c r="B5685" s="1" t="n">
        <v>45974.65967592593</v>
      </c>
      <c r="C5685" s="1" t="n">
        <v>46185</v>
      </c>
      <c r="D5685" t="inlineStr">
        <is>
          <t>VÄSTERNORRLANDS LÄN</t>
        </is>
      </c>
      <c r="E5685" t="inlineStr">
        <is>
          <t>KRAMFORS</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55988-2025</t>
        </is>
      </c>
      <c r="B5686" s="1" t="n">
        <v>45973.55482638889</v>
      </c>
      <c r="C5686" s="1" t="n">
        <v>46185</v>
      </c>
      <c r="D5686" t="inlineStr">
        <is>
          <t>VÄSTERNORRLANDS LÄN</t>
        </is>
      </c>
      <c r="E5686" t="inlineStr">
        <is>
          <t>ÖRNSKÖLDSVIK</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56074-2025</t>
        </is>
      </c>
      <c r="B5687" s="1" t="n">
        <v>45973.65700231482</v>
      </c>
      <c r="C5687" s="1" t="n">
        <v>46185</v>
      </c>
      <c r="D5687" t="inlineStr">
        <is>
          <t>VÄSTERNORRLANDS LÄN</t>
        </is>
      </c>
      <c r="E5687" t="inlineStr">
        <is>
          <t>SOLLEFTEÅ</t>
        </is>
      </c>
      <c r="F5687" t="inlineStr">
        <is>
          <t>SCA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56077-2025</t>
        </is>
      </c>
      <c r="B5688" s="1" t="n">
        <v>45973.65759259259</v>
      </c>
      <c r="C5688" s="1" t="n">
        <v>46185</v>
      </c>
      <c r="D5688" t="inlineStr">
        <is>
          <t>VÄSTERNORRLANDS LÄN</t>
        </is>
      </c>
      <c r="E5688" t="inlineStr">
        <is>
          <t>ÅNGE</t>
        </is>
      </c>
      <c r="F5688" t="inlineStr">
        <is>
          <t>SCA</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55819-2025</t>
        </is>
      </c>
      <c r="B5689" s="1" t="n">
        <v>45972</v>
      </c>
      <c r="C5689" s="1" t="n">
        <v>46185</v>
      </c>
      <c r="D5689" t="inlineStr">
        <is>
          <t>VÄSTERNORRLANDS LÄN</t>
        </is>
      </c>
      <c r="E5689" t="inlineStr">
        <is>
          <t>SOLLEFTEÅ</t>
        </is>
      </c>
      <c r="F5689" t="inlineStr">
        <is>
          <t>SCA</t>
        </is>
      </c>
      <c r="G5689" t="n">
        <v>6</v>
      </c>
      <c r="H5689" t="n">
        <v>0</v>
      </c>
      <c r="I5689" t="n">
        <v>0</v>
      </c>
      <c r="J5689" t="n">
        <v>0</v>
      </c>
      <c r="K5689" t="n">
        <v>0</v>
      </c>
      <c r="L5689" t="n">
        <v>0</v>
      </c>
      <c r="M5689" t="n">
        <v>0</v>
      </c>
      <c r="N5689" t="n">
        <v>0</v>
      </c>
      <c r="O5689" t="n">
        <v>0</v>
      </c>
      <c r="P5689" t="n">
        <v>0</v>
      </c>
      <c r="Q5689" t="n">
        <v>0</v>
      </c>
      <c r="R5689" s="2" t="inlineStr"/>
    </row>
    <row r="5690" ht="15" customHeight="1">
      <c r="A5690" t="inlineStr">
        <is>
          <t>A 55862-2025</t>
        </is>
      </c>
      <c r="B5690" s="1" t="n">
        <v>45973.34611111111</v>
      </c>
      <c r="C5690" s="1" t="n">
        <v>46185</v>
      </c>
      <c r="D5690" t="inlineStr">
        <is>
          <t>VÄSTERNORRLANDS LÄN</t>
        </is>
      </c>
      <c r="E5690" t="inlineStr">
        <is>
          <t>ÖRNSKÖLDSVIK</t>
        </is>
      </c>
      <c r="F5690" t="inlineStr">
        <is>
          <t>Holmen skog AB</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55816-2025</t>
        </is>
      </c>
      <c r="B5691" s="1" t="n">
        <v>45972.69851851852</v>
      </c>
      <c r="C5691" s="1" t="n">
        <v>46185</v>
      </c>
      <c r="D5691" t="inlineStr">
        <is>
          <t>VÄSTERNORRLANDS LÄN</t>
        </is>
      </c>
      <c r="E5691" t="inlineStr">
        <is>
          <t>ÅNGE</t>
        </is>
      </c>
      <c r="F5691" t="inlineStr">
        <is>
          <t>SCA</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30353-2024</t>
        </is>
      </c>
      <c r="B5692" s="1" t="n">
        <v>45490.95567129629</v>
      </c>
      <c r="C5692" s="1" t="n">
        <v>46185</v>
      </c>
      <c r="D5692" t="inlineStr">
        <is>
          <t>VÄSTERNORRLANDS LÄN</t>
        </is>
      </c>
      <c r="E5692" t="inlineStr">
        <is>
          <t>ÅNGE</t>
        </is>
      </c>
      <c r="F5692" t="inlineStr">
        <is>
          <t>SCA</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55994-2025</t>
        </is>
      </c>
      <c r="B5693" s="1" t="n">
        <v>45973.56327546296</v>
      </c>
      <c r="C5693" s="1" t="n">
        <v>46185</v>
      </c>
      <c r="D5693" t="inlineStr">
        <is>
          <t>VÄSTERNORRLANDS LÄN</t>
        </is>
      </c>
      <c r="E5693" t="inlineStr">
        <is>
          <t>ÖRNSKÖLDSVIK</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56153-2025</t>
        </is>
      </c>
      <c r="B5694" s="1" t="n">
        <v>45974.36501157407</v>
      </c>
      <c r="C5694" s="1" t="n">
        <v>46185</v>
      </c>
      <c r="D5694" t="inlineStr">
        <is>
          <t>VÄSTERNORRLANDS LÄN</t>
        </is>
      </c>
      <c r="E5694" t="inlineStr">
        <is>
          <t>ÖRNSKÖLDSVIK</t>
        </is>
      </c>
      <c r="F5694" t="inlineStr">
        <is>
          <t>SCA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8415-2026</t>
        </is>
      </c>
      <c r="B5695" s="1" t="n">
        <v>46065</v>
      </c>
      <c r="C5695" s="1" t="n">
        <v>46185</v>
      </c>
      <c r="D5695" t="inlineStr">
        <is>
          <t>VÄSTERNORRLANDS LÄN</t>
        </is>
      </c>
      <c r="E5695" t="inlineStr">
        <is>
          <t>HÄRNÖSAND</t>
        </is>
      </c>
      <c r="F5695" t="inlineStr">
        <is>
          <t>Kyrkan</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35217-2024</t>
        </is>
      </c>
      <c r="B5696" s="1" t="n">
        <v>45530</v>
      </c>
      <c r="C5696" s="1" t="n">
        <v>46185</v>
      </c>
      <c r="D5696" t="inlineStr">
        <is>
          <t>VÄSTERNORRLANDS LÄN</t>
        </is>
      </c>
      <c r="E5696" t="inlineStr">
        <is>
          <t>SOLLEFTEÅ</t>
        </is>
      </c>
      <c r="F5696" t="inlineStr">
        <is>
          <t>Kommuner</t>
        </is>
      </c>
      <c r="G5696" t="n">
        <v>4.8</v>
      </c>
      <c r="H5696" t="n">
        <v>0</v>
      </c>
      <c r="I5696" t="n">
        <v>0</v>
      </c>
      <c r="J5696" t="n">
        <v>0</v>
      </c>
      <c r="K5696" t="n">
        <v>0</v>
      </c>
      <c r="L5696" t="n">
        <v>0</v>
      </c>
      <c r="M5696" t="n">
        <v>0</v>
      </c>
      <c r="N5696" t="n">
        <v>0</v>
      </c>
      <c r="O5696" t="n">
        <v>0</v>
      </c>
      <c r="P5696" t="n">
        <v>0</v>
      </c>
      <c r="Q5696" t="n">
        <v>0</v>
      </c>
      <c r="R5696" s="2" t="inlineStr"/>
    </row>
    <row r="5697" ht="15" customHeight="1">
      <c r="A5697" t="inlineStr">
        <is>
          <t>A 55954-2025</t>
        </is>
      </c>
      <c r="B5697" s="1" t="n">
        <v>45973.47315972222</v>
      </c>
      <c r="C5697" s="1" t="n">
        <v>46185</v>
      </c>
      <c r="D5697" t="inlineStr">
        <is>
          <t>VÄSTERNORRLANDS LÄN</t>
        </is>
      </c>
      <c r="E5697" t="inlineStr">
        <is>
          <t>ÖRNSKÖLDSVIK</t>
        </is>
      </c>
      <c r="F5697" t="inlineStr">
        <is>
          <t>Holmen skog AB</t>
        </is>
      </c>
      <c r="G5697" t="n">
        <v>12.4</v>
      </c>
      <c r="H5697" t="n">
        <v>0</v>
      </c>
      <c r="I5697" t="n">
        <v>0</v>
      </c>
      <c r="J5697" t="n">
        <v>0</v>
      </c>
      <c r="K5697" t="n">
        <v>0</v>
      </c>
      <c r="L5697" t="n">
        <v>0</v>
      </c>
      <c r="M5697" t="n">
        <v>0</v>
      </c>
      <c r="N5697" t="n">
        <v>0</v>
      </c>
      <c r="O5697" t="n">
        <v>0</v>
      </c>
      <c r="P5697" t="n">
        <v>0</v>
      </c>
      <c r="Q5697" t="n">
        <v>0</v>
      </c>
      <c r="R5697" s="2" t="inlineStr"/>
    </row>
    <row r="5698" ht="15" customHeight="1">
      <c r="A5698" t="inlineStr">
        <is>
          <t>A 40434-2022</t>
        </is>
      </c>
      <c r="B5698" s="1" t="n">
        <v>44819</v>
      </c>
      <c r="C5698" s="1" t="n">
        <v>46185</v>
      </c>
      <c r="D5698" t="inlineStr">
        <is>
          <t>VÄSTERNORRLANDS LÄN</t>
        </is>
      </c>
      <c r="E5698" t="inlineStr">
        <is>
          <t>KRAMFORS</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7938-2022</t>
        </is>
      </c>
      <c r="B5699" s="1" t="n">
        <v>44608</v>
      </c>
      <c r="C5699" s="1" t="n">
        <v>46185</v>
      </c>
      <c r="D5699" t="inlineStr">
        <is>
          <t>VÄSTERNORRLANDS LÄN</t>
        </is>
      </c>
      <c r="E5699" t="inlineStr">
        <is>
          <t>KRAMFORS</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14720-2025</t>
        </is>
      </c>
      <c r="B5700" s="1" t="n">
        <v>45742.62204861111</v>
      </c>
      <c r="C5700" s="1" t="n">
        <v>46185</v>
      </c>
      <c r="D5700" t="inlineStr">
        <is>
          <t>VÄSTERNORRLANDS LÄN</t>
        </is>
      </c>
      <c r="E5700" t="inlineStr">
        <is>
          <t>ÖRNSKÖLDSVIK</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12286-2026</t>
        </is>
      </c>
      <c r="B5701" s="1" t="n">
        <v>46066</v>
      </c>
      <c r="C5701" s="1" t="n">
        <v>46185</v>
      </c>
      <c r="D5701" t="inlineStr">
        <is>
          <t>VÄSTERNORRLANDS LÄN</t>
        </is>
      </c>
      <c r="E5701" t="inlineStr">
        <is>
          <t>TIMRÅ</t>
        </is>
      </c>
      <c r="G5701" t="n">
        <v>7</v>
      </c>
      <c r="H5701" t="n">
        <v>0</v>
      </c>
      <c r="I5701" t="n">
        <v>0</v>
      </c>
      <c r="J5701" t="n">
        <v>0</v>
      </c>
      <c r="K5701" t="n">
        <v>0</v>
      </c>
      <c r="L5701" t="n">
        <v>0</v>
      </c>
      <c r="M5701" t="n">
        <v>0</v>
      </c>
      <c r="N5701" t="n">
        <v>0</v>
      </c>
      <c r="O5701" t="n">
        <v>0</v>
      </c>
      <c r="P5701" t="n">
        <v>0</v>
      </c>
      <c r="Q5701" t="n">
        <v>0</v>
      </c>
      <c r="R5701" s="2" t="inlineStr"/>
    </row>
    <row r="5702" ht="15" customHeight="1">
      <c r="A5702" t="inlineStr">
        <is>
          <t>A 8432-2026</t>
        </is>
      </c>
      <c r="B5702" s="1" t="n">
        <v>46065.3862962963</v>
      </c>
      <c r="C5702" s="1" t="n">
        <v>46185</v>
      </c>
      <c r="D5702" t="inlineStr">
        <is>
          <t>VÄSTERNORRLANDS LÄN</t>
        </is>
      </c>
      <c r="E5702" t="inlineStr">
        <is>
          <t>ÅNGE</t>
        </is>
      </c>
      <c r="F5702" t="inlineStr">
        <is>
          <t>SCA</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8667-2026</t>
        </is>
      </c>
      <c r="B5703" s="1" t="n">
        <v>46066.38613425926</v>
      </c>
      <c r="C5703" s="1" t="n">
        <v>46185</v>
      </c>
      <c r="D5703" t="inlineStr">
        <is>
          <t>VÄSTERNORRLANDS LÄN</t>
        </is>
      </c>
      <c r="E5703" t="inlineStr">
        <is>
          <t>SOLLEFTEÅ</t>
        </is>
      </c>
      <c r="G5703" t="n">
        <v>10</v>
      </c>
      <c r="H5703" t="n">
        <v>0</v>
      </c>
      <c r="I5703" t="n">
        <v>0</v>
      </c>
      <c r="J5703" t="n">
        <v>0</v>
      </c>
      <c r="K5703" t="n">
        <v>0</v>
      </c>
      <c r="L5703" t="n">
        <v>0</v>
      </c>
      <c r="M5703" t="n">
        <v>0</v>
      </c>
      <c r="N5703" t="n">
        <v>0</v>
      </c>
      <c r="O5703" t="n">
        <v>0</v>
      </c>
      <c r="P5703" t="n">
        <v>0</v>
      </c>
      <c r="Q5703" t="n">
        <v>0</v>
      </c>
      <c r="R5703" s="2" t="inlineStr"/>
    </row>
    <row r="5704" ht="15" customHeight="1">
      <c r="A5704" t="inlineStr">
        <is>
          <t>A 11976-2022</t>
        </is>
      </c>
      <c r="B5704" s="1" t="n">
        <v>44635</v>
      </c>
      <c r="C5704" s="1" t="n">
        <v>46185</v>
      </c>
      <c r="D5704" t="inlineStr">
        <is>
          <t>VÄSTERNORRLANDS LÄN</t>
        </is>
      </c>
      <c r="E5704" t="inlineStr">
        <is>
          <t>ÖRNSKÖLDSVIK</t>
        </is>
      </c>
      <c r="G5704" t="n">
        <v>11.9</v>
      </c>
      <c r="H5704" t="n">
        <v>0</v>
      </c>
      <c r="I5704" t="n">
        <v>0</v>
      </c>
      <c r="J5704" t="n">
        <v>0</v>
      </c>
      <c r="K5704" t="n">
        <v>0</v>
      </c>
      <c r="L5704" t="n">
        <v>0</v>
      </c>
      <c r="M5704" t="n">
        <v>0</v>
      </c>
      <c r="N5704" t="n">
        <v>0</v>
      </c>
      <c r="O5704" t="n">
        <v>0</v>
      </c>
      <c r="P5704" t="n">
        <v>0</v>
      </c>
      <c r="Q5704" t="n">
        <v>0</v>
      </c>
      <c r="R5704" s="2" t="inlineStr"/>
    </row>
    <row r="5705" ht="15" customHeight="1">
      <c r="A5705" t="inlineStr">
        <is>
          <t>A 56019-2025</t>
        </is>
      </c>
      <c r="B5705" s="1" t="n">
        <v>45973.594375</v>
      </c>
      <c r="C5705" s="1" t="n">
        <v>46185</v>
      </c>
      <c r="D5705" t="inlineStr">
        <is>
          <t>VÄSTERNORRLANDS LÄN</t>
        </is>
      </c>
      <c r="E5705" t="inlineStr">
        <is>
          <t>SUNDSVALL</t>
        </is>
      </c>
      <c r="F5705" t="inlineStr">
        <is>
          <t>SCA</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56053-2025</t>
        </is>
      </c>
      <c r="B5706" s="1" t="n">
        <v>45973.63196759259</v>
      </c>
      <c r="C5706" s="1" t="n">
        <v>46185</v>
      </c>
      <c r="D5706" t="inlineStr">
        <is>
          <t>VÄSTERNORRLANDS LÄN</t>
        </is>
      </c>
      <c r="E5706" t="inlineStr">
        <is>
          <t>ÖRNSKÖLDSVIK</t>
        </is>
      </c>
      <c r="F5706" t="inlineStr">
        <is>
          <t>Holmen skog AB</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55881-2025</t>
        </is>
      </c>
      <c r="B5707" s="1" t="n">
        <v>45973.36530092593</v>
      </c>
      <c r="C5707" s="1" t="n">
        <v>46185</v>
      </c>
      <c r="D5707" t="inlineStr">
        <is>
          <t>VÄSTERNORRLANDS LÄN</t>
        </is>
      </c>
      <c r="E5707" t="inlineStr">
        <is>
          <t>SUNDSVALL</t>
        </is>
      </c>
      <c r="F5707" t="inlineStr">
        <is>
          <t>SCA</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56034-2025</t>
        </is>
      </c>
      <c r="B5708" s="1" t="n">
        <v>45973.6072337963</v>
      </c>
      <c r="C5708" s="1" t="n">
        <v>46185</v>
      </c>
      <c r="D5708" t="inlineStr">
        <is>
          <t>VÄSTERNORRLANDS LÄN</t>
        </is>
      </c>
      <c r="E5708" t="inlineStr">
        <is>
          <t>ÖRNSKÖLDSVIK</t>
        </is>
      </c>
      <c r="F5708" t="inlineStr">
        <is>
          <t>Holmen skog AB</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17946-2023</t>
        </is>
      </c>
      <c r="B5709" s="1" t="n">
        <v>45040</v>
      </c>
      <c r="C5709" s="1" t="n">
        <v>46185</v>
      </c>
      <c r="D5709" t="inlineStr">
        <is>
          <t>VÄSTERNORRLANDS LÄN</t>
        </is>
      </c>
      <c r="E5709" t="inlineStr">
        <is>
          <t>KRAMFORS</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8479-2026</t>
        </is>
      </c>
      <c r="B5710" s="1" t="n">
        <v>46065.45831018518</v>
      </c>
      <c r="C5710" s="1" t="n">
        <v>46185</v>
      </c>
      <c r="D5710" t="inlineStr">
        <is>
          <t>VÄSTERNORRLANDS LÄN</t>
        </is>
      </c>
      <c r="E5710" t="inlineStr">
        <is>
          <t>ÖRNSKÖLDSVIK</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8499-2026</t>
        </is>
      </c>
      <c r="B5711" s="1" t="n">
        <v>46065.49912037037</v>
      </c>
      <c r="C5711" s="1" t="n">
        <v>46185</v>
      </c>
      <c r="D5711" t="inlineStr">
        <is>
          <t>VÄSTERNORRLANDS LÄN</t>
        </is>
      </c>
      <c r="E5711" t="inlineStr">
        <is>
          <t>ÅNGE</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52404-2023</t>
        </is>
      </c>
      <c r="B5712" s="1" t="n">
        <v>45224.96506944444</v>
      </c>
      <c r="C5712" s="1" t="n">
        <v>46185</v>
      </c>
      <c r="D5712" t="inlineStr">
        <is>
          <t>VÄSTERNORRLANDS LÄN</t>
        </is>
      </c>
      <c r="E5712" t="inlineStr">
        <is>
          <t>SUNDSVALL</t>
        </is>
      </c>
      <c r="F5712" t="inlineStr">
        <is>
          <t>SCA</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52416-2023</t>
        </is>
      </c>
      <c r="B5713" s="1" t="n">
        <v>45225</v>
      </c>
      <c r="C5713" s="1" t="n">
        <v>46185</v>
      </c>
      <c r="D5713" t="inlineStr">
        <is>
          <t>VÄSTERNORRLANDS LÄN</t>
        </is>
      </c>
      <c r="E5713" t="inlineStr">
        <is>
          <t>ÖRNSKÖLDSVIK</t>
        </is>
      </c>
      <c r="F5713" t="inlineStr">
        <is>
          <t>Holmen skog AB</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26071-2023</t>
        </is>
      </c>
      <c r="B5714" s="1" t="n">
        <v>45091</v>
      </c>
      <c r="C5714" s="1" t="n">
        <v>46185</v>
      </c>
      <c r="D5714" t="inlineStr">
        <is>
          <t>VÄSTERNORRLANDS LÄN</t>
        </is>
      </c>
      <c r="E5714" t="inlineStr">
        <is>
          <t>SUNDSVALL</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56157-2025</t>
        </is>
      </c>
      <c r="B5715" s="1" t="n">
        <v>45974.37148148148</v>
      </c>
      <c r="C5715" s="1" t="n">
        <v>46185</v>
      </c>
      <c r="D5715" t="inlineStr">
        <is>
          <t>VÄSTERNORRLANDS LÄN</t>
        </is>
      </c>
      <c r="E5715" t="inlineStr">
        <is>
          <t>KRAMFORS</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16633-2025</t>
        </is>
      </c>
      <c r="B5716" s="1" t="n">
        <v>45754.36517361111</v>
      </c>
      <c r="C5716" s="1" t="n">
        <v>46185</v>
      </c>
      <c r="D5716" t="inlineStr">
        <is>
          <t>VÄSTERNORRLANDS LÄN</t>
        </is>
      </c>
      <c r="E5716" t="inlineStr">
        <is>
          <t>SOLLEFTEÅ</t>
        </is>
      </c>
      <c r="F5716" t="inlineStr">
        <is>
          <t>SCA</t>
        </is>
      </c>
      <c r="G5716" t="n">
        <v>6.9</v>
      </c>
      <c r="H5716" t="n">
        <v>0</v>
      </c>
      <c r="I5716" t="n">
        <v>0</v>
      </c>
      <c r="J5716" t="n">
        <v>0</v>
      </c>
      <c r="K5716" t="n">
        <v>0</v>
      </c>
      <c r="L5716" t="n">
        <v>0</v>
      </c>
      <c r="M5716" t="n">
        <v>0</v>
      </c>
      <c r="N5716" t="n">
        <v>0</v>
      </c>
      <c r="O5716" t="n">
        <v>0</v>
      </c>
      <c r="P5716" t="n">
        <v>0</v>
      </c>
      <c r="Q5716" t="n">
        <v>0</v>
      </c>
      <c r="R5716" s="2" t="inlineStr"/>
    </row>
    <row r="5717" ht="15" customHeight="1">
      <c r="A5717" t="inlineStr">
        <is>
          <t>A 56076-2025</t>
        </is>
      </c>
      <c r="B5717" s="1" t="n">
        <v>45973.65740740741</v>
      </c>
      <c r="C5717" s="1" t="n">
        <v>46185</v>
      </c>
      <c r="D5717" t="inlineStr">
        <is>
          <t>VÄSTERNORRLANDS LÄN</t>
        </is>
      </c>
      <c r="E5717" t="inlineStr">
        <is>
          <t>SOLLEFTEÅ</t>
        </is>
      </c>
      <c r="F5717" t="inlineStr">
        <is>
          <t>SCA</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55891-2025</t>
        </is>
      </c>
      <c r="B5718" s="1" t="n">
        <v>45973.37886574074</v>
      </c>
      <c r="C5718" s="1" t="n">
        <v>46185</v>
      </c>
      <c r="D5718" t="inlineStr">
        <is>
          <t>VÄSTERNORRLANDS LÄN</t>
        </is>
      </c>
      <c r="E5718" t="inlineStr">
        <is>
          <t>ÖRNSKÖLDSVIK</t>
        </is>
      </c>
      <c r="F5718" t="inlineStr">
        <is>
          <t>Holmen skog AB</t>
        </is>
      </c>
      <c r="G5718" t="n">
        <v>8.5</v>
      </c>
      <c r="H5718" t="n">
        <v>0</v>
      </c>
      <c r="I5718" t="n">
        <v>0</v>
      </c>
      <c r="J5718" t="n">
        <v>0</v>
      </c>
      <c r="K5718" t="n">
        <v>0</v>
      </c>
      <c r="L5718" t="n">
        <v>0</v>
      </c>
      <c r="M5718" t="n">
        <v>0</v>
      </c>
      <c r="N5718" t="n">
        <v>0</v>
      </c>
      <c r="O5718" t="n">
        <v>0</v>
      </c>
      <c r="P5718" t="n">
        <v>0</v>
      </c>
      <c r="Q5718" t="n">
        <v>0</v>
      </c>
      <c r="R5718" s="2" t="inlineStr"/>
    </row>
    <row r="5719" ht="15" customHeight="1">
      <c r="A5719" t="inlineStr">
        <is>
          <t>A 55950-2025</t>
        </is>
      </c>
      <c r="B5719" s="1" t="n">
        <v>45973.46942129629</v>
      </c>
      <c r="C5719" s="1" t="n">
        <v>46185</v>
      </c>
      <c r="D5719" t="inlineStr">
        <is>
          <t>VÄSTERNORRLANDS LÄN</t>
        </is>
      </c>
      <c r="E5719" t="inlineStr">
        <is>
          <t>SOLLEFTEÅ</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56462-2025</t>
        </is>
      </c>
      <c r="B5720" s="1" t="n">
        <v>45975.37075231481</v>
      </c>
      <c r="C5720" s="1" t="n">
        <v>46185</v>
      </c>
      <c r="D5720" t="inlineStr">
        <is>
          <t>VÄSTERNORRLANDS LÄN</t>
        </is>
      </c>
      <c r="E5720" t="inlineStr">
        <is>
          <t>ÖRNSKÖLDSVIK</t>
        </is>
      </c>
      <c r="F5720" t="inlineStr">
        <is>
          <t>Holmen skog AB</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36388-2021</t>
        </is>
      </c>
      <c r="B5721" s="1" t="n">
        <v>44390</v>
      </c>
      <c r="C5721" s="1" t="n">
        <v>46185</v>
      </c>
      <c r="D5721" t="inlineStr">
        <is>
          <t>VÄSTERNORRLANDS LÄN</t>
        </is>
      </c>
      <c r="E5721" t="inlineStr">
        <is>
          <t>HÄRNÖSAND</t>
        </is>
      </c>
      <c r="G5721" t="n">
        <v>9</v>
      </c>
      <c r="H5721" t="n">
        <v>0</v>
      </c>
      <c r="I5721" t="n">
        <v>0</v>
      </c>
      <c r="J5721" t="n">
        <v>0</v>
      </c>
      <c r="K5721" t="n">
        <v>0</v>
      </c>
      <c r="L5721" t="n">
        <v>0</v>
      </c>
      <c r="M5721" t="n">
        <v>0</v>
      </c>
      <c r="N5721" t="n">
        <v>0</v>
      </c>
      <c r="O5721" t="n">
        <v>0</v>
      </c>
      <c r="P5721" t="n">
        <v>0</v>
      </c>
      <c r="Q5721" t="n">
        <v>0</v>
      </c>
      <c r="R5721" s="2" t="inlineStr"/>
    </row>
    <row r="5722" ht="15" customHeight="1">
      <c r="A5722" t="inlineStr">
        <is>
          <t>A 15620-2023</t>
        </is>
      </c>
      <c r="B5722" s="1" t="n">
        <v>45020</v>
      </c>
      <c r="C5722" s="1" t="n">
        <v>46185</v>
      </c>
      <c r="D5722" t="inlineStr">
        <is>
          <t>VÄSTERNORRLANDS LÄN</t>
        </is>
      </c>
      <c r="E5722" t="inlineStr">
        <is>
          <t>SUNDSVALL</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56496-2025</t>
        </is>
      </c>
      <c r="B5723" s="1" t="n">
        <v>45975.42769675926</v>
      </c>
      <c r="C5723" s="1" t="n">
        <v>46185</v>
      </c>
      <c r="D5723" t="inlineStr">
        <is>
          <t>VÄSTERNORRLANDS LÄN</t>
        </is>
      </c>
      <c r="E5723" t="inlineStr">
        <is>
          <t>ÖRNSKÖLDSVIK</t>
        </is>
      </c>
      <c r="F5723" t="inlineStr">
        <is>
          <t>SCA</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8629-2026</t>
        </is>
      </c>
      <c r="B5724" s="1" t="n">
        <v>46066.33319444444</v>
      </c>
      <c r="C5724" s="1" t="n">
        <v>46185</v>
      </c>
      <c r="D5724" t="inlineStr">
        <is>
          <t>VÄSTERNORRLANDS LÄN</t>
        </is>
      </c>
      <c r="E5724" t="inlineStr">
        <is>
          <t>TIMRÅ</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3424-2025</t>
        </is>
      </c>
      <c r="B5725" s="1" t="n">
        <v>45680</v>
      </c>
      <c r="C5725" s="1" t="n">
        <v>46185</v>
      </c>
      <c r="D5725" t="inlineStr">
        <is>
          <t>VÄSTERNORRLANDS LÄN</t>
        </is>
      </c>
      <c r="E5725" t="inlineStr">
        <is>
          <t>SOLLEFTEÅ</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56752-2025</t>
        </is>
      </c>
      <c r="B5726" s="1" t="n">
        <v>45978.36547453704</v>
      </c>
      <c r="C5726" s="1" t="n">
        <v>46185</v>
      </c>
      <c r="D5726" t="inlineStr">
        <is>
          <t>VÄSTERNORRLANDS LÄN</t>
        </is>
      </c>
      <c r="E5726" t="inlineStr">
        <is>
          <t>SUNDSVALL</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56933-2025</t>
        </is>
      </c>
      <c r="B5727" s="1" t="n">
        <v>45978.6121412037</v>
      </c>
      <c r="C5727" s="1" t="n">
        <v>46185</v>
      </c>
      <c r="D5727" t="inlineStr">
        <is>
          <t>VÄSTERNORRLANDS LÄN</t>
        </is>
      </c>
      <c r="E5727" t="inlineStr">
        <is>
          <t>ÖRNSKÖLDSVIK</t>
        </is>
      </c>
      <c r="F5727" t="inlineStr">
        <is>
          <t>Holmen skog AB</t>
        </is>
      </c>
      <c r="G5727" t="n">
        <v>9.300000000000001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9241-2025</t>
        </is>
      </c>
      <c r="B5728" s="1" t="n">
        <v>45714.56277777778</v>
      </c>
      <c r="C5728" s="1" t="n">
        <v>46185</v>
      </c>
      <c r="D5728" t="inlineStr">
        <is>
          <t>VÄSTERNORRLANDS LÄN</t>
        </is>
      </c>
      <c r="E5728" t="inlineStr">
        <is>
          <t>KRAMFORS</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8635-2026</t>
        </is>
      </c>
      <c r="B5729" s="1" t="n">
        <v>46066.3543287037</v>
      </c>
      <c r="C5729" s="1" t="n">
        <v>46185</v>
      </c>
      <c r="D5729" t="inlineStr">
        <is>
          <t>VÄSTERNORRLANDS LÄN</t>
        </is>
      </c>
      <c r="E5729" t="inlineStr">
        <is>
          <t>ÅNGE</t>
        </is>
      </c>
      <c r="F5729" t="inlineStr">
        <is>
          <t>SCA</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56422-2025</t>
        </is>
      </c>
      <c r="B5730" s="1" t="n">
        <v>45975.34515046296</v>
      </c>
      <c r="C5730" s="1" t="n">
        <v>46185</v>
      </c>
      <c r="D5730" t="inlineStr">
        <is>
          <t>VÄSTERNORRLANDS LÄN</t>
        </is>
      </c>
      <c r="E5730" t="inlineStr">
        <is>
          <t>HÄRNÖSAND</t>
        </is>
      </c>
      <c r="F5730" t="inlineStr">
        <is>
          <t>SCA</t>
        </is>
      </c>
      <c r="G5730" t="n">
        <v>4.8</v>
      </c>
      <c r="H5730" t="n">
        <v>0</v>
      </c>
      <c r="I5730" t="n">
        <v>0</v>
      </c>
      <c r="J5730" t="n">
        <v>0</v>
      </c>
      <c r="K5730" t="n">
        <v>0</v>
      </c>
      <c r="L5730" t="n">
        <v>0</v>
      </c>
      <c r="M5730" t="n">
        <v>0</v>
      </c>
      <c r="N5730" t="n">
        <v>0</v>
      </c>
      <c r="O5730" t="n">
        <v>0</v>
      </c>
      <c r="P5730" t="n">
        <v>0</v>
      </c>
      <c r="Q5730" t="n">
        <v>0</v>
      </c>
      <c r="R5730" s="2" t="inlineStr"/>
    </row>
    <row r="5731" ht="15" customHeight="1">
      <c r="A5731" t="inlineStr">
        <is>
          <t>A 8693-2026</t>
        </is>
      </c>
      <c r="B5731" s="1" t="n">
        <v>46066.44861111111</v>
      </c>
      <c r="C5731" s="1" t="n">
        <v>46185</v>
      </c>
      <c r="D5731" t="inlineStr">
        <is>
          <t>VÄSTERNORRLANDS LÄN</t>
        </is>
      </c>
      <c r="E5731" t="inlineStr">
        <is>
          <t>SOLLEFTEÅ</t>
        </is>
      </c>
      <c r="F5731" t="inlineStr">
        <is>
          <t>SCA</t>
        </is>
      </c>
      <c r="G5731" t="n">
        <v>31.1</v>
      </c>
      <c r="H5731" t="n">
        <v>0</v>
      </c>
      <c r="I5731" t="n">
        <v>0</v>
      </c>
      <c r="J5731" t="n">
        <v>0</v>
      </c>
      <c r="K5731" t="n">
        <v>0</v>
      </c>
      <c r="L5731" t="n">
        <v>0</v>
      </c>
      <c r="M5731" t="n">
        <v>0</v>
      </c>
      <c r="N5731" t="n">
        <v>0</v>
      </c>
      <c r="O5731" t="n">
        <v>0</v>
      </c>
      <c r="P5731" t="n">
        <v>0</v>
      </c>
      <c r="Q5731" t="n">
        <v>0</v>
      </c>
      <c r="R5731" s="2" t="inlineStr"/>
    </row>
    <row r="5732" ht="15" customHeight="1">
      <c r="A5732" t="inlineStr">
        <is>
          <t>A 37851-2024</t>
        </is>
      </c>
      <c r="B5732" s="1" t="n">
        <v>45544.37743055556</v>
      </c>
      <c r="C5732" s="1" t="n">
        <v>46185</v>
      </c>
      <c r="D5732" t="inlineStr">
        <is>
          <t>VÄSTERNORRLANDS LÄN</t>
        </is>
      </c>
      <c r="E5732" t="inlineStr">
        <is>
          <t>ÖRNSKÖLDSVIK</t>
        </is>
      </c>
      <c r="F5732" t="inlineStr">
        <is>
          <t>Holmen skog AB</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37873-2024</t>
        </is>
      </c>
      <c r="B5733" s="1" t="n">
        <v>45544</v>
      </c>
      <c r="C5733" s="1" t="n">
        <v>46185</v>
      </c>
      <c r="D5733" t="inlineStr">
        <is>
          <t>VÄSTERNORRLANDS LÄN</t>
        </is>
      </c>
      <c r="E5733" t="inlineStr">
        <is>
          <t>ÖRNSKÖLDSVIK</t>
        </is>
      </c>
      <c r="G5733" t="n">
        <v>12.3</v>
      </c>
      <c r="H5733" t="n">
        <v>0</v>
      </c>
      <c r="I5733" t="n">
        <v>0</v>
      </c>
      <c r="J5733" t="n">
        <v>0</v>
      </c>
      <c r="K5733" t="n">
        <v>0</v>
      </c>
      <c r="L5733" t="n">
        <v>0</v>
      </c>
      <c r="M5733" t="n">
        <v>0</v>
      </c>
      <c r="N5733" t="n">
        <v>0</v>
      </c>
      <c r="O5733" t="n">
        <v>0</v>
      </c>
      <c r="P5733" t="n">
        <v>0</v>
      </c>
      <c r="Q5733" t="n">
        <v>0</v>
      </c>
      <c r="R5733" s="2" t="inlineStr"/>
    </row>
    <row r="5734" ht="15" customHeight="1">
      <c r="A5734" t="inlineStr">
        <is>
          <t>A 56631-2025</t>
        </is>
      </c>
      <c r="B5734" s="1" t="n">
        <v>45975.61549768518</v>
      </c>
      <c r="C5734" s="1" t="n">
        <v>46185</v>
      </c>
      <c r="D5734" t="inlineStr">
        <is>
          <t>VÄSTERNORRLANDS LÄN</t>
        </is>
      </c>
      <c r="E5734" t="inlineStr">
        <is>
          <t>SOLLEFTEÅ</t>
        </is>
      </c>
      <c r="F5734" t="inlineStr">
        <is>
          <t>SCA</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56434-2025</t>
        </is>
      </c>
      <c r="B5735" s="1" t="n">
        <v>45975.34666666666</v>
      </c>
      <c r="C5735" s="1" t="n">
        <v>46185</v>
      </c>
      <c r="D5735" t="inlineStr">
        <is>
          <t>VÄSTERNORRLANDS LÄN</t>
        </is>
      </c>
      <c r="E5735" t="inlineStr">
        <is>
          <t>SOLLEFTEÅ</t>
        </is>
      </c>
      <c r="F5735" t="inlineStr">
        <is>
          <t>SCA</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16250-2024</t>
        </is>
      </c>
      <c r="B5736" s="1" t="n">
        <v>45407</v>
      </c>
      <c r="C5736" s="1" t="n">
        <v>46185</v>
      </c>
      <c r="D5736" t="inlineStr">
        <is>
          <t>VÄSTERNORRLANDS LÄN</t>
        </is>
      </c>
      <c r="E5736" t="inlineStr">
        <is>
          <t>SUNDSVALL</t>
        </is>
      </c>
      <c r="F5736" t="inlineStr">
        <is>
          <t>SCA</t>
        </is>
      </c>
      <c r="G5736" t="n">
        <v>5.8</v>
      </c>
      <c r="H5736" t="n">
        <v>0</v>
      </c>
      <c r="I5736" t="n">
        <v>0</v>
      </c>
      <c r="J5736" t="n">
        <v>0</v>
      </c>
      <c r="K5736" t="n">
        <v>0</v>
      </c>
      <c r="L5736" t="n">
        <v>0</v>
      </c>
      <c r="M5736" t="n">
        <v>0</v>
      </c>
      <c r="N5736" t="n">
        <v>0</v>
      </c>
      <c r="O5736" t="n">
        <v>0</v>
      </c>
      <c r="P5736" t="n">
        <v>0</v>
      </c>
      <c r="Q5736" t="n">
        <v>0</v>
      </c>
      <c r="R5736" s="2" t="inlineStr"/>
    </row>
    <row r="5737" ht="15" customHeight="1">
      <c r="A5737" t="inlineStr">
        <is>
          <t>A 61409-2021</t>
        </is>
      </c>
      <c r="B5737" s="1" t="n">
        <v>44500.91974537037</v>
      </c>
      <c r="C5737" s="1" t="n">
        <v>46185</v>
      </c>
      <c r="D5737" t="inlineStr">
        <is>
          <t>VÄSTERNORRLANDS LÄN</t>
        </is>
      </c>
      <c r="E5737" t="inlineStr">
        <is>
          <t>SUNDSVALL</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8855-2026</t>
        </is>
      </c>
      <c r="B5738" s="1" t="n">
        <v>46066.67763888889</v>
      </c>
      <c r="C5738" s="1" t="n">
        <v>46185</v>
      </c>
      <c r="D5738" t="inlineStr">
        <is>
          <t>VÄSTERNORRLANDS LÄN</t>
        </is>
      </c>
      <c r="E5738" t="inlineStr">
        <is>
          <t>SOLLEFTEÅ</t>
        </is>
      </c>
      <c r="F5738" t="inlineStr">
        <is>
          <t>SCA</t>
        </is>
      </c>
      <c r="G5738" t="n">
        <v>6.8</v>
      </c>
      <c r="H5738" t="n">
        <v>0</v>
      </c>
      <c r="I5738" t="n">
        <v>0</v>
      </c>
      <c r="J5738" t="n">
        <v>0</v>
      </c>
      <c r="K5738" t="n">
        <v>0</v>
      </c>
      <c r="L5738" t="n">
        <v>0</v>
      </c>
      <c r="M5738" t="n">
        <v>0</v>
      </c>
      <c r="N5738" t="n">
        <v>0</v>
      </c>
      <c r="O5738" t="n">
        <v>0</v>
      </c>
      <c r="P5738" t="n">
        <v>0</v>
      </c>
      <c r="Q5738" t="n">
        <v>0</v>
      </c>
      <c r="R5738" s="2" t="inlineStr"/>
    </row>
    <row r="5739" ht="15" customHeight="1">
      <c r="A5739" t="inlineStr">
        <is>
          <t>A 56443-2025</t>
        </is>
      </c>
      <c r="B5739" s="1" t="n">
        <v>45975.34791666667</v>
      </c>
      <c r="C5739" s="1" t="n">
        <v>46185</v>
      </c>
      <c r="D5739" t="inlineStr">
        <is>
          <t>VÄSTERNORRLANDS LÄN</t>
        </is>
      </c>
      <c r="E5739" t="inlineStr">
        <is>
          <t>SOLLEFTEÅ</t>
        </is>
      </c>
      <c r="F5739" t="inlineStr">
        <is>
          <t>SCA</t>
        </is>
      </c>
      <c r="G5739" t="n">
        <v>8.199999999999999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56660-2025</t>
        </is>
      </c>
      <c r="B5740" s="1" t="n">
        <v>45975.65680555555</v>
      </c>
      <c r="C5740" s="1" t="n">
        <v>46185</v>
      </c>
      <c r="D5740" t="inlineStr">
        <is>
          <t>VÄSTERNORRLANDS LÄN</t>
        </is>
      </c>
      <c r="E5740" t="inlineStr">
        <is>
          <t>TIMRÅ</t>
        </is>
      </c>
      <c r="F5740" t="inlineStr">
        <is>
          <t>SCA</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56884-2025</t>
        </is>
      </c>
      <c r="B5741" s="1" t="n">
        <v>45978.55746527778</v>
      </c>
      <c r="C5741" s="1" t="n">
        <v>46185</v>
      </c>
      <c r="D5741" t="inlineStr">
        <is>
          <t>VÄSTERNORRLANDS LÄN</t>
        </is>
      </c>
      <c r="E5741" t="inlineStr">
        <is>
          <t>SUNDSVALL</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56836-2025</t>
        </is>
      </c>
      <c r="B5742" s="1" t="n">
        <v>45978.47797453704</v>
      </c>
      <c r="C5742" s="1" t="n">
        <v>46185</v>
      </c>
      <c r="D5742" t="inlineStr">
        <is>
          <t>VÄSTERNORRLANDS LÄN</t>
        </is>
      </c>
      <c r="E5742" t="inlineStr">
        <is>
          <t>ÖRNSKÖLDSVIK</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8724-2026</t>
        </is>
      </c>
      <c r="B5743" s="1" t="n">
        <v>46066.49011574074</v>
      </c>
      <c r="C5743" s="1" t="n">
        <v>46185</v>
      </c>
      <c r="D5743" t="inlineStr">
        <is>
          <t>VÄSTERNORRLANDS LÄN</t>
        </is>
      </c>
      <c r="E5743" t="inlineStr">
        <is>
          <t>SOLLEFTEÅ</t>
        </is>
      </c>
      <c r="F5743" t="inlineStr">
        <is>
          <t>SCA</t>
        </is>
      </c>
      <c r="G5743" t="n">
        <v>9.9</v>
      </c>
      <c r="H5743" t="n">
        <v>0</v>
      </c>
      <c r="I5743" t="n">
        <v>0</v>
      </c>
      <c r="J5743" t="n">
        <v>0</v>
      </c>
      <c r="K5743" t="n">
        <v>0</v>
      </c>
      <c r="L5743" t="n">
        <v>0</v>
      </c>
      <c r="M5743" t="n">
        <v>0</v>
      </c>
      <c r="N5743" t="n">
        <v>0</v>
      </c>
      <c r="O5743" t="n">
        <v>0</v>
      </c>
      <c r="P5743" t="n">
        <v>0</v>
      </c>
      <c r="Q5743" t="n">
        <v>0</v>
      </c>
      <c r="R5743" s="2" t="inlineStr"/>
    </row>
    <row r="5744" ht="15" customHeight="1">
      <c r="A5744" t="inlineStr">
        <is>
          <t>A 38146-2024</t>
        </is>
      </c>
      <c r="B5744" s="1" t="n">
        <v>45545</v>
      </c>
      <c r="C5744" s="1" t="n">
        <v>46185</v>
      </c>
      <c r="D5744" t="inlineStr">
        <is>
          <t>VÄSTERNORRLANDS LÄN</t>
        </is>
      </c>
      <c r="E5744" t="inlineStr">
        <is>
          <t>HÄRNÖSAND</t>
        </is>
      </c>
      <c r="G5744" t="n">
        <v>7.2</v>
      </c>
      <c r="H5744" t="n">
        <v>0</v>
      </c>
      <c r="I5744" t="n">
        <v>0</v>
      </c>
      <c r="J5744" t="n">
        <v>0</v>
      </c>
      <c r="K5744" t="n">
        <v>0</v>
      </c>
      <c r="L5744" t="n">
        <v>0</v>
      </c>
      <c r="M5744" t="n">
        <v>0</v>
      </c>
      <c r="N5744" t="n">
        <v>0</v>
      </c>
      <c r="O5744" t="n">
        <v>0</v>
      </c>
      <c r="P5744" t="n">
        <v>0</v>
      </c>
      <c r="Q5744" t="n">
        <v>0</v>
      </c>
      <c r="R5744" s="2" t="inlineStr"/>
    </row>
    <row r="5745" ht="15" customHeight="1">
      <c r="A5745" t="inlineStr">
        <is>
          <t>A 27703-2024</t>
        </is>
      </c>
      <c r="B5745" s="1" t="n">
        <v>45475</v>
      </c>
      <c r="C5745" s="1" t="n">
        <v>46185</v>
      </c>
      <c r="D5745" t="inlineStr">
        <is>
          <t>VÄSTERNORRLANDS LÄN</t>
        </is>
      </c>
      <c r="E5745" t="inlineStr">
        <is>
          <t>ÖRNSKÖLDSVIK</t>
        </is>
      </c>
      <c r="F5745" t="inlineStr">
        <is>
          <t>Holmen skog AB</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8739-2026</t>
        </is>
      </c>
      <c r="B5746" s="1" t="n">
        <v>46066.51086805556</v>
      </c>
      <c r="C5746" s="1" t="n">
        <v>46185</v>
      </c>
      <c r="D5746" t="inlineStr">
        <is>
          <t>VÄSTERNORRLANDS LÄN</t>
        </is>
      </c>
      <c r="E5746" t="inlineStr">
        <is>
          <t>SOLLEFTEÅ</t>
        </is>
      </c>
      <c r="F5746" t="inlineStr">
        <is>
          <t>Kyrkan</t>
        </is>
      </c>
      <c r="G5746" t="n">
        <v>7.1</v>
      </c>
      <c r="H5746" t="n">
        <v>0</v>
      </c>
      <c r="I5746" t="n">
        <v>0</v>
      </c>
      <c r="J5746" t="n">
        <v>0</v>
      </c>
      <c r="K5746" t="n">
        <v>0</v>
      </c>
      <c r="L5746" t="n">
        <v>0</v>
      </c>
      <c r="M5746" t="n">
        <v>0</v>
      </c>
      <c r="N5746" t="n">
        <v>0</v>
      </c>
      <c r="O5746" t="n">
        <v>0</v>
      </c>
      <c r="P5746" t="n">
        <v>0</v>
      </c>
      <c r="Q5746" t="n">
        <v>0</v>
      </c>
      <c r="R5746" s="2" t="inlineStr"/>
    </row>
    <row r="5747" ht="15" customHeight="1">
      <c r="A5747" t="inlineStr">
        <is>
          <t>A 8640-2026</t>
        </is>
      </c>
      <c r="B5747" s="1" t="n">
        <v>46066</v>
      </c>
      <c r="C5747" s="1" t="n">
        <v>46185</v>
      </c>
      <c r="D5747" t="inlineStr">
        <is>
          <t>VÄSTERNORRLANDS LÄN</t>
        </is>
      </c>
      <c r="E5747" t="inlineStr">
        <is>
          <t>TIMRÅ</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56961-2025</t>
        </is>
      </c>
      <c r="B5748" s="1" t="n">
        <v>45978.65909722223</v>
      </c>
      <c r="C5748" s="1" t="n">
        <v>46185</v>
      </c>
      <c r="D5748" t="inlineStr">
        <is>
          <t>VÄSTERNORRLANDS LÄN</t>
        </is>
      </c>
      <c r="E5748" t="inlineStr">
        <is>
          <t>ÖRNSKÖLDSVIK</t>
        </is>
      </c>
      <c r="F5748" t="inlineStr">
        <is>
          <t>Holmen skog AB</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10463-2025</t>
        </is>
      </c>
      <c r="B5749" s="1" t="n">
        <v>45720.77386574074</v>
      </c>
      <c r="C5749" s="1" t="n">
        <v>46185</v>
      </c>
      <c r="D5749" t="inlineStr">
        <is>
          <t>VÄSTERNORRLANDS LÄN</t>
        </is>
      </c>
      <c r="E5749" t="inlineStr">
        <is>
          <t>ÖRNSKÖLDSVIK</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9146-2025</t>
        </is>
      </c>
      <c r="B5750" s="1" t="n">
        <v>45714.33052083333</v>
      </c>
      <c r="C5750" s="1" t="n">
        <v>46185</v>
      </c>
      <c r="D5750" t="inlineStr">
        <is>
          <t>VÄSTERNORRLANDS LÄN</t>
        </is>
      </c>
      <c r="E5750" t="inlineStr">
        <is>
          <t>ÖRNSKÖLDSVIK</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56423-2025</t>
        </is>
      </c>
      <c r="B5751" s="1" t="n">
        <v>45975.34528935186</v>
      </c>
      <c r="C5751" s="1" t="n">
        <v>46185</v>
      </c>
      <c r="D5751" t="inlineStr">
        <is>
          <t>VÄSTERNORRLANDS LÄN</t>
        </is>
      </c>
      <c r="E5751" t="inlineStr">
        <is>
          <t>ÅNGE</t>
        </is>
      </c>
      <c r="F5751" t="inlineStr">
        <is>
          <t>SCA</t>
        </is>
      </c>
      <c r="G5751" t="n">
        <v>1.5</v>
      </c>
      <c r="H5751" t="n">
        <v>0</v>
      </c>
      <c r="I5751" t="n">
        <v>0</v>
      </c>
      <c r="J5751" t="n">
        <v>0</v>
      </c>
      <c r="K5751" t="n">
        <v>0</v>
      </c>
      <c r="L5751" t="n">
        <v>0</v>
      </c>
      <c r="M5751" t="n">
        <v>0</v>
      </c>
      <c r="N5751" t="n">
        <v>0</v>
      </c>
      <c r="O5751" t="n">
        <v>0</v>
      </c>
      <c r="P5751" t="n">
        <v>0</v>
      </c>
      <c r="Q5751" t="n">
        <v>0</v>
      </c>
      <c r="R5751" s="2" t="inlineStr"/>
      <c r="U5751">
        <f>HYPERLINK("https://klasma.github.io/Logging_2260/knärot/A 56423-2025 karta knärot.png", "A 56423-2025")</f>
        <v/>
      </c>
      <c r="V5751">
        <f>HYPERLINK("https://klasma.github.io/Logging_2260/klagomål/A 56423-2025 FSC-klagomål.docx", "A 56423-2025")</f>
        <v/>
      </c>
      <c r="W5751">
        <f>HYPERLINK("https://klasma.github.io/Logging_2260/klagomålsmail/A 56423-2025 FSC-klagomål mail.docx", "A 56423-2025")</f>
        <v/>
      </c>
      <c r="X5751">
        <f>HYPERLINK("https://klasma.github.io/Logging_2260/tillsyn/A 56423-2025 tillsynsbegäran.docx", "A 56423-2025")</f>
        <v/>
      </c>
      <c r="Y5751">
        <f>HYPERLINK("https://klasma.github.io/Logging_2260/tillsynsmail/A 56423-2025 tillsynsbegäran mail.docx", "A 56423-2025")</f>
        <v/>
      </c>
    </row>
    <row r="5752" ht="15" customHeight="1">
      <c r="A5752" t="inlineStr">
        <is>
          <t>A 56736-2025</t>
        </is>
      </c>
      <c r="B5752" s="1" t="n">
        <v>45978.34434027778</v>
      </c>
      <c r="C5752" s="1" t="n">
        <v>46185</v>
      </c>
      <c r="D5752" t="inlineStr">
        <is>
          <t>VÄSTERNORRLANDS LÄN</t>
        </is>
      </c>
      <c r="E5752" t="inlineStr">
        <is>
          <t>HÄRNÖSAND</t>
        </is>
      </c>
      <c r="F5752" t="inlineStr">
        <is>
          <t>SCA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8830-2026</t>
        </is>
      </c>
      <c r="B5753" s="1" t="n">
        <v>46066</v>
      </c>
      <c r="C5753" s="1" t="n">
        <v>46185</v>
      </c>
      <c r="D5753" t="inlineStr">
        <is>
          <t>VÄSTERNORRLANDS LÄN</t>
        </is>
      </c>
      <c r="E5753" t="inlineStr">
        <is>
          <t>TIMRÅ</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8836-2026</t>
        </is>
      </c>
      <c r="B5754" s="1" t="n">
        <v>46066.63701388889</v>
      </c>
      <c r="C5754" s="1" t="n">
        <v>46185</v>
      </c>
      <c r="D5754" t="inlineStr">
        <is>
          <t>VÄSTERNORRLANDS LÄN</t>
        </is>
      </c>
      <c r="E5754" t="inlineStr">
        <is>
          <t>ÅNGE</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56995-2025</t>
        </is>
      </c>
      <c r="B5755" s="1" t="n">
        <v>45978.73090277778</v>
      </c>
      <c r="C5755" s="1" t="n">
        <v>46185</v>
      </c>
      <c r="D5755" t="inlineStr">
        <is>
          <t>VÄSTERNORRLANDS LÄN</t>
        </is>
      </c>
      <c r="E5755" t="inlineStr">
        <is>
          <t>ÖRNSKÖLDSVIK</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8546-2026</t>
        </is>
      </c>
      <c r="B5756" s="1" t="n">
        <v>46065.61515046296</v>
      </c>
      <c r="C5756" s="1" t="n">
        <v>46185</v>
      </c>
      <c r="D5756" t="inlineStr">
        <is>
          <t>VÄSTERNORRLANDS LÄN</t>
        </is>
      </c>
      <c r="E5756" t="inlineStr">
        <is>
          <t>SOLLEFTEÅ</t>
        </is>
      </c>
      <c r="F5756" t="inlineStr">
        <is>
          <t>SCA</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8495-2026</t>
        </is>
      </c>
      <c r="B5757" s="1" t="n">
        <v>46065.49013888889</v>
      </c>
      <c r="C5757" s="1" t="n">
        <v>46185</v>
      </c>
      <c r="D5757" t="inlineStr">
        <is>
          <t>VÄSTERNORRLANDS LÄN</t>
        </is>
      </c>
      <c r="E5757" t="inlineStr">
        <is>
          <t>HÄRNÖSAND</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28114-2024</t>
        </is>
      </c>
      <c r="B5758" s="1" t="n">
        <v>45476.63940972222</v>
      </c>
      <c r="C5758" s="1" t="n">
        <v>46185</v>
      </c>
      <c r="D5758" t="inlineStr">
        <is>
          <t>VÄSTERNORRLANDS LÄN</t>
        </is>
      </c>
      <c r="E5758" t="inlineStr">
        <is>
          <t>KRAMFORS</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56764-2025</t>
        </is>
      </c>
      <c r="B5759" s="1" t="n">
        <v>45978.38006944444</v>
      </c>
      <c r="C5759" s="1" t="n">
        <v>46185</v>
      </c>
      <c r="D5759" t="inlineStr">
        <is>
          <t>VÄSTERNORRLANDS LÄN</t>
        </is>
      </c>
      <c r="E5759" t="inlineStr">
        <is>
          <t>ÖRNSKÖLDSVIK</t>
        </is>
      </c>
      <c r="G5759" t="n">
        <v>6.8</v>
      </c>
      <c r="H5759" t="n">
        <v>0</v>
      </c>
      <c r="I5759" t="n">
        <v>0</v>
      </c>
      <c r="J5759" t="n">
        <v>0</v>
      </c>
      <c r="K5759" t="n">
        <v>0</v>
      </c>
      <c r="L5759" t="n">
        <v>0</v>
      </c>
      <c r="M5759" t="n">
        <v>0</v>
      </c>
      <c r="N5759" t="n">
        <v>0</v>
      </c>
      <c r="O5759" t="n">
        <v>0</v>
      </c>
      <c r="P5759" t="n">
        <v>0</v>
      </c>
      <c r="Q5759" t="n">
        <v>0</v>
      </c>
      <c r="R5759" s="2" t="inlineStr"/>
    </row>
    <row r="5760" ht="15" customHeight="1">
      <c r="A5760" t="inlineStr">
        <is>
          <t>A 4159-2025</t>
        </is>
      </c>
      <c r="B5760" s="1" t="n">
        <v>45685.39597222222</v>
      </c>
      <c r="C5760" s="1" t="n">
        <v>46185</v>
      </c>
      <c r="D5760" t="inlineStr">
        <is>
          <t>VÄSTERNORRLANDS LÄN</t>
        </is>
      </c>
      <c r="E5760" t="inlineStr">
        <is>
          <t>KRAMFORS</t>
        </is>
      </c>
      <c r="G5760" t="n">
        <v>8.4</v>
      </c>
      <c r="H5760" t="n">
        <v>0</v>
      </c>
      <c r="I5760" t="n">
        <v>0</v>
      </c>
      <c r="J5760" t="n">
        <v>0</v>
      </c>
      <c r="K5760" t="n">
        <v>0</v>
      </c>
      <c r="L5760" t="n">
        <v>0</v>
      </c>
      <c r="M5760" t="n">
        <v>0</v>
      </c>
      <c r="N5760" t="n">
        <v>0</v>
      </c>
      <c r="O5760" t="n">
        <v>0</v>
      </c>
      <c r="P5760" t="n">
        <v>0</v>
      </c>
      <c r="Q5760" t="n">
        <v>0</v>
      </c>
      <c r="R5760" s="2" t="inlineStr"/>
    </row>
    <row r="5761" ht="15" customHeight="1">
      <c r="A5761" t="inlineStr">
        <is>
          <t>A 4160-2025</t>
        </is>
      </c>
      <c r="B5761" s="1" t="n">
        <v>45685.39604166667</v>
      </c>
      <c r="C5761" s="1" t="n">
        <v>46185</v>
      </c>
      <c r="D5761" t="inlineStr">
        <is>
          <t>VÄSTERNORRLANDS LÄN</t>
        </is>
      </c>
      <c r="E5761" t="inlineStr">
        <is>
          <t>KRAMFORS</t>
        </is>
      </c>
      <c r="G5761" t="n">
        <v>5.4</v>
      </c>
      <c r="H5761" t="n">
        <v>0</v>
      </c>
      <c r="I5761" t="n">
        <v>0</v>
      </c>
      <c r="J5761" t="n">
        <v>0</v>
      </c>
      <c r="K5761" t="n">
        <v>0</v>
      </c>
      <c r="L5761" t="n">
        <v>0</v>
      </c>
      <c r="M5761" t="n">
        <v>0</v>
      </c>
      <c r="N5761" t="n">
        <v>0</v>
      </c>
      <c r="O5761" t="n">
        <v>0</v>
      </c>
      <c r="P5761" t="n">
        <v>0</v>
      </c>
      <c r="Q5761" t="n">
        <v>0</v>
      </c>
      <c r="R5761" s="2" t="inlineStr"/>
    </row>
    <row r="5762" ht="15" customHeight="1">
      <c r="A5762" t="inlineStr">
        <is>
          <t>A 25047-2023</t>
        </is>
      </c>
      <c r="B5762" s="1" t="n">
        <v>45085.94569444445</v>
      </c>
      <c r="C5762" s="1" t="n">
        <v>46185</v>
      </c>
      <c r="D5762" t="inlineStr">
        <is>
          <t>VÄSTERNORRLANDS LÄN</t>
        </is>
      </c>
      <c r="E5762" t="inlineStr">
        <is>
          <t>ÅNGE</t>
        </is>
      </c>
      <c r="F5762" t="inlineStr">
        <is>
          <t>SCA</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28169-2024</t>
        </is>
      </c>
      <c r="B5763" s="1" t="n">
        <v>45476.94462962963</v>
      </c>
      <c r="C5763" s="1" t="n">
        <v>46185</v>
      </c>
      <c r="D5763" t="inlineStr">
        <is>
          <t>VÄSTERNORRLANDS LÄN</t>
        </is>
      </c>
      <c r="E5763" t="inlineStr">
        <is>
          <t>ÖRNSKÖLDSVIK</t>
        </is>
      </c>
      <c r="F5763" t="inlineStr">
        <is>
          <t>SCA</t>
        </is>
      </c>
      <c r="G5763" t="n">
        <v>7.8</v>
      </c>
      <c r="H5763" t="n">
        <v>0</v>
      </c>
      <c r="I5763" t="n">
        <v>0</v>
      </c>
      <c r="J5763" t="n">
        <v>0</v>
      </c>
      <c r="K5763" t="n">
        <v>0</v>
      </c>
      <c r="L5763" t="n">
        <v>0</v>
      </c>
      <c r="M5763" t="n">
        <v>0</v>
      </c>
      <c r="N5763" t="n">
        <v>0</v>
      </c>
      <c r="O5763" t="n">
        <v>0</v>
      </c>
      <c r="P5763" t="n">
        <v>0</v>
      </c>
      <c r="Q5763" t="n">
        <v>0</v>
      </c>
      <c r="R5763" s="2" t="inlineStr"/>
    </row>
    <row r="5764" ht="15" customHeight="1">
      <c r="A5764" t="inlineStr">
        <is>
          <t>A 56450-2025</t>
        </is>
      </c>
      <c r="B5764" s="1" t="n">
        <v>45975.35300925926</v>
      </c>
      <c r="C5764" s="1" t="n">
        <v>46185</v>
      </c>
      <c r="D5764" t="inlineStr">
        <is>
          <t>VÄSTERNORRLANDS LÄN</t>
        </is>
      </c>
      <c r="E5764" t="inlineStr">
        <is>
          <t>ÖRNSKÖLDSVIK</t>
        </is>
      </c>
      <c r="F5764" t="inlineStr">
        <is>
          <t>Holmen skog AB</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10128-2023</t>
        </is>
      </c>
      <c r="B5765" s="1" t="n">
        <v>44980</v>
      </c>
      <c r="C5765" s="1" t="n">
        <v>46185</v>
      </c>
      <c r="D5765" t="inlineStr">
        <is>
          <t>VÄSTERNORRLANDS LÄN</t>
        </is>
      </c>
      <c r="E5765" t="inlineStr">
        <is>
          <t>HÄRNÖSAND</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8421-2026</t>
        </is>
      </c>
      <c r="B5766" s="1" t="n">
        <v>46065.36491898148</v>
      </c>
      <c r="C5766" s="1" t="n">
        <v>46185</v>
      </c>
      <c r="D5766" t="inlineStr">
        <is>
          <t>VÄSTERNORRLANDS LÄN</t>
        </is>
      </c>
      <c r="E5766" t="inlineStr">
        <is>
          <t>HÄRNÖSAND</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56815-2025</t>
        </is>
      </c>
      <c r="B5767" s="1" t="n">
        <v>45978.45726851852</v>
      </c>
      <c r="C5767" s="1" t="n">
        <v>46185</v>
      </c>
      <c r="D5767" t="inlineStr">
        <is>
          <t>VÄSTERNORRLANDS LÄN</t>
        </is>
      </c>
      <c r="E5767" t="inlineStr">
        <is>
          <t>SUNDSVALL</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56992-2025</t>
        </is>
      </c>
      <c r="B5768" s="1" t="n">
        <v>45978.72902777778</v>
      </c>
      <c r="C5768" s="1" t="n">
        <v>46185</v>
      </c>
      <c r="D5768" t="inlineStr">
        <is>
          <t>VÄSTERNORRLANDS LÄN</t>
        </is>
      </c>
      <c r="E5768" t="inlineStr">
        <is>
          <t>ÖRNSKÖLDSVIK</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56559-2025</t>
        </is>
      </c>
      <c r="B5769" s="1" t="n">
        <v>45975.49059027778</v>
      </c>
      <c r="C5769" s="1" t="n">
        <v>46185</v>
      </c>
      <c r="D5769" t="inlineStr">
        <is>
          <t>VÄSTERNORRLANDS LÄN</t>
        </is>
      </c>
      <c r="E5769" t="inlineStr">
        <is>
          <t>SUNDSVALL</t>
        </is>
      </c>
      <c r="F5769" t="inlineStr">
        <is>
          <t>SCA</t>
        </is>
      </c>
      <c r="G5769" t="n">
        <v>10</v>
      </c>
      <c r="H5769" t="n">
        <v>0</v>
      </c>
      <c r="I5769" t="n">
        <v>0</v>
      </c>
      <c r="J5769" t="n">
        <v>0</v>
      </c>
      <c r="K5769" t="n">
        <v>0</v>
      </c>
      <c r="L5769" t="n">
        <v>0</v>
      </c>
      <c r="M5769" t="n">
        <v>0</v>
      </c>
      <c r="N5769" t="n">
        <v>0</v>
      </c>
      <c r="O5769" t="n">
        <v>0</v>
      </c>
      <c r="P5769" t="n">
        <v>0</v>
      </c>
      <c r="Q5769" t="n">
        <v>0</v>
      </c>
      <c r="R5769" s="2" t="inlineStr"/>
    </row>
    <row r="5770" ht="15" customHeight="1">
      <c r="A5770" t="inlineStr">
        <is>
          <t>A 8456-2026</t>
        </is>
      </c>
      <c r="B5770" s="1" t="n">
        <v>46065.42681712963</v>
      </c>
      <c r="C5770" s="1" t="n">
        <v>46185</v>
      </c>
      <c r="D5770" t="inlineStr">
        <is>
          <t>VÄSTERNORRLANDS LÄN</t>
        </is>
      </c>
      <c r="E5770" t="inlineStr">
        <is>
          <t>SUNDSVALL</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6834-2026</t>
        </is>
      </c>
      <c r="B5771" s="1" t="n">
        <v>46057</v>
      </c>
      <c r="C5771" s="1" t="n">
        <v>46185</v>
      </c>
      <c r="D5771" t="inlineStr">
        <is>
          <t>VÄSTERNORRLANDS LÄN</t>
        </is>
      </c>
      <c r="E5771" t="inlineStr">
        <is>
          <t>SUNDSVALL</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56987-2025</t>
        </is>
      </c>
      <c r="B5772" s="1" t="n">
        <v>45978.71915509259</v>
      </c>
      <c r="C5772" s="1" t="n">
        <v>46185</v>
      </c>
      <c r="D5772" t="inlineStr">
        <is>
          <t>VÄSTERNORRLANDS LÄN</t>
        </is>
      </c>
      <c r="E5772" t="inlineStr">
        <is>
          <t>SOLLEFTEÅ</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5046-2025</t>
        </is>
      </c>
      <c r="B5773" s="1" t="n">
        <v>45691</v>
      </c>
      <c r="C5773" s="1" t="n">
        <v>46185</v>
      </c>
      <c r="D5773" t="inlineStr">
        <is>
          <t>VÄSTERNORRLANDS LÄN</t>
        </is>
      </c>
      <c r="E5773" t="inlineStr">
        <is>
          <t>ÖRNSKÖLDSVIK</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8994-2026</t>
        </is>
      </c>
      <c r="B5774" s="1" t="n">
        <v>46069.46784722222</v>
      </c>
      <c r="C5774" s="1" t="n">
        <v>46185</v>
      </c>
      <c r="D5774" t="inlineStr">
        <is>
          <t>VÄSTERNORRLANDS LÄN</t>
        </is>
      </c>
      <c r="E5774" t="inlineStr">
        <is>
          <t>KRAMFORS</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56482-2025</t>
        </is>
      </c>
      <c r="B5775" s="1" t="n">
        <v>45975.40417824074</v>
      </c>
      <c r="C5775" s="1" t="n">
        <v>46185</v>
      </c>
      <c r="D5775" t="inlineStr">
        <is>
          <t>VÄSTERNORRLANDS LÄN</t>
        </is>
      </c>
      <c r="E5775" t="inlineStr">
        <is>
          <t>ÖRNSKÖLDSVIK</t>
        </is>
      </c>
      <c r="G5775" t="n">
        <v>4.9</v>
      </c>
      <c r="H5775" t="n">
        <v>0</v>
      </c>
      <c r="I5775" t="n">
        <v>0</v>
      </c>
      <c r="J5775" t="n">
        <v>0</v>
      </c>
      <c r="K5775" t="n">
        <v>0</v>
      </c>
      <c r="L5775" t="n">
        <v>0</v>
      </c>
      <c r="M5775" t="n">
        <v>0</v>
      </c>
      <c r="N5775" t="n">
        <v>0</v>
      </c>
      <c r="O5775" t="n">
        <v>0</v>
      </c>
      <c r="P5775" t="n">
        <v>0</v>
      </c>
      <c r="Q5775" t="n">
        <v>0</v>
      </c>
      <c r="R5775" s="2" t="inlineStr"/>
    </row>
    <row r="5776" ht="15" customHeight="1">
      <c r="A5776" t="inlineStr">
        <is>
          <t>A 9156-2026</t>
        </is>
      </c>
      <c r="B5776" s="1" t="n">
        <v>46070</v>
      </c>
      <c r="C5776" s="1" t="n">
        <v>46185</v>
      </c>
      <c r="D5776" t="inlineStr">
        <is>
          <t>VÄSTERNORRLANDS LÄN</t>
        </is>
      </c>
      <c r="E5776" t="inlineStr">
        <is>
          <t>SOLLEFTEÅ</t>
        </is>
      </c>
      <c r="F5776" t="inlineStr">
        <is>
          <t>SCA</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9161-2026</t>
        </is>
      </c>
      <c r="B5777" s="1" t="n">
        <v>46070</v>
      </c>
      <c r="C5777" s="1" t="n">
        <v>46185</v>
      </c>
      <c r="D5777" t="inlineStr">
        <is>
          <t>VÄSTERNORRLANDS LÄN</t>
        </is>
      </c>
      <c r="E5777" t="inlineStr">
        <is>
          <t>HÄRNÖSAND</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9162-2026</t>
        </is>
      </c>
      <c r="B5778" s="1" t="n">
        <v>46070</v>
      </c>
      <c r="C5778" s="1" t="n">
        <v>46185</v>
      </c>
      <c r="D5778" t="inlineStr">
        <is>
          <t>VÄSTERNORRLANDS LÄN</t>
        </is>
      </c>
      <c r="E5778" t="inlineStr">
        <is>
          <t>HÄRNÖSAND</t>
        </is>
      </c>
      <c r="G5778" t="n">
        <v>0.2</v>
      </c>
      <c r="H5778" t="n">
        <v>0</v>
      </c>
      <c r="I5778" t="n">
        <v>0</v>
      </c>
      <c r="J5778" t="n">
        <v>0</v>
      </c>
      <c r="K5778" t="n">
        <v>0</v>
      </c>
      <c r="L5778" t="n">
        <v>0</v>
      </c>
      <c r="M5778" t="n">
        <v>0</v>
      </c>
      <c r="N5778" t="n">
        <v>0</v>
      </c>
      <c r="O5778" t="n">
        <v>0</v>
      </c>
      <c r="P5778" t="n">
        <v>0</v>
      </c>
      <c r="Q5778" t="n">
        <v>0</v>
      </c>
      <c r="R5778" s="2" t="inlineStr"/>
    </row>
    <row r="5779" ht="15" customHeight="1">
      <c r="A5779" t="inlineStr">
        <is>
          <t>A 34543-2022</t>
        </is>
      </c>
      <c r="B5779" s="1" t="n">
        <v>44793</v>
      </c>
      <c r="C5779" s="1" t="n">
        <v>46185</v>
      </c>
      <c r="D5779" t="inlineStr">
        <is>
          <t>VÄSTERNORRLANDS LÄN</t>
        </is>
      </c>
      <c r="E5779" t="inlineStr">
        <is>
          <t>SOLLEFTEÅ</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30066-2024</t>
        </is>
      </c>
      <c r="B5780" s="1" t="n">
        <v>45488.94865740741</v>
      </c>
      <c r="C5780" s="1" t="n">
        <v>46185</v>
      </c>
      <c r="D5780" t="inlineStr">
        <is>
          <t>VÄSTERNORRLANDS LÄN</t>
        </is>
      </c>
      <c r="E5780" t="inlineStr">
        <is>
          <t>SUNDSVALL</t>
        </is>
      </c>
      <c r="F5780" t="inlineStr">
        <is>
          <t>SCA</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30068-2024</t>
        </is>
      </c>
      <c r="B5781" s="1" t="n">
        <v>45488.94886574074</v>
      </c>
      <c r="C5781" s="1" t="n">
        <v>46185</v>
      </c>
      <c r="D5781" t="inlineStr">
        <is>
          <t>VÄSTERNORRLANDS LÄN</t>
        </is>
      </c>
      <c r="E5781" t="inlineStr">
        <is>
          <t>SOLLEFTEÅ</t>
        </is>
      </c>
      <c r="F5781" t="inlineStr">
        <is>
          <t>SCA</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8817-2026</t>
        </is>
      </c>
      <c r="B5782" s="1" t="n">
        <v>46066</v>
      </c>
      <c r="C5782" s="1" t="n">
        <v>46185</v>
      </c>
      <c r="D5782" t="inlineStr">
        <is>
          <t>VÄSTERNORRLANDS LÄN</t>
        </is>
      </c>
      <c r="E5782" t="inlineStr">
        <is>
          <t>TIMRÅ</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56425-2025</t>
        </is>
      </c>
      <c r="B5783" s="1" t="n">
        <v>45975.34559027778</v>
      </c>
      <c r="C5783" s="1" t="n">
        <v>46185</v>
      </c>
      <c r="D5783" t="inlineStr">
        <is>
          <t>VÄSTERNORRLANDS LÄN</t>
        </is>
      </c>
      <c r="E5783" t="inlineStr">
        <is>
          <t>SOLLEFTEÅ</t>
        </is>
      </c>
      <c r="F5783" t="inlineStr">
        <is>
          <t>SCA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8012-2025</t>
        </is>
      </c>
      <c r="B5784" s="1" t="n">
        <v>45707.55304398148</v>
      </c>
      <c r="C5784" s="1" t="n">
        <v>46185</v>
      </c>
      <c r="D5784" t="inlineStr">
        <is>
          <t>VÄSTERNORRLANDS LÄN</t>
        </is>
      </c>
      <c r="E5784" t="inlineStr">
        <is>
          <t>ÖRNSKÖLDSVIK</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12980-2023</t>
        </is>
      </c>
      <c r="B5785" s="1" t="n">
        <v>45002</v>
      </c>
      <c r="C5785" s="1" t="n">
        <v>46185</v>
      </c>
      <c r="D5785" t="inlineStr">
        <is>
          <t>VÄSTERNORRLANDS LÄN</t>
        </is>
      </c>
      <c r="E5785" t="inlineStr">
        <is>
          <t>ÖRNSKÖLDSVIK</t>
        </is>
      </c>
      <c r="F5785" t="inlineStr">
        <is>
          <t>SCA</t>
        </is>
      </c>
      <c r="G5785" t="n">
        <v>5.2</v>
      </c>
      <c r="H5785" t="n">
        <v>0</v>
      </c>
      <c r="I5785" t="n">
        <v>0</v>
      </c>
      <c r="J5785" t="n">
        <v>0</v>
      </c>
      <c r="K5785" t="n">
        <v>0</v>
      </c>
      <c r="L5785" t="n">
        <v>0</v>
      </c>
      <c r="M5785" t="n">
        <v>0</v>
      </c>
      <c r="N5785" t="n">
        <v>0</v>
      </c>
      <c r="O5785" t="n">
        <v>0</v>
      </c>
      <c r="P5785" t="n">
        <v>0</v>
      </c>
      <c r="Q5785" t="n">
        <v>0</v>
      </c>
      <c r="R5785" s="2" t="inlineStr"/>
    </row>
    <row r="5786" ht="15" customHeight="1">
      <c r="A5786" t="inlineStr">
        <is>
          <t>A 15609-2025</t>
        </is>
      </c>
      <c r="B5786" s="1" t="n">
        <v>45748.34819444444</v>
      </c>
      <c r="C5786" s="1" t="n">
        <v>46185</v>
      </c>
      <c r="D5786" t="inlineStr">
        <is>
          <t>VÄSTERNORRLANDS LÄN</t>
        </is>
      </c>
      <c r="E5786" t="inlineStr">
        <is>
          <t>SUNDSVALL</t>
        </is>
      </c>
      <c r="F5786" t="inlineStr">
        <is>
          <t>SCA</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15612-2025</t>
        </is>
      </c>
      <c r="B5787" s="1" t="n">
        <v>45747</v>
      </c>
      <c r="C5787" s="1" t="n">
        <v>46185</v>
      </c>
      <c r="D5787" t="inlineStr">
        <is>
          <t>VÄSTERNORRLANDS LÄN</t>
        </is>
      </c>
      <c r="E5787" t="inlineStr">
        <is>
          <t>ÖRNSKÖLDSVIK</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8996-2026</t>
        </is>
      </c>
      <c r="B5788" s="1" t="n">
        <v>46069</v>
      </c>
      <c r="C5788" s="1" t="n">
        <v>46185</v>
      </c>
      <c r="D5788" t="inlineStr">
        <is>
          <t>VÄSTERNORRLANDS LÄN</t>
        </is>
      </c>
      <c r="E5788" t="inlineStr">
        <is>
          <t>SUNDSVALL</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2939-2025</t>
        </is>
      </c>
      <c r="B5789" s="1" t="n">
        <v>45678.38581018519</v>
      </c>
      <c r="C5789" s="1" t="n">
        <v>46185</v>
      </c>
      <c r="D5789" t="inlineStr">
        <is>
          <t>VÄSTERNORRLANDS LÄN</t>
        </is>
      </c>
      <c r="E5789" t="inlineStr">
        <is>
          <t>SOLLEFTEÅ</t>
        </is>
      </c>
      <c r="F5789" t="inlineStr">
        <is>
          <t>SCA</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56633-2025</t>
        </is>
      </c>
      <c r="B5790" s="1" t="n">
        <v>45975.6159375</v>
      </c>
      <c r="C5790" s="1" t="n">
        <v>46185</v>
      </c>
      <c r="D5790" t="inlineStr">
        <is>
          <t>VÄSTERNORRLANDS LÄN</t>
        </is>
      </c>
      <c r="E5790" t="inlineStr">
        <is>
          <t>HÄRNÖSAND</t>
        </is>
      </c>
      <c r="F5790" t="inlineStr">
        <is>
          <t>SCA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18643-2025</t>
        </is>
      </c>
      <c r="B5791" s="1" t="n">
        <v>45763.57328703703</v>
      </c>
      <c r="C5791" s="1" t="n">
        <v>46185</v>
      </c>
      <c r="D5791" t="inlineStr">
        <is>
          <t>VÄSTERNORRLANDS LÄN</t>
        </is>
      </c>
      <c r="E5791" t="inlineStr">
        <is>
          <t>KRAMFORS</t>
        </is>
      </c>
      <c r="F5791" t="inlineStr">
        <is>
          <t>SCA</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3368-2025</t>
        </is>
      </c>
      <c r="B5792" s="1" t="n">
        <v>45679</v>
      </c>
      <c r="C5792" s="1" t="n">
        <v>46185</v>
      </c>
      <c r="D5792" t="inlineStr">
        <is>
          <t>VÄSTERNORRLANDS LÄN</t>
        </is>
      </c>
      <c r="E5792" t="inlineStr">
        <is>
          <t>SOLLEFTEÅ</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18648-2025</t>
        </is>
      </c>
      <c r="B5793" s="1" t="n">
        <v>45763.57391203703</v>
      </c>
      <c r="C5793" s="1" t="n">
        <v>46185</v>
      </c>
      <c r="D5793" t="inlineStr">
        <is>
          <t>VÄSTERNORRLANDS LÄN</t>
        </is>
      </c>
      <c r="E5793" t="inlineStr">
        <is>
          <t>KRAMFORS</t>
        </is>
      </c>
      <c r="F5793" t="inlineStr">
        <is>
          <t>SCA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3382-2025</t>
        </is>
      </c>
      <c r="B5794" s="1" t="n">
        <v>45680.34305555555</v>
      </c>
      <c r="C5794" s="1" t="n">
        <v>46185</v>
      </c>
      <c r="D5794" t="inlineStr">
        <is>
          <t>VÄSTERNORRLANDS LÄN</t>
        </is>
      </c>
      <c r="E5794" t="inlineStr">
        <is>
          <t>ÖRNSKÖLDSVIK</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57037-2025</t>
        </is>
      </c>
      <c r="B5795" s="1" t="n">
        <v>45979.34508101852</v>
      </c>
      <c r="C5795" s="1" t="n">
        <v>46185</v>
      </c>
      <c r="D5795" t="inlineStr">
        <is>
          <t>VÄSTERNORRLANDS LÄN</t>
        </is>
      </c>
      <c r="E5795" t="inlineStr">
        <is>
          <t>HÄRNÖSAND</t>
        </is>
      </c>
      <c r="F5795" t="inlineStr">
        <is>
          <t>SCA</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9334-2026</t>
        </is>
      </c>
      <c r="B5796" s="1" t="n">
        <v>46070</v>
      </c>
      <c r="C5796" s="1" t="n">
        <v>46185</v>
      </c>
      <c r="D5796" t="inlineStr">
        <is>
          <t>VÄSTERNORRLANDS LÄN</t>
        </is>
      </c>
      <c r="E5796" t="inlineStr">
        <is>
          <t>ÅNGE</t>
        </is>
      </c>
      <c r="F5796" t="inlineStr">
        <is>
          <t>SCA</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57091-2025</t>
        </is>
      </c>
      <c r="B5797" s="1" t="n">
        <v>45979.42734953704</v>
      </c>
      <c r="C5797" s="1" t="n">
        <v>46185</v>
      </c>
      <c r="D5797" t="inlineStr">
        <is>
          <t>VÄSTERNORRLANDS LÄN</t>
        </is>
      </c>
      <c r="E5797" t="inlineStr">
        <is>
          <t>ÖRNSKÖLDSVIK</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54982-2022</t>
        </is>
      </c>
      <c r="B5798" s="1" t="n">
        <v>44886</v>
      </c>
      <c r="C5798" s="1" t="n">
        <v>46185</v>
      </c>
      <c r="D5798" t="inlineStr">
        <is>
          <t>VÄSTERNORRLANDS LÄN</t>
        </is>
      </c>
      <c r="E5798" t="inlineStr">
        <is>
          <t>ÖRNSKÖLDSVIK</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55007-2022</t>
        </is>
      </c>
      <c r="B5799" s="1" t="n">
        <v>44881</v>
      </c>
      <c r="C5799" s="1" t="n">
        <v>46185</v>
      </c>
      <c r="D5799" t="inlineStr">
        <is>
          <t>VÄSTERNORRLANDS LÄN</t>
        </is>
      </c>
      <c r="E5799" t="inlineStr">
        <is>
          <t>ÅNGE</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39504-2021</t>
        </is>
      </c>
      <c r="B5800" s="1" t="n">
        <v>44414.93480324074</v>
      </c>
      <c r="C5800" s="1" t="n">
        <v>46185</v>
      </c>
      <c r="D5800" t="inlineStr">
        <is>
          <t>VÄSTERNORRLANDS LÄN</t>
        </is>
      </c>
      <c r="E5800" t="inlineStr">
        <is>
          <t>SOLLEFTEÅ</t>
        </is>
      </c>
      <c r="F5800" t="inlineStr">
        <is>
          <t>SCA</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57389-2025</t>
        </is>
      </c>
      <c r="B5801" s="1" t="n">
        <v>45980.41826388889</v>
      </c>
      <c r="C5801" s="1" t="n">
        <v>46185</v>
      </c>
      <c r="D5801" t="inlineStr">
        <is>
          <t>VÄSTERNORRLANDS LÄN</t>
        </is>
      </c>
      <c r="E5801" t="inlineStr">
        <is>
          <t>ÖRNSKÖLDSVIK</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53259-2023</t>
        </is>
      </c>
      <c r="B5802" s="1" t="n">
        <v>45229.5362037037</v>
      </c>
      <c r="C5802" s="1" t="n">
        <v>46185</v>
      </c>
      <c r="D5802" t="inlineStr">
        <is>
          <t>VÄSTERNORRLANDS LÄN</t>
        </is>
      </c>
      <c r="E5802" t="inlineStr">
        <is>
          <t>ÖRNSKÖLDSVIK</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16281-2023</t>
        </is>
      </c>
      <c r="B5803" s="1" t="n">
        <v>45028</v>
      </c>
      <c r="C5803" s="1" t="n">
        <v>46185</v>
      </c>
      <c r="D5803" t="inlineStr">
        <is>
          <t>VÄSTERNORRLANDS LÄN</t>
        </is>
      </c>
      <c r="E5803" t="inlineStr">
        <is>
          <t>ÅNGE</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13834-2024</t>
        </is>
      </c>
      <c r="B5804" s="1" t="n">
        <v>45390</v>
      </c>
      <c r="C5804" s="1" t="n">
        <v>46185</v>
      </c>
      <c r="D5804" t="inlineStr">
        <is>
          <t>VÄSTERNORRLANDS LÄN</t>
        </is>
      </c>
      <c r="E5804" t="inlineStr">
        <is>
          <t>SUNDSVALL</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57432-2025</t>
        </is>
      </c>
      <c r="B5805" s="1" t="n">
        <v>45980.47539351852</v>
      </c>
      <c r="C5805" s="1" t="n">
        <v>46185</v>
      </c>
      <c r="D5805" t="inlineStr">
        <is>
          <t>VÄSTERNORRLANDS LÄN</t>
        </is>
      </c>
      <c r="E5805" t="inlineStr">
        <is>
          <t>ÖRNSKÖLDSVIK</t>
        </is>
      </c>
      <c r="F5805" t="inlineStr">
        <is>
          <t>Holmen skog AB</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57438-2025</t>
        </is>
      </c>
      <c r="B5806" s="1" t="n">
        <v>45980.48119212963</v>
      </c>
      <c r="C5806" s="1" t="n">
        <v>46185</v>
      </c>
      <c r="D5806" t="inlineStr">
        <is>
          <t>VÄSTERNORRLANDS LÄN</t>
        </is>
      </c>
      <c r="E5806" t="inlineStr">
        <is>
          <t>ÖRNSKÖLDSVIK</t>
        </is>
      </c>
      <c r="F5806" t="inlineStr">
        <is>
          <t>Holmen skog AB</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57475-2025</t>
        </is>
      </c>
      <c r="B5807" s="1" t="n">
        <v>45980.56775462963</v>
      </c>
      <c r="C5807" s="1" t="n">
        <v>46185</v>
      </c>
      <c r="D5807" t="inlineStr">
        <is>
          <t>VÄSTERNORRLANDS LÄN</t>
        </is>
      </c>
      <c r="E5807" t="inlineStr">
        <is>
          <t>ÖRNSKÖLDSVIK</t>
        </is>
      </c>
      <c r="G5807" t="n">
        <v>6.5</v>
      </c>
      <c r="H5807" t="n">
        <v>0</v>
      </c>
      <c r="I5807" t="n">
        <v>0</v>
      </c>
      <c r="J5807" t="n">
        <v>0</v>
      </c>
      <c r="K5807" t="n">
        <v>0</v>
      </c>
      <c r="L5807" t="n">
        <v>0</v>
      </c>
      <c r="M5807" t="n">
        <v>0</v>
      </c>
      <c r="N5807" t="n">
        <v>0</v>
      </c>
      <c r="O5807" t="n">
        <v>0</v>
      </c>
      <c r="P5807" t="n">
        <v>0</v>
      </c>
      <c r="Q5807" t="n">
        <v>0</v>
      </c>
      <c r="R5807" s="2" t="inlineStr"/>
    </row>
    <row r="5808" ht="15" customHeight="1">
      <c r="A5808" t="inlineStr">
        <is>
          <t>A 13926-2023</t>
        </is>
      </c>
      <c r="B5808" s="1" t="n">
        <v>45008</v>
      </c>
      <c r="C5808" s="1" t="n">
        <v>46185</v>
      </c>
      <c r="D5808" t="inlineStr">
        <is>
          <t>VÄSTERNORRLANDS LÄN</t>
        </is>
      </c>
      <c r="E5808" t="inlineStr">
        <is>
          <t>KRAMFORS</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57568-2025</t>
        </is>
      </c>
      <c r="B5809" s="1" t="n">
        <v>45980</v>
      </c>
      <c r="C5809" s="1" t="n">
        <v>46185</v>
      </c>
      <c r="D5809" t="inlineStr">
        <is>
          <t>VÄSTERNORRLANDS LÄN</t>
        </is>
      </c>
      <c r="E5809" t="inlineStr">
        <is>
          <t>ÖRNSKÖLDSVIK</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57280-2025</t>
        </is>
      </c>
      <c r="B5810" s="1" t="n">
        <v>45979.69960648148</v>
      </c>
      <c r="C5810" s="1" t="n">
        <v>46185</v>
      </c>
      <c r="D5810" t="inlineStr">
        <is>
          <t>VÄSTERNORRLANDS LÄN</t>
        </is>
      </c>
      <c r="E5810" t="inlineStr">
        <is>
          <t>KRAMFORS</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45459-2022</t>
        </is>
      </c>
      <c r="B5811" s="1" t="n">
        <v>44845</v>
      </c>
      <c r="C5811" s="1" t="n">
        <v>46185</v>
      </c>
      <c r="D5811" t="inlineStr">
        <is>
          <t>VÄSTERNORRLANDS LÄN</t>
        </is>
      </c>
      <c r="E5811" t="inlineStr">
        <is>
          <t>ÅNGE</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9274-2026</t>
        </is>
      </c>
      <c r="B5812" s="1" t="n">
        <v>46070.56462962963</v>
      </c>
      <c r="C5812" s="1" t="n">
        <v>46185</v>
      </c>
      <c r="D5812" t="inlineStr">
        <is>
          <t>VÄSTERNORRLANDS LÄN</t>
        </is>
      </c>
      <c r="E5812" t="inlineStr">
        <is>
          <t>SUNDSVALL</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57033-2025</t>
        </is>
      </c>
      <c r="B5813" s="1" t="n">
        <v>45979.34442129629</v>
      </c>
      <c r="C5813" s="1" t="n">
        <v>46185</v>
      </c>
      <c r="D5813" t="inlineStr">
        <is>
          <t>VÄSTERNORRLANDS LÄN</t>
        </is>
      </c>
      <c r="E5813" t="inlineStr">
        <is>
          <t>HÄRNÖSAND</t>
        </is>
      </c>
      <c r="F5813" t="inlineStr">
        <is>
          <t>SCA</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57042-2025</t>
        </is>
      </c>
      <c r="B5814" s="1" t="n">
        <v>45979.34598379629</v>
      </c>
      <c r="C5814" s="1" t="n">
        <v>46185</v>
      </c>
      <c r="D5814" t="inlineStr">
        <is>
          <t>VÄSTERNORRLANDS LÄN</t>
        </is>
      </c>
      <c r="E5814" t="inlineStr">
        <is>
          <t>SOLLEFTEÅ</t>
        </is>
      </c>
      <c r="F5814" t="inlineStr">
        <is>
          <t>SCA</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7612-2025</t>
        </is>
      </c>
      <c r="B5815" s="1" t="n">
        <v>45705.67758101852</v>
      </c>
      <c r="C5815" s="1" t="n">
        <v>46185</v>
      </c>
      <c r="D5815" t="inlineStr">
        <is>
          <t>VÄSTERNORRLANDS LÄN</t>
        </is>
      </c>
      <c r="E5815" t="inlineStr">
        <is>
          <t>SUNDSVALL</t>
        </is>
      </c>
      <c r="F5815" t="inlineStr">
        <is>
          <t>SCA</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57132-2025</t>
        </is>
      </c>
      <c r="B5816" s="1" t="n">
        <v>45979.47430555556</v>
      </c>
      <c r="C5816" s="1" t="n">
        <v>46185</v>
      </c>
      <c r="D5816" t="inlineStr">
        <is>
          <t>VÄSTERNORRLANDS LÄN</t>
        </is>
      </c>
      <c r="E5816" t="inlineStr">
        <is>
          <t>HÄRNÖSAND</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57122-2025</t>
        </is>
      </c>
      <c r="B5817" s="1" t="n">
        <v>45979.4693287037</v>
      </c>
      <c r="C5817" s="1" t="n">
        <v>46185</v>
      </c>
      <c r="D5817" t="inlineStr">
        <is>
          <t>VÄSTERNORRLANDS LÄN</t>
        </is>
      </c>
      <c r="E5817" t="inlineStr">
        <is>
          <t>SUNDSVALL</t>
        </is>
      </c>
      <c r="F5817" t="inlineStr">
        <is>
          <t>SCA</t>
        </is>
      </c>
      <c r="G5817" t="n">
        <v>5.6</v>
      </c>
      <c r="H5817" t="n">
        <v>0</v>
      </c>
      <c r="I5817" t="n">
        <v>0</v>
      </c>
      <c r="J5817" t="n">
        <v>0</v>
      </c>
      <c r="K5817" t="n">
        <v>0</v>
      </c>
      <c r="L5817" t="n">
        <v>0</v>
      </c>
      <c r="M5817" t="n">
        <v>0</v>
      </c>
      <c r="N5817" t="n">
        <v>0</v>
      </c>
      <c r="O5817" t="n">
        <v>0</v>
      </c>
      <c r="P5817" t="n">
        <v>0</v>
      </c>
      <c r="Q5817" t="n">
        <v>0</v>
      </c>
      <c r="R5817" s="2" t="inlineStr"/>
    </row>
    <row r="5818" ht="15" customHeight="1">
      <c r="A5818" t="inlineStr">
        <is>
          <t>A 8874-2026</t>
        </is>
      </c>
      <c r="B5818" s="1" t="n">
        <v>46067.34431712963</v>
      </c>
      <c r="C5818" s="1" t="n">
        <v>46185</v>
      </c>
      <c r="D5818" t="inlineStr">
        <is>
          <t>VÄSTERNORRLANDS LÄN</t>
        </is>
      </c>
      <c r="E5818" t="inlineStr">
        <is>
          <t>ÅNGE</t>
        </is>
      </c>
      <c r="F5818" t="inlineStr">
        <is>
          <t>SCA</t>
        </is>
      </c>
      <c r="G5818" t="n">
        <v>6.7</v>
      </c>
      <c r="H5818" t="n">
        <v>0</v>
      </c>
      <c r="I5818" t="n">
        <v>0</v>
      </c>
      <c r="J5818" t="n">
        <v>0</v>
      </c>
      <c r="K5818" t="n">
        <v>0</v>
      </c>
      <c r="L5818" t="n">
        <v>0</v>
      </c>
      <c r="M5818" t="n">
        <v>0</v>
      </c>
      <c r="N5818" t="n">
        <v>0</v>
      </c>
      <c r="O5818" t="n">
        <v>0</v>
      </c>
      <c r="P5818" t="n">
        <v>0</v>
      </c>
      <c r="Q5818" t="n">
        <v>0</v>
      </c>
      <c r="R5818" s="2" t="inlineStr"/>
    </row>
    <row r="5819" ht="15" customHeight="1">
      <c r="A5819" t="inlineStr">
        <is>
          <t>A 57372-2025</t>
        </is>
      </c>
      <c r="B5819" s="1" t="n">
        <v>45980.38600694444</v>
      </c>
      <c r="C5819" s="1" t="n">
        <v>46185</v>
      </c>
      <c r="D5819" t="inlineStr">
        <is>
          <t>VÄSTERNORRLANDS LÄN</t>
        </is>
      </c>
      <c r="E5819" t="inlineStr">
        <is>
          <t>HÄRNÖSAND</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44083-2022</t>
        </is>
      </c>
      <c r="B5820" s="1" t="n">
        <v>44839.35788194444</v>
      </c>
      <c r="C5820" s="1" t="n">
        <v>46185</v>
      </c>
      <c r="D5820" t="inlineStr">
        <is>
          <t>VÄSTERNORRLANDS LÄN</t>
        </is>
      </c>
      <c r="E5820" t="inlineStr">
        <is>
          <t>ÖRNSKÖLDSVIK</t>
        </is>
      </c>
      <c r="F5820" t="inlineStr">
        <is>
          <t>Holmen skog AB</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8928-2026</t>
        </is>
      </c>
      <c r="B5821" s="1" t="n">
        <v>46069.34454861111</v>
      </c>
      <c r="C5821" s="1" t="n">
        <v>46185</v>
      </c>
      <c r="D5821" t="inlineStr">
        <is>
          <t>VÄSTERNORRLANDS LÄN</t>
        </is>
      </c>
      <c r="E5821" t="inlineStr">
        <is>
          <t>ÅNGE</t>
        </is>
      </c>
      <c r="F5821" t="inlineStr">
        <is>
          <t>SCA</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9053-2026</t>
        </is>
      </c>
      <c r="B5822" s="1" t="n">
        <v>46069.55560185185</v>
      </c>
      <c r="C5822" s="1" t="n">
        <v>46185</v>
      </c>
      <c r="D5822" t="inlineStr">
        <is>
          <t>VÄSTERNORRLANDS LÄN</t>
        </is>
      </c>
      <c r="E5822" t="inlineStr">
        <is>
          <t>HÄRNÖSAND</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2957-2025</t>
        </is>
      </c>
      <c r="B5823" s="1" t="n">
        <v>45678.4485300926</v>
      </c>
      <c r="C5823" s="1" t="n">
        <v>46185</v>
      </c>
      <c r="D5823" t="inlineStr">
        <is>
          <t>VÄSTERNORRLANDS LÄN</t>
        </is>
      </c>
      <c r="E5823" t="inlineStr">
        <is>
          <t>HÄRNÖSAND</t>
        </is>
      </c>
      <c r="F5823" t="inlineStr">
        <is>
          <t>SCA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2984-2025</t>
        </is>
      </c>
      <c r="B5824" s="1" t="n">
        <v>45678.51094907407</v>
      </c>
      <c r="C5824" s="1" t="n">
        <v>46185</v>
      </c>
      <c r="D5824" t="inlineStr">
        <is>
          <t>VÄSTERNORRLANDS LÄN</t>
        </is>
      </c>
      <c r="E5824" t="inlineStr">
        <is>
          <t>ÅNGE</t>
        </is>
      </c>
      <c r="F5824" t="inlineStr">
        <is>
          <t>SCA</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9126-2026</t>
        </is>
      </c>
      <c r="B5825" s="1" t="n">
        <v>46069.68767361111</v>
      </c>
      <c r="C5825" s="1" t="n">
        <v>46185</v>
      </c>
      <c r="D5825" t="inlineStr">
        <is>
          <t>VÄSTERNORRLANDS LÄN</t>
        </is>
      </c>
      <c r="E5825" t="inlineStr">
        <is>
          <t>ÅNGE</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9160-2026</t>
        </is>
      </c>
      <c r="B5826" s="1" t="n">
        <v>46070</v>
      </c>
      <c r="C5826" s="1" t="n">
        <v>46185</v>
      </c>
      <c r="D5826" t="inlineStr">
        <is>
          <t>VÄSTERNORRLANDS LÄN</t>
        </is>
      </c>
      <c r="E5826" t="inlineStr">
        <is>
          <t>HÄRNÖSAND</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8894-2025</t>
        </is>
      </c>
      <c r="B5827" s="1" t="n">
        <v>45713.40665509259</v>
      </c>
      <c r="C5827" s="1" t="n">
        <v>46185</v>
      </c>
      <c r="D5827" t="inlineStr">
        <is>
          <t>VÄSTERNORRLANDS LÄN</t>
        </is>
      </c>
      <c r="E5827" t="inlineStr">
        <is>
          <t>SOLLEFTEÅ</t>
        </is>
      </c>
      <c r="G5827" t="n">
        <v>8.4</v>
      </c>
      <c r="H5827" t="n">
        <v>0</v>
      </c>
      <c r="I5827" t="n">
        <v>0</v>
      </c>
      <c r="J5827" t="n">
        <v>0</v>
      </c>
      <c r="K5827" t="n">
        <v>0</v>
      </c>
      <c r="L5827" t="n">
        <v>0</v>
      </c>
      <c r="M5827" t="n">
        <v>0</v>
      </c>
      <c r="N5827" t="n">
        <v>0</v>
      </c>
      <c r="O5827" t="n">
        <v>0</v>
      </c>
      <c r="P5827" t="n">
        <v>0</v>
      </c>
      <c r="Q5827" t="n">
        <v>0</v>
      </c>
      <c r="R5827" s="2" t="inlineStr"/>
    </row>
    <row r="5828" ht="15" customHeight="1">
      <c r="A5828" t="inlineStr">
        <is>
          <t>A 57283-2025</t>
        </is>
      </c>
      <c r="B5828" s="1" t="n">
        <v>45979.71918981482</v>
      </c>
      <c r="C5828" s="1" t="n">
        <v>46185</v>
      </c>
      <c r="D5828" t="inlineStr">
        <is>
          <t>VÄSTERNORRLANDS LÄN</t>
        </is>
      </c>
      <c r="E5828" t="inlineStr">
        <is>
          <t>ÅNGE</t>
        </is>
      </c>
      <c r="F5828" t="inlineStr">
        <is>
          <t>SCA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57457-2025</t>
        </is>
      </c>
      <c r="B5829" s="1" t="n">
        <v>45980.53001157408</v>
      </c>
      <c r="C5829" s="1" t="n">
        <v>46185</v>
      </c>
      <c r="D5829" t="inlineStr">
        <is>
          <t>VÄSTERNORRLANDS LÄN</t>
        </is>
      </c>
      <c r="E5829" t="inlineStr">
        <is>
          <t>ÅNGE</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57205-2025</t>
        </is>
      </c>
      <c r="B5830" s="1" t="n">
        <v>45979.59429398148</v>
      </c>
      <c r="C5830" s="1" t="n">
        <v>46185</v>
      </c>
      <c r="D5830" t="inlineStr">
        <is>
          <t>VÄSTERNORRLANDS LÄN</t>
        </is>
      </c>
      <c r="E5830" t="inlineStr">
        <is>
          <t>SOLLEFTEÅ</t>
        </is>
      </c>
      <c r="F5830" t="inlineStr">
        <is>
          <t>SCA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54572-2024</t>
        </is>
      </c>
      <c r="B5831" s="1" t="n">
        <v>45617.65054398148</v>
      </c>
      <c r="C5831" s="1" t="n">
        <v>46185</v>
      </c>
      <c r="D5831" t="inlineStr">
        <is>
          <t>VÄSTERNORRLANDS LÄN</t>
        </is>
      </c>
      <c r="E5831" t="inlineStr">
        <is>
          <t>SOLLEFTEÅ</t>
        </is>
      </c>
      <c r="G5831" t="n">
        <v>28.2</v>
      </c>
      <c r="H5831" t="n">
        <v>0</v>
      </c>
      <c r="I5831" t="n">
        <v>0</v>
      </c>
      <c r="J5831" t="n">
        <v>0</v>
      </c>
      <c r="K5831" t="n">
        <v>0</v>
      </c>
      <c r="L5831" t="n">
        <v>0</v>
      </c>
      <c r="M5831" t="n">
        <v>0</v>
      </c>
      <c r="N5831" t="n">
        <v>0</v>
      </c>
      <c r="O5831" t="n">
        <v>0</v>
      </c>
      <c r="P5831" t="n">
        <v>0</v>
      </c>
      <c r="Q5831" t="n">
        <v>0</v>
      </c>
      <c r="R5831" s="2" t="inlineStr"/>
    </row>
    <row r="5832" ht="15" customHeight="1">
      <c r="A5832" t="inlineStr">
        <is>
          <t>A 54574-2024</t>
        </is>
      </c>
      <c r="B5832" s="1" t="n">
        <v>45617.65201388889</v>
      </c>
      <c r="C5832" s="1" t="n">
        <v>46185</v>
      </c>
      <c r="D5832" t="inlineStr">
        <is>
          <t>VÄSTERNORRLANDS LÄN</t>
        </is>
      </c>
      <c r="E5832" t="inlineStr">
        <is>
          <t>SOLLEFTEÅ</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54582-2024</t>
        </is>
      </c>
      <c r="B5833" s="1" t="n">
        <v>45617.65704861111</v>
      </c>
      <c r="C5833" s="1" t="n">
        <v>46185</v>
      </c>
      <c r="D5833" t="inlineStr">
        <is>
          <t>VÄSTERNORRLANDS LÄN</t>
        </is>
      </c>
      <c r="E5833" t="inlineStr">
        <is>
          <t>ÖRNSKÖLDSVIK</t>
        </is>
      </c>
      <c r="F5833" t="inlineStr">
        <is>
          <t>Holmen skog AB</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57058-2025</t>
        </is>
      </c>
      <c r="B5834" s="1" t="n">
        <v>45979.36495370371</v>
      </c>
      <c r="C5834" s="1" t="n">
        <v>46185</v>
      </c>
      <c r="D5834" t="inlineStr">
        <is>
          <t>VÄSTERNORRLANDS LÄN</t>
        </is>
      </c>
      <c r="E5834" t="inlineStr">
        <is>
          <t>KRAMFORS</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18812-2025</t>
        </is>
      </c>
      <c r="B5835" s="1" t="n">
        <v>45764.36490740741</v>
      </c>
      <c r="C5835" s="1" t="n">
        <v>46185</v>
      </c>
      <c r="D5835" t="inlineStr">
        <is>
          <t>VÄSTERNORRLANDS LÄN</t>
        </is>
      </c>
      <c r="E5835" t="inlineStr">
        <is>
          <t>HÄRNÖSAND</t>
        </is>
      </c>
      <c r="F5835" t="inlineStr">
        <is>
          <t>SCA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18814-2025</t>
        </is>
      </c>
      <c r="B5836" s="1" t="n">
        <v>45764.3653587963</v>
      </c>
      <c r="C5836" s="1" t="n">
        <v>46185</v>
      </c>
      <c r="D5836" t="inlineStr">
        <is>
          <t>VÄSTERNORRLANDS LÄN</t>
        </is>
      </c>
      <c r="E5836" t="inlineStr">
        <is>
          <t>TIMRÅ</t>
        </is>
      </c>
      <c r="F5836" t="inlineStr">
        <is>
          <t>SCA</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18819-2025</t>
        </is>
      </c>
      <c r="B5837" s="1" t="n">
        <v>45764.37483796296</v>
      </c>
      <c r="C5837" s="1" t="n">
        <v>46185</v>
      </c>
      <c r="D5837" t="inlineStr">
        <is>
          <t>VÄSTERNORRLANDS LÄN</t>
        </is>
      </c>
      <c r="E5837" t="inlineStr">
        <is>
          <t>SUNDSVALL</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57147-2025</t>
        </is>
      </c>
      <c r="B5838" s="1" t="n">
        <v>45979.49215277778</v>
      </c>
      <c r="C5838" s="1" t="n">
        <v>46185</v>
      </c>
      <c r="D5838" t="inlineStr">
        <is>
          <t>VÄSTERNORRLANDS LÄN</t>
        </is>
      </c>
      <c r="E5838" t="inlineStr">
        <is>
          <t>KRAMFORS</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57148-2025</t>
        </is>
      </c>
      <c r="B5839" s="1" t="n">
        <v>45979.49269675926</v>
      </c>
      <c r="C5839" s="1" t="n">
        <v>46185</v>
      </c>
      <c r="D5839" t="inlineStr">
        <is>
          <t>VÄSTERNORRLANDS LÄN</t>
        </is>
      </c>
      <c r="E5839" t="inlineStr">
        <is>
          <t>KRAMFORS</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8922-2026</t>
        </is>
      </c>
      <c r="B5840" s="1" t="n">
        <v>46069.34008101852</v>
      </c>
      <c r="C5840" s="1" t="n">
        <v>46185</v>
      </c>
      <c r="D5840" t="inlineStr">
        <is>
          <t>VÄSTERNORRLANDS LÄN</t>
        </is>
      </c>
      <c r="E5840" t="inlineStr">
        <is>
          <t>ÖRNSKÖLDSVIK</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8926-2026</t>
        </is>
      </c>
      <c r="B5841" s="1" t="n">
        <v>46069.34429398148</v>
      </c>
      <c r="C5841" s="1" t="n">
        <v>46185</v>
      </c>
      <c r="D5841" t="inlineStr">
        <is>
          <t>VÄSTERNORRLANDS LÄN</t>
        </is>
      </c>
      <c r="E5841" t="inlineStr">
        <is>
          <t>ÅNGE</t>
        </is>
      </c>
      <c r="F5841" t="inlineStr">
        <is>
          <t>SCA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10017-2025</t>
        </is>
      </c>
      <c r="B5842" s="1" t="n">
        <v>45719.46957175926</v>
      </c>
      <c r="C5842" s="1" t="n">
        <v>46185</v>
      </c>
      <c r="D5842" t="inlineStr">
        <is>
          <t>VÄSTERNORRLANDS LÄN</t>
        </is>
      </c>
      <c r="E5842" t="inlineStr">
        <is>
          <t>ÅNGE</t>
        </is>
      </c>
      <c r="F5842" t="inlineStr">
        <is>
          <t>SCA</t>
        </is>
      </c>
      <c r="G5842" t="n">
        <v>9.9</v>
      </c>
      <c r="H5842" t="n">
        <v>0</v>
      </c>
      <c r="I5842" t="n">
        <v>0</v>
      </c>
      <c r="J5842" t="n">
        <v>0</v>
      </c>
      <c r="K5842" t="n">
        <v>0</v>
      </c>
      <c r="L5842" t="n">
        <v>0</v>
      </c>
      <c r="M5842" t="n">
        <v>0</v>
      </c>
      <c r="N5842" t="n">
        <v>0</v>
      </c>
      <c r="O5842" t="n">
        <v>0</v>
      </c>
      <c r="P5842" t="n">
        <v>0</v>
      </c>
      <c r="Q5842" t="n">
        <v>0</v>
      </c>
      <c r="R5842" s="2" t="inlineStr"/>
    </row>
    <row r="5843" ht="15" customHeight="1">
      <c r="A5843" t="inlineStr">
        <is>
          <t>A 57470-2025</t>
        </is>
      </c>
      <c r="B5843" s="1" t="n">
        <v>45980.56049768518</v>
      </c>
      <c r="C5843" s="1" t="n">
        <v>46185</v>
      </c>
      <c r="D5843" t="inlineStr">
        <is>
          <t>VÄSTERNORRLANDS LÄN</t>
        </is>
      </c>
      <c r="E5843" t="inlineStr">
        <is>
          <t>ÖRNSKÖLDSVIK</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47330-2023</t>
        </is>
      </c>
      <c r="B5844" s="1" t="n">
        <v>45196</v>
      </c>
      <c r="C5844" s="1" t="n">
        <v>46185</v>
      </c>
      <c r="D5844" t="inlineStr">
        <is>
          <t>VÄSTERNORRLANDS LÄN</t>
        </is>
      </c>
      <c r="E5844" t="inlineStr">
        <is>
          <t>ÖRNSKÖLDSVIK</t>
        </is>
      </c>
      <c r="G5844" t="n">
        <v>12.7</v>
      </c>
      <c r="H5844" t="n">
        <v>0</v>
      </c>
      <c r="I5844" t="n">
        <v>0</v>
      </c>
      <c r="J5844" t="n">
        <v>0</v>
      </c>
      <c r="K5844" t="n">
        <v>0</v>
      </c>
      <c r="L5844" t="n">
        <v>0</v>
      </c>
      <c r="M5844" t="n">
        <v>0</v>
      </c>
      <c r="N5844" t="n">
        <v>0</v>
      </c>
      <c r="O5844" t="n">
        <v>0</v>
      </c>
      <c r="P5844" t="n">
        <v>0</v>
      </c>
      <c r="Q5844" t="n">
        <v>0</v>
      </c>
      <c r="R5844" s="2" t="inlineStr"/>
    </row>
    <row r="5845" ht="15" customHeight="1">
      <c r="A5845" t="inlineStr">
        <is>
          <t>A 18467-2025</t>
        </is>
      </c>
      <c r="B5845" s="1" t="n">
        <v>45762.70768518518</v>
      </c>
      <c r="C5845" s="1" t="n">
        <v>46185</v>
      </c>
      <c r="D5845" t="inlineStr">
        <is>
          <t>VÄSTERNORRLANDS LÄN</t>
        </is>
      </c>
      <c r="E5845" t="inlineStr">
        <is>
          <t>SUNDSVALL</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8995-2026</t>
        </is>
      </c>
      <c r="B5846" s="1" t="n">
        <v>46069.46938657408</v>
      </c>
      <c r="C5846" s="1" t="n">
        <v>46185</v>
      </c>
      <c r="D5846" t="inlineStr">
        <is>
          <t>VÄSTERNORRLANDS LÄN</t>
        </is>
      </c>
      <c r="E5846" t="inlineStr">
        <is>
          <t>ÅNGE</t>
        </is>
      </c>
      <c r="F5846" t="inlineStr">
        <is>
          <t>SCA</t>
        </is>
      </c>
      <c r="G5846" t="n">
        <v>8.6</v>
      </c>
      <c r="H5846" t="n">
        <v>0</v>
      </c>
      <c r="I5846" t="n">
        <v>0</v>
      </c>
      <c r="J5846" t="n">
        <v>0</v>
      </c>
      <c r="K5846" t="n">
        <v>0</v>
      </c>
      <c r="L5846" t="n">
        <v>0</v>
      </c>
      <c r="M5846" t="n">
        <v>0</v>
      </c>
      <c r="N5846" t="n">
        <v>0</v>
      </c>
      <c r="O5846" t="n">
        <v>0</v>
      </c>
      <c r="P5846" t="n">
        <v>0</v>
      </c>
      <c r="Q5846" t="n">
        <v>0</v>
      </c>
      <c r="R5846" s="2" t="inlineStr"/>
    </row>
    <row r="5847" ht="15" customHeight="1">
      <c r="A5847" t="inlineStr">
        <is>
          <t>A 9011-2026</t>
        </is>
      </c>
      <c r="B5847" s="1" t="n">
        <v>46069.48856481481</v>
      </c>
      <c r="C5847" s="1" t="n">
        <v>46185</v>
      </c>
      <c r="D5847" t="inlineStr">
        <is>
          <t>VÄSTERNORRLANDS LÄN</t>
        </is>
      </c>
      <c r="E5847" t="inlineStr">
        <is>
          <t>KRAMFORS</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57092-2025</t>
        </is>
      </c>
      <c r="B5848" s="1" t="n">
        <v>45979.42767361111</v>
      </c>
      <c r="C5848" s="1" t="n">
        <v>46185</v>
      </c>
      <c r="D5848" t="inlineStr">
        <is>
          <t>VÄSTERNORRLANDS LÄN</t>
        </is>
      </c>
      <c r="E5848" t="inlineStr">
        <is>
          <t>SUNDSVALL</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57099-2025</t>
        </is>
      </c>
      <c r="B5849" s="1" t="n">
        <v>45979.43927083333</v>
      </c>
      <c r="C5849" s="1" t="n">
        <v>46185</v>
      </c>
      <c r="D5849" t="inlineStr">
        <is>
          <t>VÄSTERNORRLANDS LÄN</t>
        </is>
      </c>
      <c r="E5849" t="inlineStr">
        <is>
          <t>HÄRNÖSAND</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66636-2021</t>
        </is>
      </c>
      <c r="B5850" s="1" t="n">
        <v>44519.56555555556</v>
      </c>
      <c r="C5850" s="1" t="n">
        <v>46185</v>
      </c>
      <c r="D5850" t="inlineStr">
        <is>
          <t>VÄSTERNORRLANDS LÄN</t>
        </is>
      </c>
      <c r="E5850" t="inlineStr">
        <is>
          <t>ÖRNSKÖLDSVIK</t>
        </is>
      </c>
      <c r="F5850" t="inlineStr">
        <is>
          <t>Holmen skog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326-2025</t>
        </is>
      </c>
      <c r="B5851" s="1" t="n">
        <v>45660.65653935185</v>
      </c>
      <c r="C5851" s="1" t="n">
        <v>46185</v>
      </c>
      <c r="D5851" t="inlineStr">
        <is>
          <t>VÄSTERNORRLANDS LÄN</t>
        </is>
      </c>
      <c r="E5851" t="inlineStr">
        <is>
          <t>SOLLEFTEÅ</t>
        </is>
      </c>
      <c r="F5851" t="inlineStr">
        <is>
          <t>SCA</t>
        </is>
      </c>
      <c r="G5851" t="n">
        <v>5.1</v>
      </c>
      <c r="H5851" t="n">
        <v>0</v>
      </c>
      <c r="I5851" t="n">
        <v>0</v>
      </c>
      <c r="J5851" t="n">
        <v>0</v>
      </c>
      <c r="K5851" t="n">
        <v>0</v>
      </c>
      <c r="L5851" t="n">
        <v>0</v>
      </c>
      <c r="M5851" t="n">
        <v>0</v>
      </c>
      <c r="N5851" t="n">
        <v>0</v>
      </c>
      <c r="O5851" t="n">
        <v>0</v>
      </c>
      <c r="P5851" t="n">
        <v>0</v>
      </c>
      <c r="Q5851" t="n">
        <v>0</v>
      </c>
      <c r="R5851" s="2" t="inlineStr"/>
    </row>
    <row r="5852" ht="15" customHeight="1">
      <c r="A5852" t="inlineStr">
        <is>
          <t>A 57145-2025</t>
        </is>
      </c>
      <c r="B5852" s="1" t="n">
        <v>45979.4903587963</v>
      </c>
      <c r="C5852" s="1" t="n">
        <v>46185</v>
      </c>
      <c r="D5852" t="inlineStr">
        <is>
          <t>VÄSTERNORRLANDS LÄN</t>
        </is>
      </c>
      <c r="E5852" t="inlineStr">
        <is>
          <t>SUNDSVALL</t>
        </is>
      </c>
      <c r="F5852" t="inlineStr">
        <is>
          <t>SCA</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345-2025</t>
        </is>
      </c>
      <c r="B5853" s="1" t="n">
        <v>45660.71949074074</v>
      </c>
      <c r="C5853" s="1" t="n">
        <v>46185</v>
      </c>
      <c r="D5853" t="inlineStr">
        <is>
          <t>VÄSTERNORRLANDS LÄN</t>
        </is>
      </c>
      <c r="E5853" t="inlineStr">
        <is>
          <t>KRAMFORS</t>
        </is>
      </c>
      <c r="G5853" t="n">
        <v>0.3</v>
      </c>
      <c r="H5853" t="n">
        <v>0</v>
      </c>
      <c r="I5853" t="n">
        <v>0</v>
      </c>
      <c r="J5853" t="n">
        <v>0</v>
      </c>
      <c r="K5853" t="n">
        <v>0</v>
      </c>
      <c r="L5853" t="n">
        <v>0</v>
      </c>
      <c r="M5853" t="n">
        <v>0</v>
      </c>
      <c r="N5853" t="n">
        <v>0</v>
      </c>
      <c r="O5853" t="n">
        <v>0</v>
      </c>
      <c r="P5853" t="n">
        <v>0</v>
      </c>
      <c r="Q5853" t="n">
        <v>0</v>
      </c>
      <c r="R5853" s="2" t="inlineStr"/>
    </row>
    <row r="5854" ht="15" customHeight="1">
      <c r="A5854" t="inlineStr">
        <is>
          <t>A 34473-2021</t>
        </is>
      </c>
      <c r="B5854" s="1" t="n">
        <v>44381.93096064815</v>
      </c>
      <c r="C5854" s="1" t="n">
        <v>46185</v>
      </c>
      <c r="D5854" t="inlineStr">
        <is>
          <t>VÄSTERNORRLANDS LÄN</t>
        </is>
      </c>
      <c r="E5854" t="inlineStr">
        <is>
          <t>SOLLEFTEÅ</t>
        </is>
      </c>
      <c r="F5854" t="inlineStr">
        <is>
          <t>SCA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41287-2021</t>
        </is>
      </c>
      <c r="B5855" s="1" t="n">
        <v>44424</v>
      </c>
      <c r="C5855" s="1" t="n">
        <v>46185</v>
      </c>
      <c r="D5855" t="inlineStr">
        <is>
          <t>VÄSTERNORRLANDS LÄN</t>
        </is>
      </c>
      <c r="E5855" t="inlineStr">
        <is>
          <t>KRAMFORS</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57041-2025</t>
        </is>
      </c>
      <c r="B5856" s="1" t="n">
        <v>45979.34581018519</v>
      </c>
      <c r="C5856" s="1" t="n">
        <v>46185</v>
      </c>
      <c r="D5856" t="inlineStr">
        <is>
          <t>VÄSTERNORRLANDS LÄN</t>
        </is>
      </c>
      <c r="E5856" t="inlineStr">
        <is>
          <t>HÄRNÖSAND</t>
        </is>
      </c>
      <c r="F5856" t="inlineStr">
        <is>
          <t>SCA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57044-2025</t>
        </is>
      </c>
      <c r="B5857" s="1" t="n">
        <v>45979.34629629629</v>
      </c>
      <c r="C5857" s="1" t="n">
        <v>46185</v>
      </c>
      <c r="D5857" t="inlineStr">
        <is>
          <t>VÄSTERNORRLANDS LÄN</t>
        </is>
      </c>
      <c r="E5857" t="inlineStr">
        <is>
          <t>TIMRÅ</t>
        </is>
      </c>
      <c r="F5857" t="inlineStr">
        <is>
          <t>SCA</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45120-2022</t>
        </is>
      </c>
      <c r="B5858" s="1" t="n">
        <v>44843</v>
      </c>
      <c r="C5858" s="1" t="n">
        <v>46185</v>
      </c>
      <c r="D5858" t="inlineStr">
        <is>
          <t>VÄSTERNORRLANDS LÄN</t>
        </is>
      </c>
      <c r="E5858" t="inlineStr">
        <is>
          <t>SOLLEFTEÅ</t>
        </is>
      </c>
      <c r="F5858" t="inlineStr">
        <is>
          <t>SCA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19205-2025</t>
        </is>
      </c>
      <c r="B5859" s="1" t="n">
        <v>45769.42861111111</v>
      </c>
      <c r="C5859" s="1" t="n">
        <v>46185</v>
      </c>
      <c r="D5859" t="inlineStr">
        <is>
          <t>VÄSTERNORRLANDS LÄN</t>
        </is>
      </c>
      <c r="E5859" t="inlineStr">
        <is>
          <t>SOLLEFTEÅ</t>
        </is>
      </c>
      <c r="F5859" t="inlineStr">
        <is>
          <t>SCA</t>
        </is>
      </c>
      <c r="G5859" t="n">
        <v>8.699999999999999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45688-2022</t>
        </is>
      </c>
      <c r="B5860" s="1" t="n">
        <v>44845</v>
      </c>
      <c r="C5860" s="1" t="n">
        <v>46185</v>
      </c>
      <c r="D5860" t="inlineStr">
        <is>
          <t>VÄSTERNORRLANDS LÄN</t>
        </is>
      </c>
      <c r="E5860" t="inlineStr">
        <is>
          <t>TIMRÅ</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9299-2026</t>
        </is>
      </c>
      <c r="B5861" s="1" t="n">
        <v>46070</v>
      </c>
      <c r="C5861" s="1" t="n">
        <v>46185</v>
      </c>
      <c r="D5861" t="inlineStr">
        <is>
          <t>VÄSTERNORRLANDS LÄN</t>
        </is>
      </c>
      <c r="E5861" t="inlineStr">
        <is>
          <t>TIMRÅ</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29285-2024</t>
        </is>
      </c>
      <c r="B5862" s="1" t="n">
        <v>45483</v>
      </c>
      <c r="C5862" s="1" t="n">
        <v>46185</v>
      </c>
      <c r="D5862" t="inlineStr">
        <is>
          <t>VÄSTERNORRLANDS LÄN</t>
        </is>
      </c>
      <c r="E5862" t="inlineStr">
        <is>
          <t>KRAMFORS</t>
        </is>
      </c>
      <c r="G5862" t="n">
        <v>0.2</v>
      </c>
      <c r="H5862" t="n">
        <v>0</v>
      </c>
      <c r="I5862" t="n">
        <v>0</v>
      </c>
      <c r="J5862" t="n">
        <v>0</v>
      </c>
      <c r="K5862" t="n">
        <v>0</v>
      </c>
      <c r="L5862" t="n">
        <v>0</v>
      </c>
      <c r="M5862" t="n">
        <v>0</v>
      </c>
      <c r="N5862" t="n">
        <v>0</v>
      </c>
      <c r="O5862" t="n">
        <v>0</v>
      </c>
      <c r="P5862" t="n">
        <v>0</v>
      </c>
      <c r="Q5862" t="n">
        <v>0</v>
      </c>
      <c r="R5862" s="2" t="inlineStr"/>
    </row>
    <row r="5863" ht="15" customHeight="1">
      <c r="A5863" t="inlineStr">
        <is>
          <t>A 29298-2024</t>
        </is>
      </c>
      <c r="B5863" s="1" t="n">
        <v>45483</v>
      </c>
      <c r="C5863" s="1" t="n">
        <v>46185</v>
      </c>
      <c r="D5863" t="inlineStr">
        <is>
          <t>VÄSTERNORRLANDS LÄN</t>
        </is>
      </c>
      <c r="E5863" t="inlineStr">
        <is>
          <t>SUNDSVALL</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57029-2025</t>
        </is>
      </c>
      <c r="B5864" s="1" t="n">
        <v>45979.33319444444</v>
      </c>
      <c r="C5864" s="1" t="n">
        <v>46185</v>
      </c>
      <c r="D5864" t="inlineStr">
        <is>
          <t>VÄSTERNORRLANDS LÄN</t>
        </is>
      </c>
      <c r="E5864" t="inlineStr">
        <is>
          <t>KRAMFORS</t>
        </is>
      </c>
      <c r="G5864" t="n">
        <v>6.2</v>
      </c>
      <c r="H5864" t="n">
        <v>0</v>
      </c>
      <c r="I5864" t="n">
        <v>0</v>
      </c>
      <c r="J5864" t="n">
        <v>0</v>
      </c>
      <c r="K5864" t="n">
        <v>0</v>
      </c>
      <c r="L5864" t="n">
        <v>0</v>
      </c>
      <c r="M5864" t="n">
        <v>0</v>
      </c>
      <c r="N5864" t="n">
        <v>0</v>
      </c>
      <c r="O5864" t="n">
        <v>0</v>
      </c>
      <c r="P5864" t="n">
        <v>0</v>
      </c>
      <c r="Q5864" t="n">
        <v>0</v>
      </c>
      <c r="R5864" s="2" t="inlineStr"/>
    </row>
    <row r="5865" ht="15" customHeight="1">
      <c r="A5865" t="inlineStr">
        <is>
          <t>A 36070-2021</t>
        </is>
      </c>
      <c r="B5865" s="1" t="n">
        <v>44386</v>
      </c>
      <c r="C5865" s="1" t="n">
        <v>46185</v>
      </c>
      <c r="D5865" t="inlineStr">
        <is>
          <t>VÄSTERNORRLANDS LÄN</t>
        </is>
      </c>
      <c r="E5865" t="inlineStr">
        <is>
          <t>ÖRNSKÖLDSVIK</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29696-2024</t>
        </is>
      </c>
      <c r="B5866" s="1" t="n">
        <v>45484.94524305555</v>
      </c>
      <c r="C5866" s="1" t="n">
        <v>46185</v>
      </c>
      <c r="D5866" t="inlineStr">
        <is>
          <t>VÄSTERNORRLANDS LÄN</t>
        </is>
      </c>
      <c r="E5866" t="inlineStr">
        <is>
          <t>ÅNGE</t>
        </is>
      </c>
      <c r="F5866" t="inlineStr">
        <is>
          <t>SCA</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57035-2025</t>
        </is>
      </c>
      <c r="B5867" s="1" t="n">
        <v>45979.34475694445</v>
      </c>
      <c r="C5867" s="1" t="n">
        <v>46185</v>
      </c>
      <c r="D5867" t="inlineStr">
        <is>
          <t>VÄSTERNORRLANDS LÄN</t>
        </is>
      </c>
      <c r="E5867" t="inlineStr">
        <is>
          <t>HÄRNÖSAND</t>
        </is>
      </c>
      <c r="F5867" t="inlineStr">
        <is>
          <t>SCA</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57069-2025</t>
        </is>
      </c>
      <c r="B5868" s="1" t="n">
        <v>45979.38600694444</v>
      </c>
      <c r="C5868" s="1" t="n">
        <v>46185</v>
      </c>
      <c r="D5868" t="inlineStr">
        <is>
          <t>VÄSTERNORRLANDS LÄN</t>
        </is>
      </c>
      <c r="E5868" t="inlineStr">
        <is>
          <t>KRAMFORS</t>
        </is>
      </c>
      <c r="G5868" t="n">
        <v>9.699999999999999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57052-2025</t>
        </is>
      </c>
      <c r="B5869" s="1" t="n">
        <v>45979.34738425926</v>
      </c>
      <c r="C5869" s="1" t="n">
        <v>46185</v>
      </c>
      <c r="D5869" t="inlineStr">
        <is>
          <t>VÄSTERNORRLANDS LÄN</t>
        </is>
      </c>
      <c r="E5869" t="inlineStr">
        <is>
          <t>SUNDSVALL</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57056-2025</t>
        </is>
      </c>
      <c r="B5870" s="1" t="n">
        <v>45979.36449074074</v>
      </c>
      <c r="C5870" s="1" t="n">
        <v>46185</v>
      </c>
      <c r="D5870" t="inlineStr">
        <is>
          <t>VÄSTERNORRLANDS LÄN</t>
        </is>
      </c>
      <c r="E5870" t="inlineStr">
        <is>
          <t>ÖRNSKÖLDSVIK</t>
        </is>
      </c>
      <c r="G5870" t="n">
        <v>7.8</v>
      </c>
      <c r="H5870" t="n">
        <v>0</v>
      </c>
      <c r="I5870" t="n">
        <v>0</v>
      </c>
      <c r="J5870" t="n">
        <v>0</v>
      </c>
      <c r="K5870" t="n">
        <v>0</v>
      </c>
      <c r="L5870" t="n">
        <v>0</v>
      </c>
      <c r="M5870" t="n">
        <v>0</v>
      </c>
      <c r="N5870" t="n">
        <v>0</v>
      </c>
      <c r="O5870" t="n">
        <v>0</v>
      </c>
      <c r="P5870" t="n">
        <v>0</v>
      </c>
      <c r="Q5870" t="n">
        <v>0</v>
      </c>
      <c r="R5870" s="2" t="inlineStr"/>
    </row>
    <row r="5871" ht="15" customHeight="1">
      <c r="A5871" t="inlineStr">
        <is>
          <t>A 57057-2025</t>
        </is>
      </c>
      <c r="B5871" s="1" t="n">
        <v>45979.36493055556</v>
      </c>
      <c r="C5871" s="1" t="n">
        <v>46185</v>
      </c>
      <c r="D5871" t="inlineStr">
        <is>
          <t>VÄSTERNORRLANDS LÄN</t>
        </is>
      </c>
      <c r="E5871" t="inlineStr">
        <is>
          <t>KRAMFORS</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57061-2025</t>
        </is>
      </c>
      <c r="B5872" s="1" t="n">
        <v>45979.37059027778</v>
      </c>
      <c r="C5872" s="1" t="n">
        <v>46185</v>
      </c>
      <c r="D5872" t="inlineStr">
        <is>
          <t>VÄSTERNORRLANDS LÄN</t>
        </is>
      </c>
      <c r="E5872" t="inlineStr">
        <is>
          <t>SOLLEFTEÅ</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42063-2022</t>
        </is>
      </c>
      <c r="B5873" s="1" t="n">
        <v>44830</v>
      </c>
      <c r="C5873" s="1" t="n">
        <v>46185</v>
      </c>
      <c r="D5873" t="inlineStr">
        <is>
          <t>VÄSTERNORRLANDS LÄN</t>
        </is>
      </c>
      <c r="E5873" t="inlineStr">
        <is>
          <t>KRAMFORS</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57089-2025</t>
        </is>
      </c>
      <c r="B5874" s="1" t="n">
        <v>45979.42451388889</v>
      </c>
      <c r="C5874" s="1" t="n">
        <v>46185</v>
      </c>
      <c r="D5874" t="inlineStr">
        <is>
          <t>VÄSTERNORRLANDS LÄN</t>
        </is>
      </c>
      <c r="E5874" t="inlineStr">
        <is>
          <t>HÄRNÖSAND</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9639-2026</t>
        </is>
      </c>
      <c r="B5875" s="1" t="n">
        <v>46072</v>
      </c>
      <c r="C5875" s="1" t="n">
        <v>46185</v>
      </c>
      <c r="D5875" t="inlineStr">
        <is>
          <t>VÄSTERNORRLANDS LÄN</t>
        </is>
      </c>
      <c r="E5875" t="inlineStr">
        <is>
          <t>TIMRÅ</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9642-2026</t>
        </is>
      </c>
      <c r="B5876" s="1" t="n">
        <v>46072</v>
      </c>
      <c r="C5876" s="1" t="n">
        <v>46185</v>
      </c>
      <c r="D5876" t="inlineStr">
        <is>
          <t>VÄSTERNORRLANDS LÄN</t>
        </is>
      </c>
      <c r="E5876" t="inlineStr">
        <is>
          <t>HÄRNÖSAND</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57199-2025</t>
        </is>
      </c>
      <c r="B5877" s="1" t="n">
        <v>45979.58260416667</v>
      </c>
      <c r="C5877" s="1" t="n">
        <v>46185</v>
      </c>
      <c r="D5877" t="inlineStr">
        <is>
          <t>VÄSTERNORRLANDS LÄN</t>
        </is>
      </c>
      <c r="E5877" t="inlineStr">
        <is>
          <t>ÖRNSKÖLDSVIK</t>
        </is>
      </c>
      <c r="F5877" t="inlineStr">
        <is>
          <t>Holmen skog AB</t>
        </is>
      </c>
      <c r="G5877" t="n">
        <v>7.3</v>
      </c>
      <c r="H5877" t="n">
        <v>0</v>
      </c>
      <c r="I5877" t="n">
        <v>0</v>
      </c>
      <c r="J5877" t="n">
        <v>0</v>
      </c>
      <c r="K5877" t="n">
        <v>0</v>
      </c>
      <c r="L5877" t="n">
        <v>0</v>
      </c>
      <c r="M5877" t="n">
        <v>0</v>
      </c>
      <c r="N5877" t="n">
        <v>0</v>
      </c>
      <c r="O5877" t="n">
        <v>0</v>
      </c>
      <c r="P5877" t="n">
        <v>0</v>
      </c>
      <c r="Q5877" t="n">
        <v>0</v>
      </c>
      <c r="R5877" s="2" t="inlineStr"/>
    </row>
    <row r="5878" ht="15" customHeight="1">
      <c r="A5878" t="inlineStr">
        <is>
          <t>A 57247-2025</t>
        </is>
      </c>
      <c r="B5878" s="1" t="n">
        <v>45979</v>
      </c>
      <c r="C5878" s="1" t="n">
        <v>46185</v>
      </c>
      <c r="D5878" t="inlineStr">
        <is>
          <t>VÄSTERNORRLANDS LÄN</t>
        </is>
      </c>
      <c r="E5878" t="inlineStr">
        <is>
          <t>KRAMFORS</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57371-2025</t>
        </is>
      </c>
      <c r="B5879" s="1" t="n">
        <v>45980.38586805556</v>
      </c>
      <c r="C5879" s="1" t="n">
        <v>46185</v>
      </c>
      <c r="D5879" t="inlineStr">
        <is>
          <t>VÄSTERNORRLANDS LÄN</t>
        </is>
      </c>
      <c r="E5879" t="inlineStr">
        <is>
          <t>ÅNGE</t>
        </is>
      </c>
      <c r="F5879" t="inlineStr">
        <is>
          <t>SCA</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57375-2025</t>
        </is>
      </c>
      <c r="B5880" s="1" t="n">
        <v>45980.39178240741</v>
      </c>
      <c r="C5880" s="1" t="n">
        <v>46185</v>
      </c>
      <c r="D5880" t="inlineStr">
        <is>
          <t>VÄSTERNORRLANDS LÄN</t>
        </is>
      </c>
      <c r="E5880" t="inlineStr">
        <is>
          <t>ÖRNSKÖLDSVIK</t>
        </is>
      </c>
      <c r="F5880" t="inlineStr">
        <is>
          <t>Holmen skog AB</t>
        </is>
      </c>
      <c r="G5880" t="n">
        <v>9.5</v>
      </c>
      <c r="H5880" t="n">
        <v>0</v>
      </c>
      <c r="I5880" t="n">
        <v>0</v>
      </c>
      <c r="J5880" t="n">
        <v>0</v>
      </c>
      <c r="K5880" t="n">
        <v>0</v>
      </c>
      <c r="L5880" t="n">
        <v>0</v>
      </c>
      <c r="M5880" t="n">
        <v>0</v>
      </c>
      <c r="N5880" t="n">
        <v>0</v>
      </c>
      <c r="O5880" t="n">
        <v>0</v>
      </c>
      <c r="P5880" t="n">
        <v>0</v>
      </c>
      <c r="Q5880" t="n">
        <v>0</v>
      </c>
      <c r="R5880" s="2" t="inlineStr"/>
    </row>
    <row r="5881" ht="15" customHeight="1">
      <c r="A5881" t="inlineStr">
        <is>
          <t>A 436-2024</t>
        </is>
      </c>
      <c r="B5881" s="1" t="n">
        <v>45296.59412037037</v>
      </c>
      <c r="C5881" s="1" t="n">
        <v>46185</v>
      </c>
      <c r="D5881" t="inlineStr">
        <is>
          <t>VÄSTERNORRLANDS LÄN</t>
        </is>
      </c>
      <c r="E5881" t="inlineStr">
        <is>
          <t>ÖRNSKÖLDSVIK</t>
        </is>
      </c>
      <c r="F5881" t="inlineStr">
        <is>
          <t>Holmen skog AB</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1818-2025</t>
        </is>
      </c>
      <c r="B5882" s="1" t="n">
        <v>45671</v>
      </c>
      <c r="C5882" s="1" t="n">
        <v>46185</v>
      </c>
      <c r="D5882" t="inlineStr">
        <is>
          <t>VÄSTERNORRLANDS LÄN</t>
        </is>
      </c>
      <c r="E5882" t="inlineStr">
        <is>
          <t>TIMRÅ</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33062-2022</t>
        </is>
      </c>
      <c r="B5883" s="1" t="n">
        <v>44785</v>
      </c>
      <c r="C5883" s="1" t="n">
        <v>46185</v>
      </c>
      <c r="D5883" t="inlineStr">
        <is>
          <t>VÄSTERNORRLANDS LÄN</t>
        </is>
      </c>
      <c r="E5883" t="inlineStr">
        <is>
          <t>ÅNGE</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57176-2025</t>
        </is>
      </c>
      <c r="B5884" s="1" t="n">
        <v>45979.55251157407</v>
      </c>
      <c r="C5884" s="1" t="n">
        <v>46185</v>
      </c>
      <c r="D5884" t="inlineStr">
        <is>
          <t>VÄSTERNORRLANDS LÄN</t>
        </is>
      </c>
      <c r="E5884" t="inlineStr">
        <is>
          <t>SOLLEFTEÅ</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57177-2025</t>
        </is>
      </c>
      <c r="B5885" s="1" t="n">
        <v>45979.55256944444</v>
      </c>
      <c r="C5885" s="1" t="n">
        <v>46185</v>
      </c>
      <c r="D5885" t="inlineStr">
        <is>
          <t>VÄSTERNORRLANDS LÄN</t>
        </is>
      </c>
      <c r="E5885" t="inlineStr">
        <is>
          <t>ÖRNSKÖLDSVIK</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9597-2026</t>
        </is>
      </c>
      <c r="B5886" s="1" t="n">
        <v>46071.84016203704</v>
      </c>
      <c r="C5886" s="1" t="n">
        <v>46185</v>
      </c>
      <c r="D5886" t="inlineStr">
        <is>
          <t>VÄSTERNORRLANDS LÄN</t>
        </is>
      </c>
      <c r="E5886" t="inlineStr">
        <is>
          <t>KRAMFORS</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57507-2025</t>
        </is>
      </c>
      <c r="B5887" s="1" t="n">
        <v>45980.59819444444</v>
      </c>
      <c r="C5887" s="1" t="n">
        <v>46185</v>
      </c>
      <c r="D5887" t="inlineStr">
        <is>
          <t>VÄSTERNORRLANDS LÄN</t>
        </is>
      </c>
      <c r="E5887" t="inlineStr">
        <is>
          <t>ÖRNSKÖLDSVIK</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57961-2025</t>
        </is>
      </c>
      <c r="B5888" s="1" t="n">
        <v>45982.36502314815</v>
      </c>
      <c r="C5888" s="1" t="n">
        <v>46185</v>
      </c>
      <c r="D5888" t="inlineStr">
        <is>
          <t>VÄSTERNORRLANDS LÄN</t>
        </is>
      </c>
      <c r="E5888" t="inlineStr">
        <is>
          <t>ÅNGE</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34605-2021</t>
        </is>
      </c>
      <c r="B5889" s="1" t="n">
        <v>44379</v>
      </c>
      <c r="C5889" s="1" t="n">
        <v>46185</v>
      </c>
      <c r="D5889" t="inlineStr">
        <is>
          <t>VÄSTERNORRLANDS LÄN</t>
        </is>
      </c>
      <c r="E5889" t="inlineStr">
        <is>
          <t>SUNDSVALL</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46021-2022</t>
        </is>
      </c>
      <c r="B5890" s="1" t="n">
        <v>44846</v>
      </c>
      <c r="C5890" s="1" t="n">
        <v>46185</v>
      </c>
      <c r="D5890" t="inlineStr">
        <is>
          <t>VÄSTERNORRLANDS LÄN</t>
        </is>
      </c>
      <c r="E5890" t="inlineStr">
        <is>
          <t>TIMRÅ</t>
        </is>
      </c>
      <c r="F5890" t="inlineStr">
        <is>
          <t>Kyrkan</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9784-2026</t>
        </is>
      </c>
      <c r="B5891" s="1" t="n">
        <v>46072.59284722222</v>
      </c>
      <c r="C5891" s="1" t="n">
        <v>46185</v>
      </c>
      <c r="D5891" t="inlineStr">
        <is>
          <t>VÄSTERNORRLANDS LÄN</t>
        </is>
      </c>
      <c r="E5891" t="inlineStr">
        <is>
          <t>SOLLEFTEÅ</t>
        </is>
      </c>
      <c r="G5891" t="n">
        <v>5.5</v>
      </c>
      <c r="H5891" t="n">
        <v>0</v>
      </c>
      <c r="I5891" t="n">
        <v>0</v>
      </c>
      <c r="J5891" t="n">
        <v>0</v>
      </c>
      <c r="K5891" t="n">
        <v>0</v>
      </c>
      <c r="L5891" t="n">
        <v>0</v>
      </c>
      <c r="M5891" t="n">
        <v>0</v>
      </c>
      <c r="N5891" t="n">
        <v>0</v>
      </c>
      <c r="O5891" t="n">
        <v>0</v>
      </c>
      <c r="P5891" t="n">
        <v>0</v>
      </c>
      <c r="Q5891" t="n">
        <v>0</v>
      </c>
      <c r="R5891" s="2" t="inlineStr"/>
    </row>
    <row r="5892" ht="15" customHeight="1">
      <c r="A5892" t="inlineStr">
        <is>
          <t>A 40867-2023</t>
        </is>
      </c>
      <c r="B5892" s="1" t="n">
        <v>45173.35430555556</v>
      </c>
      <c r="C5892" s="1" t="n">
        <v>46185</v>
      </c>
      <c r="D5892" t="inlineStr">
        <is>
          <t>VÄSTERNORRLANDS LÄN</t>
        </is>
      </c>
      <c r="E5892" t="inlineStr">
        <is>
          <t>ÖRNSKÖLDSVIK</t>
        </is>
      </c>
      <c r="F5892" t="inlineStr">
        <is>
          <t>Holmen skog AB</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58027-2025</t>
        </is>
      </c>
      <c r="B5893" s="1" t="n">
        <v>45982.48417824074</v>
      </c>
      <c r="C5893" s="1" t="n">
        <v>46185</v>
      </c>
      <c r="D5893" t="inlineStr">
        <is>
          <t>VÄSTERNORRLANDS LÄN</t>
        </is>
      </c>
      <c r="E5893" t="inlineStr">
        <is>
          <t>SOLLEFTEÅ</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58511-2025</t>
        </is>
      </c>
      <c r="B5894" s="1" t="n">
        <v>45982</v>
      </c>
      <c r="C5894" s="1" t="n">
        <v>46185</v>
      </c>
      <c r="D5894" t="inlineStr">
        <is>
          <t>VÄSTERNORRLANDS LÄN</t>
        </is>
      </c>
      <c r="E5894" t="inlineStr">
        <is>
          <t>SOLLEFTEÅ</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9632-2026</t>
        </is>
      </c>
      <c r="B5895" s="1" t="n">
        <v>46072</v>
      </c>
      <c r="C5895" s="1" t="n">
        <v>46185</v>
      </c>
      <c r="D5895" t="inlineStr">
        <is>
          <t>VÄSTERNORRLANDS LÄN</t>
        </is>
      </c>
      <c r="E5895" t="inlineStr">
        <is>
          <t>TIMRÅ</t>
        </is>
      </c>
      <c r="G5895" t="n">
        <v>19.5</v>
      </c>
      <c r="H5895" t="n">
        <v>0</v>
      </c>
      <c r="I5895" t="n">
        <v>0</v>
      </c>
      <c r="J5895" t="n">
        <v>0</v>
      </c>
      <c r="K5895" t="n">
        <v>0</v>
      </c>
      <c r="L5895" t="n">
        <v>0</v>
      </c>
      <c r="M5895" t="n">
        <v>0</v>
      </c>
      <c r="N5895" t="n">
        <v>0</v>
      </c>
      <c r="O5895" t="n">
        <v>0</v>
      </c>
      <c r="P5895" t="n">
        <v>0</v>
      </c>
      <c r="Q5895" t="n">
        <v>0</v>
      </c>
      <c r="R5895" s="2" t="inlineStr"/>
    </row>
    <row r="5896" ht="15" customHeight="1">
      <c r="A5896" t="inlineStr">
        <is>
          <t>A 9635-2026</t>
        </is>
      </c>
      <c r="B5896" s="1" t="n">
        <v>46072</v>
      </c>
      <c r="C5896" s="1" t="n">
        <v>46185</v>
      </c>
      <c r="D5896" t="inlineStr">
        <is>
          <t>VÄSTERNORRLANDS LÄN</t>
        </is>
      </c>
      <c r="E5896" t="inlineStr">
        <is>
          <t>TIMRÅ</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9739-2026</t>
        </is>
      </c>
      <c r="B5897" s="1" t="n">
        <v>46072.50528935185</v>
      </c>
      <c r="C5897" s="1" t="n">
        <v>46185</v>
      </c>
      <c r="D5897" t="inlineStr">
        <is>
          <t>VÄSTERNORRLANDS LÄN</t>
        </is>
      </c>
      <c r="E5897" t="inlineStr">
        <is>
          <t>SOLLEFTEÅ</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12106-2025</t>
        </is>
      </c>
      <c r="B5898" s="1" t="n">
        <v>45729.34443287037</v>
      </c>
      <c r="C5898" s="1" t="n">
        <v>46185</v>
      </c>
      <c r="D5898" t="inlineStr">
        <is>
          <t>VÄSTERNORRLANDS LÄN</t>
        </is>
      </c>
      <c r="E5898" t="inlineStr">
        <is>
          <t>KRAMFORS</t>
        </is>
      </c>
      <c r="G5898" t="n">
        <v>4.6</v>
      </c>
      <c r="H5898" t="n">
        <v>0</v>
      </c>
      <c r="I5898" t="n">
        <v>0</v>
      </c>
      <c r="J5898" t="n">
        <v>0</v>
      </c>
      <c r="K5898" t="n">
        <v>0</v>
      </c>
      <c r="L5898" t="n">
        <v>0</v>
      </c>
      <c r="M5898" t="n">
        <v>0</v>
      </c>
      <c r="N5898" t="n">
        <v>0</v>
      </c>
      <c r="O5898" t="n">
        <v>0</v>
      </c>
      <c r="P5898" t="n">
        <v>0</v>
      </c>
      <c r="Q5898" t="n">
        <v>0</v>
      </c>
      <c r="R5898" s="2" t="inlineStr"/>
    </row>
    <row r="5899" ht="15" customHeight="1">
      <c r="A5899" t="inlineStr">
        <is>
          <t>A 57628-2025</t>
        </is>
      </c>
      <c r="B5899" s="1" t="n">
        <v>45981.34590277778</v>
      </c>
      <c r="C5899" s="1" t="n">
        <v>46185</v>
      </c>
      <c r="D5899" t="inlineStr">
        <is>
          <t>VÄSTERNORRLANDS LÄN</t>
        </is>
      </c>
      <c r="E5899" t="inlineStr">
        <is>
          <t>KRAMFORS</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51077-2022</t>
        </is>
      </c>
      <c r="B5900" s="1" t="n">
        <v>44865</v>
      </c>
      <c r="C5900" s="1" t="n">
        <v>46185</v>
      </c>
      <c r="D5900" t="inlineStr">
        <is>
          <t>VÄSTERNORRLANDS LÄN</t>
        </is>
      </c>
      <c r="E5900" t="inlineStr">
        <is>
          <t>KRAMFORS</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9636-2026</t>
        </is>
      </c>
      <c r="B5901" s="1" t="n">
        <v>46072</v>
      </c>
      <c r="C5901" s="1" t="n">
        <v>46185</v>
      </c>
      <c r="D5901" t="inlineStr">
        <is>
          <t>VÄSTERNORRLANDS LÄN</t>
        </is>
      </c>
      <c r="E5901" t="inlineStr">
        <is>
          <t>TIMRÅ</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9773-2026</t>
        </is>
      </c>
      <c r="B5902" s="1" t="n">
        <v>46072.5735300926</v>
      </c>
      <c r="C5902" s="1" t="n">
        <v>46185</v>
      </c>
      <c r="D5902" t="inlineStr">
        <is>
          <t>VÄSTERNORRLANDS LÄN</t>
        </is>
      </c>
      <c r="E5902" t="inlineStr">
        <is>
          <t>SOLLEFTEÅ</t>
        </is>
      </c>
      <c r="G5902" t="n">
        <v>5.9</v>
      </c>
      <c r="H5902" t="n">
        <v>0</v>
      </c>
      <c r="I5902" t="n">
        <v>0</v>
      </c>
      <c r="J5902" t="n">
        <v>0</v>
      </c>
      <c r="K5902" t="n">
        <v>0</v>
      </c>
      <c r="L5902" t="n">
        <v>0</v>
      </c>
      <c r="M5902" t="n">
        <v>0</v>
      </c>
      <c r="N5902" t="n">
        <v>0</v>
      </c>
      <c r="O5902" t="n">
        <v>0</v>
      </c>
      <c r="P5902" t="n">
        <v>0</v>
      </c>
      <c r="Q5902" t="n">
        <v>0</v>
      </c>
      <c r="R5902" s="2" t="inlineStr"/>
    </row>
    <row r="5903" ht="15" customHeight="1">
      <c r="A5903" t="inlineStr">
        <is>
          <t>A 63738-2023</t>
        </is>
      </c>
      <c r="B5903" s="1" t="n">
        <v>45277.79240740741</v>
      </c>
      <c r="C5903" s="1" t="n">
        <v>46185</v>
      </c>
      <c r="D5903" t="inlineStr">
        <is>
          <t>VÄSTERNORRLANDS LÄN</t>
        </is>
      </c>
      <c r="E5903" t="inlineStr">
        <is>
          <t>ÖRNSKÖLDSVIK</t>
        </is>
      </c>
      <c r="F5903" t="inlineStr">
        <is>
          <t>Övriga Aktiebolag</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9831-2026</t>
        </is>
      </c>
      <c r="B5904" s="1" t="n">
        <v>46072.65712962963</v>
      </c>
      <c r="C5904" s="1" t="n">
        <v>46185</v>
      </c>
      <c r="D5904" t="inlineStr">
        <is>
          <t>VÄSTERNORRLANDS LÄN</t>
        </is>
      </c>
      <c r="E5904" t="inlineStr">
        <is>
          <t>ÖRNSKÖLDSVIK</t>
        </is>
      </c>
      <c r="F5904" t="inlineStr">
        <is>
          <t>SCA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57573-2025</t>
        </is>
      </c>
      <c r="B5905" s="1" t="n">
        <v>45980.83989583333</v>
      </c>
      <c r="C5905" s="1" t="n">
        <v>46185</v>
      </c>
      <c r="D5905" t="inlineStr">
        <is>
          <t>VÄSTERNORRLANDS LÄN</t>
        </is>
      </c>
      <c r="E5905" t="inlineStr">
        <is>
          <t>ÖRNSKÖLDSVIK</t>
        </is>
      </c>
      <c r="F5905" t="inlineStr">
        <is>
          <t>Holmen skog AB</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57574-2025</t>
        </is>
      </c>
      <c r="B5906" s="1" t="n">
        <v>45980.84548611111</v>
      </c>
      <c r="C5906" s="1" t="n">
        <v>46185</v>
      </c>
      <c r="D5906" t="inlineStr">
        <is>
          <t>VÄSTERNORRLANDS LÄN</t>
        </is>
      </c>
      <c r="E5906" t="inlineStr">
        <is>
          <t>ÖRNSKÖLDSVIK</t>
        </is>
      </c>
      <c r="F5906" t="inlineStr">
        <is>
          <t>Holmen skog AB</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9845-2026</t>
        </is>
      </c>
      <c r="B5907" s="1" t="n">
        <v>46072.73510416667</v>
      </c>
      <c r="C5907" s="1" t="n">
        <v>46185</v>
      </c>
      <c r="D5907" t="inlineStr">
        <is>
          <t>VÄSTERNORRLANDS LÄN</t>
        </is>
      </c>
      <c r="E5907" t="inlineStr">
        <is>
          <t>ÅNGE</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63744-2023</t>
        </is>
      </c>
      <c r="B5908" s="1" t="n">
        <v>45277</v>
      </c>
      <c r="C5908" s="1" t="n">
        <v>46185</v>
      </c>
      <c r="D5908" t="inlineStr">
        <is>
          <t>VÄSTERNORRLANDS LÄN</t>
        </is>
      </c>
      <c r="E5908" t="inlineStr">
        <is>
          <t>ÖRNSKÖLDSVIK</t>
        </is>
      </c>
      <c r="F5908" t="inlineStr">
        <is>
          <t>Övriga Aktiebolag</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7536-2023</t>
        </is>
      </c>
      <c r="B5909" s="1" t="n">
        <v>44971</v>
      </c>
      <c r="C5909" s="1" t="n">
        <v>46185</v>
      </c>
      <c r="D5909" t="inlineStr">
        <is>
          <t>VÄSTERNORRLANDS LÄN</t>
        </is>
      </c>
      <c r="E5909" t="inlineStr">
        <is>
          <t>HÄRNÖSAND</t>
        </is>
      </c>
      <c r="F5909" t="inlineStr">
        <is>
          <t>SCA</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9599-2026</t>
        </is>
      </c>
      <c r="B5910" s="1" t="n">
        <v>46071.843125</v>
      </c>
      <c r="C5910" s="1" t="n">
        <v>46185</v>
      </c>
      <c r="D5910" t="inlineStr">
        <is>
          <t>VÄSTERNORRLANDS LÄN</t>
        </is>
      </c>
      <c r="E5910" t="inlineStr">
        <is>
          <t>KRAMFORS</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9600-2026</t>
        </is>
      </c>
      <c r="B5911" s="1" t="n">
        <v>46071.8704050926</v>
      </c>
      <c r="C5911" s="1" t="n">
        <v>46185</v>
      </c>
      <c r="D5911" t="inlineStr">
        <is>
          <t>VÄSTERNORRLANDS LÄN</t>
        </is>
      </c>
      <c r="E5911" t="inlineStr">
        <is>
          <t>KRAMFORS</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58053-2025</t>
        </is>
      </c>
      <c r="B5912" s="1" t="n">
        <v>45982.5225</v>
      </c>
      <c r="C5912" s="1" t="n">
        <v>46185</v>
      </c>
      <c r="D5912" t="inlineStr">
        <is>
          <t>VÄSTERNORRLANDS LÄN</t>
        </is>
      </c>
      <c r="E5912" t="inlineStr">
        <is>
          <t>KRAMFORS</t>
        </is>
      </c>
      <c r="G5912" t="n">
        <v>7.4</v>
      </c>
      <c r="H5912" t="n">
        <v>0</v>
      </c>
      <c r="I5912" t="n">
        <v>0</v>
      </c>
      <c r="J5912" t="n">
        <v>0</v>
      </c>
      <c r="K5912" t="n">
        <v>0</v>
      </c>
      <c r="L5912" t="n">
        <v>0</v>
      </c>
      <c r="M5912" t="n">
        <v>0</v>
      </c>
      <c r="N5912" t="n">
        <v>0</v>
      </c>
      <c r="O5912" t="n">
        <v>0</v>
      </c>
      <c r="P5912" t="n">
        <v>0</v>
      </c>
      <c r="Q5912" t="n">
        <v>0</v>
      </c>
      <c r="R5912" s="2" t="inlineStr"/>
    </row>
    <row r="5913" ht="15" customHeight="1">
      <c r="A5913" t="inlineStr">
        <is>
          <t>A 58057-2025</t>
        </is>
      </c>
      <c r="B5913" s="1" t="n">
        <v>45982.52523148148</v>
      </c>
      <c r="C5913" s="1" t="n">
        <v>46185</v>
      </c>
      <c r="D5913" t="inlineStr">
        <is>
          <t>VÄSTERNORRLANDS LÄN</t>
        </is>
      </c>
      <c r="E5913" t="inlineStr">
        <is>
          <t>KRAMFORS</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58058-2025</t>
        </is>
      </c>
      <c r="B5914" s="1" t="n">
        <v>45982.52927083334</v>
      </c>
      <c r="C5914" s="1" t="n">
        <v>46185</v>
      </c>
      <c r="D5914" t="inlineStr">
        <is>
          <t>VÄSTERNORRLANDS LÄN</t>
        </is>
      </c>
      <c r="E5914" t="inlineStr">
        <is>
          <t>KRAMFORS</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58089-2025</t>
        </is>
      </c>
      <c r="B5915" s="1" t="n">
        <v>45982.57334490741</v>
      </c>
      <c r="C5915" s="1" t="n">
        <v>46185</v>
      </c>
      <c r="D5915" t="inlineStr">
        <is>
          <t>VÄSTERNORRLANDS LÄN</t>
        </is>
      </c>
      <c r="E5915" t="inlineStr">
        <is>
          <t>SUNDSVALL</t>
        </is>
      </c>
      <c r="F5915" t="inlineStr">
        <is>
          <t>SCA</t>
        </is>
      </c>
      <c r="G5915" t="n">
        <v>10.9</v>
      </c>
      <c r="H5915" t="n">
        <v>0</v>
      </c>
      <c r="I5915" t="n">
        <v>0</v>
      </c>
      <c r="J5915" t="n">
        <v>0</v>
      </c>
      <c r="K5915" t="n">
        <v>0</v>
      </c>
      <c r="L5915" t="n">
        <v>0</v>
      </c>
      <c r="M5915" t="n">
        <v>0</v>
      </c>
      <c r="N5915" t="n">
        <v>0</v>
      </c>
      <c r="O5915" t="n">
        <v>0</v>
      </c>
      <c r="P5915" t="n">
        <v>0</v>
      </c>
      <c r="Q5915" t="n">
        <v>0</v>
      </c>
      <c r="R5915" s="2" t="inlineStr"/>
    </row>
    <row r="5916" ht="15" customHeight="1">
      <c r="A5916" t="inlineStr">
        <is>
          <t>A 58090-2025</t>
        </is>
      </c>
      <c r="B5916" s="1" t="n">
        <v>45982.57361111111</v>
      </c>
      <c r="C5916" s="1" t="n">
        <v>46185</v>
      </c>
      <c r="D5916" t="inlineStr">
        <is>
          <t>VÄSTERNORRLANDS LÄN</t>
        </is>
      </c>
      <c r="E5916" t="inlineStr">
        <is>
          <t>SUNDSVALL</t>
        </is>
      </c>
      <c r="F5916" t="inlineStr">
        <is>
          <t>SCA</t>
        </is>
      </c>
      <c r="G5916" t="n">
        <v>9.5</v>
      </c>
      <c r="H5916" t="n">
        <v>0</v>
      </c>
      <c r="I5916" t="n">
        <v>0</v>
      </c>
      <c r="J5916" t="n">
        <v>0</v>
      </c>
      <c r="K5916" t="n">
        <v>0</v>
      </c>
      <c r="L5916" t="n">
        <v>0</v>
      </c>
      <c r="M5916" t="n">
        <v>0</v>
      </c>
      <c r="N5916" t="n">
        <v>0</v>
      </c>
      <c r="O5916" t="n">
        <v>0</v>
      </c>
      <c r="P5916" t="n">
        <v>0</v>
      </c>
      <c r="Q5916" t="n">
        <v>0</v>
      </c>
      <c r="R5916" s="2" t="inlineStr"/>
    </row>
    <row r="5917" ht="15" customHeight="1">
      <c r="A5917" t="inlineStr">
        <is>
          <t>A 9657-2026</t>
        </is>
      </c>
      <c r="B5917" s="1" t="n">
        <v>46072</v>
      </c>
      <c r="C5917" s="1" t="n">
        <v>46185</v>
      </c>
      <c r="D5917" t="inlineStr">
        <is>
          <t>VÄSTERNORRLANDS LÄN</t>
        </is>
      </c>
      <c r="E5917" t="inlineStr">
        <is>
          <t>HÄRNÖSAND</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58152-2025</t>
        </is>
      </c>
      <c r="B5918" s="1" t="n">
        <v>45982.65260416667</v>
      </c>
      <c r="C5918" s="1" t="n">
        <v>46185</v>
      </c>
      <c r="D5918" t="inlineStr">
        <is>
          <t>VÄSTERNORRLANDS LÄN</t>
        </is>
      </c>
      <c r="E5918" t="inlineStr">
        <is>
          <t>SOLLEFTEÅ</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57618-2025</t>
        </is>
      </c>
      <c r="B5919" s="1" t="n">
        <v>45981</v>
      </c>
      <c r="C5919" s="1" t="n">
        <v>46185</v>
      </c>
      <c r="D5919" t="inlineStr">
        <is>
          <t>VÄSTERNORRLANDS LÄN</t>
        </is>
      </c>
      <c r="E5919" t="inlineStr">
        <is>
          <t>HÄRNÖSAND</t>
        </is>
      </c>
      <c r="F5919" t="inlineStr">
        <is>
          <t>SCA</t>
        </is>
      </c>
      <c r="G5919" t="n">
        <v>7.8</v>
      </c>
      <c r="H5919" t="n">
        <v>0</v>
      </c>
      <c r="I5919" t="n">
        <v>0</v>
      </c>
      <c r="J5919" t="n">
        <v>0</v>
      </c>
      <c r="K5919" t="n">
        <v>0</v>
      </c>
      <c r="L5919" t="n">
        <v>0</v>
      </c>
      <c r="M5919" t="n">
        <v>0</v>
      </c>
      <c r="N5919" t="n">
        <v>0</v>
      </c>
      <c r="O5919" t="n">
        <v>0</v>
      </c>
      <c r="P5919" t="n">
        <v>0</v>
      </c>
      <c r="Q5919" t="n">
        <v>0</v>
      </c>
      <c r="R5919" s="2" t="inlineStr"/>
    </row>
    <row r="5920" ht="15" customHeight="1">
      <c r="A5920" t="inlineStr">
        <is>
          <t>A 3740-2025</t>
        </is>
      </c>
      <c r="B5920" s="1" t="n">
        <v>45681.57350694444</v>
      </c>
      <c r="C5920" s="1" t="n">
        <v>46185</v>
      </c>
      <c r="D5920" t="inlineStr">
        <is>
          <t>VÄSTERNORRLANDS LÄN</t>
        </is>
      </c>
      <c r="E5920" t="inlineStr">
        <is>
          <t>SUNDSVALL</t>
        </is>
      </c>
      <c r="F5920" t="inlineStr">
        <is>
          <t>SCA</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9663-2026</t>
        </is>
      </c>
      <c r="B5921" s="1" t="n">
        <v>46072.36611111111</v>
      </c>
      <c r="C5921" s="1" t="n">
        <v>46185</v>
      </c>
      <c r="D5921" t="inlineStr">
        <is>
          <t>VÄSTERNORRLANDS LÄN</t>
        </is>
      </c>
      <c r="E5921" t="inlineStr">
        <is>
          <t>TIMRÅ</t>
        </is>
      </c>
      <c r="G5921" t="n">
        <v>7</v>
      </c>
      <c r="H5921" t="n">
        <v>0</v>
      </c>
      <c r="I5921" t="n">
        <v>0</v>
      </c>
      <c r="J5921" t="n">
        <v>0</v>
      </c>
      <c r="K5921" t="n">
        <v>0</v>
      </c>
      <c r="L5921" t="n">
        <v>0</v>
      </c>
      <c r="M5921" t="n">
        <v>0</v>
      </c>
      <c r="N5921" t="n">
        <v>0</v>
      </c>
      <c r="O5921" t="n">
        <v>0</v>
      </c>
      <c r="P5921" t="n">
        <v>0</v>
      </c>
      <c r="Q5921" t="n">
        <v>0</v>
      </c>
      <c r="R5921" s="2" t="inlineStr"/>
    </row>
    <row r="5922" ht="15" customHeight="1">
      <c r="A5922" t="inlineStr">
        <is>
          <t>A 57724-2025</t>
        </is>
      </c>
      <c r="B5922" s="1" t="n">
        <v>45981.49041666667</v>
      </c>
      <c r="C5922" s="1" t="n">
        <v>46185</v>
      </c>
      <c r="D5922" t="inlineStr">
        <is>
          <t>VÄSTERNORRLANDS LÄN</t>
        </is>
      </c>
      <c r="E5922" t="inlineStr">
        <is>
          <t>SUNDSVALL</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16163-2025</t>
        </is>
      </c>
      <c r="B5923" s="1" t="n">
        <v>45750</v>
      </c>
      <c r="C5923" s="1" t="n">
        <v>46185</v>
      </c>
      <c r="D5923" t="inlineStr">
        <is>
          <t>VÄSTERNORRLANDS LÄN</t>
        </is>
      </c>
      <c r="E5923" t="inlineStr">
        <is>
          <t>KRAMFORS</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57866-2025</t>
        </is>
      </c>
      <c r="B5924" s="1" t="n">
        <v>45981.65011574074</v>
      </c>
      <c r="C5924" s="1" t="n">
        <v>46185</v>
      </c>
      <c r="D5924" t="inlineStr">
        <is>
          <t>VÄSTERNORRLANDS LÄN</t>
        </is>
      </c>
      <c r="E5924" t="inlineStr">
        <is>
          <t>ÖRNSKÖLDSVIK</t>
        </is>
      </c>
      <c r="F5924" t="inlineStr">
        <is>
          <t>Holmen skog AB</t>
        </is>
      </c>
      <c r="G5924" t="n">
        <v>5.7</v>
      </c>
      <c r="H5924" t="n">
        <v>0</v>
      </c>
      <c r="I5924" t="n">
        <v>0</v>
      </c>
      <c r="J5924" t="n">
        <v>0</v>
      </c>
      <c r="K5924" t="n">
        <v>0</v>
      </c>
      <c r="L5924" t="n">
        <v>0</v>
      </c>
      <c r="M5924" t="n">
        <v>0</v>
      </c>
      <c r="N5924" t="n">
        <v>0</v>
      </c>
      <c r="O5924" t="n">
        <v>0</v>
      </c>
      <c r="P5924" t="n">
        <v>0</v>
      </c>
      <c r="Q5924" t="n">
        <v>0</v>
      </c>
      <c r="R5924" s="2" t="inlineStr"/>
    </row>
    <row r="5925" ht="15" customHeight="1">
      <c r="A5925" t="inlineStr">
        <is>
          <t>A 57877-2025</t>
        </is>
      </c>
      <c r="B5925" s="1" t="n">
        <v>45981.65686342592</v>
      </c>
      <c r="C5925" s="1" t="n">
        <v>46185</v>
      </c>
      <c r="D5925" t="inlineStr">
        <is>
          <t>VÄSTERNORRLANDS LÄN</t>
        </is>
      </c>
      <c r="E5925" t="inlineStr">
        <is>
          <t>HÄRNÖSAND</t>
        </is>
      </c>
      <c r="F5925" t="inlineStr">
        <is>
          <t>SCA</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57775-2025</t>
        </is>
      </c>
      <c r="B5926" s="1" t="n">
        <v>45981.56496527778</v>
      </c>
      <c r="C5926" s="1" t="n">
        <v>46185</v>
      </c>
      <c r="D5926" t="inlineStr">
        <is>
          <t>VÄSTERNORRLANDS LÄN</t>
        </is>
      </c>
      <c r="E5926" t="inlineStr">
        <is>
          <t>TIMRÅ</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57619-2025</t>
        </is>
      </c>
      <c r="B5927" s="1" t="n">
        <v>45981.34528935186</v>
      </c>
      <c r="C5927" s="1" t="n">
        <v>46185</v>
      </c>
      <c r="D5927" t="inlineStr">
        <is>
          <t>VÄSTERNORRLANDS LÄN</t>
        </is>
      </c>
      <c r="E5927" t="inlineStr">
        <is>
          <t>ÖRNSKÖLDSVIK</t>
        </is>
      </c>
      <c r="F5927" t="inlineStr">
        <is>
          <t>SCA</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58512-2025</t>
        </is>
      </c>
      <c r="B5928" s="1" t="n">
        <v>45982</v>
      </c>
      <c r="C5928" s="1" t="n">
        <v>46185</v>
      </c>
      <c r="D5928" t="inlineStr">
        <is>
          <t>VÄSTERNORRLANDS LÄN</t>
        </is>
      </c>
      <c r="E5928" t="inlineStr">
        <is>
          <t>SOLLEFTEÅ</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1382-2023</t>
        </is>
      </c>
      <c r="B5929" s="1" t="n">
        <v>44936.68680555555</v>
      </c>
      <c r="C5929" s="1" t="n">
        <v>46185</v>
      </c>
      <c r="D5929" t="inlineStr">
        <is>
          <t>VÄSTERNORRLANDS LÄN</t>
        </is>
      </c>
      <c r="E5929" t="inlineStr">
        <is>
          <t>HÄRNÖSAND</t>
        </is>
      </c>
      <c r="G5929" t="n">
        <v>5.5</v>
      </c>
      <c r="H5929" t="n">
        <v>0</v>
      </c>
      <c r="I5929" t="n">
        <v>0</v>
      </c>
      <c r="J5929" t="n">
        <v>0</v>
      </c>
      <c r="K5929" t="n">
        <v>0</v>
      </c>
      <c r="L5929" t="n">
        <v>0</v>
      </c>
      <c r="M5929" t="n">
        <v>0</v>
      </c>
      <c r="N5929" t="n">
        <v>0</v>
      </c>
      <c r="O5929" t="n">
        <v>0</v>
      </c>
      <c r="P5929" t="n">
        <v>0</v>
      </c>
      <c r="Q5929" t="n">
        <v>0</v>
      </c>
      <c r="R5929" s="2" t="inlineStr"/>
    </row>
    <row r="5930" ht="15" customHeight="1">
      <c r="A5930" t="inlineStr">
        <is>
          <t>A 34395-2021</t>
        </is>
      </c>
      <c r="B5930" s="1" t="n">
        <v>44379</v>
      </c>
      <c r="C5930" s="1" t="n">
        <v>46185</v>
      </c>
      <c r="D5930" t="inlineStr">
        <is>
          <t>VÄSTERNORRLANDS LÄN</t>
        </is>
      </c>
      <c r="E5930" t="inlineStr">
        <is>
          <t>SOLLEFTEÅ</t>
        </is>
      </c>
      <c r="F5930" t="inlineStr">
        <is>
          <t>SCA</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57640-2025</t>
        </is>
      </c>
      <c r="B5931" s="1" t="n">
        <v>45981.36559027778</v>
      </c>
      <c r="C5931" s="1" t="n">
        <v>46185</v>
      </c>
      <c r="D5931" t="inlineStr">
        <is>
          <t>VÄSTERNORRLANDS LÄN</t>
        </is>
      </c>
      <c r="E5931" t="inlineStr">
        <is>
          <t>KRAMFORS</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57696-2025</t>
        </is>
      </c>
      <c r="B5932" s="1" t="n">
        <v>45981.45594907407</v>
      </c>
      <c r="C5932" s="1" t="n">
        <v>46185</v>
      </c>
      <c r="D5932" t="inlineStr">
        <is>
          <t>VÄSTERNORRLANDS LÄN</t>
        </is>
      </c>
      <c r="E5932" t="inlineStr">
        <is>
          <t>KRAMFORS</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3721-2026</t>
        </is>
      </c>
      <c r="B5933" s="1" t="n">
        <v>46043</v>
      </c>
      <c r="C5933" s="1" t="n">
        <v>46185</v>
      </c>
      <c r="D5933" t="inlineStr">
        <is>
          <t>VÄSTERNORRLANDS LÄN</t>
        </is>
      </c>
      <c r="E5933" t="inlineStr">
        <is>
          <t>KRAMFORS</t>
        </is>
      </c>
      <c r="G5933" t="n">
        <v>8.9</v>
      </c>
      <c r="H5933" t="n">
        <v>0</v>
      </c>
      <c r="I5933" t="n">
        <v>0</v>
      </c>
      <c r="J5933" t="n">
        <v>0</v>
      </c>
      <c r="K5933" t="n">
        <v>0</v>
      </c>
      <c r="L5933" t="n">
        <v>0</v>
      </c>
      <c r="M5933" t="n">
        <v>0</v>
      </c>
      <c r="N5933" t="n">
        <v>0</v>
      </c>
      <c r="O5933" t="n">
        <v>0</v>
      </c>
      <c r="P5933" t="n">
        <v>0</v>
      </c>
      <c r="Q5933" t="n">
        <v>0</v>
      </c>
      <c r="R5933" s="2" t="inlineStr"/>
    </row>
    <row r="5934" ht="15" customHeight="1">
      <c r="A5934" t="inlineStr">
        <is>
          <t>A 58048-2025</t>
        </is>
      </c>
      <c r="B5934" s="1" t="n">
        <v>45982.5109837963</v>
      </c>
      <c r="C5934" s="1" t="n">
        <v>46185</v>
      </c>
      <c r="D5934" t="inlineStr">
        <is>
          <t>VÄSTERNORRLANDS LÄN</t>
        </is>
      </c>
      <c r="E5934" t="inlineStr">
        <is>
          <t>ÅNGE</t>
        </is>
      </c>
      <c r="F5934" t="inlineStr">
        <is>
          <t>SCA</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58037-2025</t>
        </is>
      </c>
      <c r="B5935" s="1" t="n">
        <v>45982.49216435185</v>
      </c>
      <c r="C5935" s="1" t="n">
        <v>46185</v>
      </c>
      <c r="D5935" t="inlineStr">
        <is>
          <t>VÄSTERNORRLANDS LÄN</t>
        </is>
      </c>
      <c r="E5935" t="inlineStr">
        <is>
          <t>ÖRNSKÖLDSVIK</t>
        </is>
      </c>
      <c r="F5935" t="inlineStr">
        <is>
          <t>Holmen skog AB</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35417-2021</t>
        </is>
      </c>
      <c r="B5936" s="1" t="n">
        <v>44385.43622685185</v>
      </c>
      <c r="C5936" s="1" t="n">
        <v>46185</v>
      </c>
      <c r="D5936" t="inlineStr">
        <is>
          <t>VÄSTERNORRLANDS LÄN</t>
        </is>
      </c>
      <c r="E5936" t="inlineStr">
        <is>
          <t>TIMRÅ</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57643-2025</t>
        </is>
      </c>
      <c r="B5937" s="1" t="n">
        <v>45981</v>
      </c>
      <c r="C5937" s="1" t="n">
        <v>46185</v>
      </c>
      <c r="D5937" t="inlineStr">
        <is>
          <t>VÄSTERNORRLANDS LÄN</t>
        </is>
      </c>
      <c r="E5937" t="inlineStr">
        <is>
          <t>KRAMFORS</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9706-2026</t>
        </is>
      </c>
      <c r="B5938" s="1" t="n">
        <v>46072</v>
      </c>
      <c r="C5938" s="1" t="n">
        <v>46185</v>
      </c>
      <c r="D5938" t="inlineStr">
        <is>
          <t>VÄSTERNORRLANDS LÄN</t>
        </is>
      </c>
      <c r="E5938" t="inlineStr">
        <is>
          <t>SOLLEFTEÅ</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57782-2025</t>
        </is>
      </c>
      <c r="B5939" s="1" t="n">
        <v>45981.57255787037</v>
      </c>
      <c r="C5939" s="1" t="n">
        <v>46185</v>
      </c>
      <c r="D5939" t="inlineStr">
        <is>
          <t>VÄSTERNORRLANDS LÄN</t>
        </is>
      </c>
      <c r="E5939" t="inlineStr">
        <is>
          <t>TIMRÅ</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57784-2025</t>
        </is>
      </c>
      <c r="B5940" s="1" t="n">
        <v>45981.57376157407</v>
      </c>
      <c r="C5940" s="1" t="n">
        <v>46185</v>
      </c>
      <c r="D5940" t="inlineStr">
        <is>
          <t>VÄSTERNORRLANDS LÄN</t>
        </is>
      </c>
      <c r="E5940" t="inlineStr">
        <is>
          <t>SOLLEFTEÅ</t>
        </is>
      </c>
      <c r="F5940" t="inlineStr">
        <is>
          <t>SCA</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4212-2026</t>
        </is>
      </c>
      <c r="B5941" s="1" t="n">
        <v>46044</v>
      </c>
      <c r="C5941" s="1" t="n">
        <v>46185</v>
      </c>
      <c r="D5941" t="inlineStr">
        <is>
          <t>VÄSTERNORRLANDS LÄN</t>
        </is>
      </c>
      <c r="E5941" t="inlineStr">
        <is>
          <t>SOLLEFTEÅ</t>
        </is>
      </c>
      <c r="F5941" t="inlineStr">
        <is>
          <t>Kommuner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58164-2025</t>
        </is>
      </c>
      <c r="B5942" s="1" t="n">
        <v>45982</v>
      </c>
      <c r="C5942" s="1" t="n">
        <v>46185</v>
      </c>
      <c r="D5942" t="inlineStr">
        <is>
          <t>VÄSTERNORRLANDS LÄN</t>
        </is>
      </c>
      <c r="E5942" t="inlineStr">
        <is>
          <t>SUNDSVALL</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9745-2026</t>
        </is>
      </c>
      <c r="B5943" s="1" t="n">
        <v>46072.52292824074</v>
      </c>
      <c r="C5943" s="1" t="n">
        <v>46185</v>
      </c>
      <c r="D5943" t="inlineStr">
        <is>
          <t>VÄSTERNORRLANDS LÄN</t>
        </is>
      </c>
      <c r="E5943" t="inlineStr">
        <is>
          <t>KRAMFORS</t>
        </is>
      </c>
      <c r="G5943" t="n">
        <v>10.5</v>
      </c>
      <c r="H5943" t="n">
        <v>0</v>
      </c>
      <c r="I5943" t="n">
        <v>0</v>
      </c>
      <c r="J5943" t="n">
        <v>0</v>
      </c>
      <c r="K5943" t="n">
        <v>0</v>
      </c>
      <c r="L5943" t="n">
        <v>0</v>
      </c>
      <c r="M5943" t="n">
        <v>0</v>
      </c>
      <c r="N5943" t="n">
        <v>0</v>
      </c>
      <c r="O5943" t="n">
        <v>0</v>
      </c>
      <c r="P5943" t="n">
        <v>0</v>
      </c>
      <c r="Q5943" t="n">
        <v>0</v>
      </c>
      <c r="R5943" s="2" t="inlineStr"/>
    </row>
    <row r="5944" ht="15" customHeight="1">
      <c r="A5944" t="inlineStr">
        <is>
          <t>A 57613-2025</t>
        </is>
      </c>
      <c r="B5944" s="1" t="n">
        <v>45981.3419212963</v>
      </c>
      <c r="C5944" s="1" t="n">
        <v>46185</v>
      </c>
      <c r="D5944" t="inlineStr">
        <is>
          <t>VÄSTERNORRLANDS LÄN</t>
        </is>
      </c>
      <c r="E5944" t="inlineStr">
        <is>
          <t>KRAMFORS</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57798-2025</t>
        </is>
      </c>
      <c r="B5945" s="1" t="n">
        <v>45981.58322916667</v>
      </c>
      <c r="C5945" s="1" t="n">
        <v>46185</v>
      </c>
      <c r="D5945" t="inlineStr">
        <is>
          <t>VÄSTERNORRLANDS LÄN</t>
        </is>
      </c>
      <c r="E5945" t="inlineStr">
        <is>
          <t>ÖRNSKÖLDSVIK</t>
        </is>
      </c>
      <c r="F5945" t="inlineStr">
        <is>
          <t>Holmen skog AB</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9804-2026</t>
        </is>
      </c>
      <c r="B5946" s="1" t="n">
        <v>46071</v>
      </c>
      <c r="C5946" s="1" t="n">
        <v>46185</v>
      </c>
      <c r="D5946" t="inlineStr">
        <is>
          <t>VÄSTERNORRLANDS LÄN</t>
        </is>
      </c>
      <c r="E5946" t="inlineStr">
        <is>
          <t>HÄRNÖSAND</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9805-2026</t>
        </is>
      </c>
      <c r="B5947" s="1" t="n">
        <v>46071</v>
      </c>
      <c r="C5947" s="1" t="n">
        <v>46185</v>
      </c>
      <c r="D5947" t="inlineStr">
        <is>
          <t>VÄSTERNORRLANDS LÄN</t>
        </is>
      </c>
      <c r="E5947" t="inlineStr">
        <is>
          <t>HÄRNÖSAND</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58509-2025</t>
        </is>
      </c>
      <c r="B5948" s="1" t="n">
        <v>45982</v>
      </c>
      <c r="C5948" s="1" t="n">
        <v>46185</v>
      </c>
      <c r="D5948" t="inlineStr">
        <is>
          <t>VÄSTERNORRLANDS LÄN</t>
        </is>
      </c>
      <c r="E5948" t="inlineStr">
        <is>
          <t>SOLLEFTEÅ</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58510-2025</t>
        </is>
      </c>
      <c r="B5949" s="1" t="n">
        <v>45982</v>
      </c>
      <c r="C5949" s="1" t="n">
        <v>46185</v>
      </c>
      <c r="D5949" t="inlineStr">
        <is>
          <t>VÄSTERNORRLANDS LÄN</t>
        </is>
      </c>
      <c r="E5949" t="inlineStr">
        <is>
          <t>SOLLEFTEÅ</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20079-2025</t>
        </is>
      </c>
      <c r="B5950" s="1" t="n">
        <v>45772.44902777778</v>
      </c>
      <c r="C5950" s="1" t="n">
        <v>46185</v>
      </c>
      <c r="D5950" t="inlineStr">
        <is>
          <t>VÄSTERNORRLANDS LÄN</t>
        </is>
      </c>
      <c r="E5950" t="inlineStr">
        <is>
          <t>SUNDSVALL</t>
        </is>
      </c>
      <c r="F5950" t="inlineStr">
        <is>
          <t>SCA</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68750-2021</t>
        </is>
      </c>
      <c r="B5951" s="1" t="n">
        <v>44529</v>
      </c>
      <c r="C5951" s="1" t="n">
        <v>46185</v>
      </c>
      <c r="D5951" t="inlineStr">
        <is>
          <t>VÄSTERNORRLANDS LÄN</t>
        </is>
      </c>
      <c r="E5951" t="inlineStr">
        <is>
          <t>ÖRNSKÖLDSVIK</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55916-2023</t>
        </is>
      </c>
      <c r="B5952" s="1" t="n">
        <v>45239.9684375</v>
      </c>
      <c r="C5952" s="1" t="n">
        <v>46185</v>
      </c>
      <c r="D5952" t="inlineStr">
        <is>
          <t>VÄSTERNORRLANDS LÄN</t>
        </is>
      </c>
      <c r="E5952" t="inlineStr">
        <is>
          <t>SUNDSVALL</t>
        </is>
      </c>
      <c r="F5952" t="inlineStr">
        <is>
          <t>SCA</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68774-2021</t>
        </is>
      </c>
      <c r="B5953" s="1" t="n">
        <v>44529.94496527778</v>
      </c>
      <c r="C5953" s="1" t="n">
        <v>46185</v>
      </c>
      <c r="D5953" t="inlineStr">
        <is>
          <t>VÄSTERNORRLANDS LÄN</t>
        </is>
      </c>
      <c r="E5953" t="inlineStr">
        <is>
          <t>TIMRÅ</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9578-2026</t>
        </is>
      </c>
      <c r="B5954" s="1" t="n">
        <v>46071.6775462963</v>
      </c>
      <c r="C5954" s="1" t="n">
        <v>46185</v>
      </c>
      <c r="D5954" t="inlineStr">
        <is>
          <t>VÄSTERNORRLANDS LÄN</t>
        </is>
      </c>
      <c r="E5954" t="inlineStr">
        <is>
          <t>SOLLEFTEÅ</t>
        </is>
      </c>
      <c r="F5954" t="inlineStr">
        <is>
          <t>SCA</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9579-2026</t>
        </is>
      </c>
      <c r="B5955" s="1" t="n">
        <v>46071.67767361111</v>
      </c>
      <c r="C5955" s="1" t="n">
        <v>46185</v>
      </c>
      <c r="D5955" t="inlineStr">
        <is>
          <t>VÄSTERNORRLANDS LÄN</t>
        </is>
      </c>
      <c r="E5955" t="inlineStr">
        <is>
          <t>SUNDSVALL</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57615-2025</t>
        </is>
      </c>
      <c r="B5956" s="1" t="n">
        <v>45981.34431712963</v>
      </c>
      <c r="C5956" s="1" t="n">
        <v>46185</v>
      </c>
      <c r="D5956" t="inlineStr">
        <is>
          <t>VÄSTERNORRLANDS LÄN</t>
        </is>
      </c>
      <c r="E5956" t="inlineStr">
        <is>
          <t>ÅNGE</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9634-2026</t>
        </is>
      </c>
      <c r="B5957" s="1" t="n">
        <v>46072</v>
      </c>
      <c r="C5957" s="1" t="n">
        <v>46185</v>
      </c>
      <c r="D5957" t="inlineStr">
        <is>
          <t>VÄSTERNORRLANDS LÄN</t>
        </is>
      </c>
      <c r="E5957" t="inlineStr">
        <is>
          <t>TIMRÅ</t>
        </is>
      </c>
      <c r="G5957" t="n">
        <v>5.6</v>
      </c>
      <c r="H5957" t="n">
        <v>0</v>
      </c>
      <c r="I5957" t="n">
        <v>0</v>
      </c>
      <c r="J5957" t="n">
        <v>0</v>
      </c>
      <c r="K5957" t="n">
        <v>0</v>
      </c>
      <c r="L5957" t="n">
        <v>0</v>
      </c>
      <c r="M5957" t="n">
        <v>0</v>
      </c>
      <c r="N5957" t="n">
        <v>0</v>
      </c>
      <c r="O5957" t="n">
        <v>0</v>
      </c>
      <c r="P5957" t="n">
        <v>0</v>
      </c>
      <c r="Q5957" t="n">
        <v>0</v>
      </c>
      <c r="R5957" s="2" t="inlineStr"/>
    </row>
    <row r="5958" ht="15" customHeight="1">
      <c r="A5958" t="inlineStr">
        <is>
          <t>A 9638-2026</t>
        </is>
      </c>
      <c r="B5958" s="1" t="n">
        <v>46072</v>
      </c>
      <c r="C5958" s="1" t="n">
        <v>46185</v>
      </c>
      <c r="D5958" t="inlineStr">
        <is>
          <t>VÄSTERNORRLANDS LÄN</t>
        </is>
      </c>
      <c r="E5958" t="inlineStr">
        <is>
          <t>TIMRÅ</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58124-2025</t>
        </is>
      </c>
      <c r="B5959" s="1" t="n">
        <v>45982.61363425926</v>
      </c>
      <c r="C5959" s="1" t="n">
        <v>46185</v>
      </c>
      <c r="D5959" t="inlineStr">
        <is>
          <t>VÄSTERNORRLANDS LÄN</t>
        </is>
      </c>
      <c r="E5959" t="inlineStr">
        <is>
          <t>ÖRNSKÖLDSVIK</t>
        </is>
      </c>
      <c r="F5959" t="inlineStr">
        <is>
          <t>Holmen skog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57570-2025</t>
        </is>
      </c>
      <c r="B5960" s="1" t="n">
        <v>45980.78699074074</v>
      </c>
      <c r="C5960" s="1" t="n">
        <v>46185</v>
      </c>
      <c r="D5960" t="inlineStr">
        <is>
          <t>VÄSTERNORRLANDS LÄN</t>
        </is>
      </c>
      <c r="E5960" t="inlineStr">
        <is>
          <t>ÖRNSKÖLDSVIK</t>
        </is>
      </c>
      <c r="F5960" t="inlineStr">
        <is>
          <t>Holmen skog AB</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58032-2025</t>
        </is>
      </c>
      <c r="B5961" s="1" t="n">
        <v>45982.48753472222</v>
      </c>
      <c r="C5961" s="1" t="n">
        <v>46185</v>
      </c>
      <c r="D5961" t="inlineStr">
        <is>
          <t>VÄSTERNORRLANDS LÄN</t>
        </is>
      </c>
      <c r="E5961" t="inlineStr">
        <is>
          <t>SOLLEFTEÅ</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57991-2025</t>
        </is>
      </c>
      <c r="B5962" s="1" t="n">
        <v>45982.42438657407</v>
      </c>
      <c r="C5962" s="1" t="n">
        <v>46185</v>
      </c>
      <c r="D5962" t="inlineStr">
        <is>
          <t>VÄSTERNORRLANDS LÄN</t>
        </is>
      </c>
      <c r="E5962" t="inlineStr">
        <is>
          <t>ÅNGE</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9843-2026</t>
        </is>
      </c>
      <c r="B5963" s="1" t="n">
        <v>46072.71412037037</v>
      </c>
      <c r="C5963" s="1" t="n">
        <v>46185</v>
      </c>
      <c r="D5963" t="inlineStr">
        <is>
          <t>VÄSTERNORRLANDS LÄN</t>
        </is>
      </c>
      <c r="E5963" t="inlineStr">
        <is>
          <t>HÄRNÖSAND</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9477-2026</t>
        </is>
      </c>
      <c r="B5964" s="1" t="n">
        <v>46071.52377314815</v>
      </c>
      <c r="C5964" s="1" t="n">
        <v>46185</v>
      </c>
      <c r="D5964" t="inlineStr">
        <is>
          <t>VÄSTERNORRLANDS LÄN</t>
        </is>
      </c>
      <c r="E5964" t="inlineStr">
        <is>
          <t>ÖRNSKÖLDSVIK</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57990-2025</t>
        </is>
      </c>
      <c r="B5965" s="1" t="n">
        <v>45982.4240625</v>
      </c>
      <c r="C5965" s="1" t="n">
        <v>46185</v>
      </c>
      <c r="D5965" t="inlineStr">
        <is>
          <t>VÄSTERNORRLANDS LÄN</t>
        </is>
      </c>
      <c r="E5965" t="inlineStr">
        <is>
          <t>SOLLEFTEÅ</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27002-2023</t>
        </is>
      </c>
      <c r="B5966" s="1" t="n">
        <v>45093</v>
      </c>
      <c r="C5966" s="1" t="n">
        <v>46185</v>
      </c>
      <c r="D5966" t="inlineStr">
        <is>
          <t>VÄSTERNORRLANDS LÄN</t>
        </is>
      </c>
      <c r="E5966" t="inlineStr">
        <is>
          <t>ÅNGE</t>
        </is>
      </c>
      <c r="F5966" t="inlineStr">
        <is>
          <t>SCA</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9759-2026</t>
        </is>
      </c>
      <c r="B5967" s="1" t="n">
        <v>46072.55251157407</v>
      </c>
      <c r="C5967" s="1" t="n">
        <v>46185</v>
      </c>
      <c r="D5967" t="inlineStr">
        <is>
          <t>VÄSTERNORRLANDS LÄN</t>
        </is>
      </c>
      <c r="E5967" t="inlineStr">
        <is>
          <t>SUNDSVALL</t>
        </is>
      </c>
      <c r="F5967" t="inlineStr">
        <is>
          <t>SCA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9633-2026</t>
        </is>
      </c>
      <c r="B5968" s="1" t="n">
        <v>46072</v>
      </c>
      <c r="C5968" s="1" t="n">
        <v>46185</v>
      </c>
      <c r="D5968" t="inlineStr">
        <is>
          <t>VÄSTERNORRLANDS LÄN</t>
        </is>
      </c>
      <c r="E5968" t="inlineStr">
        <is>
          <t>TIMRÅ</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9640-2026</t>
        </is>
      </c>
      <c r="B5969" s="1" t="n">
        <v>46072</v>
      </c>
      <c r="C5969" s="1" t="n">
        <v>46185</v>
      </c>
      <c r="D5969" t="inlineStr">
        <is>
          <t>VÄSTERNORRLANDS LÄN</t>
        </is>
      </c>
      <c r="E5969" t="inlineStr">
        <is>
          <t>TIMRÅ</t>
        </is>
      </c>
      <c r="G5969" t="n">
        <v>10.5</v>
      </c>
      <c r="H5969" t="n">
        <v>0</v>
      </c>
      <c r="I5969" t="n">
        <v>0</v>
      </c>
      <c r="J5969" t="n">
        <v>0</v>
      </c>
      <c r="K5969" t="n">
        <v>0</v>
      </c>
      <c r="L5969" t="n">
        <v>0</v>
      </c>
      <c r="M5969" t="n">
        <v>0</v>
      </c>
      <c r="N5969" t="n">
        <v>0</v>
      </c>
      <c r="O5969" t="n">
        <v>0</v>
      </c>
      <c r="P5969" t="n">
        <v>0</v>
      </c>
      <c r="Q5969" t="n">
        <v>0</v>
      </c>
      <c r="R5969" s="2" t="inlineStr"/>
    </row>
    <row r="5970" ht="15" customHeight="1">
      <c r="A5970" t="inlineStr">
        <is>
          <t>A 9656-2026</t>
        </is>
      </c>
      <c r="B5970" s="1" t="n">
        <v>46072</v>
      </c>
      <c r="C5970" s="1" t="n">
        <v>46185</v>
      </c>
      <c r="D5970" t="inlineStr">
        <is>
          <t>VÄSTERNORRLANDS LÄN</t>
        </is>
      </c>
      <c r="E5970" t="inlineStr">
        <is>
          <t>HÄRNÖSAND</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57941-2025</t>
        </is>
      </c>
      <c r="B5971" s="1" t="n">
        <v>45982.30282407408</v>
      </c>
      <c r="C5971" s="1" t="n">
        <v>46185</v>
      </c>
      <c r="D5971" t="inlineStr">
        <is>
          <t>VÄSTERNORRLANDS LÄN</t>
        </is>
      </c>
      <c r="E5971" t="inlineStr">
        <is>
          <t>ÖRNSKÖLDSVIK</t>
        </is>
      </c>
      <c r="F5971" t="inlineStr">
        <is>
          <t>Holmen skog AB</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57919-2025</t>
        </is>
      </c>
      <c r="B5972" s="1" t="n">
        <v>45981.80702546296</v>
      </c>
      <c r="C5972" s="1" t="n">
        <v>46185</v>
      </c>
      <c r="D5972" t="inlineStr">
        <is>
          <t>VÄSTERNORRLANDS LÄN</t>
        </is>
      </c>
      <c r="E5972" t="inlineStr">
        <is>
          <t>KRAMFORS</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9662-2026</t>
        </is>
      </c>
      <c r="B5973" s="1" t="n">
        <v>46072.36609953704</v>
      </c>
      <c r="C5973" s="1" t="n">
        <v>46185</v>
      </c>
      <c r="D5973" t="inlineStr">
        <is>
          <t>VÄSTERNORRLANDS LÄN</t>
        </is>
      </c>
      <c r="E5973" t="inlineStr">
        <is>
          <t>TIMRÅ</t>
        </is>
      </c>
      <c r="G5973" t="n">
        <v>7</v>
      </c>
      <c r="H5973" t="n">
        <v>0</v>
      </c>
      <c r="I5973" t="n">
        <v>0</v>
      </c>
      <c r="J5973" t="n">
        <v>0</v>
      </c>
      <c r="K5973" t="n">
        <v>0</v>
      </c>
      <c r="L5973" t="n">
        <v>0</v>
      </c>
      <c r="M5973" t="n">
        <v>0</v>
      </c>
      <c r="N5973" t="n">
        <v>0</v>
      </c>
      <c r="O5973" t="n">
        <v>0</v>
      </c>
      <c r="P5973" t="n">
        <v>0</v>
      </c>
      <c r="Q5973" t="n">
        <v>0</v>
      </c>
      <c r="R5973" s="2" t="inlineStr"/>
    </row>
    <row r="5974" ht="15" customHeight="1">
      <c r="A5974" t="inlineStr">
        <is>
          <t>A 57960-2025</t>
        </is>
      </c>
      <c r="B5974" s="1" t="n">
        <v>45982.36494212963</v>
      </c>
      <c r="C5974" s="1" t="n">
        <v>46185</v>
      </c>
      <c r="D5974" t="inlineStr">
        <is>
          <t>VÄSTERNORRLANDS LÄN</t>
        </is>
      </c>
      <c r="E5974" t="inlineStr">
        <is>
          <t>ÅNGE</t>
        </is>
      </c>
      <c r="F5974" t="inlineStr">
        <is>
          <t>SCA</t>
        </is>
      </c>
      <c r="G5974" t="n">
        <v>0.2</v>
      </c>
      <c r="H5974" t="n">
        <v>0</v>
      </c>
      <c r="I5974" t="n">
        <v>0</v>
      </c>
      <c r="J5974" t="n">
        <v>0</v>
      </c>
      <c r="K5974" t="n">
        <v>0</v>
      </c>
      <c r="L5974" t="n">
        <v>0</v>
      </c>
      <c r="M5974" t="n">
        <v>0</v>
      </c>
      <c r="N5974" t="n">
        <v>0</v>
      </c>
      <c r="O5974" t="n">
        <v>0</v>
      </c>
      <c r="P5974" t="n">
        <v>0</v>
      </c>
      <c r="Q5974" t="n">
        <v>0</v>
      </c>
      <c r="R5974" s="2" t="inlineStr"/>
    </row>
    <row r="5975" ht="15" customHeight="1">
      <c r="A5975" t="inlineStr">
        <is>
          <t>A 57974-2025</t>
        </is>
      </c>
      <c r="B5975" s="1" t="n">
        <v>45982.39275462963</v>
      </c>
      <c r="C5975" s="1" t="n">
        <v>46185</v>
      </c>
      <c r="D5975" t="inlineStr">
        <is>
          <t>VÄSTERNORRLANDS LÄN</t>
        </is>
      </c>
      <c r="E5975" t="inlineStr">
        <is>
          <t>TIMRÅ</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34201-2021</t>
        </is>
      </c>
      <c r="B5976" s="1" t="n">
        <v>44379</v>
      </c>
      <c r="C5976" s="1" t="n">
        <v>46185</v>
      </c>
      <c r="D5976" t="inlineStr">
        <is>
          <t>VÄSTERNORRLANDS LÄN</t>
        </is>
      </c>
      <c r="E5976" t="inlineStr">
        <is>
          <t>KRAMFORS</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44762-2022</t>
        </is>
      </c>
      <c r="B5977" s="1" t="n">
        <v>44840</v>
      </c>
      <c r="C5977" s="1" t="n">
        <v>46185</v>
      </c>
      <c r="D5977" t="inlineStr">
        <is>
          <t>VÄSTERNORRLANDS LÄN</t>
        </is>
      </c>
      <c r="E5977" t="inlineStr">
        <is>
          <t>SOLLEFTEÅ</t>
        </is>
      </c>
      <c r="F5977" t="inlineStr">
        <is>
          <t>SCA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12066-2025</t>
        </is>
      </c>
      <c r="B5978" s="1" t="n">
        <v>45728</v>
      </c>
      <c r="C5978" s="1" t="n">
        <v>46185</v>
      </c>
      <c r="D5978" t="inlineStr">
        <is>
          <t>VÄSTERNORRLANDS LÄN</t>
        </is>
      </c>
      <c r="E5978" t="inlineStr">
        <is>
          <t>KRAMFORS</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12191-2025</t>
        </is>
      </c>
      <c r="B5979" s="1" t="n">
        <v>45729</v>
      </c>
      <c r="C5979" s="1" t="n">
        <v>46185</v>
      </c>
      <c r="D5979" t="inlineStr">
        <is>
          <t>VÄSTERNORRLANDS LÄN</t>
        </is>
      </c>
      <c r="E5979" t="inlineStr">
        <is>
          <t>ÖRNSKÖLDSVIK</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49960-2023</t>
        </is>
      </c>
      <c r="B5980" s="1" t="n">
        <v>45215.3856712963</v>
      </c>
      <c r="C5980" s="1" t="n">
        <v>46185</v>
      </c>
      <c r="D5980" t="inlineStr">
        <is>
          <t>VÄSTERNORRLANDS LÄN</t>
        </is>
      </c>
      <c r="E5980" t="inlineStr">
        <is>
          <t>ÖRNSKÖLDSVIK</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58552-2025</t>
        </is>
      </c>
      <c r="B5981" s="1" t="n">
        <v>45986.33105324074</v>
      </c>
      <c r="C5981" s="1" t="n">
        <v>46185</v>
      </c>
      <c r="D5981" t="inlineStr">
        <is>
          <t>VÄSTERNORRLANDS LÄN</t>
        </is>
      </c>
      <c r="E5981" t="inlineStr">
        <is>
          <t>SUNDSVALL</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58429-2025</t>
        </is>
      </c>
      <c r="B5982" s="1" t="n">
        <v>45985.60277777778</v>
      </c>
      <c r="C5982" s="1" t="n">
        <v>46185</v>
      </c>
      <c r="D5982" t="inlineStr">
        <is>
          <t>VÄSTERNORRLANDS LÄN</t>
        </is>
      </c>
      <c r="E5982" t="inlineStr">
        <is>
          <t>SUNDSVALL</t>
        </is>
      </c>
      <c r="F5982" t="inlineStr">
        <is>
          <t>Kommuner</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9754-2026</t>
        </is>
      </c>
      <c r="B5983" s="1" t="n">
        <v>46072.54571759259</v>
      </c>
      <c r="C5983" s="1" t="n">
        <v>46185</v>
      </c>
      <c r="D5983" t="inlineStr">
        <is>
          <t>VÄSTERNORRLANDS LÄN</t>
        </is>
      </c>
      <c r="E5983" t="inlineStr">
        <is>
          <t>ÖRNSKÖLDSVIK</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9762-2026</t>
        </is>
      </c>
      <c r="B5984" s="1" t="n">
        <v>46072.55725694444</v>
      </c>
      <c r="C5984" s="1" t="n">
        <v>46185</v>
      </c>
      <c r="D5984" t="inlineStr">
        <is>
          <t>VÄSTERNORRLANDS LÄN</t>
        </is>
      </c>
      <c r="E5984" t="inlineStr">
        <is>
          <t>KRAMFORS</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58505-2025</t>
        </is>
      </c>
      <c r="B5985" s="1" t="n">
        <v>45985.69831018519</v>
      </c>
      <c r="C5985" s="1" t="n">
        <v>46185</v>
      </c>
      <c r="D5985" t="inlineStr">
        <is>
          <t>VÄSTERNORRLANDS LÄN</t>
        </is>
      </c>
      <c r="E5985" t="inlineStr">
        <is>
          <t>SOLLEFTEÅ</t>
        </is>
      </c>
      <c r="F5985" t="inlineStr">
        <is>
          <t>SCA</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58507-2025</t>
        </is>
      </c>
      <c r="B5986" s="1" t="n">
        <v>45985.69873842593</v>
      </c>
      <c r="C5986" s="1" t="n">
        <v>46185</v>
      </c>
      <c r="D5986" t="inlineStr">
        <is>
          <t>VÄSTERNORRLANDS LÄN</t>
        </is>
      </c>
      <c r="E5986" t="inlineStr">
        <is>
          <t>SUNDSVALL</t>
        </is>
      </c>
      <c r="F5986" t="inlineStr">
        <is>
          <t>SCA</t>
        </is>
      </c>
      <c r="G5986" t="n">
        <v>6.5</v>
      </c>
      <c r="H5986" t="n">
        <v>0</v>
      </c>
      <c r="I5986" t="n">
        <v>0</v>
      </c>
      <c r="J5986" t="n">
        <v>0</v>
      </c>
      <c r="K5986" t="n">
        <v>0</v>
      </c>
      <c r="L5986" t="n">
        <v>0</v>
      </c>
      <c r="M5986" t="n">
        <v>0</v>
      </c>
      <c r="N5986" t="n">
        <v>0</v>
      </c>
      <c r="O5986" t="n">
        <v>0</v>
      </c>
      <c r="P5986" t="n">
        <v>0</v>
      </c>
      <c r="Q5986" t="n">
        <v>0</v>
      </c>
      <c r="R5986" s="2" t="inlineStr"/>
    </row>
    <row r="5987" ht="15" customHeight="1">
      <c r="A5987" t="inlineStr">
        <is>
          <t>A 58523-2025</t>
        </is>
      </c>
      <c r="B5987" s="1" t="n">
        <v>45985</v>
      </c>
      <c r="C5987" s="1" t="n">
        <v>46185</v>
      </c>
      <c r="D5987" t="inlineStr">
        <is>
          <t>VÄSTERNORRLANDS LÄN</t>
        </is>
      </c>
      <c r="E5987" t="inlineStr">
        <is>
          <t>KRAMFORS</t>
        </is>
      </c>
      <c r="G5987" t="n">
        <v>2.3</v>
      </c>
      <c r="H5987" t="n">
        <v>0</v>
      </c>
      <c r="I5987" t="n">
        <v>0</v>
      </c>
      <c r="J5987" t="n">
        <v>0</v>
      </c>
      <c r="K5987" t="n">
        <v>0</v>
      </c>
      <c r="L5987" t="n">
        <v>0</v>
      </c>
      <c r="M5987" t="n">
        <v>0</v>
      </c>
      <c r="N5987" t="n">
        <v>0</v>
      </c>
      <c r="O5987" t="n">
        <v>0</v>
      </c>
      <c r="P5987" t="n">
        <v>0</v>
      </c>
      <c r="Q5987" t="n">
        <v>0</v>
      </c>
      <c r="R5987" s="2" t="inlineStr"/>
      <c r="U5987">
        <f>HYPERLINK("https://klasma.github.io/Logging_2282/knärot/A 58523-2025 karta knärot.png", "A 58523-2025")</f>
        <v/>
      </c>
      <c r="V5987">
        <f>HYPERLINK("https://klasma.github.io/Logging_2282/klagomål/A 58523-2025 FSC-klagomål.docx", "A 58523-2025")</f>
        <v/>
      </c>
      <c r="W5987">
        <f>HYPERLINK("https://klasma.github.io/Logging_2282/klagomålsmail/A 58523-2025 FSC-klagomål mail.docx", "A 58523-2025")</f>
        <v/>
      </c>
      <c r="X5987">
        <f>HYPERLINK("https://klasma.github.io/Logging_2282/tillsyn/A 58523-2025 tillsynsbegäran.docx", "A 58523-2025")</f>
        <v/>
      </c>
      <c r="Y5987">
        <f>HYPERLINK("https://klasma.github.io/Logging_2282/tillsynsmail/A 58523-2025 tillsynsbegäran mail.docx", "A 58523-2025")</f>
        <v/>
      </c>
    </row>
    <row r="5988" ht="15" customHeight="1">
      <c r="A5988" t="inlineStr">
        <is>
          <t>A 58536-2025</t>
        </is>
      </c>
      <c r="B5988" s="1" t="n">
        <v>45985.83274305556</v>
      </c>
      <c r="C5988" s="1" t="n">
        <v>46185</v>
      </c>
      <c r="D5988" t="inlineStr">
        <is>
          <t>VÄSTERNORRLANDS LÄN</t>
        </is>
      </c>
      <c r="E5988" t="inlineStr">
        <is>
          <t>ÅNGE</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58388-2025</t>
        </is>
      </c>
      <c r="B5989" s="1" t="n">
        <v>45985.54685185185</v>
      </c>
      <c r="C5989" s="1" t="n">
        <v>46185</v>
      </c>
      <c r="D5989" t="inlineStr">
        <is>
          <t>VÄSTERNORRLANDS LÄN</t>
        </is>
      </c>
      <c r="E5989" t="inlineStr">
        <is>
          <t>ÅNGE</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9475-2026</t>
        </is>
      </c>
      <c r="B5990" s="1" t="n">
        <v>46071.52336805555</v>
      </c>
      <c r="C5990" s="1" t="n">
        <v>46185</v>
      </c>
      <c r="D5990" t="inlineStr">
        <is>
          <t>VÄSTERNORRLANDS LÄN</t>
        </is>
      </c>
      <c r="E5990" t="inlineStr">
        <is>
          <t>ÖRNSKÖLDSVIK</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9476-2026</t>
        </is>
      </c>
      <c r="B5991" s="1" t="n">
        <v>46071.52351851852</v>
      </c>
      <c r="C5991" s="1" t="n">
        <v>46185</v>
      </c>
      <c r="D5991" t="inlineStr">
        <is>
          <t>VÄSTERNORRLANDS LÄN</t>
        </is>
      </c>
      <c r="E5991" t="inlineStr">
        <is>
          <t>ÖRNSKÖLDSVIK</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9490-2026</t>
        </is>
      </c>
      <c r="B5992" s="1" t="n">
        <v>46071.55266203704</v>
      </c>
      <c r="C5992" s="1" t="n">
        <v>46185</v>
      </c>
      <c r="D5992" t="inlineStr">
        <is>
          <t>VÄSTERNORRLANDS LÄN</t>
        </is>
      </c>
      <c r="E5992" t="inlineStr">
        <is>
          <t>SUNDSVALL</t>
        </is>
      </c>
      <c r="F5992" t="inlineStr">
        <is>
          <t>SCA</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45973-2023</t>
        </is>
      </c>
      <c r="B5993" s="1" t="n">
        <v>45195</v>
      </c>
      <c r="C5993" s="1" t="n">
        <v>46185</v>
      </c>
      <c r="D5993" t="inlineStr">
        <is>
          <t>VÄSTERNORRLANDS LÄN</t>
        </is>
      </c>
      <c r="E5993" t="inlineStr">
        <is>
          <t>SOLLEFTEÅ</t>
        </is>
      </c>
      <c r="F5993" t="inlineStr">
        <is>
          <t>SCA</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58366-2025</t>
        </is>
      </c>
      <c r="B5994" s="1" t="n">
        <v>45985.52600694444</v>
      </c>
      <c r="C5994" s="1" t="n">
        <v>46185</v>
      </c>
      <c r="D5994" t="inlineStr">
        <is>
          <t>VÄSTERNORRLANDS LÄN</t>
        </is>
      </c>
      <c r="E5994" t="inlineStr">
        <is>
          <t>ÅNGE</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20533-2025</t>
        </is>
      </c>
      <c r="B5995" s="1" t="n">
        <v>45775.61537037037</v>
      </c>
      <c r="C5995" s="1" t="n">
        <v>46185</v>
      </c>
      <c r="D5995" t="inlineStr">
        <is>
          <t>VÄSTERNORRLANDS LÄN</t>
        </is>
      </c>
      <c r="E5995" t="inlineStr">
        <is>
          <t>ÖRNSKÖLDSVIK</t>
        </is>
      </c>
      <c r="F5995" t="inlineStr">
        <is>
          <t>SCA</t>
        </is>
      </c>
      <c r="G5995" t="n">
        <v>52.9</v>
      </c>
      <c r="H5995" t="n">
        <v>0</v>
      </c>
      <c r="I5995" t="n">
        <v>0</v>
      </c>
      <c r="J5995" t="n">
        <v>0</v>
      </c>
      <c r="K5995" t="n">
        <v>0</v>
      </c>
      <c r="L5995" t="n">
        <v>0</v>
      </c>
      <c r="M5995" t="n">
        <v>0</v>
      </c>
      <c r="N5995" t="n">
        <v>0</v>
      </c>
      <c r="O5995" t="n">
        <v>0</v>
      </c>
      <c r="P5995" t="n">
        <v>0</v>
      </c>
      <c r="Q5995" t="n">
        <v>0</v>
      </c>
      <c r="R5995" s="2" t="inlineStr"/>
    </row>
    <row r="5996" ht="15" customHeight="1">
      <c r="A5996" t="inlineStr">
        <is>
          <t>A 58268-2025</t>
        </is>
      </c>
      <c r="B5996" s="1" t="n">
        <v>45985.42450231482</v>
      </c>
      <c r="C5996" s="1" t="n">
        <v>46185</v>
      </c>
      <c r="D5996" t="inlineStr">
        <is>
          <t>VÄSTERNORRLANDS LÄN</t>
        </is>
      </c>
      <c r="E5996" t="inlineStr">
        <is>
          <t>ÅNGE</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63170-2023</t>
        </is>
      </c>
      <c r="B5997" s="1" t="n">
        <v>45273.57087962963</v>
      </c>
      <c r="C5997" s="1" t="n">
        <v>46185</v>
      </c>
      <c r="D5997" t="inlineStr">
        <is>
          <t>VÄSTERNORRLANDS LÄN</t>
        </is>
      </c>
      <c r="E5997" t="inlineStr">
        <is>
          <t>ÅNGE</t>
        </is>
      </c>
      <c r="F5997" t="inlineStr">
        <is>
          <t>Holmen skog AB</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30273-2023</t>
        </is>
      </c>
      <c r="B5998" s="1" t="n">
        <v>45099</v>
      </c>
      <c r="C5998" s="1" t="n">
        <v>46185</v>
      </c>
      <c r="D5998" t="inlineStr">
        <is>
          <t>VÄSTERNORRLANDS LÄN</t>
        </is>
      </c>
      <c r="E5998" t="inlineStr">
        <is>
          <t>ÅNGE</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58195-2025</t>
        </is>
      </c>
      <c r="B5999" s="1" t="n">
        <v>45983.86991898148</v>
      </c>
      <c r="C5999" s="1" t="n">
        <v>46185</v>
      </c>
      <c r="D5999" t="inlineStr">
        <is>
          <t>VÄSTERNORRLANDS LÄN</t>
        </is>
      </c>
      <c r="E5999" t="inlineStr">
        <is>
          <t>ÖRNSKÖLDSVIK</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58929-2025</t>
        </is>
      </c>
      <c r="B6000" s="1" t="n">
        <v>45986</v>
      </c>
      <c r="C6000" s="1" t="n">
        <v>46185</v>
      </c>
      <c r="D6000" t="inlineStr">
        <is>
          <t>VÄSTERNORRLANDS LÄN</t>
        </is>
      </c>
      <c r="E6000" t="inlineStr">
        <is>
          <t>KRAMFORS</t>
        </is>
      </c>
      <c r="G6000" t="n">
        <v>8.300000000000001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10306-2026</t>
        </is>
      </c>
      <c r="B6001" s="1" t="n">
        <v>46076</v>
      </c>
      <c r="C6001" s="1" t="n">
        <v>46185</v>
      </c>
      <c r="D6001" t="inlineStr">
        <is>
          <t>VÄSTERNORRLANDS LÄN</t>
        </is>
      </c>
      <c r="E6001" t="inlineStr">
        <is>
          <t>TIMRÅ</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58551-2025</t>
        </is>
      </c>
      <c r="B6002" s="1" t="n">
        <v>45986.32783564815</v>
      </c>
      <c r="C6002" s="1" t="n">
        <v>46185</v>
      </c>
      <c r="D6002" t="inlineStr">
        <is>
          <t>VÄSTERNORRLANDS LÄN</t>
        </is>
      </c>
      <c r="E6002" t="inlineStr">
        <is>
          <t>SUNDSVALL</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58585-2025</t>
        </is>
      </c>
      <c r="B6003" s="1" t="n">
        <v>45986.39733796296</v>
      </c>
      <c r="C6003" s="1" t="n">
        <v>46185</v>
      </c>
      <c r="D6003" t="inlineStr">
        <is>
          <t>VÄSTERNORRLANDS LÄN</t>
        </is>
      </c>
      <c r="E6003" t="inlineStr">
        <is>
          <t>ÅNGE</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58735-2025</t>
        </is>
      </c>
      <c r="B6004" s="1" t="n">
        <v>45986.62780092593</v>
      </c>
      <c r="C6004" s="1" t="n">
        <v>46185</v>
      </c>
      <c r="D6004" t="inlineStr">
        <is>
          <t>VÄSTERNORRLANDS LÄN</t>
        </is>
      </c>
      <c r="E6004" t="inlineStr">
        <is>
          <t>ÖRNSKÖLDSVIK</t>
        </is>
      </c>
      <c r="G6004" t="n">
        <v>10.4</v>
      </c>
      <c r="H6004" t="n">
        <v>0</v>
      </c>
      <c r="I6004" t="n">
        <v>0</v>
      </c>
      <c r="J6004" t="n">
        <v>0</v>
      </c>
      <c r="K6004" t="n">
        <v>0</v>
      </c>
      <c r="L6004" t="n">
        <v>0</v>
      </c>
      <c r="M6004" t="n">
        <v>0</v>
      </c>
      <c r="N6004" t="n">
        <v>0</v>
      </c>
      <c r="O6004" t="n">
        <v>0</v>
      </c>
      <c r="P6004" t="n">
        <v>0</v>
      </c>
      <c r="Q6004" t="n">
        <v>0</v>
      </c>
      <c r="R6004" s="2" t="inlineStr"/>
    </row>
    <row r="6005" ht="15" customHeight="1">
      <c r="A6005" t="inlineStr">
        <is>
          <t>A 60368-2024</t>
        </is>
      </c>
      <c r="B6005" s="1" t="n">
        <v>45643</v>
      </c>
      <c r="C6005" s="1" t="n">
        <v>46185</v>
      </c>
      <c r="D6005" t="inlineStr">
        <is>
          <t>VÄSTERNORRLANDS LÄN</t>
        </is>
      </c>
      <c r="E6005" t="inlineStr">
        <is>
          <t>ÅNGE</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10053-2026</t>
        </is>
      </c>
      <c r="B6006" s="1" t="n">
        <v>46073.61542824074</v>
      </c>
      <c r="C6006" s="1" t="n">
        <v>46185</v>
      </c>
      <c r="D6006" t="inlineStr">
        <is>
          <t>VÄSTERNORRLANDS LÄN</t>
        </is>
      </c>
      <c r="E6006" t="inlineStr">
        <is>
          <t>SOLLEFTEÅ</t>
        </is>
      </c>
      <c r="F6006" t="inlineStr">
        <is>
          <t>SCA</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16935-2025</t>
        </is>
      </c>
      <c r="B6007" s="1" t="n">
        <v>45755.40678240741</v>
      </c>
      <c r="C6007" s="1" t="n">
        <v>46185</v>
      </c>
      <c r="D6007" t="inlineStr">
        <is>
          <t>VÄSTERNORRLANDS LÄN</t>
        </is>
      </c>
      <c r="E6007" t="inlineStr">
        <is>
          <t>TIMRÅ</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58615-2025</t>
        </is>
      </c>
      <c r="B6008" s="1" t="n">
        <v>45986.46577546297</v>
      </c>
      <c r="C6008" s="1" t="n">
        <v>46185</v>
      </c>
      <c r="D6008" t="inlineStr">
        <is>
          <t>VÄSTERNORRLANDS LÄN</t>
        </is>
      </c>
      <c r="E6008" t="inlineStr">
        <is>
          <t>SUNDSVALL</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58486-2025</t>
        </is>
      </c>
      <c r="B6009" s="1" t="n">
        <v>45985.65660879629</v>
      </c>
      <c r="C6009" s="1" t="n">
        <v>46185</v>
      </c>
      <c r="D6009" t="inlineStr">
        <is>
          <t>VÄSTERNORRLANDS LÄN</t>
        </is>
      </c>
      <c r="E6009" t="inlineStr">
        <is>
          <t>ÅNGE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58265-2025</t>
        </is>
      </c>
      <c r="B6010" s="1" t="n">
        <v>45985.42018518518</v>
      </c>
      <c r="C6010" s="1" t="n">
        <v>46185</v>
      </c>
      <c r="D6010" t="inlineStr">
        <is>
          <t>VÄSTERNORRLANDS LÄN</t>
        </is>
      </c>
      <c r="E6010" t="inlineStr">
        <is>
          <t>TIMRÅ</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58715-2025</t>
        </is>
      </c>
      <c r="B6011" s="1" t="n">
        <v>45986.61331018519</v>
      </c>
      <c r="C6011" s="1" t="n">
        <v>46185</v>
      </c>
      <c r="D6011" t="inlineStr">
        <is>
          <t>VÄSTERNORRLANDS LÄN</t>
        </is>
      </c>
      <c r="E6011" t="inlineStr">
        <is>
          <t>ÖRNSKÖLDSVIK</t>
        </is>
      </c>
      <c r="G6011" t="n">
        <v>10.4</v>
      </c>
      <c r="H6011" t="n">
        <v>0</v>
      </c>
      <c r="I6011" t="n">
        <v>0</v>
      </c>
      <c r="J6011" t="n">
        <v>0</v>
      </c>
      <c r="K6011" t="n">
        <v>0</v>
      </c>
      <c r="L6011" t="n">
        <v>0</v>
      </c>
      <c r="M6011" t="n">
        <v>0</v>
      </c>
      <c r="N6011" t="n">
        <v>0</v>
      </c>
      <c r="O6011" t="n">
        <v>0</v>
      </c>
      <c r="P6011" t="n">
        <v>0</v>
      </c>
      <c r="Q6011" t="n">
        <v>0</v>
      </c>
      <c r="R6011" s="2" t="inlineStr"/>
    </row>
    <row r="6012" ht="15" customHeight="1">
      <c r="A6012" t="inlineStr">
        <is>
          <t>A 58283-2025</t>
        </is>
      </c>
      <c r="B6012" s="1" t="n">
        <v>45985.44314814815</v>
      </c>
      <c r="C6012" s="1" t="n">
        <v>46185</v>
      </c>
      <c r="D6012" t="inlineStr">
        <is>
          <t>VÄSTERNORRLANDS LÄN</t>
        </is>
      </c>
      <c r="E6012" t="inlineStr">
        <is>
          <t>TIMRÅ</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58467-2025</t>
        </is>
      </c>
      <c r="B6013" s="1" t="n">
        <v>45985.63694444444</v>
      </c>
      <c r="C6013" s="1" t="n">
        <v>46185</v>
      </c>
      <c r="D6013" t="inlineStr">
        <is>
          <t>VÄSTERNORRLANDS LÄN</t>
        </is>
      </c>
      <c r="E6013" t="inlineStr">
        <is>
          <t>HÄRNÖSAND</t>
        </is>
      </c>
      <c r="G6013" t="n">
        <v>12.3</v>
      </c>
      <c r="H6013" t="n">
        <v>0</v>
      </c>
      <c r="I6013" t="n">
        <v>0</v>
      </c>
      <c r="J6013" t="n">
        <v>0</v>
      </c>
      <c r="K6013" t="n">
        <v>0</v>
      </c>
      <c r="L6013" t="n">
        <v>0</v>
      </c>
      <c r="M6013" t="n">
        <v>0</v>
      </c>
      <c r="N6013" t="n">
        <v>0</v>
      </c>
      <c r="O6013" t="n">
        <v>0</v>
      </c>
      <c r="P6013" t="n">
        <v>0</v>
      </c>
      <c r="Q6013" t="n">
        <v>0</v>
      </c>
      <c r="R6013" s="2" t="inlineStr"/>
    </row>
    <row r="6014" ht="15" customHeight="1">
      <c r="A6014" t="inlineStr">
        <is>
          <t>A 58612-2025</t>
        </is>
      </c>
      <c r="B6014" s="1" t="n">
        <v>45986.45421296296</v>
      </c>
      <c r="C6014" s="1" t="n">
        <v>46185</v>
      </c>
      <c r="D6014" t="inlineStr">
        <is>
          <t>VÄSTERNORRLANDS LÄN</t>
        </is>
      </c>
      <c r="E6014" t="inlineStr">
        <is>
          <t>SUNDSVALL</t>
        </is>
      </c>
      <c r="G6014" t="n">
        <v>6.3</v>
      </c>
      <c r="H6014" t="n">
        <v>0</v>
      </c>
      <c r="I6014" t="n">
        <v>0</v>
      </c>
      <c r="J6014" t="n">
        <v>0</v>
      </c>
      <c r="K6014" t="n">
        <v>0</v>
      </c>
      <c r="L6014" t="n">
        <v>0</v>
      </c>
      <c r="M6014" t="n">
        <v>0</v>
      </c>
      <c r="N6014" t="n">
        <v>0</v>
      </c>
      <c r="O6014" t="n">
        <v>0</v>
      </c>
      <c r="P6014" t="n">
        <v>0</v>
      </c>
      <c r="Q6014" t="n">
        <v>0</v>
      </c>
      <c r="R6014" s="2" t="inlineStr"/>
    </row>
    <row r="6015" ht="15" customHeight="1">
      <c r="A6015" t="inlineStr">
        <is>
          <t>A 58384-2025</t>
        </is>
      </c>
      <c r="B6015" s="1" t="n">
        <v>45985.54319444444</v>
      </c>
      <c r="C6015" s="1" t="n">
        <v>46185</v>
      </c>
      <c r="D6015" t="inlineStr">
        <is>
          <t>VÄSTERNORRLANDS LÄN</t>
        </is>
      </c>
      <c r="E6015" t="inlineStr">
        <is>
          <t>SOLLEFTEÅ</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58386-2025</t>
        </is>
      </c>
      <c r="B6016" s="1" t="n">
        <v>45985.54576388889</v>
      </c>
      <c r="C6016" s="1" t="n">
        <v>46185</v>
      </c>
      <c r="D6016" t="inlineStr">
        <is>
          <t>VÄSTERNORRLANDS LÄN</t>
        </is>
      </c>
      <c r="E6016" t="inlineStr">
        <is>
          <t>SOLLEFTEÅ</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19166-2025</t>
        </is>
      </c>
      <c r="B6017" s="1" t="n">
        <v>45769.38575231482</v>
      </c>
      <c r="C6017" s="1" t="n">
        <v>46185</v>
      </c>
      <c r="D6017" t="inlineStr">
        <is>
          <t>VÄSTERNORRLANDS LÄN</t>
        </is>
      </c>
      <c r="E6017" t="inlineStr">
        <is>
          <t>HÄRNÖSAND</t>
        </is>
      </c>
      <c r="F6017" t="inlineStr">
        <is>
          <t>SCA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19203-2025</t>
        </is>
      </c>
      <c r="B6018" s="1" t="n">
        <v>45769.42833333334</v>
      </c>
      <c r="C6018" s="1" t="n">
        <v>46185</v>
      </c>
      <c r="D6018" t="inlineStr">
        <is>
          <t>VÄSTERNORRLANDS LÄN</t>
        </is>
      </c>
      <c r="E6018" t="inlineStr">
        <is>
          <t>HÄRNÖSAND</t>
        </is>
      </c>
      <c r="F6018" t="inlineStr">
        <is>
          <t>SCA</t>
        </is>
      </c>
      <c r="G6018" t="n">
        <v>27.2</v>
      </c>
      <c r="H6018" t="n">
        <v>0</v>
      </c>
      <c r="I6018" t="n">
        <v>0</v>
      </c>
      <c r="J6018" t="n">
        <v>0</v>
      </c>
      <c r="K6018" t="n">
        <v>0</v>
      </c>
      <c r="L6018" t="n">
        <v>0</v>
      </c>
      <c r="M6018" t="n">
        <v>0</v>
      </c>
      <c r="N6018" t="n">
        <v>0</v>
      </c>
      <c r="O6018" t="n">
        <v>0</v>
      </c>
      <c r="P6018" t="n">
        <v>0</v>
      </c>
      <c r="Q6018" t="n">
        <v>0</v>
      </c>
      <c r="R6018" s="2" t="inlineStr"/>
    </row>
    <row r="6019" ht="15" customHeight="1">
      <c r="A6019" t="inlineStr">
        <is>
          <t>A 58242-2025</t>
        </is>
      </c>
      <c r="B6019" s="1" t="n">
        <v>45985.38802083334</v>
      </c>
      <c r="C6019" s="1" t="n">
        <v>46185</v>
      </c>
      <c r="D6019" t="inlineStr">
        <is>
          <t>VÄSTERNORRLANDS LÄN</t>
        </is>
      </c>
      <c r="E6019" t="inlineStr">
        <is>
          <t>ÅNGE</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58445-2025</t>
        </is>
      </c>
      <c r="B6020" s="1" t="n">
        <v>45985.62047453703</v>
      </c>
      <c r="C6020" s="1" t="n">
        <v>46185</v>
      </c>
      <c r="D6020" t="inlineStr">
        <is>
          <t>VÄSTERNORRLANDS LÄN</t>
        </is>
      </c>
      <c r="E6020" t="inlineStr">
        <is>
          <t>SOLLEFTEÅ</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32488-2024</t>
        </is>
      </c>
      <c r="B6021" s="1" t="n">
        <v>45513</v>
      </c>
      <c r="C6021" s="1" t="n">
        <v>46185</v>
      </c>
      <c r="D6021" t="inlineStr">
        <is>
          <t>VÄSTERNORRLANDS LÄN</t>
        </is>
      </c>
      <c r="E6021" t="inlineStr">
        <is>
          <t>ÖRNSKÖLDSVIK</t>
        </is>
      </c>
      <c r="F6021" t="inlineStr">
        <is>
          <t>Holmen skog AB</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10089-2026</t>
        </is>
      </c>
      <c r="B6022" s="1" t="n">
        <v>46073.69857638889</v>
      </c>
      <c r="C6022" s="1" t="n">
        <v>46185</v>
      </c>
      <c r="D6022" t="inlineStr">
        <is>
          <t>VÄSTERNORRLANDS LÄN</t>
        </is>
      </c>
      <c r="E6022" t="inlineStr">
        <is>
          <t>SOLLEFTEÅ</t>
        </is>
      </c>
      <c r="F6022" t="inlineStr">
        <is>
          <t>SCA</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34783-2021</t>
        </is>
      </c>
      <c r="B6023" s="1" t="n">
        <v>44382</v>
      </c>
      <c r="C6023" s="1" t="n">
        <v>46185</v>
      </c>
      <c r="D6023" t="inlineStr">
        <is>
          <t>VÄSTERNORRLANDS LÄN</t>
        </is>
      </c>
      <c r="E6023" t="inlineStr">
        <is>
          <t>ÅNGE</t>
        </is>
      </c>
      <c r="F6023" t="inlineStr">
        <is>
          <t>SCA</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58758-2025</t>
        </is>
      </c>
      <c r="B6024" s="1" t="n">
        <v>45986.6512962963</v>
      </c>
      <c r="C6024" s="1" t="n">
        <v>46185</v>
      </c>
      <c r="D6024" t="inlineStr">
        <is>
          <t>VÄSTERNORRLANDS LÄN</t>
        </is>
      </c>
      <c r="E6024" t="inlineStr">
        <is>
          <t>ÖRNSKÖLDSVIK</t>
        </is>
      </c>
      <c r="F6024" t="inlineStr">
        <is>
          <t>Holmen skog AB</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58524-2025</t>
        </is>
      </c>
      <c r="B6025" s="1" t="n">
        <v>45985.7190162037</v>
      </c>
      <c r="C6025" s="1" t="n">
        <v>46185</v>
      </c>
      <c r="D6025" t="inlineStr">
        <is>
          <t>VÄSTERNORRLANDS LÄN</t>
        </is>
      </c>
      <c r="E6025" t="inlineStr">
        <is>
          <t>ÅNGE</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58525-2025</t>
        </is>
      </c>
      <c r="B6026" s="1" t="n">
        <v>45985.71924768519</v>
      </c>
      <c r="C6026" s="1" t="n">
        <v>46185</v>
      </c>
      <c r="D6026" t="inlineStr">
        <is>
          <t>VÄSTERNORRLANDS LÄN</t>
        </is>
      </c>
      <c r="E6026" t="inlineStr">
        <is>
          <t>SUNDSVALL</t>
        </is>
      </c>
      <c r="F6026" t="inlineStr">
        <is>
          <t>SCA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31477-2024</t>
        </is>
      </c>
      <c r="B6027" s="1" t="n">
        <v>45505</v>
      </c>
      <c r="C6027" s="1" t="n">
        <v>46185</v>
      </c>
      <c r="D6027" t="inlineStr">
        <is>
          <t>VÄSTERNORRLANDS LÄN</t>
        </is>
      </c>
      <c r="E6027" t="inlineStr">
        <is>
          <t>SOLLEFTEÅ</t>
        </is>
      </c>
      <c r="F6027" t="inlineStr">
        <is>
          <t>SCA</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58639-2025</t>
        </is>
      </c>
      <c r="B6028" s="1" t="n">
        <v>45986.49042824074</v>
      </c>
      <c r="C6028" s="1" t="n">
        <v>46185</v>
      </c>
      <c r="D6028" t="inlineStr">
        <is>
          <t>VÄSTERNORRLANDS LÄN</t>
        </is>
      </c>
      <c r="E6028" t="inlineStr">
        <is>
          <t>ÅNGE</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18761-2023</t>
        </is>
      </c>
      <c r="B6029" s="1" t="n">
        <v>45043</v>
      </c>
      <c r="C6029" s="1" t="n">
        <v>46185</v>
      </c>
      <c r="D6029" t="inlineStr">
        <is>
          <t>VÄSTERNORRLANDS LÄN</t>
        </is>
      </c>
      <c r="E6029" t="inlineStr">
        <is>
          <t>SOLLEFTEÅ</t>
        </is>
      </c>
      <c r="F6029" t="inlineStr">
        <is>
          <t>SCA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18762-2023</t>
        </is>
      </c>
      <c r="B6030" s="1" t="n">
        <v>45043</v>
      </c>
      <c r="C6030" s="1" t="n">
        <v>46185</v>
      </c>
      <c r="D6030" t="inlineStr">
        <is>
          <t>VÄSTERNORRLANDS LÄN</t>
        </is>
      </c>
      <c r="E6030" t="inlineStr">
        <is>
          <t>SOLLEFTEÅ</t>
        </is>
      </c>
      <c r="F6030" t="inlineStr">
        <is>
          <t>SCA</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40946-2022</t>
        </is>
      </c>
      <c r="B6031" s="1" t="n">
        <v>44823</v>
      </c>
      <c r="C6031" s="1" t="n">
        <v>46185</v>
      </c>
      <c r="D6031" t="inlineStr">
        <is>
          <t>VÄSTERNORRLANDS LÄN</t>
        </is>
      </c>
      <c r="E6031" t="inlineStr">
        <is>
          <t>SUNDSVALL</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19137-2023</t>
        </is>
      </c>
      <c r="B6032" s="1" t="n">
        <v>45044</v>
      </c>
      <c r="C6032" s="1" t="n">
        <v>46185</v>
      </c>
      <c r="D6032" t="inlineStr">
        <is>
          <t>VÄSTERNORRLANDS LÄN</t>
        </is>
      </c>
      <c r="E6032" t="inlineStr">
        <is>
          <t>ÖRNSKÖLDSVIK</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58737-2025</t>
        </is>
      </c>
      <c r="B6033" s="1" t="n">
        <v>45986.6312962963</v>
      </c>
      <c r="C6033" s="1" t="n">
        <v>46185</v>
      </c>
      <c r="D6033" t="inlineStr">
        <is>
          <t>VÄSTERNORRLANDS LÄN</t>
        </is>
      </c>
      <c r="E6033" t="inlineStr">
        <is>
          <t>ÖRNSKÖLDSVIK</t>
        </is>
      </c>
      <c r="G6033" t="n">
        <v>10.4</v>
      </c>
      <c r="H6033" t="n">
        <v>0</v>
      </c>
      <c r="I6033" t="n">
        <v>0</v>
      </c>
      <c r="J6033" t="n">
        <v>0</v>
      </c>
      <c r="K6033" t="n">
        <v>0</v>
      </c>
      <c r="L6033" t="n">
        <v>0</v>
      </c>
      <c r="M6033" t="n">
        <v>0</v>
      </c>
      <c r="N6033" t="n">
        <v>0</v>
      </c>
      <c r="O6033" t="n">
        <v>0</v>
      </c>
      <c r="P6033" t="n">
        <v>0</v>
      </c>
      <c r="Q6033" t="n">
        <v>0</v>
      </c>
      <c r="R6033" s="2" t="inlineStr"/>
    </row>
    <row r="6034" ht="15" customHeight="1">
      <c r="A6034" t="inlineStr">
        <is>
          <t>A 19654-2023</t>
        </is>
      </c>
      <c r="B6034" s="1" t="n">
        <v>45050</v>
      </c>
      <c r="C6034" s="1" t="n">
        <v>46185</v>
      </c>
      <c r="D6034" t="inlineStr">
        <is>
          <t>VÄSTERNORRLANDS LÄN</t>
        </is>
      </c>
      <c r="E6034" t="inlineStr">
        <is>
          <t>SUNDSVALL</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58599-2025</t>
        </is>
      </c>
      <c r="B6035" s="1" t="n">
        <v>45986.42644675926</v>
      </c>
      <c r="C6035" s="1" t="n">
        <v>46185</v>
      </c>
      <c r="D6035" t="inlineStr">
        <is>
          <t>VÄSTERNORRLANDS LÄN</t>
        </is>
      </c>
      <c r="E6035" t="inlineStr">
        <is>
          <t>ÅNGE</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10407-2026</t>
        </is>
      </c>
      <c r="B6036" s="1" t="n">
        <v>46077.34465277778</v>
      </c>
      <c r="C6036" s="1" t="n">
        <v>46185</v>
      </c>
      <c r="D6036" t="inlineStr">
        <is>
          <t>VÄSTERNORRLANDS LÄN</t>
        </is>
      </c>
      <c r="E6036" t="inlineStr">
        <is>
          <t>ÅNGE</t>
        </is>
      </c>
      <c r="F6036" t="inlineStr">
        <is>
          <t>SCA</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58772-2025</t>
        </is>
      </c>
      <c r="B6037" s="1" t="n">
        <v>45986</v>
      </c>
      <c r="C6037" s="1" t="n">
        <v>46185</v>
      </c>
      <c r="D6037" t="inlineStr">
        <is>
          <t>VÄSTERNORRLANDS LÄN</t>
        </is>
      </c>
      <c r="E6037" t="inlineStr">
        <is>
          <t>SOLLEFTEÅ</t>
        </is>
      </c>
      <c r="G6037" t="n">
        <v>8.699999999999999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63039-2021</t>
        </is>
      </c>
      <c r="B6038" s="1" t="n">
        <v>44505</v>
      </c>
      <c r="C6038" s="1" t="n">
        <v>46185</v>
      </c>
      <c r="D6038" t="inlineStr">
        <is>
          <t>VÄSTERNORRLANDS LÄN</t>
        </is>
      </c>
      <c r="E6038" t="inlineStr">
        <is>
          <t>ÖRNSKÖLDSVIK</t>
        </is>
      </c>
      <c r="F6038" t="inlineStr">
        <is>
          <t>Holmen skog AB</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10408-2026</t>
        </is>
      </c>
      <c r="B6039" s="1" t="n">
        <v>46077.34487268519</v>
      </c>
      <c r="C6039" s="1" t="n">
        <v>46185</v>
      </c>
      <c r="D6039" t="inlineStr">
        <is>
          <t>VÄSTERNORRLANDS LÄN</t>
        </is>
      </c>
      <c r="E6039" t="inlineStr">
        <is>
          <t>SOLLEFTEÅ</t>
        </is>
      </c>
      <c r="F6039" t="inlineStr">
        <is>
          <t>SCA</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10422-2026</t>
        </is>
      </c>
      <c r="B6040" s="1" t="n">
        <v>46077.36511574074</v>
      </c>
      <c r="C6040" s="1" t="n">
        <v>46185</v>
      </c>
      <c r="D6040" t="inlineStr">
        <is>
          <t>VÄSTERNORRLANDS LÄN</t>
        </is>
      </c>
      <c r="E6040" t="inlineStr">
        <is>
          <t>SOLLEFTEÅ</t>
        </is>
      </c>
      <c r="F6040" t="inlineStr">
        <is>
          <t>SCA</t>
        </is>
      </c>
      <c r="G6040" t="n">
        <v>37.6</v>
      </c>
      <c r="H6040" t="n">
        <v>0</v>
      </c>
      <c r="I6040" t="n">
        <v>0</v>
      </c>
      <c r="J6040" t="n">
        <v>0</v>
      </c>
      <c r="K6040" t="n">
        <v>0</v>
      </c>
      <c r="L6040" t="n">
        <v>0</v>
      </c>
      <c r="M6040" t="n">
        <v>0</v>
      </c>
      <c r="N6040" t="n">
        <v>0</v>
      </c>
      <c r="O6040" t="n">
        <v>0</v>
      </c>
      <c r="P6040" t="n">
        <v>0</v>
      </c>
      <c r="Q6040" t="n">
        <v>0</v>
      </c>
      <c r="R6040" s="2" t="inlineStr"/>
    </row>
    <row r="6041" ht="15" customHeight="1">
      <c r="A6041" t="inlineStr">
        <is>
          <t>A 10423-2026</t>
        </is>
      </c>
      <c r="B6041" s="1" t="n">
        <v>46077.36527777778</v>
      </c>
      <c r="C6041" s="1" t="n">
        <v>46185</v>
      </c>
      <c r="D6041" t="inlineStr">
        <is>
          <t>VÄSTERNORRLANDS LÄN</t>
        </is>
      </c>
      <c r="E6041" t="inlineStr">
        <is>
          <t>ÖRNSKÖLDSVIK</t>
        </is>
      </c>
      <c r="F6041" t="inlineStr">
        <is>
          <t>SCA</t>
        </is>
      </c>
      <c r="G6041" t="n">
        <v>25.4</v>
      </c>
      <c r="H6041" t="n">
        <v>0</v>
      </c>
      <c r="I6041" t="n">
        <v>0</v>
      </c>
      <c r="J6041" t="n">
        <v>0</v>
      </c>
      <c r="K6041" t="n">
        <v>0</v>
      </c>
      <c r="L6041" t="n">
        <v>0</v>
      </c>
      <c r="M6041" t="n">
        <v>0</v>
      </c>
      <c r="N6041" t="n">
        <v>0</v>
      </c>
      <c r="O6041" t="n">
        <v>0</v>
      </c>
      <c r="P6041" t="n">
        <v>0</v>
      </c>
      <c r="Q6041" t="n">
        <v>0</v>
      </c>
      <c r="R6041" s="2" t="inlineStr"/>
    </row>
    <row r="6042" ht="15" customHeight="1">
      <c r="A6042" t="inlineStr">
        <is>
          <t>A 40763-2023</t>
        </is>
      </c>
      <c r="B6042" s="1" t="n">
        <v>45170</v>
      </c>
      <c r="C6042" s="1" t="n">
        <v>46185</v>
      </c>
      <c r="D6042" t="inlineStr">
        <is>
          <t>VÄSTERNORRLANDS LÄN</t>
        </is>
      </c>
      <c r="E6042" t="inlineStr">
        <is>
          <t>SUNDSVALL</t>
        </is>
      </c>
      <c r="F6042" t="inlineStr">
        <is>
          <t>SCA</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4206-2025</t>
        </is>
      </c>
      <c r="B6043" s="1" t="n">
        <v>45685.46976851852</v>
      </c>
      <c r="C6043" s="1" t="n">
        <v>46185</v>
      </c>
      <c r="D6043" t="inlineStr">
        <is>
          <t>VÄSTERNORRLANDS LÄN</t>
        </is>
      </c>
      <c r="E6043" t="inlineStr">
        <is>
          <t>HÄRNÖSAND</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58292-2025</t>
        </is>
      </c>
      <c r="B6044" s="1" t="n">
        <v>45985.44856481482</v>
      </c>
      <c r="C6044" s="1" t="n">
        <v>46185</v>
      </c>
      <c r="D6044" t="inlineStr">
        <is>
          <t>VÄSTERNORRLANDS LÄN</t>
        </is>
      </c>
      <c r="E6044" t="inlineStr">
        <is>
          <t>KRAMFORS</t>
        </is>
      </c>
      <c r="G6044" t="n">
        <v>5.9</v>
      </c>
      <c r="H6044" t="n">
        <v>0</v>
      </c>
      <c r="I6044" t="n">
        <v>0</v>
      </c>
      <c r="J6044" t="n">
        <v>0</v>
      </c>
      <c r="K6044" t="n">
        <v>0</v>
      </c>
      <c r="L6044" t="n">
        <v>0</v>
      </c>
      <c r="M6044" t="n">
        <v>0</v>
      </c>
      <c r="N6044" t="n">
        <v>0</v>
      </c>
      <c r="O6044" t="n">
        <v>0</v>
      </c>
      <c r="P6044" t="n">
        <v>0</v>
      </c>
      <c r="Q6044" t="n">
        <v>0</v>
      </c>
      <c r="R6044" s="2" t="inlineStr"/>
    </row>
    <row r="6045" ht="15" customHeight="1">
      <c r="A6045" t="inlineStr">
        <is>
          <t>A 10433-2026</t>
        </is>
      </c>
      <c r="B6045" s="1" t="n">
        <v>46077.38600694444</v>
      </c>
      <c r="C6045" s="1" t="n">
        <v>46185</v>
      </c>
      <c r="D6045" t="inlineStr">
        <is>
          <t>VÄSTERNORRLANDS LÄN</t>
        </is>
      </c>
      <c r="E6045" t="inlineStr">
        <is>
          <t>SOLLEFTEÅ</t>
        </is>
      </c>
      <c r="F6045" t="inlineStr">
        <is>
          <t>SCA</t>
        </is>
      </c>
      <c r="G6045" t="n">
        <v>6.9</v>
      </c>
      <c r="H6045" t="n">
        <v>0</v>
      </c>
      <c r="I6045" t="n">
        <v>0</v>
      </c>
      <c r="J6045" t="n">
        <v>0</v>
      </c>
      <c r="K6045" t="n">
        <v>0</v>
      </c>
      <c r="L6045" t="n">
        <v>0</v>
      </c>
      <c r="M6045" t="n">
        <v>0</v>
      </c>
      <c r="N6045" t="n">
        <v>0</v>
      </c>
      <c r="O6045" t="n">
        <v>0</v>
      </c>
      <c r="P6045" t="n">
        <v>0</v>
      </c>
      <c r="Q6045" t="n">
        <v>0</v>
      </c>
      <c r="R6045" s="2" t="inlineStr"/>
    </row>
    <row r="6046" ht="15" customHeight="1">
      <c r="A6046" t="inlineStr">
        <is>
          <t>A 10449-2026</t>
        </is>
      </c>
      <c r="B6046" s="1" t="n">
        <v>46077.43607638889</v>
      </c>
      <c r="C6046" s="1" t="n">
        <v>46185</v>
      </c>
      <c r="D6046" t="inlineStr">
        <is>
          <t>VÄSTERNORRLANDS LÄN</t>
        </is>
      </c>
      <c r="E6046" t="inlineStr">
        <is>
          <t>KRAMFORS</t>
        </is>
      </c>
      <c r="G6046" t="n">
        <v>16.7</v>
      </c>
      <c r="H6046" t="n">
        <v>0</v>
      </c>
      <c r="I6046" t="n">
        <v>0</v>
      </c>
      <c r="J6046" t="n">
        <v>0</v>
      </c>
      <c r="K6046" t="n">
        <v>0</v>
      </c>
      <c r="L6046" t="n">
        <v>0</v>
      </c>
      <c r="M6046" t="n">
        <v>0</v>
      </c>
      <c r="N6046" t="n">
        <v>0</v>
      </c>
      <c r="O6046" t="n">
        <v>0</v>
      </c>
      <c r="P6046" t="n">
        <v>0</v>
      </c>
      <c r="Q6046" t="n">
        <v>0</v>
      </c>
      <c r="R6046" s="2" t="inlineStr"/>
    </row>
    <row r="6047" ht="15" customHeight="1">
      <c r="A6047" t="inlineStr">
        <is>
          <t>A 58558-2025</t>
        </is>
      </c>
      <c r="B6047" s="1" t="n">
        <v>45986.34451388889</v>
      </c>
      <c r="C6047" s="1" t="n">
        <v>46185</v>
      </c>
      <c r="D6047" t="inlineStr">
        <is>
          <t>VÄSTERNORRLANDS LÄN</t>
        </is>
      </c>
      <c r="E6047" t="inlineStr">
        <is>
          <t>SOLLEFTEÅ</t>
        </is>
      </c>
      <c r="F6047" t="inlineStr">
        <is>
          <t>SCA</t>
        </is>
      </c>
      <c r="G6047" t="n">
        <v>6.8</v>
      </c>
      <c r="H6047" t="n">
        <v>0</v>
      </c>
      <c r="I6047" t="n">
        <v>0</v>
      </c>
      <c r="J6047" t="n">
        <v>0</v>
      </c>
      <c r="K6047" t="n">
        <v>0</v>
      </c>
      <c r="L6047" t="n">
        <v>0</v>
      </c>
      <c r="M6047" t="n">
        <v>0</v>
      </c>
      <c r="N6047" t="n">
        <v>0</v>
      </c>
      <c r="O6047" t="n">
        <v>0</v>
      </c>
      <c r="P6047" t="n">
        <v>0</v>
      </c>
      <c r="Q6047" t="n">
        <v>0</v>
      </c>
      <c r="R6047" s="2" t="inlineStr"/>
    </row>
    <row r="6048" ht="15" customHeight="1">
      <c r="A6048" t="inlineStr">
        <is>
          <t>A 20530-2025</t>
        </is>
      </c>
      <c r="B6048" s="1" t="n">
        <v>45775.61104166666</v>
      </c>
      <c r="C6048" s="1" t="n">
        <v>46185</v>
      </c>
      <c r="D6048" t="inlineStr">
        <is>
          <t>VÄSTERNORRLANDS LÄN</t>
        </is>
      </c>
      <c r="E6048" t="inlineStr">
        <is>
          <t>ÖRNSKÖLDSVIK</t>
        </is>
      </c>
      <c r="F6048" t="inlineStr">
        <is>
          <t>Holmen skog AB</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20557-2025</t>
        </is>
      </c>
      <c r="B6049" s="1" t="n">
        <v>45775.64427083333</v>
      </c>
      <c r="C6049" s="1" t="n">
        <v>46185</v>
      </c>
      <c r="D6049" t="inlineStr">
        <is>
          <t>VÄSTERNORRLANDS LÄN</t>
        </is>
      </c>
      <c r="E6049" t="inlineStr">
        <is>
          <t>SUNDSVALL</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58383-2025</t>
        </is>
      </c>
      <c r="B6050" s="1" t="n">
        <v>45985.54152777778</v>
      </c>
      <c r="C6050" s="1" t="n">
        <v>46185</v>
      </c>
      <c r="D6050" t="inlineStr">
        <is>
          <t>VÄSTERNORRLANDS LÄN</t>
        </is>
      </c>
      <c r="E6050" t="inlineStr">
        <is>
          <t>SOLLEFTEÅ</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10460-2026</t>
        </is>
      </c>
      <c r="B6051" s="1" t="n">
        <v>46077.45758101852</v>
      </c>
      <c r="C6051" s="1" t="n">
        <v>46185</v>
      </c>
      <c r="D6051" t="inlineStr">
        <is>
          <t>VÄSTERNORRLANDS LÄN</t>
        </is>
      </c>
      <c r="E6051" t="inlineStr">
        <is>
          <t>ÖRNSKÖLDSVIK</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58406-2025</t>
        </is>
      </c>
      <c r="B6052" s="1" t="n">
        <v>45985.56913194444</v>
      </c>
      <c r="C6052" s="1" t="n">
        <v>46185</v>
      </c>
      <c r="D6052" t="inlineStr">
        <is>
          <t>VÄSTERNORRLANDS LÄN</t>
        </is>
      </c>
      <c r="E6052" t="inlineStr">
        <is>
          <t>ÅNGE</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10088-2026</t>
        </is>
      </c>
      <c r="B6053" s="1" t="n">
        <v>46073.69837962963</v>
      </c>
      <c r="C6053" s="1" t="n">
        <v>46185</v>
      </c>
      <c r="D6053" t="inlineStr">
        <is>
          <t>VÄSTERNORRLANDS LÄN</t>
        </is>
      </c>
      <c r="E6053" t="inlineStr">
        <is>
          <t>SUNDSVALL</t>
        </is>
      </c>
      <c r="F6053" t="inlineStr">
        <is>
          <t>SCA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40871-2023</t>
        </is>
      </c>
      <c r="B6054" s="1" t="n">
        <v>45173.35846064815</v>
      </c>
      <c r="C6054" s="1" t="n">
        <v>46185</v>
      </c>
      <c r="D6054" t="inlineStr">
        <is>
          <t>VÄSTERNORRLANDS LÄN</t>
        </is>
      </c>
      <c r="E6054" t="inlineStr">
        <is>
          <t>KRAMFORS</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58234-2025</t>
        </is>
      </c>
      <c r="B6055" s="1" t="n">
        <v>45985.38688657407</v>
      </c>
      <c r="C6055" s="1" t="n">
        <v>46185</v>
      </c>
      <c r="D6055" t="inlineStr">
        <is>
          <t>VÄSTERNORRLANDS LÄN</t>
        </is>
      </c>
      <c r="E6055" t="inlineStr">
        <is>
          <t>SOLLEFTEÅ</t>
        </is>
      </c>
      <c r="F6055" t="inlineStr">
        <is>
          <t>SCA</t>
        </is>
      </c>
      <c r="G6055" t="n">
        <v>4.8</v>
      </c>
      <c r="H6055" t="n">
        <v>0</v>
      </c>
      <c r="I6055" t="n">
        <v>0</v>
      </c>
      <c r="J6055" t="n">
        <v>0</v>
      </c>
      <c r="K6055" t="n">
        <v>0</v>
      </c>
      <c r="L6055" t="n">
        <v>0</v>
      </c>
      <c r="M6055" t="n">
        <v>0</v>
      </c>
      <c r="N6055" t="n">
        <v>0</v>
      </c>
      <c r="O6055" t="n">
        <v>0</v>
      </c>
      <c r="P6055" t="n">
        <v>0</v>
      </c>
      <c r="Q6055" t="n">
        <v>0</v>
      </c>
      <c r="R6055" s="2" t="inlineStr"/>
    </row>
    <row r="6056" ht="15" customHeight="1">
      <c r="A6056" t="inlineStr">
        <is>
          <t>A 58240-2025</t>
        </is>
      </c>
      <c r="B6056" s="1" t="n">
        <v>45985.38796296297</v>
      </c>
      <c r="C6056" s="1" t="n">
        <v>46185</v>
      </c>
      <c r="D6056" t="inlineStr">
        <is>
          <t>VÄSTERNORRLANDS LÄN</t>
        </is>
      </c>
      <c r="E6056" t="inlineStr">
        <is>
          <t>ÅNGE</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54252-2021</t>
        </is>
      </c>
      <c r="B6057" s="1" t="n">
        <v>44470.65844907407</v>
      </c>
      <c r="C6057" s="1" t="n">
        <v>46185</v>
      </c>
      <c r="D6057" t="inlineStr">
        <is>
          <t>VÄSTERNORRLANDS LÄN</t>
        </is>
      </c>
      <c r="E6057" t="inlineStr">
        <is>
          <t>ÖRNSKÖLDSVIK</t>
        </is>
      </c>
      <c r="F6057" t="inlineStr">
        <is>
          <t>Holmen skog AB</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21479-2023</t>
        </is>
      </c>
      <c r="B6058" s="1" t="n">
        <v>45063</v>
      </c>
      <c r="C6058" s="1" t="n">
        <v>46185</v>
      </c>
      <c r="D6058" t="inlineStr">
        <is>
          <t>VÄSTERNORRLANDS LÄN</t>
        </is>
      </c>
      <c r="E6058" t="inlineStr">
        <is>
          <t>ÖRNSKÖLDSVIK</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58327-2025</t>
        </is>
      </c>
      <c r="B6059" s="1" t="n">
        <v>45985.47813657407</v>
      </c>
      <c r="C6059" s="1" t="n">
        <v>46185</v>
      </c>
      <c r="D6059" t="inlineStr">
        <is>
          <t>VÄSTERNORRLANDS LÄN</t>
        </is>
      </c>
      <c r="E6059" t="inlineStr">
        <is>
          <t>TIMRÅ</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10411-2026</t>
        </is>
      </c>
      <c r="B6060" s="1" t="n">
        <v>46077.34547453704</v>
      </c>
      <c r="C6060" s="1" t="n">
        <v>46185</v>
      </c>
      <c r="D6060" t="inlineStr">
        <is>
          <t>VÄSTERNORRLANDS LÄN</t>
        </is>
      </c>
      <c r="E6060" t="inlineStr">
        <is>
          <t>ÅNGE</t>
        </is>
      </c>
      <c r="F6060" t="inlineStr">
        <is>
          <t>SCA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10412-2026</t>
        </is>
      </c>
      <c r="B6061" s="1" t="n">
        <v>46077.34564814815</v>
      </c>
      <c r="C6061" s="1" t="n">
        <v>46185</v>
      </c>
      <c r="D6061" t="inlineStr">
        <is>
          <t>VÄSTERNORRLANDS LÄN</t>
        </is>
      </c>
      <c r="E6061" t="inlineStr">
        <is>
          <t>ÅNGE</t>
        </is>
      </c>
      <c r="F6061" t="inlineStr">
        <is>
          <t>SCA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59024-2025</t>
        </is>
      </c>
      <c r="B6062" s="1" t="n">
        <v>45988</v>
      </c>
      <c r="C6062" s="1" t="n">
        <v>46185</v>
      </c>
      <c r="D6062" t="inlineStr">
        <is>
          <t>VÄSTERNORRLANDS LÄN</t>
        </is>
      </c>
      <c r="E6062" t="inlineStr">
        <is>
          <t>SOLLEFTEÅ</t>
        </is>
      </c>
      <c r="F6062" t="inlineStr">
        <is>
          <t>SCA</t>
        </is>
      </c>
      <c r="G6062" t="n">
        <v>7.5</v>
      </c>
      <c r="H6062" t="n">
        <v>0</v>
      </c>
      <c r="I6062" t="n">
        <v>0</v>
      </c>
      <c r="J6062" t="n">
        <v>0</v>
      </c>
      <c r="K6062" t="n">
        <v>0</v>
      </c>
      <c r="L6062" t="n">
        <v>0</v>
      </c>
      <c r="M6062" t="n">
        <v>0</v>
      </c>
      <c r="N6062" t="n">
        <v>0</v>
      </c>
      <c r="O6062" t="n">
        <v>0</v>
      </c>
      <c r="P6062" t="n">
        <v>0</v>
      </c>
      <c r="Q6062" t="n">
        <v>0</v>
      </c>
      <c r="R6062" s="2" t="inlineStr"/>
    </row>
    <row r="6063" ht="15" customHeight="1">
      <c r="A6063" t="inlineStr">
        <is>
          <t>A 58890-2025</t>
        </is>
      </c>
      <c r="B6063" s="1" t="n">
        <v>45987.49006944444</v>
      </c>
      <c r="C6063" s="1" t="n">
        <v>46185</v>
      </c>
      <c r="D6063" t="inlineStr">
        <is>
          <t>VÄSTERNORRLANDS LÄN</t>
        </is>
      </c>
      <c r="E6063" t="inlineStr">
        <is>
          <t>ÅNGE</t>
        </is>
      </c>
      <c r="F6063" t="inlineStr">
        <is>
          <t>SCA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59164-2025</t>
        </is>
      </c>
      <c r="B6064" s="1" t="n">
        <v>45988.55570601852</v>
      </c>
      <c r="C6064" s="1" t="n">
        <v>46185</v>
      </c>
      <c r="D6064" t="inlineStr">
        <is>
          <t>VÄSTERNORRLANDS LÄN</t>
        </is>
      </c>
      <c r="E6064" t="inlineStr">
        <is>
          <t>SUNDSVALL</t>
        </is>
      </c>
      <c r="G6064" t="n">
        <v>7.3</v>
      </c>
      <c r="H6064" t="n">
        <v>0</v>
      </c>
      <c r="I6064" t="n">
        <v>0</v>
      </c>
      <c r="J6064" t="n">
        <v>0</v>
      </c>
      <c r="K6064" t="n">
        <v>0</v>
      </c>
      <c r="L6064" t="n">
        <v>0</v>
      </c>
      <c r="M6064" t="n">
        <v>0</v>
      </c>
      <c r="N6064" t="n">
        <v>0</v>
      </c>
      <c r="O6064" t="n">
        <v>0</v>
      </c>
      <c r="P6064" t="n">
        <v>0</v>
      </c>
      <c r="Q6064" t="n">
        <v>0</v>
      </c>
      <c r="R6064" s="2" t="inlineStr"/>
    </row>
    <row r="6065" ht="15" customHeight="1">
      <c r="A6065" t="inlineStr">
        <is>
          <t>A 59265-2025</t>
        </is>
      </c>
      <c r="B6065" s="1" t="n">
        <v>45988.66099537037</v>
      </c>
      <c r="C6065" s="1" t="n">
        <v>46185</v>
      </c>
      <c r="D6065" t="inlineStr">
        <is>
          <t>VÄSTERNORRLANDS LÄN</t>
        </is>
      </c>
      <c r="E6065" t="inlineStr">
        <is>
          <t>ÖRNSKÖLDSVIK</t>
        </is>
      </c>
      <c r="F6065" t="inlineStr">
        <is>
          <t>Holmen skog AB</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59062-2025</t>
        </is>
      </c>
      <c r="B6066" s="1" t="n">
        <v>45988.40723379629</v>
      </c>
      <c r="C6066" s="1" t="n">
        <v>46185</v>
      </c>
      <c r="D6066" t="inlineStr">
        <is>
          <t>VÄSTERNORRLANDS LÄN</t>
        </is>
      </c>
      <c r="E6066" t="inlineStr">
        <is>
          <t>ÅNGE</t>
        </is>
      </c>
      <c r="F6066" t="inlineStr">
        <is>
          <t>SCA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59064-2025</t>
        </is>
      </c>
      <c r="B6067" s="1" t="n">
        <v>45988.40768518519</v>
      </c>
      <c r="C6067" s="1" t="n">
        <v>46185</v>
      </c>
      <c r="D6067" t="inlineStr">
        <is>
          <t>VÄSTERNORRLANDS LÄN</t>
        </is>
      </c>
      <c r="E6067" t="inlineStr">
        <is>
          <t>ÅNGE</t>
        </is>
      </c>
      <c r="F6067" t="inlineStr">
        <is>
          <t>SCA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58820-2025</t>
        </is>
      </c>
      <c r="B6068" s="1" t="n">
        <v>45987.34405092592</v>
      </c>
      <c r="C6068" s="1" t="n">
        <v>46185</v>
      </c>
      <c r="D6068" t="inlineStr">
        <is>
          <t>VÄSTERNORRLANDS LÄN</t>
        </is>
      </c>
      <c r="E6068" t="inlineStr">
        <is>
          <t>ÖRNSKÖLDSVIK</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58998-2025</t>
        </is>
      </c>
      <c r="B6069" s="1" t="n">
        <v>45987</v>
      </c>
      <c r="C6069" s="1" t="n">
        <v>46185</v>
      </c>
      <c r="D6069" t="inlineStr">
        <is>
          <t>VÄSTERNORRLANDS LÄN</t>
        </is>
      </c>
      <c r="E6069" t="inlineStr">
        <is>
          <t>SOLLEFTEÅ</t>
        </is>
      </c>
      <c r="F6069" t="inlineStr">
        <is>
          <t>SCA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59002-2025</t>
        </is>
      </c>
      <c r="B6070" s="1" t="n">
        <v>45987</v>
      </c>
      <c r="C6070" s="1" t="n">
        <v>46185</v>
      </c>
      <c r="D6070" t="inlineStr">
        <is>
          <t>VÄSTERNORRLANDS LÄN</t>
        </is>
      </c>
      <c r="E6070" t="inlineStr">
        <is>
          <t>SOLLEFTEÅ</t>
        </is>
      </c>
      <c r="F6070" t="inlineStr">
        <is>
          <t>SCA</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59006-2025</t>
        </is>
      </c>
      <c r="B6071" s="1" t="n">
        <v>45987</v>
      </c>
      <c r="C6071" s="1" t="n">
        <v>46185</v>
      </c>
      <c r="D6071" t="inlineStr">
        <is>
          <t>VÄSTERNORRLANDS LÄN</t>
        </is>
      </c>
      <c r="E6071" t="inlineStr">
        <is>
          <t>SUNDSVALL</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59023-2025</t>
        </is>
      </c>
      <c r="B6072" s="1" t="n">
        <v>45988</v>
      </c>
      <c r="C6072" s="1" t="n">
        <v>46185</v>
      </c>
      <c r="D6072" t="inlineStr">
        <is>
          <t>VÄSTERNORRLANDS LÄN</t>
        </is>
      </c>
      <c r="E6072" t="inlineStr">
        <is>
          <t>ÅNGE</t>
        </is>
      </c>
      <c r="F6072" t="inlineStr">
        <is>
          <t>SCA</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58884-2025</t>
        </is>
      </c>
      <c r="B6073" s="1" t="n">
        <v>45987.48076388889</v>
      </c>
      <c r="C6073" s="1" t="n">
        <v>46185</v>
      </c>
      <c r="D6073" t="inlineStr">
        <is>
          <t>VÄSTERNORRLANDS LÄN</t>
        </is>
      </c>
      <c r="E6073" t="inlineStr">
        <is>
          <t>KRAMFORS</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59057-2025</t>
        </is>
      </c>
      <c r="B6074" s="1" t="n">
        <v>45988.39986111111</v>
      </c>
      <c r="C6074" s="1" t="n">
        <v>46185</v>
      </c>
      <c r="D6074" t="inlineStr">
        <is>
          <t>VÄSTERNORRLANDS LÄN</t>
        </is>
      </c>
      <c r="E6074" t="inlineStr">
        <is>
          <t>ÖRNSKÖLDSVIK</t>
        </is>
      </c>
      <c r="F6074" t="inlineStr">
        <is>
          <t>Holmen skog AB</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59022-2025</t>
        </is>
      </c>
      <c r="B6075" s="1" t="n">
        <v>45988</v>
      </c>
      <c r="C6075" s="1" t="n">
        <v>46185</v>
      </c>
      <c r="D6075" t="inlineStr">
        <is>
          <t>VÄSTERNORRLANDS LÄN</t>
        </is>
      </c>
      <c r="E6075" t="inlineStr">
        <is>
          <t>ÅNGE</t>
        </is>
      </c>
      <c r="F6075" t="inlineStr">
        <is>
          <t>SCA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59063-2025</t>
        </is>
      </c>
      <c r="B6076" s="1" t="n">
        <v>45988.40734953704</v>
      </c>
      <c r="C6076" s="1" t="n">
        <v>46185</v>
      </c>
      <c r="D6076" t="inlineStr">
        <is>
          <t>VÄSTERNORRLANDS LÄN</t>
        </is>
      </c>
      <c r="E6076" t="inlineStr">
        <is>
          <t>ÅNGE</t>
        </is>
      </c>
      <c r="F6076" t="inlineStr">
        <is>
          <t>SCA</t>
        </is>
      </c>
      <c r="G6076" t="n">
        <v>5.7</v>
      </c>
      <c r="H6076" t="n">
        <v>0</v>
      </c>
      <c r="I6076" t="n">
        <v>0</v>
      </c>
      <c r="J6076" t="n">
        <v>0</v>
      </c>
      <c r="K6076" t="n">
        <v>0</v>
      </c>
      <c r="L6076" t="n">
        <v>0</v>
      </c>
      <c r="M6076" t="n">
        <v>0</v>
      </c>
      <c r="N6076" t="n">
        <v>0</v>
      </c>
      <c r="O6076" t="n">
        <v>0</v>
      </c>
      <c r="P6076" t="n">
        <v>0</v>
      </c>
      <c r="Q6076" t="n">
        <v>0</v>
      </c>
      <c r="R6076" s="2" t="inlineStr"/>
    </row>
    <row r="6077" ht="15" customHeight="1">
      <c r="A6077" t="inlineStr">
        <is>
          <t>A 15049-2025</t>
        </is>
      </c>
      <c r="B6077" s="1" t="n">
        <v>45743</v>
      </c>
      <c r="C6077" s="1" t="n">
        <v>46185</v>
      </c>
      <c r="D6077" t="inlineStr">
        <is>
          <t>VÄSTERNORRLANDS LÄN</t>
        </is>
      </c>
      <c r="E6077" t="inlineStr">
        <is>
          <t>SUNDSVALL</t>
        </is>
      </c>
      <c r="F6077" t="inlineStr">
        <is>
          <t>SCA</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59131-2025</t>
        </is>
      </c>
      <c r="B6078" s="1" t="n">
        <v>45988.49668981481</v>
      </c>
      <c r="C6078" s="1" t="n">
        <v>46185</v>
      </c>
      <c r="D6078" t="inlineStr">
        <is>
          <t>VÄSTERNORRLANDS LÄN</t>
        </is>
      </c>
      <c r="E6078" t="inlineStr">
        <is>
          <t>ÖRNSKÖLDSVIK</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59135-2025</t>
        </is>
      </c>
      <c r="B6079" s="1" t="n">
        <v>45988.49862268518</v>
      </c>
      <c r="C6079" s="1" t="n">
        <v>46185</v>
      </c>
      <c r="D6079" t="inlineStr">
        <is>
          <t>VÄSTERNORRLANDS LÄN</t>
        </is>
      </c>
      <c r="E6079" t="inlineStr">
        <is>
          <t>ÖRNSKÖLDSVIK</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59136-2025</t>
        </is>
      </c>
      <c r="B6080" s="1" t="n">
        <v>45988.5002662037</v>
      </c>
      <c r="C6080" s="1" t="n">
        <v>46185</v>
      </c>
      <c r="D6080" t="inlineStr">
        <is>
          <t>VÄSTERNORRLANDS LÄN</t>
        </is>
      </c>
      <c r="E6080" t="inlineStr">
        <is>
          <t>ÖRNSKÖLDSVIK</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58810-2025</t>
        </is>
      </c>
      <c r="B6081" s="1" t="n">
        <v>45987.31358796296</v>
      </c>
      <c r="C6081" s="1" t="n">
        <v>46185</v>
      </c>
      <c r="D6081" t="inlineStr">
        <is>
          <t>VÄSTERNORRLANDS LÄN</t>
        </is>
      </c>
      <c r="E6081" t="inlineStr">
        <is>
          <t>ÖRNSKÖLDSVIK</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58817-2025</t>
        </is>
      </c>
      <c r="B6082" s="1" t="n">
        <v>45987.33471064815</v>
      </c>
      <c r="C6082" s="1" t="n">
        <v>46185</v>
      </c>
      <c r="D6082" t="inlineStr">
        <is>
          <t>VÄSTERNORRLANDS LÄN</t>
        </is>
      </c>
      <c r="E6082" t="inlineStr">
        <is>
          <t>KRAMFORS</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58813-2025</t>
        </is>
      </c>
      <c r="B6083" s="1" t="n">
        <v>45987.3308912037</v>
      </c>
      <c r="C6083" s="1" t="n">
        <v>46185</v>
      </c>
      <c r="D6083" t="inlineStr">
        <is>
          <t>VÄSTERNORRLANDS LÄN</t>
        </is>
      </c>
      <c r="E6083" t="inlineStr">
        <is>
          <t>KRAMFORS</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58859-2025</t>
        </is>
      </c>
      <c r="B6084" s="1" t="n">
        <v>45987.42791666667</v>
      </c>
      <c r="C6084" s="1" t="n">
        <v>46185</v>
      </c>
      <c r="D6084" t="inlineStr">
        <is>
          <t>VÄSTERNORRLANDS LÄN</t>
        </is>
      </c>
      <c r="E6084" t="inlineStr">
        <is>
          <t>SUNDSVALL</t>
        </is>
      </c>
      <c r="F6084" t="inlineStr">
        <is>
          <t>SCA</t>
        </is>
      </c>
      <c r="G6084" t="n">
        <v>13.4</v>
      </c>
      <c r="H6084" t="n">
        <v>0</v>
      </c>
      <c r="I6084" t="n">
        <v>0</v>
      </c>
      <c r="J6084" t="n">
        <v>0</v>
      </c>
      <c r="K6084" t="n">
        <v>0</v>
      </c>
      <c r="L6084" t="n">
        <v>0</v>
      </c>
      <c r="M6084" t="n">
        <v>0</v>
      </c>
      <c r="N6084" t="n">
        <v>0</v>
      </c>
      <c r="O6084" t="n">
        <v>0</v>
      </c>
      <c r="P6084" t="n">
        <v>0</v>
      </c>
      <c r="Q6084" t="n">
        <v>0</v>
      </c>
      <c r="R6084" s="2" t="inlineStr"/>
    </row>
    <row r="6085" ht="15" customHeight="1">
      <c r="A6085" t="inlineStr">
        <is>
          <t>A 58999-2025</t>
        </is>
      </c>
      <c r="B6085" s="1" t="n">
        <v>45987</v>
      </c>
      <c r="C6085" s="1" t="n">
        <v>46185</v>
      </c>
      <c r="D6085" t="inlineStr">
        <is>
          <t>VÄSTERNORRLANDS LÄN</t>
        </is>
      </c>
      <c r="E6085" t="inlineStr">
        <is>
          <t>SOLLEFTEÅ</t>
        </is>
      </c>
      <c r="F6085" t="inlineStr">
        <is>
          <t>SCA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47089-2024</t>
        </is>
      </c>
      <c r="B6086" s="1" t="n">
        <v>45586.51078703703</v>
      </c>
      <c r="C6086" s="1" t="n">
        <v>46185</v>
      </c>
      <c r="D6086" t="inlineStr">
        <is>
          <t>VÄSTERNORRLANDS LÄN</t>
        </is>
      </c>
      <c r="E6086" t="inlineStr">
        <is>
          <t>TIMRÅ</t>
        </is>
      </c>
      <c r="F6086" t="inlineStr">
        <is>
          <t>SCA</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59260-2025</t>
        </is>
      </c>
      <c r="B6087" s="1" t="n">
        <v>45988.65762731482</v>
      </c>
      <c r="C6087" s="1" t="n">
        <v>46185</v>
      </c>
      <c r="D6087" t="inlineStr">
        <is>
          <t>VÄSTERNORRLANDS LÄN</t>
        </is>
      </c>
      <c r="E6087" t="inlineStr">
        <is>
          <t>SOLLEFTEÅ</t>
        </is>
      </c>
      <c r="F6087" t="inlineStr">
        <is>
          <t>SCA</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10141-2026</t>
        </is>
      </c>
      <c r="B6088" s="1" t="n">
        <v>46076</v>
      </c>
      <c r="C6088" s="1" t="n">
        <v>46185</v>
      </c>
      <c r="D6088" t="inlineStr">
        <is>
          <t>VÄSTERNORRLANDS LÄN</t>
        </is>
      </c>
      <c r="E6088" t="inlineStr">
        <is>
          <t>TIMRÅ</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58825-2025</t>
        </is>
      </c>
      <c r="B6089" s="1" t="n">
        <v>45987.34678240741</v>
      </c>
      <c r="C6089" s="1" t="n">
        <v>46185</v>
      </c>
      <c r="D6089" t="inlineStr">
        <is>
          <t>VÄSTERNORRLANDS LÄN</t>
        </is>
      </c>
      <c r="E6089" t="inlineStr">
        <is>
          <t>SUNDSVALL</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58830-2025</t>
        </is>
      </c>
      <c r="B6090" s="1" t="n">
        <v>45987.35271990741</v>
      </c>
      <c r="C6090" s="1" t="n">
        <v>46185</v>
      </c>
      <c r="D6090" t="inlineStr">
        <is>
          <t>VÄSTERNORRLANDS LÄN</t>
        </is>
      </c>
      <c r="E6090" t="inlineStr">
        <is>
          <t>ÖRNSKÖLDSVIK</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59181-2025</t>
        </is>
      </c>
      <c r="B6091" s="1" t="n">
        <v>45988.57390046296</v>
      </c>
      <c r="C6091" s="1" t="n">
        <v>46185</v>
      </c>
      <c r="D6091" t="inlineStr">
        <is>
          <t>VÄSTERNORRLANDS LÄN</t>
        </is>
      </c>
      <c r="E6091" t="inlineStr">
        <is>
          <t>SOLLEFTEÅ</t>
        </is>
      </c>
      <c r="F6091" t="inlineStr">
        <is>
          <t>SCA</t>
        </is>
      </c>
      <c r="G6091" t="n">
        <v>28.3</v>
      </c>
      <c r="H6091" t="n">
        <v>0</v>
      </c>
      <c r="I6091" t="n">
        <v>0</v>
      </c>
      <c r="J6091" t="n">
        <v>0</v>
      </c>
      <c r="K6091" t="n">
        <v>0</v>
      </c>
      <c r="L6091" t="n">
        <v>0</v>
      </c>
      <c r="M6091" t="n">
        <v>0</v>
      </c>
      <c r="N6091" t="n">
        <v>0</v>
      </c>
      <c r="O6091" t="n">
        <v>0</v>
      </c>
      <c r="P6091" t="n">
        <v>0</v>
      </c>
      <c r="Q6091" t="n">
        <v>0</v>
      </c>
      <c r="R6091" s="2" t="inlineStr"/>
    </row>
    <row r="6092" ht="15" customHeight="1">
      <c r="A6092" t="inlineStr">
        <is>
          <t>A 59228-2025</t>
        </is>
      </c>
      <c r="B6092" s="1" t="n">
        <v>45988.62262731481</v>
      </c>
      <c r="C6092" s="1" t="n">
        <v>46185</v>
      </c>
      <c r="D6092" t="inlineStr">
        <is>
          <t>VÄSTERNORRLANDS LÄN</t>
        </is>
      </c>
      <c r="E6092" t="inlineStr">
        <is>
          <t>SUNDSVALL</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9882-2026</t>
        </is>
      </c>
      <c r="B6093" s="1" t="n">
        <v>46073.34444444445</v>
      </c>
      <c r="C6093" s="1" t="n">
        <v>46185</v>
      </c>
      <c r="D6093" t="inlineStr">
        <is>
          <t>VÄSTERNORRLANDS LÄN</t>
        </is>
      </c>
      <c r="E6093" t="inlineStr">
        <is>
          <t>ÅNGE</t>
        </is>
      </c>
      <c r="F6093" t="inlineStr">
        <is>
          <t>SCA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57994-2023</t>
        </is>
      </c>
      <c r="B6094" s="1" t="n">
        <v>45247.6033912037</v>
      </c>
      <c r="C6094" s="1" t="n">
        <v>46185</v>
      </c>
      <c r="D6094" t="inlineStr">
        <is>
          <t>VÄSTERNORRLANDS LÄN</t>
        </is>
      </c>
      <c r="E6094" t="inlineStr">
        <is>
          <t>ÖRNSKÖLDSVIK</t>
        </is>
      </c>
      <c r="F6094" t="inlineStr">
        <is>
          <t>Holmen skog AB</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57775-2023</t>
        </is>
      </c>
      <c r="B6095" s="1" t="n">
        <v>45246</v>
      </c>
      <c r="C6095" s="1" t="n">
        <v>46185</v>
      </c>
      <c r="D6095" t="inlineStr">
        <is>
          <t>VÄSTERNORRLANDS LÄN</t>
        </is>
      </c>
      <c r="E6095" t="inlineStr">
        <is>
          <t>SUNDSVALL</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10463-2026</t>
        </is>
      </c>
      <c r="B6096" s="1" t="n">
        <v>46077.46359953703</v>
      </c>
      <c r="C6096" s="1" t="n">
        <v>46185</v>
      </c>
      <c r="D6096" t="inlineStr">
        <is>
          <t>VÄSTERNORRLANDS LÄN</t>
        </is>
      </c>
      <c r="E6096" t="inlineStr">
        <is>
          <t>ÖRNSKÖLDSVIK</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59275-2025</t>
        </is>
      </c>
      <c r="B6097" s="1" t="n">
        <v>45988.69864583333</v>
      </c>
      <c r="C6097" s="1" t="n">
        <v>46185</v>
      </c>
      <c r="D6097" t="inlineStr">
        <is>
          <t>VÄSTERNORRLANDS LÄN</t>
        </is>
      </c>
      <c r="E6097" t="inlineStr">
        <is>
          <t>SUNDSVALL</t>
        </is>
      </c>
      <c r="F6097" t="inlineStr">
        <is>
          <t>SCA</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10276-2026</t>
        </is>
      </c>
      <c r="B6098" s="1" t="n">
        <v>46076</v>
      </c>
      <c r="C6098" s="1" t="n">
        <v>46185</v>
      </c>
      <c r="D6098" t="inlineStr">
        <is>
          <t>VÄSTERNORRLANDS LÄN</t>
        </is>
      </c>
      <c r="E6098" t="inlineStr">
        <is>
          <t>HÄRNÖSAND</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24304-2023</t>
        </is>
      </c>
      <c r="B6099" s="1" t="n">
        <v>45079</v>
      </c>
      <c r="C6099" s="1" t="n">
        <v>46185</v>
      </c>
      <c r="D6099" t="inlineStr">
        <is>
          <t>VÄSTERNORRLANDS LÄN</t>
        </is>
      </c>
      <c r="E6099" t="inlineStr">
        <is>
          <t>TIMRÅ</t>
        </is>
      </c>
      <c r="F6099" t="inlineStr">
        <is>
          <t>SCA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10597-2026</t>
        </is>
      </c>
      <c r="B6100" s="1" t="n">
        <v>46077</v>
      </c>
      <c r="C6100" s="1" t="n">
        <v>46185</v>
      </c>
      <c r="D6100" t="inlineStr">
        <is>
          <t>VÄSTERNORRLANDS LÄN</t>
        </is>
      </c>
      <c r="E6100" t="inlineStr">
        <is>
          <t>TIMRÅ</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58995-2025</t>
        </is>
      </c>
      <c r="B6101" s="1" t="n">
        <v>45987</v>
      </c>
      <c r="C6101" s="1" t="n">
        <v>46185</v>
      </c>
      <c r="D6101" t="inlineStr">
        <is>
          <t>VÄSTERNORRLANDS LÄN</t>
        </is>
      </c>
      <c r="E6101" t="inlineStr">
        <is>
          <t>HÄRNÖSAND</t>
        </is>
      </c>
      <c r="G6101" t="n">
        <v>8</v>
      </c>
      <c r="H6101" t="n">
        <v>0</v>
      </c>
      <c r="I6101" t="n">
        <v>0</v>
      </c>
      <c r="J6101" t="n">
        <v>0</v>
      </c>
      <c r="K6101" t="n">
        <v>0</v>
      </c>
      <c r="L6101" t="n">
        <v>0</v>
      </c>
      <c r="M6101" t="n">
        <v>0</v>
      </c>
      <c r="N6101" t="n">
        <v>0</v>
      </c>
      <c r="O6101" t="n">
        <v>0</v>
      </c>
      <c r="P6101" t="n">
        <v>0</v>
      </c>
      <c r="Q6101" t="n">
        <v>0</v>
      </c>
      <c r="R6101" s="2" t="inlineStr"/>
    </row>
    <row r="6102" ht="15" customHeight="1">
      <c r="A6102" t="inlineStr">
        <is>
          <t>A 59180-2025</t>
        </is>
      </c>
      <c r="B6102" s="1" t="n">
        <v>45988.57369212963</v>
      </c>
      <c r="C6102" s="1" t="n">
        <v>46185</v>
      </c>
      <c r="D6102" t="inlineStr">
        <is>
          <t>VÄSTERNORRLANDS LÄN</t>
        </is>
      </c>
      <c r="E6102" t="inlineStr">
        <is>
          <t>SUNDSVALL</t>
        </is>
      </c>
      <c r="F6102" t="inlineStr">
        <is>
          <t>SCA</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58908-2025</t>
        </is>
      </c>
      <c r="B6103" s="1" t="n">
        <v>45987.5112037037</v>
      </c>
      <c r="C6103" s="1" t="n">
        <v>46185</v>
      </c>
      <c r="D6103" t="inlineStr">
        <is>
          <t>VÄSTERNORRLANDS LÄN</t>
        </is>
      </c>
      <c r="E6103" t="inlineStr">
        <is>
          <t>TIMRÅ</t>
        </is>
      </c>
      <c r="G6103" t="n">
        <v>6.2</v>
      </c>
      <c r="H6103" t="n">
        <v>0</v>
      </c>
      <c r="I6103" t="n">
        <v>0</v>
      </c>
      <c r="J6103" t="n">
        <v>0</v>
      </c>
      <c r="K6103" t="n">
        <v>0</v>
      </c>
      <c r="L6103" t="n">
        <v>0</v>
      </c>
      <c r="M6103" t="n">
        <v>0</v>
      </c>
      <c r="N6103" t="n">
        <v>0</v>
      </c>
      <c r="O6103" t="n">
        <v>0</v>
      </c>
      <c r="P6103" t="n">
        <v>0</v>
      </c>
      <c r="Q6103" t="n">
        <v>0</v>
      </c>
      <c r="R6103" s="2" t="inlineStr"/>
    </row>
    <row r="6104" ht="15" customHeight="1">
      <c r="A6104" t="inlineStr">
        <is>
          <t>A 12807-2025</t>
        </is>
      </c>
      <c r="B6104" s="1" t="n">
        <v>45733.61537037037</v>
      </c>
      <c r="C6104" s="1" t="n">
        <v>46185</v>
      </c>
      <c r="D6104" t="inlineStr">
        <is>
          <t>VÄSTERNORRLANDS LÄN</t>
        </is>
      </c>
      <c r="E6104" t="inlineStr">
        <is>
          <t>ÅNGE</t>
        </is>
      </c>
      <c r="F6104" t="inlineStr">
        <is>
          <t>SCA</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58948-2025</t>
        </is>
      </c>
      <c r="B6105" s="1" t="n">
        <v>45987</v>
      </c>
      <c r="C6105" s="1" t="n">
        <v>46185</v>
      </c>
      <c r="D6105" t="inlineStr">
        <is>
          <t>VÄSTERNORRLANDS LÄN</t>
        </is>
      </c>
      <c r="E6105" t="inlineStr">
        <is>
          <t>SOLLEFTEÅ</t>
        </is>
      </c>
      <c r="G6105" t="n">
        <v>6.5</v>
      </c>
      <c r="H6105" t="n">
        <v>0</v>
      </c>
      <c r="I6105" t="n">
        <v>0</v>
      </c>
      <c r="J6105" t="n">
        <v>0</v>
      </c>
      <c r="K6105" t="n">
        <v>0</v>
      </c>
      <c r="L6105" t="n">
        <v>0</v>
      </c>
      <c r="M6105" t="n">
        <v>0</v>
      </c>
      <c r="N6105" t="n">
        <v>0</v>
      </c>
      <c r="O6105" t="n">
        <v>0</v>
      </c>
      <c r="P6105" t="n">
        <v>0</v>
      </c>
      <c r="Q6105" t="n">
        <v>0</v>
      </c>
      <c r="R6105" s="2" t="inlineStr"/>
    </row>
    <row r="6106" ht="15" customHeight="1">
      <c r="A6106" t="inlineStr">
        <is>
          <t>A 59050-2025</t>
        </is>
      </c>
      <c r="B6106" s="1" t="n">
        <v>45988.38444444445</v>
      </c>
      <c r="C6106" s="1" t="n">
        <v>46185</v>
      </c>
      <c r="D6106" t="inlineStr">
        <is>
          <t>VÄSTERNORRLANDS LÄN</t>
        </is>
      </c>
      <c r="E6106" t="inlineStr">
        <is>
          <t>ÖRNSKÖLDSVIK</t>
        </is>
      </c>
      <c r="F6106" t="inlineStr">
        <is>
          <t>Holmen skog AB</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59056-2025</t>
        </is>
      </c>
      <c r="B6107" s="1" t="n">
        <v>45988.38972222222</v>
      </c>
      <c r="C6107" s="1" t="n">
        <v>46185</v>
      </c>
      <c r="D6107" t="inlineStr">
        <is>
          <t>VÄSTERNORRLANDS LÄN</t>
        </is>
      </c>
      <c r="E6107" t="inlineStr">
        <is>
          <t>ÖRNSKÖLDSVIK</t>
        </is>
      </c>
      <c r="G6107" t="n">
        <v>8.6</v>
      </c>
      <c r="H6107" t="n">
        <v>0</v>
      </c>
      <c r="I6107" t="n">
        <v>0</v>
      </c>
      <c r="J6107" t="n">
        <v>0</v>
      </c>
      <c r="K6107" t="n">
        <v>0</v>
      </c>
      <c r="L6107" t="n">
        <v>0</v>
      </c>
      <c r="M6107" t="n">
        <v>0</v>
      </c>
      <c r="N6107" t="n">
        <v>0</v>
      </c>
      <c r="O6107" t="n">
        <v>0</v>
      </c>
      <c r="P6107" t="n">
        <v>0</v>
      </c>
      <c r="Q6107" t="n">
        <v>0</v>
      </c>
      <c r="R6107" s="2" t="inlineStr"/>
    </row>
    <row r="6108" ht="15" customHeight="1">
      <c r="A6108" t="inlineStr">
        <is>
          <t>A 66178-2021</t>
        </is>
      </c>
      <c r="B6108" s="1" t="n">
        <v>44517</v>
      </c>
      <c r="C6108" s="1" t="n">
        <v>46185</v>
      </c>
      <c r="D6108" t="inlineStr">
        <is>
          <t>VÄSTERNORRLANDS LÄN</t>
        </is>
      </c>
      <c r="E6108" t="inlineStr">
        <is>
          <t>SOLLEFTEÅ</t>
        </is>
      </c>
      <c r="F6108" t="inlineStr">
        <is>
          <t>SCA</t>
        </is>
      </c>
      <c r="G6108" t="n">
        <v>31.7</v>
      </c>
      <c r="H6108" t="n">
        <v>0</v>
      </c>
      <c r="I6108" t="n">
        <v>0</v>
      </c>
      <c r="J6108" t="n">
        <v>0</v>
      </c>
      <c r="K6108" t="n">
        <v>0</v>
      </c>
      <c r="L6108" t="n">
        <v>0</v>
      </c>
      <c r="M6108" t="n">
        <v>0</v>
      </c>
      <c r="N6108" t="n">
        <v>0</v>
      </c>
      <c r="O6108" t="n">
        <v>0</v>
      </c>
      <c r="P6108" t="n">
        <v>0</v>
      </c>
      <c r="Q6108" t="n">
        <v>0</v>
      </c>
      <c r="R6108" s="2" t="inlineStr"/>
    </row>
    <row r="6109" ht="15" customHeight="1">
      <c r="A6109" t="inlineStr">
        <is>
          <t>A 58823-2025</t>
        </is>
      </c>
      <c r="B6109" s="1" t="n">
        <v>45987.3453125</v>
      </c>
      <c r="C6109" s="1" t="n">
        <v>46185</v>
      </c>
      <c r="D6109" t="inlineStr">
        <is>
          <t>VÄSTERNORRLANDS LÄN</t>
        </is>
      </c>
      <c r="E6109" t="inlineStr">
        <is>
          <t>ÅNGE</t>
        </is>
      </c>
      <c r="F6109" t="inlineStr">
        <is>
          <t>SCA</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27938-2025</t>
        </is>
      </c>
      <c r="B6110" s="1" t="n">
        <v>45817</v>
      </c>
      <c r="C6110" s="1" t="n">
        <v>46185</v>
      </c>
      <c r="D6110" t="inlineStr">
        <is>
          <t>VÄSTERNORRLANDS LÄN</t>
        </is>
      </c>
      <c r="E6110" t="inlineStr">
        <is>
          <t>ÖRNSKÖLDSVIK</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10786-2023</t>
        </is>
      </c>
      <c r="B6111" s="1" t="n">
        <v>44988</v>
      </c>
      <c r="C6111" s="1" t="n">
        <v>46185</v>
      </c>
      <c r="D6111" t="inlineStr">
        <is>
          <t>VÄSTERNORRLANDS LÄN</t>
        </is>
      </c>
      <c r="E6111" t="inlineStr">
        <is>
          <t>SUNDSVALL</t>
        </is>
      </c>
      <c r="F6111" t="inlineStr">
        <is>
          <t>SCA</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58831-2025</t>
        </is>
      </c>
      <c r="B6112" s="1" t="n">
        <v>45987.35292824074</v>
      </c>
      <c r="C6112" s="1" t="n">
        <v>46185</v>
      </c>
      <c r="D6112" t="inlineStr">
        <is>
          <t>VÄSTERNORRLANDS LÄN</t>
        </is>
      </c>
      <c r="E6112" t="inlineStr">
        <is>
          <t>SUNDSVALL</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58906-2025</t>
        </is>
      </c>
      <c r="B6113" s="1" t="n">
        <v>45987.51087962963</v>
      </c>
      <c r="C6113" s="1" t="n">
        <v>46185</v>
      </c>
      <c r="D6113" t="inlineStr">
        <is>
          <t>VÄSTERNORRLANDS LÄN</t>
        </is>
      </c>
      <c r="E6113" t="inlineStr">
        <is>
          <t>ÅNGE</t>
        </is>
      </c>
      <c r="F6113" t="inlineStr">
        <is>
          <t>SCA</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58950-2025</t>
        </is>
      </c>
      <c r="B6114" s="1" t="n">
        <v>45987.58756944445</v>
      </c>
      <c r="C6114" s="1" t="n">
        <v>46185</v>
      </c>
      <c r="D6114" t="inlineStr">
        <is>
          <t>VÄSTERNORRLANDS LÄN</t>
        </is>
      </c>
      <c r="E6114" t="inlineStr">
        <is>
          <t>ÖRNSKÖLDSVIK</t>
        </is>
      </c>
      <c r="F6114" t="inlineStr">
        <is>
          <t>Holmen skog AB</t>
        </is>
      </c>
      <c r="G6114" t="n">
        <v>14.1</v>
      </c>
      <c r="H6114" t="n">
        <v>0</v>
      </c>
      <c r="I6114" t="n">
        <v>0</v>
      </c>
      <c r="J6114" t="n">
        <v>0</v>
      </c>
      <c r="K6114" t="n">
        <v>0</v>
      </c>
      <c r="L6114" t="n">
        <v>0</v>
      </c>
      <c r="M6114" t="n">
        <v>0</v>
      </c>
      <c r="N6114" t="n">
        <v>0</v>
      </c>
      <c r="O6114" t="n">
        <v>0</v>
      </c>
      <c r="P6114" t="n">
        <v>0</v>
      </c>
      <c r="Q6114" t="n">
        <v>0</v>
      </c>
      <c r="R6114" s="2" t="inlineStr"/>
    </row>
    <row r="6115" ht="15" customHeight="1">
      <c r="A6115" t="inlineStr">
        <is>
          <t>A 9985-2026</t>
        </is>
      </c>
      <c r="B6115" s="1" t="n">
        <v>46073.5425</v>
      </c>
      <c r="C6115" s="1" t="n">
        <v>46185</v>
      </c>
      <c r="D6115" t="inlineStr">
        <is>
          <t>VÄSTERNORRLANDS LÄN</t>
        </is>
      </c>
      <c r="E6115" t="inlineStr">
        <is>
          <t>SUNDSVALL</t>
        </is>
      </c>
      <c r="F6115" t="inlineStr">
        <is>
          <t>Kyrkan</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10392-2026</t>
        </is>
      </c>
      <c r="B6116" s="1" t="n">
        <v>46077.2993287037</v>
      </c>
      <c r="C6116" s="1" t="n">
        <v>46185</v>
      </c>
      <c r="D6116" t="inlineStr">
        <is>
          <t>VÄSTERNORRLANDS LÄN</t>
        </is>
      </c>
      <c r="E6116" t="inlineStr">
        <is>
          <t>ÖRNSKÖLDSVIK</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58973-2025</t>
        </is>
      </c>
      <c r="B6117" s="1" t="n">
        <v>45987</v>
      </c>
      <c r="C6117" s="1" t="n">
        <v>46185</v>
      </c>
      <c r="D6117" t="inlineStr">
        <is>
          <t>VÄSTERNORRLANDS LÄN</t>
        </is>
      </c>
      <c r="E6117" t="inlineStr">
        <is>
          <t>SOLLEFTEÅ</t>
        </is>
      </c>
      <c r="F6117" t="inlineStr">
        <is>
          <t>SCA</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10142-2026</t>
        </is>
      </c>
      <c r="B6118" s="1" t="n">
        <v>46076.34581018519</v>
      </c>
      <c r="C6118" s="1" t="n">
        <v>46185</v>
      </c>
      <c r="D6118" t="inlineStr">
        <is>
          <t>VÄSTERNORRLANDS LÄN</t>
        </is>
      </c>
      <c r="E6118" t="inlineStr">
        <is>
          <t>KRAMFORS</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10052-2026</t>
        </is>
      </c>
      <c r="B6119" s="1" t="n">
        <v>46073.61515046296</v>
      </c>
      <c r="C6119" s="1" t="n">
        <v>46185</v>
      </c>
      <c r="D6119" t="inlineStr">
        <is>
          <t>VÄSTERNORRLANDS LÄN</t>
        </is>
      </c>
      <c r="E6119" t="inlineStr">
        <is>
          <t>SOLLEFTEÅ</t>
        </is>
      </c>
      <c r="F6119" t="inlineStr">
        <is>
          <t>SCA</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46552-2023</t>
        </is>
      </c>
      <c r="B6120" s="1" t="n">
        <v>45197</v>
      </c>
      <c r="C6120" s="1" t="n">
        <v>46185</v>
      </c>
      <c r="D6120" t="inlineStr">
        <is>
          <t>VÄSTERNORRLANDS LÄN</t>
        </is>
      </c>
      <c r="E6120" t="inlineStr">
        <is>
          <t>SUNDSVALL</t>
        </is>
      </c>
      <c r="F6120" t="inlineStr">
        <is>
          <t>SCA</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58845-2025</t>
        </is>
      </c>
      <c r="B6121" s="1" t="n">
        <v>45987.3859375</v>
      </c>
      <c r="C6121" s="1" t="n">
        <v>46185</v>
      </c>
      <c r="D6121" t="inlineStr">
        <is>
          <t>VÄSTERNORRLANDS LÄN</t>
        </is>
      </c>
      <c r="E6121" t="inlineStr">
        <is>
          <t>SOLLEFTEÅ</t>
        </is>
      </c>
      <c r="F6121" t="inlineStr">
        <is>
          <t>SCA</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18668-2023</t>
        </is>
      </c>
      <c r="B6122" s="1" t="n">
        <v>45043.57108796296</v>
      </c>
      <c r="C6122" s="1" t="n">
        <v>46185</v>
      </c>
      <c r="D6122" t="inlineStr">
        <is>
          <t>VÄSTERNORRLANDS LÄN</t>
        </is>
      </c>
      <c r="E6122" t="inlineStr">
        <is>
          <t>ÅNGE</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6702-2025</t>
        </is>
      </c>
      <c r="B6123" s="1" t="n">
        <v>45700.5427199074</v>
      </c>
      <c r="C6123" s="1" t="n">
        <v>46185</v>
      </c>
      <c r="D6123" t="inlineStr">
        <is>
          <t>VÄSTERNORRLANDS LÄN</t>
        </is>
      </c>
      <c r="E6123" t="inlineStr">
        <is>
          <t>SUNDSVALL</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59065-2025</t>
        </is>
      </c>
      <c r="B6124" s="1" t="n">
        <v>45988.40780092592</v>
      </c>
      <c r="C6124" s="1" t="n">
        <v>46185</v>
      </c>
      <c r="D6124" t="inlineStr">
        <is>
          <t>VÄSTERNORRLANDS LÄN</t>
        </is>
      </c>
      <c r="E6124" t="inlineStr">
        <is>
          <t>ÅNGE</t>
        </is>
      </c>
      <c r="F6124" t="inlineStr">
        <is>
          <t>SCA</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59095-2025</t>
        </is>
      </c>
      <c r="B6125" s="1" t="n">
        <v>45988.4525462963</v>
      </c>
      <c r="C6125" s="1" t="n">
        <v>46185</v>
      </c>
      <c r="D6125" t="inlineStr">
        <is>
          <t>VÄSTERNORRLANDS LÄN</t>
        </is>
      </c>
      <c r="E6125" t="inlineStr">
        <is>
          <t>KRAMFORS</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18700-2023</t>
        </is>
      </c>
      <c r="B6126" s="1" t="n">
        <v>45042</v>
      </c>
      <c r="C6126" s="1" t="n">
        <v>46185</v>
      </c>
      <c r="D6126" t="inlineStr">
        <is>
          <t>VÄSTERNORRLANDS LÄN</t>
        </is>
      </c>
      <c r="E6126" t="inlineStr">
        <is>
          <t>SUNDSVALL</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9924-2026</t>
        </is>
      </c>
      <c r="B6127" s="1" t="n">
        <v>46073.44850694444</v>
      </c>
      <c r="C6127" s="1" t="n">
        <v>46185</v>
      </c>
      <c r="D6127" t="inlineStr">
        <is>
          <t>VÄSTERNORRLANDS LÄN</t>
        </is>
      </c>
      <c r="E6127" t="inlineStr">
        <is>
          <t>SOLLEFTEÅ</t>
        </is>
      </c>
      <c r="F6127" t="inlineStr">
        <is>
          <t>SCA</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59138-2025</t>
        </is>
      </c>
      <c r="B6128" s="1" t="n">
        <v>45988.50180555556</v>
      </c>
      <c r="C6128" s="1" t="n">
        <v>46185</v>
      </c>
      <c r="D6128" t="inlineStr">
        <is>
          <t>VÄSTERNORRLANDS LÄN</t>
        </is>
      </c>
      <c r="E6128" t="inlineStr">
        <is>
          <t>ÖRNSKÖLDSVIK</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9932-2026</t>
        </is>
      </c>
      <c r="B6129" s="1" t="n">
        <v>46073.45615740741</v>
      </c>
      <c r="C6129" s="1" t="n">
        <v>46185</v>
      </c>
      <c r="D6129" t="inlineStr">
        <is>
          <t>VÄSTERNORRLANDS LÄN</t>
        </is>
      </c>
      <c r="E6129" t="inlineStr">
        <is>
          <t>SUNDSVALL</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9918-2026</t>
        </is>
      </c>
      <c r="B6130" s="1" t="n">
        <v>46073.43922453704</v>
      </c>
      <c r="C6130" s="1" t="n">
        <v>46185</v>
      </c>
      <c r="D6130" t="inlineStr">
        <is>
          <t>VÄSTERNORRLANDS LÄN</t>
        </is>
      </c>
      <c r="E6130" t="inlineStr">
        <is>
          <t>SUNDSVALL</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16237-2025</t>
        </is>
      </c>
      <c r="B6131" s="1" t="n">
        <v>45749</v>
      </c>
      <c r="C6131" s="1" t="n">
        <v>46185</v>
      </c>
      <c r="D6131" t="inlineStr">
        <is>
          <t>VÄSTERNORRLANDS LÄN</t>
        </is>
      </c>
      <c r="E6131" t="inlineStr">
        <is>
          <t>HÄRNÖSAND</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59191-2025</t>
        </is>
      </c>
      <c r="B6132" s="1" t="n">
        <v>45988.59023148148</v>
      </c>
      <c r="C6132" s="1" t="n">
        <v>46185</v>
      </c>
      <c r="D6132" t="inlineStr">
        <is>
          <t>VÄSTERNORRLANDS LÄN</t>
        </is>
      </c>
      <c r="E6132" t="inlineStr">
        <is>
          <t>ÖRNSKÖLDSVIK</t>
        </is>
      </c>
      <c r="F6132" t="inlineStr">
        <is>
          <t>Holmen skog AB</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62260-2022</t>
        </is>
      </c>
      <c r="B6133" s="1" t="n">
        <v>44922.94366898148</v>
      </c>
      <c r="C6133" s="1" t="n">
        <v>46185</v>
      </c>
      <c r="D6133" t="inlineStr">
        <is>
          <t>VÄSTERNORRLANDS LÄN</t>
        </is>
      </c>
      <c r="E6133" t="inlineStr">
        <is>
          <t>SOLLEFTEÅ</t>
        </is>
      </c>
      <c r="F6133" t="inlineStr">
        <is>
          <t>SCA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16524-2025</t>
        </is>
      </c>
      <c r="B6134" s="1" t="n">
        <v>45751.64310185185</v>
      </c>
      <c r="C6134" s="1" t="n">
        <v>46185</v>
      </c>
      <c r="D6134" t="inlineStr">
        <is>
          <t>VÄSTERNORRLANDS LÄN</t>
        </is>
      </c>
      <c r="E6134" t="inlineStr">
        <is>
          <t>ÅNGE</t>
        </is>
      </c>
      <c r="F6134" t="inlineStr">
        <is>
          <t>Sveaskog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59259-2025</t>
        </is>
      </c>
      <c r="B6135" s="1" t="n">
        <v>45988.65748842592</v>
      </c>
      <c r="C6135" s="1" t="n">
        <v>46185</v>
      </c>
      <c r="D6135" t="inlineStr">
        <is>
          <t>VÄSTERNORRLANDS LÄN</t>
        </is>
      </c>
      <c r="E6135" t="inlineStr">
        <is>
          <t>ÅNGE</t>
        </is>
      </c>
      <c r="F6135" t="inlineStr">
        <is>
          <t>Sveaskog</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58815-2025</t>
        </is>
      </c>
      <c r="B6136" s="1" t="n">
        <v>45987.33359953704</v>
      </c>
      <c r="C6136" s="1" t="n">
        <v>46185</v>
      </c>
      <c r="D6136" t="inlineStr">
        <is>
          <t>VÄSTERNORRLANDS LÄN</t>
        </is>
      </c>
      <c r="E6136" t="inlineStr">
        <is>
          <t>ÖRNSKÖLDSVIK</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10396-2026</t>
        </is>
      </c>
      <c r="B6137" s="1" t="n">
        <v>46077.30953703704</v>
      </c>
      <c r="C6137" s="1" t="n">
        <v>46185</v>
      </c>
      <c r="D6137" t="inlineStr">
        <is>
          <t>VÄSTERNORRLANDS LÄN</t>
        </is>
      </c>
      <c r="E6137" t="inlineStr">
        <is>
          <t>ÖRNSKÖLDSVIK</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10582-2026</t>
        </is>
      </c>
      <c r="B6138" s="1" t="n">
        <v>46077.67791666667</v>
      </c>
      <c r="C6138" s="1" t="n">
        <v>46185</v>
      </c>
      <c r="D6138" t="inlineStr">
        <is>
          <t>VÄSTERNORRLANDS LÄN</t>
        </is>
      </c>
      <c r="E6138" t="inlineStr">
        <is>
          <t>SOLLEFTEÅ</t>
        </is>
      </c>
      <c r="F6138" t="inlineStr">
        <is>
          <t>SCA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58789-2025</t>
        </is>
      </c>
      <c r="B6139" s="1" t="n">
        <v>45986.78791666667</v>
      </c>
      <c r="C6139" s="1" t="n">
        <v>46185</v>
      </c>
      <c r="D6139" t="inlineStr">
        <is>
          <t>VÄSTERNORRLANDS LÄN</t>
        </is>
      </c>
      <c r="E6139" t="inlineStr">
        <is>
          <t>ÖRNSKÖLDSVIK</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59141-2025</t>
        </is>
      </c>
      <c r="B6140" s="1" t="n">
        <v>45988.51274305556</v>
      </c>
      <c r="C6140" s="1" t="n">
        <v>46185</v>
      </c>
      <c r="D6140" t="inlineStr">
        <is>
          <t>VÄSTERNORRLANDS LÄN</t>
        </is>
      </c>
      <c r="E6140" t="inlineStr">
        <is>
          <t>KRAMFORS</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10216-2026</t>
        </is>
      </c>
      <c r="B6141" s="1" t="n">
        <v>46076.49002314815</v>
      </c>
      <c r="C6141" s="1" t="n">
        <v>46185</v>
      </c>
      <c r="D6141" t="inlineStr">
        <is>
          <t>VÄSTERNORRLANDS LÄN</t>
        </is>
      </c>
      <c r="E6141" t="inlineStr">
        <is>
          <t>SOLLEFTEÅ</t>
        </is>
      </c>
      <c r="F6141" t="inlineStr">
        <is>
          <t>SCA</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10278-2026</t>
        </is>
      </c>
      <c r="B6142" s="1" t="n">
        <v>46076.5874537037</v>
      </c>
      <c r="C6142" s="1" t="n">
        <v>46185</v>
      </c>
      <c r="D6142" t="inlineStr">
        <is>
          <t>VÄSTERNORRLANDS LÄN</t>
        </is>
      </c>
      <c r="E6142" t="inlineStr">
        <is>
          <t>ÖRNSKÖLDSVIK</t>
        </is>
      </c>
      <c r="G6142" t="n">
        <v>8.800000000000001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46542-2023</t>
        </is>
      </c>
      <c r="B6143" s="1" t="n">
        <v>45197.92253472222</v>
      </c>
      <c r="C6143" s="1" t="n">
        <v>46185</v>
      </c>
      <c r="D6143" t="inlineStr">
        <is>
          <t>VÄSTERNORRLANDS LÄN</t>
        </is>
      </c>
      <c r="E6143" t="inlineStr">
        <is>
          <t>SUNDSVALL</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59549-2025</t>
        </is>
      </c>
      <c r="B6144" s="1" t="n">
        <v>45990.41214120371</v>
      </c>
      <c r="C6144" s="1" t="n">
        <v>46185</v>
      </c>
      <c r="D6144" t="inlineStr">
        <is>
          <t>VÄSTERNORRLANDS LÄN</t>
        </is>
      </c>
      <c r="E6144" t="inlineStr">
        <is>
          <t>ÖRNSKÖLDSVIK</t>
        </is>
      </c>
      <c r="F6144" t="inlineStr">
        <is>
          <t>Holmen skog AB</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10580-2026</t>
        </is>
      </c>
      <c r="B6145" s="1" t="n">
        <v>46077.67766203704</v>
      </c>
      <c r="C6145" s="1" t="n">
        <v>46185</v>
      </c>
      <c r="D6145" t="inlineStr">
        <is>
          <t>VÄSTERNORRLANDS LÄN</t>
        </is>
      </c>
      <c r="E6145" t="inlineStr">
        <is>
          <t>SOLLEFTEÅ</t>
        </is>
      </c>
      <c r="F6145" t="inlineStr">
        <is>
          <t>SCA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10188-2026</t>
        </is>
      </c>
      <c r="B6146" s="1" t="n">
        <v>46076.44836805556</v>
      </c>
      <c r="C6146" s="1" t="n">
        <v>46185</v>
      </c>
      <c r="D6146" t="inlineStr">
        <is>
          <t>VÄSTERNORRLANDS LÄN</t>
        </is>
      </c>
      <c r="E6146" t="inlineStr">
        <is>
          <t>SOLLEFTEÅ</t>
        </is>
      </c>
      <c r="F6146" t="inlineStr">
        <is>
          <t>SCA</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37133-2024</t>
        </is>
      </c>
      <c r="B6147" s="1" t="n">
        <v>45539.57289351852</v>
      </c>
      <c r="C6147" s="1" t="n">
        <v>46185</v>
      </c>
      <c r="D6147" t="inlineStr">
        <is>
          <t>VÄSTERNORRLANDS LÄN</t>
        </is>
      </c>
      <c r="E6147" t="inlineStr">
        <is>
          <t>ÖRNSKÖLDSVIK</t>
        </is>
      </c>
      <c r="F6147" t="inlineStr">
        <is>
          <t>Holmen skog AB</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47779-2023</t>
        </is>
      </c>
      <c r="B6148" s="1" t="n">
        <v>45203.92232638889</v>
      </c>
      <c r="C6148" s="1" t="n">
        <v>46185</v>
      </c>
      <c r="D6148" t="inlineStr">
        <is>
          <t>VÄSTERNORRLANDS LÄN</t>
        </is>
      </c>
      <c r="E6148" t="inlineStr">
        <is>
          <t>ÅNGE</t>
        </is>
      </c>
      <c r="G6148" t="n">
        <v>9.6</v>
      </c>
      <c r="H6148" t="n">
        <v>0</v>
      </c>
      <c r="I6148" t="n">
        <v>0</v>
      </c>
      <c r="J6148" t="n">
        <v>0</v>
      </c>
      <c r="K6148" t="n">
        <v>0</v>
      </c>
      <c r="L6148" t="n">
        <v>0</v>
      </c>
      <c r="M6148" t="n">
        <v>0</v>
      </c>
      <c r="N6148" t="n">
        <v>0</v>
      </c>
      <c r="O6148" t="n">
        <v>0</v>
      </c>
      <c r="P6148" t="n">
        <v>0</v>
      </c>
      <c r="Q6148" t="n">
        <v>0</v>
      </c>
      <c r="R6148" s="2" t="inlineStr"/>
    </row>
    <row r="6149" ht="15" customHeight="1">
      <c r="A6149" t="inlineStr">
        <is>
          <t>A 59658-2025</t>
        </is>
      </c>
      <c r="B6149" s="1" t="n">
        <v>45992.44605324074</v>
      </c>
      <c r="C6149" s="1" t="n">
        <v>46185</v>
      </c>
      <c r="D6149" t="inlineStr">
        <is>
          <t>VÄSTERNORRLANDS LÄN</t>
        </is>
      </c>
      <c r="E6149" t="inlineStr">
        <is>
          <t>ÖRNSKÖLDSVIK</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48296-2022</t>
        </is>
      </c>
      <c r="B6150" s="1" t="n">
        <v>44858.51815972223</v>
      </c>
      <c r="C6150" s="1" t="n">
        <v>46185</v>
      </c>
      <c r="D6150" t="inlineStr">
        <is>
          <t>VÄSTERNORRLANDS LÄN</t>
        </is>
      </c>
      <c r="E6150" t="inlineStr">
        <is>
          <t>SOLLEFTEÅ</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50724-2023</t>
        </is>
      </c>
      <c r="B6151" s="1" t="n">
        <v>45217.57332175926</v>
      </c>
      <c r="C6151" s="1" t="n">
        <v>46185</v>
      </c>
      <c r="D6151" t="inlineStr">
        <is>
          <t>VÄSTERNORRLANDS LÄN</t>
        </is>
      </c>
      <c r="E6151" t="inlineStr">
        <is>
          <t>KRAMFORS</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31140-2024</t>
        </is>
      </c>
      <c r="B6152" s="1" t="n">
        <v>45502</v>
      </c>
      <c r="C6152" s="1" t="n">
        <v>46185</v>
      </c>
      <c r="D6152" t="inlineStr">
        <is>
          <t>VÄSTERNORRLANDS LÄN</t>
        </is>
      </c>
      <c r="E6152" t="inlineStr">
        <is>
          <t>KRAMFORS</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59842-2025</t>
        </is>
      </c>
      <c r="B6153" s="1" t="n">
        <v>45992.67807870371</v>
      </c>
      <c r="C6153" s="1" t="n">
        <v>46185</v>
      </c>
      <c r="D6153" t="inlineStr">
        <is>
          <t>VÄSTERNORRLANDS LÄN</t>
        </is>
      </c>
      <c r="E6153" t="inlineStr">
        <is>
          <t>SOLLEFTEÅ</t>
        </is>
      </c>
      <c r="F6153" t="inlineStr">
        <is>
          <t>SCA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59849-2025</t>
        </is>
      </c>
      <c r="B6154" s="1" t="n">
        <v>45992.70704861111</v>
      </c>
      <c r="C6154" s="1" t="n">
        <v>46185</v>
      </c>
      <c r="D6154" t="inlineStr">
        <is>
          <t>VÄSTERNORRLANDS LÄN</t>
        </is>
      </c>
      <c r="E6154" t="inlineStr">
        <is>
          <t>SOLLEFTEÅ</t>
        </is>
      </c>
      <c r="F6154" t="inlineStr">
        <is>
          <t>Holmen skog AB</t>
        </is>
      </c>
      <c r="G6154" t="n">
        <v>6.9</v>
      </c>
      <c r="H6154" t="n">
        <v>0</v>
      </c>
      <c r="I6154" t="n">
        <v>0</v>
      </c>
      <c r="J6154" t="n">
        <v>0</v>
      </c>
      <c r="K6154" t="n">
        <v>0</v>
      </c>
      <c r="L6154" t="n">
        <v>0</v>
      </c>
      <c r="M6154" t="n">
        <v>0</v>
      </c>
      <c r="N6154" t="n">
        <v>0</v>
      </c>
      <c r="O6154" t="n">
        <v>0</v>
      </c>
      <c r="P6154" t="n">
        <v>0</v>
      </c>
      <c r="Q6154" t="n">
        <v>0</v>
      </c>
      <c r="R6154" s="2" t="inlineStr"/>
    </row>
    <row r="6155" ht="15" customHeight="1">
      <c r="A6155" t="inlineStr">
        <is>
          <t>A 43419-2023</t>
        </is>
      </c>
      <c r="B6155" s="1" t="n">
        <v>45183.95748842593</v>
      </c>
      <c r="C6155" s="1" t="n">
        <v>46185</v>
      </c>
      <c r="D6155" t="inlineStr">
        <is>
          <t>VÄSTERNORRLANDS LÄN</t>
        </is>
      </c>
      <c r="E6155" t="inlineStr">
        <is>
          <t>SUNDSVALL</t>
        </is>
      </c>
      <c r="F6155" t="inlineStr">
        <is>
          <t>SCA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56284-2024</t>
        </is>
      </c>
      <c r="B6156" s="1" t="n">
        <v>45624.67894675926</v>
      </c>
      <c r="C6156" s="1" t="n">
        <v>46185</v>
      </c>
      <c r="D6156" t="inlineStr">
        <is>
          <t>VÄSTERNORRLANDS LÄN</t>
        </is>
      </c>
      <c r="E6156" t="inlineStr">
        <is>
          <t>TIMRÅ</t>
        </is>
      </c>
      <c r="F6156" t="inlineStr">
        <is>
          <t>SCA</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10571-2026</t>
        </is>
      </c>
      <c r="B6157" s="1" t="n">
        <v>46077.65894675926</v>
      </c>
      <c r="C6157" s="1" t="n">
        <v>46185</v>
      </c>
      <c r="D6157" t="inlineStr">
        <is>
          <t>VÄSTERNORRLANDS LÄN</t>
        </is>
      </c>
      <c r="E6157" t="inlineStr">
        <is>
          <t>HÄRNÖSAND</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59610-2025</t>
        </is>
      </c>
      <c r="B6158" s="1" t="n">
        <v>45992.36791666667</v>
      </c>
      <c r="C6158" s="1" t="n">
        <v>46185</v>
      </c>
      <c r="D6158" t="inlineStr">
        <is>
          <t>VÄSTERNORRLANDS LÄN</t>
        </is>
      </c>
      <c r="E6158" t="inlineStr">
        <is>
          <t>SUNDSVALL</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59648-2025</t>
        </is>
      </c>
      <c r="B6159" s="1" t="n">
        <v>45992.42827546296</v>
      </c>
      <c r="C6159" s="1" t="n">
        <v>46185</v>
      </c>
      <c r="D6159" t="inlineStr">
        <is>
          <t>VÄSTERNORRLANDS LÄN</t>
        </is>
      </c>
      <c r="E6159" t="inlineStr">
        <is>
          <t>SOLLEFTEÅ</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5022-2025</t>
        </is>
      </c>
      <c r="B6160" s="1" t="n">
        <v>45691.406875</v>
      </c>
      <c r="C6160" s="1" t="n">
        <v>46185</v>
      </c>
      <c r="D6160" t="inlineStr">
        <is>
          <t>VÄSTERNORRLANDS LÄN</t>
        </is>
      </c>
      <c r="E6160" t="inlineStr">
        <is>
          <t>SUNDSVALL</t>
        </is>
      </c>
      <c r="F6160" t="inlineStr">
        <is>
          <t>SCA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59560-2025</t>
        </is>
      </c>
      <c r="B6161" s="1" t="n">
        <v>45991</v>
      </c>
      <c r="C6161" s="1" t="n">
        <v>46185</v>
      </c>
      <c r="D6161" t="inlineStr">
        <is>
          <t>VÄSTERNORRLANDS LÄN</t>
        </is>
      </c>
      <c r="E6161" t="inlineStr">
        <is>
          <t>ÖRNSKÖLDSVIK</t>
        </is>
      </c>
      <c r="F6161" t="inlineStr">
        <is>
          <t>Holmen skog AB</t>
        </is>
      </c>
      <c r="G6161" t="n">
        <v>6.6</v>
      </c>
      <c r="H6161" t="n">
        <v>0</v>
      </c>
      <c r="I6161" t="n">
        <v>0</v>
      </c>
      <c r="J6161" t="n">
        <v>0</v>
      </c>
      <c r="K6161" t="n">
        <v>0</v>
      </c>
      <c r="L6161" t="n">
        <v>0</v>
      </c>
      <c r="M6161" t="n">
        <v>0</v>
      </c>
      <c r="N6161" t="n">
        <v>0</v>
      </c>
      <c r="O6161" t="n">
        <v>0</v>
      </c>
      <c r="P6161" t="n">
        <v>0</v>
      </c>
      <c r="Q6161" t="n">
        <v>0</v>
      </c>
      <c r="R6161" s="2" t="inlineStr"/>
    </row>
    <row r="6162" ht="15" customHeight="1">
      <c r="A6162" t="inlineStr">
        <is>
          <t>A 39913-2022</t>
        </is>
      </c>
      <c r="B6162" s="1" t="n">
        <v>44819</v>
      </c>
      <c r="C6162" s="1" t="n">
        <v>46185</v>
      </c>
      <c r="D6162" t="inlineStr">
        <is>
          <t>VÄSTERNORRLANDS LÄN</t>
        </is>
      </c>
      <c r="E6162" t="inlineStr">
        <is>
          <t>SUNDSVALL</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59589-2025</t>
        </is>
      </c>
      <c r="B6163" s="1" t="n">
        <v>45992</v>
      </c>
      <c r="C6163" s="1" t="n">
        <v>46185</v>
      </c>
      <c r="D6163" t="inlineStr">
        <is>
          <t>VÄSTERNORRLANDS LÄN</t>
        </is>
      </c>
      <c r="E6163" t="inlineStr">
        <is>
          <t>ÖRNSKÖLDSVIK</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59625-2025</t>
        </is>
      </c>
      <c r="B6164" s="1" t="n">
        <v>45992.38886574074</v>
      </c>
      <c r="C6164" s="1" t="n">
        <v>46185</v>
      </c>
      <c r="D6164" t="inlineStr">
        <is>
          <t>VÄSTERNORRLANDS LÄN</t>
        </is>
      </c>
      <c r="E6164" t="inlineStr">
        <is>
          <t>SUNDSVALL</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59639-2025</t>
        </is>
      </c>
      <c r="B6165" s="1" t="n">
        <v>45992</v>
      </c>
      <c r="C6165" s="1" t="n">
        <v>46185</v>
      </c>
      <c r="D6165" t="inlineStr">
        <is>
          <t>VÄSTERNORRLANDS LÄN</t>
        </is>
      </c>
      <c r="E6165" t="inlineStr">
        <is>
          <t>KRAMFORS</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59641-2025</t>
        </is>
      </c>
      <c r="B6166" s="1" t="n">
        <v>45992.4175925926</v>
      </c>
      <c r="C6166" s="1" t="n">
        <v>46185</v>
      </c>
      <c r="D6166" t="inlineStr">
        <is>
          <t>VÄSTERNORRLANDS LÄN</t>
        </is>
      </c>
      <c r="E6166" t="inlineStr">
        <is>
          <t>ÅNGE</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59645-2025</t>
        </is>
      </c>
      <c r="B6167" s="1" t="n">
        <v>45992.42796296296</v>
      </c>
      <c r="C6167" s="1" t="n">
        <v>46185</v>
      </c>
      <c r="D6167" t="inlineStr">
        <is>
          <t>VÄSTERNORRLANDS LÄN</t>
        </is>
      </c>
      <c r="E6167" t="inlineStr">
        <is>
          <t>SOLLEFTEÅ</t>
        </is>
      </c>
      <c r="F6167" t="inlineStr">
        <is>
          <t>SCA</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59647-2025</t>
        </is>
      </c>
      <c r="B6168" s="1" t="n">
        <v>45992.42819444444</v>
      </c>
      <c r="C6168" s="1" t="n">
        <v>46185</v>
      </c>
      <c r="D6168" t="inlineStr">
        <is>
          <t>VÄSTERNORRLANDS LÄN</t>
        </is>
      </c>
      <c r="E6168" t="inlineStr">
        <is>
          <t>SUNDSVALL</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48010-2023</t>
        </is>
      </c>
      <c r="B6169" s="1" t="n">
        <v>45204</v>
      </c>
      <c r="C6169" s="1" t="n">
        <v>46185</v>
      </c>
      <c r="D6169" t="inlineStr">
        <is>
          <t>VÄSTERNORRLANDS LÄN</t>
        </is>
      </c>
      <c r="E6169" t="inlineStr">
        <is>
          <t>ÖRNSKÖLDSVIK</t>
        </is>
      </c>
      <c r="F6169" t="inlineStr">
        <is>
          <t>Holmen skog AB</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10581-2026</t>
        </is>
      </c>
      <c r="B6170" s="1" t="n">
        <v>46077.67774305555</v>
      </c>
      <c r="C6170" s="1" t="n">
        <v>46185</v>
      </c>
      <c r="D6170" t="inlineStr">
        <is>
          <t>VÄSTERNORRLANDS LÄN</t>
        </is>
      </c>
      <c r="E6170" t="inlineStr">
        <is>
          <t>SOLLEFTEÅ</t>
        </is>
      </c>
      <c r="F6170" t="inlineStr">
        <is>
          <t>SCA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9637-2026</t>
        </is>
      </c>
      <c r="B6171" s="1" t="n">
        <v>46072</v>
      </c>
      <c r="C6171" s="1" t="n">
        <v>46185</v>
      </c>
      <c r="D6171" t="inlineStr">
        <is>
          <t>VÄSTERNORRLANDS LÄN</t>
        </is>
      </c>
      <c r="E6171" t="inlineStr">
        <is>
          <t>TIMRÅ</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59408-2025</t>
        </is>
      </c>
      <c r="B6172" s="1" t="n">
        <v>45989.49541666666</v>
      </c>
      <c r="C6172" s="1" t="n">
        <v>46185</v>
      </c>
      <c r="D6172" t="inlineStr">
        <is>
          <t>VÄSTERNORRLANDS LÄN</t>
        </is>
      </c>
      <c r="E6172" t="inlineStr">
        <is>
          <t>SOLLEFTEÅ</t>
        </is>
      </c>
      <c r="F6172" t="inlineStr">
        <is>
          <t>Holmen skog AB</t>
        </is>
      </c>
      <c r="G6172" t="n">
        <v>11.5</v>
      </c>
      <c r="H6172" t="n">
        <v>0</v>
      </c>
      <c r="I6172" t="n">
        <v>0</v>
      </c>
      <c r="J6172" t="n">
        <v>0</v>
      </c>
      <c r="K6172" t="n">
        <v>0</v>
      </c>
      <c r="L6172" t="n">
        <v>0</v>
      </c>
      <c r="M6172" t="n">
        <v>0</v>
      </c>
      <c r="N6172" t="n">
        <v>0</v>
      </c>
      <c r="O6172" t="n">
        <v>0</v>
      </c>
      <c r="P6172" t="n">
        <v>0</v>
      </c>
      <c r="Q6172" t="n">
        <v>0</v>
      </c>
      <c r="R6172" s="2" t="inlineStr"/>
    </row>
    <row r="6173" ht="15" customHeight="1">
      <c r="A6173" t="inlineStr">
        <is>
          <t>A 59319-2025</t>
        </is>
      </c>
      <c r="B6173" s="1" t="n">
        <v>45989.33283564815</v>
      </c>
      <c r="C6173" s="1" t="n">
        <v>46185</v>
      </c>
      <c r="D6173" t="inlineStr">
        <is>
          <t>VÄSTERNORRLANDS LÄN</t>
        </is>
      </c>
      <c r="E6173" t="inlineStr">
        <is>
          <t>ÅNGE</t>
        </is>
      </c>
      <c r="F6173" t="inlineStr">
        <is>
          <t>Sveaskog</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59331-2025</t>
        </is>
      </c>
      <c r="B6174" s="1" t="n">
        <v>45989.35978009259</v>
      </c>
      <c r="C6174" s="1" t="n">
        <v>46185</v>
      </c>
      <c r="D6174" t="inlineStr">
        <is>
          <t>VÄSTERNORRLANDS LÄN</t>
        </is>
      </c>
      <c r="E6174" t="inlineStr">
        <is>
          <t>ÅNGE</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59621-2025</t>
        </is>
      </c>
      <c r="B6175" s="1" t="n">
        <v>45992.38445601852</v>
      </c>
      <c r="C6175" s="1" t="n">
        <v>46185</v>
      </c>
      <c r="D6175" t="inlineStr">
        <is>
          <t>VÄSTERNORRLANDS LÄN</t>
        </is>
      </c>
      <c r="E6175" t="inlineStr">
        <is>
          <t>SUNDSVALL</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11746-2025</t>
        </is>
      </c>
      <c r="B6176" s="1" t="n">
        <v>45727.63577546296</v>
      </c>
      <c r="C6176" s="1" t="n">
        <v>46185</v>
      </c>
      <c r="D6176" t="inlineStr">
        <is>
          <t>VÄSTERNORRLANDS LÄN</t>
        </is>
      </c>
      <c r="E6176" t="inlineStr">
        <is>
          <t>SOLLEFTEÅ</t>
        </is>
      </c>
      <c r="F6176" t="inlineStr">
        <is>
          <t>SCA</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59541-2025</t>
        </is>
      </c>
      <c r="B6177" s="1" t="n">
        <v>45990.34443287037</v>
      </c>
      <c r="C6177" s="1" t="n">
        <v>46185</v>
      </c>
      <c r="D6177" t="inlineStr">
        <is>
          <t>VÄSTERNORRLANDS LÄN</t>
        </is>
      </c>
      <c r="E6177" t="inlineStr">
        <is>
          <t>SOLLEFTEÅ</t>
        </is>
      </c>
      <c r="F6177" t="inlineStr">
        <is>
          <t>SCA</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13859-2025</t>
        </is>
      </c>
      <c r="B6178" s="1" t="n">
        <v>45737</v>
      </c>
      <c r="C6178" s="1" t="n">
        <v>46185</v>
      </c>
      <c r="D6178" t="inlineStr">
        <is>
          <t>VÄSTERNORRLANDS LÄN</t>
        </is>
      </c>
      <c r="E6178" t="inlineStr">
        <is>
          <t>SUNDSVALL</t>
        </is>
      </c>
      <c r="F6178" t="inlineStr">
        <is>
          <t>SCA</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59853-2025</t>
        </is>
      </c>
      <c r="B6179" s="1" t="n">
        <v>45992.71846064815</v>
      </c>
      <c r="C6179" s="1" t="n">
        <v>46185</v>
      </c>
      <c r="D6179" t="inlineStr">
        <is>
          <t>VÄSTERNORRLANDS LÄN</t>
        </is>
      </c>
      <c r="E6179" t="inlineStr">
        <is>
          <t>ÖRNSKÖLDSVIK</t>
        </is>
      </c>
      <c r="F6179" t="inlineStr">
        <is>
          <t>Kommuner</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59904-2025</t>
        </is>
      </c>
      <c r="B6180" s="1" t="n">
        <v>45992</v>
      </c>
      <c r="C6180" s="1" t="n">
        <v>46185</v>
      </c>
      <c r="D6180" t="inlineStr">
        <is>
          <t>VÄSTERNORRLANDS LÄN</t>
        </is>
      </c>
      <c r="E6180" t="inlineStr">
        <is>
          <t>SUNDSVALL</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40559-2021</t>
        </is>
      </c>
      <c r="B6181" s="1" t="n">
        <v>44420.43424768518</v>
      </c>
      <c r="C6181" s="1" t="n">
        <v>46185</v>
      </c>
      <c r="D6181" t="inlineStr">
        <is>
          <t>VÄSTERNORRLANDS LÄN</t>
        </is>
      </c>
      <c r="E6181" t="inlineStr">
        <is>
          <t>ÖRNSKÖLDSVIK</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4784-2025</t>
        </is>
      </c>
      <c r="B6182" s="1" t="n">
        <v>45688.53841435185</v>
      </c>
      <c r="C6182" s="1" t="n">
        <v>46185</v>
      </c>
      <c r="D6182" t="inlineStr">
        <is>
          <t>VÄSTERNORRLANDS LÄN</t>
        </is>
      </c>
      <c r="E6182" t="inlineStr">
        <is>
          <t>SUNDSVALL</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49502-2022</t>
        </is>
      </c>
      <c r="B6183" s="1" t="n">
        <v>44861.92613425926</v>
      </c>
      <c r="C6183" s="1" t="n">
        <v>46185</v>
      </c>
      <c r="D6183" t="inlineStr">
        <is>
          <t>VÄSTERNORRLANDS LÄN</t>
        </is>
      </c>
      <c r="E6183" t="inlineStr">
        <is>
          <t>ÅNGE</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49539-2022</t>
        </is>
      </c>
      <c r="B6184" s="1" t="n">
        <v>44861.95814814815</v>
      </c>
      <c r="C6184" s="1" t="n">
        <v>46185</v>
      </c>
      <c r="D6184" t="inlineStr">
        <is>
          <t>VÄSTERNORRLANDS LÄN</t>
        </is>
      </c>
      <c r="E6184" t="inlineStr">
        <is>
          <t>SUNDSVALL</t>
        </is>
      </c>
      <c r="F6184" t="inlineStr">
        <is>
          <t>SCA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59442-2025</t>
        </is>
      </c>
      <c r="B6185" s="1" t="n">
        <v>45989.56134259259</v>
      </c>
      <c r="C6185" s="1" t="n">
        <v>46185</v>
      </c>
      <c r="D6185" t="inlineStr">
        <is>
          <t>VÄSTERNORRLANDS LÄN</t>
        </is>
      </c>
      <c r="E6185" t="inlineStr">
        <is>
          <t>ÖRNSKÖLDSVIK</t>
        </is>
      </c>
      <c r="F6185" t="inlineStr">
        <is>
          <t>Holmen skog AB</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10691-2026</t>
        </is>
      </c>
      <c r="B6186" s="1" t="n">
        <v>46078</v>
      </c>
      <c r="C6186" s="1" t="n">
        <v>46185</v>
      </c>
      <c r="D6186" t="inlineStr">
        <is>
          <t>VÄSTERNORRLANDS LÄN</t>
        </is>
      </c>
      <c r="E6186" t="inlineStr">
        <is>
          <t>SUNDSVALL</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59475-2025</t>
        </is>
      </c>
      <c r="B6187" s="1" t="n">
        <v>45989.58521990741</v>
      </c>
      <c r="C6187" s="1" t="n">
        <v>46185</v>
      </c>
      <c r="D6187" t="inlineStr">
        <is>
          <t>VÄSTERNORRLANDS LÄN</t>
        </is>
      </c>
      <c r="E6187" t="inlineStr">
        <is>
          <t>ÖRNSKÖLDSVIK</t>
        </is>
      </c>
      <c r="F6187" t="inlineStr">
        <is>
          <t>Holmen skog AB</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10732-2026</t>
        </is>
      </c>
      <c r="B6188" s="1" t="n">
        <v>46078.48142361111</v>
      </c>
      <c r="C6188" s="1" t="n">
        <v>46185</v>
      </c>
      <c r="D6188" t="inlineStr">
        <is>
          <t>VÄSTERNORRLANDS LÄN</t>
        </is>
      </c>
      <c r="E6188" t="inlineStr">
        <is>
          <t>KRAMFORS</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16009-2025</t>
        </is>
      </c>
      <c r="B6189" s="1" t="n">
        <v>45749.59996527778</v>
      </c>
      <c r="C6189" s="1" t="n">
        <v>46185</v>
      </c>
      <c r="D6189" t="inlineStr">
        <is>
          <t>VÄSTERNORRLANDS LÄN</t>
        </is>
      </c>
      <c r="E6189" t="inlineStr">
        <is>
          <t>HÄRNÖSAND</t>
        </is>
      </c>
      <c r="G6189" t="n">
        <v>9.300000000000001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59330-2025</t>
        </is>
      </c>
      <c r="B6190" s="1" t="n">
        <v>45989.35884259259</v>
      </c>
      <c r="C6190" s="1" t="n">
        <v>46185</v>
      </c>
      <c r="D6190" t="inlineStr">
        <is>
          <t>VÄSTERNORRLANDS LÄN</t>
        </is>
      </c>
      <c r="E6190" t="inlineStr">
        <is>
          <t>ÖRNSKÖLDSVIK</t>
        </is>
      </c>
      <c r="F6190" t="inlineStr">
        <is>
          <t>Holmen skog AB</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59767-2025</t>
        </is>
      </c>
      <c r="B6191" s="1" t="n">
        <v>45992.59505787037</v>
      </c>
      <c r="C6191" s="1" t="n">
        <v>46185</v>
      </c>
      <c r="D6191" t="inlineStr">
        <is>
          <t>VÄSTERNORRLANDS LÄN</t>
        </is>
      </c>
      <c r="E6191" t="inlineStr">
        <is>
          <t>SOLLEFTEÅ</t>
        </is>
      </c>
      <c r="G6191" t="n">
        <v>0.2</v>
      </c>
      <c r="H6191" t="n">
        <v>0</v>
      </c>
      <c r="I6191" t="n">
        <v>0</v>
      </c>
      <c r="J6191" t="n">
        <v>0</v>
      </c>
      <c r="K6191" t="n">
        <v>0</v>
      </c>
      <c r="L6191" t="n">
        <v>0</v>
      </c>
      <c r="M6191" t="n">
        <v>0</v>
      </c>
      <c r="N6191" t="n">
        <v>0</v>
      </c>
      <c r="O6191" t="n">
        <v>0</v>
      </c>
      <c r="P6191" t="n">
        <v>0</v>
      </c>
      <c r="Q6191" t="n">
        <v>0</v>
      </c>
      <c r="R6191" s="2" t="inlineStr"/>
    </row>
    <row r="6192" ht="15" customHeight="1">
      <c r="A6192" t="inlineStr">
        <is>
          <t>A 57067-2023</t>
        </is>
      </c>
      <c r="B6192" s="1" t="n">
        <v>45244</v>
      </c>
      <c r="C6192" s="1" t="n">
        <v>46185</v>
      </c>
      <c r="D6192" t="inlineStr">
        <is>
          <t>VÄSTERNORRLANDS LÄN</t>
        </is>
      </c>
      <c r="E6192" t="inlineStr">
        <is>
          <t>SUNDSVALL</t>
        </is>
      </c>
      <c r="F6192" t="inlineStr">
        <is>
          <t>SCA</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59790-2025</t>
        </is>
      </c>
      <c r="B6193" s="1" t="n">
        <v>45992</v>
      </c>
      <c r="C6193" s="1" t="n">
        <v>46185</v>
      </c>
      <c r="D6193" t="inlineStr">
        <is>
          <t>VÄSTERNORRLANDS LÄN</t>
        </is>
      </c>
      <c r="E6193" t="inlineStr">
        <is>
          <t>KRAMFORS</t>
        </is>
      </c>
      <c r="F6193" t="inlineStr">
        <is>
          <t>SCA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59774-2025</t>
        </is>
      </c>
      <c r="B6194" s="1" t="n">
        <v>45992.60681712963</v>
      </c>
      <c r="C6194" s="1" t="n">
        <v>46185</v>
      </c>
      <c r="D6194" t="inlineStr">
        <is>
          <t>VÄSTERNORRLANDS LÄN</t>
        </is>
      </c>
      <c r="E6194" t="inlineStr">
        <is>
          <t>KRAMFORS</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59691-2025</t>
        </is>
      </c>
      <c r="B6195" s="1" t="n">
        <v>45992.48664351852</v>
      </c>
      <c r="C6195" s="1" t="n">
        <v>46185</v>
      </c>
      <c r="D6195" t="inlineStr">
        <is>
          <t>VÄSTERNORRLANDS LÄN</t>
        </is>
      </c>
      <c r="E6195" t="inlineStr">
        <is>
          <t>ÖRNSKÖLDSVIK</t>
        </is>
      </c>
      <c r="F6195" t="inlineStr">
        <is>
          <t>Holmen skog AB</t>
        </is>
      </c>
      <c r="G6195" t="n">
        <v>7.2</v>
      </c>
      <c r="H6195" t="n">
        <v>0</v>
      </c>
      <c r="I6195" t="n">
        <v>0</v>
      </c>
      <c r="J6195" t="n">
        <v>0</v>
      </c>
      <c r="K6195" t="n">
        <v>0</v>
      </c>
      <c r="L6195" t="n">
        <v>0</v>
      </c>
      <c r="M6195" t="n">
        <v>0</v>
      </c>
      <c r="N6195" t="n">
        <v>0</v>
      </c>
      <c r="O6195" t="n">
        <v>0</v>
      </c>
      <c r="P6195" t="n">
        <v>0</v>
      </c>
      <c r="Q6195" t="n">
        <v>0</v>
      </c>
      <c r="R6195" s="2" t="inlineStr"/>
    </row>
    <row r="6196" ht="15" customHeight="1">
      <c r="A6196" t="inlineStr">
        <is>
          <t>A 19936-2025</t>
        </is>
      </c>
      <c r="B6196" s="1" t="n">
        <v>45771.64130787037</v>
      </c>
      <c r="C6196" s="1" t="n">
        <v>46185</v>
      </c>
      <c r="D6196" t="inlineStr">
        <is>
          <t>VÄSTERNORRLANDS LÄN</t>
        </is>
      </c>
      <c r="E6196" t="inlineStr">
        <is>
          <t>SOLLEFTEÅ</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19949-2025</t>
        </is>
      </c>
      <c r="B6197" s="1" t="n">
        <v>45771.65688657408</v>
      </c>
      <c r="C6197" s="1" t="n">
        <v>46185</v>
      </c>
      <c r="D6197" t="inlineStr">
        <is>
          <t>VÄSTERNORRLANDS LÄN</t>
        </is>
      </c>
      <c r="E6197" t="inlineStr">
        <is>
          <t>SOLLEFTEÅ</t>
        </is>
      </c>
      <c r="F6197" t="inlineStr">
        <is>
          <t>SCA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10969-2026</t>
        </is>
      </c>
      <c r="B6198" s="1" t="n">
        <v>46079.44508101852</v>
      </c>
      <c r="C6198" s="1" t="n">
        <v>46185</v>
      </c>
      <c r="D6198" t="inlineStr">
        <is>
          <t>VÄSTERNORRLANDS LÄN</t>
        </is>
      </c>
      <c r="E6198" t="inlineStr">
        <is>
          <t>SUNDSVALL</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59699-2025</t>
        </is>
      </c>
      <c r="B6199" s="1" t="n">
        <v>45992.49478009259</v>
      </c>
      <c r="C6199" s="1" t="n">
        <v>46185</v>
      </c>
      <c r="D6199" t="inlineStr">
        <is>
          <t>VÄSTERNORRLANDS LÄN</t>
        </is>
      </c>
      <c r="E6199" t="inlineStr">
        <is>
          <t>ÖRNSKÖLDSVIK</t>
        </is>
      </c>
      <c r="F6199" t="inlineStr">
        <is>
          <t>Holmen skog AB</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41605-2023</t>
        </is>
      </c>
      <c r="B6200" s="1" t="n">
        <v>45175.65100694444</v>
      </c>
      <c r="C6200" s="1" t="n">
        <v>46185</v>
      </c>
      <c r="D6200" t="inlineStr">
        <is>
          <t>VÄSTERNORRLANDS LÄN</t>
        </is>
      </c>
      <c r="E6200" t="inlineStr">
        <is>
          <t>TIMRÅ</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10949-2026</t>
        </is>
      </c>
      <c r="B6201" s="1" t="n">
        <v>46079</v>
      </c>
      <c r="C6201" s="1" t="n">
        <v>46185</v>
      </c>
      <c r="D6201" t="inlineStr">
        <is>
          <t>VÄSTERNORRLANDS LÄN</t>
        </is>
      </c>
      <c r="E6201" t="inlineStr">
        <is>
          <t>SOLLEFTEÅ</t>
        </is>
      </c>
      <c r="F6201" t="inlineStr">
        <is>
          <t>SCA</t>
        </is>
      </c>
      <c r="G6201" t="n">
        <v>34.7</v>
      </c>
      <c r="H6201" t="n">
        <v>0</v>
      </c>
      <c r="I6201" t="n">
        <v>0</v>
      </c>
      <c r="J6201" t="n">
        <v>0</v>
      </c>
      <c r="K6201" t="n">
        <v>0</v>
      </c>
      <c r="L6201" t="n">
        <v>0</v>
      </c>
      <c r="M6201" t="n">
        <v>0</v>
      </c>
      <c r="N6201" t="n">
        <v>0</v>
      </c>
      <c r="O6201" t="n">
        <v>0</v>
      </c>
      <c r="P6201" t="n">
        <v>0</v>
      </c>
      <c r="Q6201" t="n">
        <v>0</v>
      </c>
      <c r="R6201" s="2" t="inlineStr"/>
    </row>
    <row r="6202" ht="15" customHeight="1">
      <c r="A6202" t="inlineStr">
        <is>
          <t>A 41710-2023</t>
        </is>
      </c>
      <c r="B6202" s="1" t="n">
        <v>45173</v>
      </c>
      <c r="C6202" s="1" t="n">
        <v>46185</v>
      </c>
      <c r="D6202" t="inlineStr">
        <is>
          <t>VÄSTERNORRLANDS LÄN</t>
        </is>
      </c>
      <c r="E6202" t="inlineStr">
        <is>
          <t>ÖRNSKÖLDSVIK</t>
        </is>
      </c>
      <c r="G6202" t="n">
        <v>6.1</v>
      </c>
      <c r="H6202" t="n">
        <v>0</v>
      </c>
      <c r="I6202" t="n">
        <v>0</v>
      </c>
      <c r="J6202" t="n">
        <v>0</v>
      </c>
      <c r="K6202" t="n">
        <v>0</v>
      </c>
      <c r="L6202" t="n">
        <v>0</v>
      </c>
      <c r="M6202" t="n">
        <v>0</v>
      </c>
      <c r="N6202" t="n">
        <v>0</v>
      </c>
      <c r="O6202" t="n">
        <v>0</v>
      </c>
      <c r="P6202" t="n">
        <v>0</v>
      </c>
      <c r="Q6202" t="n">
        <v>0</v>
      </c>
      <c r="R6202" s="2" t="inlineStr"/>
    </row>
    <row r="6203" ht="15" customHeight="1">
      <c r="A6203" t="inlineStr">
        <is>
          <t>A 10971-2026</t>
        </is>
      </c>
      <c r="B6203" s="1" t="n">
        <v>46079.45012731481</v>
      </c>
      <c r="C6203" s="1" t="n">
        <v>46185</v>
      </c>
      <c r="D6203" t="inlineStr">
        <is>
          <t>VÄSTERNORRLANDS LÄN</t>
        </is>
      </c>
      <c r="E6203" t="inlineStr">
        <is>
          <t>SUNDSVALL</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10981-2026</t>
        </is>
      </c>
      <c r="B6204" s="1" t="n">
        <v>46079</v>
      </c>
      <c r="C6204" s="1" t="n">
        <v>46185</v>
      </c>
      <c r="D6204" t="inlineStr">
        <is>
          <t>VÄSTERNORRLANDS LÄN</t>
        </is>
      </c>
      <c r="E6204" t="inlineStr">
        <is>
          <t>TIMRÅ</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11006-2026</t>
        </is>
      </c>
      <c r="B6205" s="1" t="n">
        <v>46079</v>
      </c>
      <c r="C6205" s="1" t="n">
        <v>46185</v>
      </c>
      <c r="D6205" t="inlineStr">
        <is>
          <t>VÄSTERNORRLANDS LÄN</t>
        </is>
      </c>
      <c r="E6205" t="inlineStr">
        <is>
          <t>TIMRÅ</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11017-2026</t>
        </is>
      </c>
      <c r="B6206" s="1" t="n">
        <v>46079.54549768518</v>
      </c>
      <c r="C6206" s="1" t="n">
        <v>46185</v>
      </c>
      <c r="D6206" t="inlineStr">
        <is>
          <t>VÄSTERNORRLANDS LÄN</t>
        </is>
      </c>
      <c r="E6206" t="inlineStr">
        <is>
          <t>SOLLEFTEÅ</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59898-2025</t>
        </is>
      </c>
      <c r="B6207" s="1" t="n">
        <v>45992</v>
      </c>
      <c r="C6207" s="1" t="n">
        <v>46185</v>
      </c>
      <c r="D6207" t="inlineStr">
        <is>
          <t>VÄSTERNORRLANDS LÄN</t>
        </is>
      </c>
      <c r="E6207" t="inlineStr">
        <is>
          <t>SUNDSVALL</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58045-2025</t>
        </is>
      </c>
      <c r="B6208" s="1" t="n">
        <v>45982</v>
      </c>
      <c r="C6208" s="1" t="n">
        <v>46185</v>
      </c>
      <c r="D6208" t="inlineStr">
        <is>
          <t>VÄSTERNORRLANDS LÄN</t>
        </is>
      </c>
      <c r="E6208" t="inlineStr">
        <is>
          <t>TIMRÅ</t>
        </is>
      </c>
      <c r="G6208" t="n">
        <v>5.5</v>
      </c>
      <c r="H6208" t="n">
        <v>0</v>
      </c>
      <c r="I6208" t="n">
        <v>0</v>
      </c>
      <c r="J6208" t="n">
        <v>0</v>
      </c>
      <c r="K6208" t="n">
        <v>0</v>
      </c>
      <c r="L6208" t="n">
        <v>0</v>
      </c>
      <c r="M6208" t="n">
        <v>0</v>
      </c>
      <c r="N6208" t="n">
        <v>0</v>
      </c>
      <c r="O6208" t="n">
        <v>0</v>
      </c>
      <c r="P6208" t="n">
        <v>0</v>
      </c>
      <c r="Q6208" t="n">
        <v>0</v>
      </c>
      <c r="R6208" s="2" t="inlineStr"/>
    </row>
    <row r="6209" ht="15" customHeight="1">
      <c r="A6209" t="inlineStr">
        <is>
          <t>A 41825-2022</t>
        </is>
      </c>
      <c r="B6209" s="1" t="n">
        <v>44827</v>
      </c>
      <c r="C6209" s="1" t="n">
        <v>46185</v>
      </c>
      <c r="D6209" t="inlineStr">
        <is>
          <t>VÄSTERNORRLANDS LÄN</t>
        </is>
      </c>
      <c r="E6209" t="inlineStr">
        <is>
          <t>ÅNGE</t>
        </is>
      </c>
      <c r="F6209" t="inlineStr">
        <is>
          <t>SCA</t>
        </is>
      </c>
      <c r="G6209" t="n">
        <v>3.3</v>
      </c>
      <c r="H6209" t="n">
        <v>0</v>
      </c>
      <c r="I6209" t="n">
        <v>0</v>
      </c>
      <c r="J6209" t="n">
        <v>0</v>
      </c>
      <c r="K6209" t="n">
        <v>0</v>
      </c>
      <c r="L6209" t="n">
        <v>0</v>
      </c>
      <c r="M6209" t="n">
        <v>0</v>
      </c>
      <c r="N6209" t="n">
        <v>0</v>
      </c>
      <c r="O6209" t="n">
        <v>0</v>
      </c>
      <c r="P6209" t="n">
        <v>0</v>
      </c>
      <c r="Q6209" t="n">
        <v>0</v>
      </c>
      <c r="R6209" s="2" t="inlineStr"/>
      <c r="U6209">
        <f>HYPERLINK("https://klasma.github.io/Logging_2260/knärot/A 41825-2022 karta knärot.png", "A 41825-2022")</f>
        <v/>
      </c>
      <c r="V6209">
        <f>HYPERLINK("https://klasma.github.io/Logging_2260/klagomål/A 41825-2022 FSC-klagomål.docx", "A 41825-2022")</f>
        <v/>
      </c>
      <c r="W6209">
        <f>HYPERLINK("https://klasma.github.io/Logging_2260/klagomålsmail/A 41825-2022 FSC-klagomål mail.docx", "A 41825-2022")</f>
        <v/>
      </c>
      <c r="X6209">
        <f>HYPERLINK("https://klasma.github.io/Logging_2260/tillsyn/A 41825-2022 tillsynsbegäran.docx", "A 41825-2022")</f>
        <v/>
      </c>
      <c r="Y6209">
        <f>HYPERLINK("https://klasma.github.io/Logging_2260/tillsynsmail/A 41825-2022 tillsynsbegäran mail.docx", "A 41825-2022")</f>
        <v/>
      </c>
    </row>
    <row r="6210" ht="15" customHeight="1">
      <c r="A6210" t="inlineStr">
        <is>
          <t>A 24277-2024</t>
        </is>
      </c>
      <c r="B6210" s="1" t="n">
        <v>45457.43934027778</v>
      </c>
      <c r="C6210" s="1" t="n">
        <v>46185</v>
      </c>
      <c r="D6210" t="inlineStr">
        <is>
          <t>VÄSTERNORRLANDS LÄN</t>
        </is>
      </c>
      <c r="E6210" t="inlineStr">
        <is>
          <t>ÖRNSKÖLDSVIK</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59434-2025</t>
        </is>
      </c>
      <c r="B6211" s="1" t="n">
        <v>45989.55391203704</v>
      </c>
      <c r="C6211" s="1" t="n">
        <v>46185</v>
      </c>
      <c r="D6211" t="inlineStr">
        <is>
          <t>VÄSTERNORRLANDS LÄN</t>
        </is>
      </c>
      <c r="E6211" t="inlineStr">
        <is>
          <t>ÖRNSKÖLDSVIK</t>
        </is>
      </c>
      <c r="F6211" t="inlineStr">
        <is>
          <t>Holmen skog AB</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59436-2025</t>
        </is>
      </c>
      <c r="B6212" s="1" t="n">
        <v>45989.55641203704</v>
      </c>
      <c r="C6212" s="1" t="n">
        <v>46185</v>
      </c>
      <c r="D6212" t="inlineStr">
        <is>
          <t>VÄSTERNORRLANDS LÄN</t>
        </is>
      </c>
      <c r="E6212" t="inlineStr">
        <is>
          <t>SOLLEFTEÅ</t>
        </is>
      </c>
      <c r="F6212" t="inlineStr">
        <is>
          <t>Holmen skog AB</t>
        </is>
      </c>
      <c r="G6212" t="n">
        <v>20</v>
      </c>
      <c r="H6212" t="n">
        <v>0</v>
      </c>
      <c r="I6212" t="n">
        <v>0</v>
      </c>
      <c r="J6212" t="n">
        <v>0</v>
      </c>
      <c r="K6212" t="n">
        <v>0</v>
      </c>
      <c r="L6212" t="n">
        <v>0</v>
      </c>
      <c r="M6212" t="n">
        <v>0</v>
      </c>
      <c r="N6212" t="n">
        <v>0</v>
      </c>
      <c r="O6212" t="n">
        <v>0</v>
      </c>
      <c r="P6212" t="n">
        <v>0</v>
      </c>
      <c r="Q6212" t="n">
        <v>0</v>
      </c>
      <c r="R6212" s="2" t="inlineStr"/>
    </row>
    <row r="6213" ht="15" customHeight="1">
      <c r="A6213" t="inlineStr">
        <is>
          <t>A 59438-2025</t>
        </is>
      </c>
      <c r="B6213" s="1" t="n">
        <v>45989.5579050926</v>
      </c>
      <c r="C6213" s="1" t="n">
        <v>46185</v>
      </c>
      <c r="D6213" t="inlineStr">
        <is>
          <t>VÄSTERNORRLANDS LÄN</t>
        </is>
      </c>
      <c r="E6213" t="inlineStr">
        <is>
          <t>ÖRNSKÖLDSVIK</t>
        </is>
      </c>
      <c r="F6213" t="inlineStr">
        <is>
          <t>Holmen skog AB</t>
        </is>
      </c>
      <c r="G6213" t="n">
        <v>5.4</v>
      </c>
      <c r="H6213" t="n">
        <v>0</v>
      </c>
      <c r="I6213" t="n">
        <v>0</v>
      </c>
      <c r="J6213" t="n">
        <v>0</v>
      </c>
      <c r="K6213" t="n">
        <v>0</v>
      </c>
      <c r="L6213" t="n">
        <v>0</v>
      </c>
      <c r="M6213" t="n">
        <v>0</v>
      </c>
      <c r="N6213" t="n">
        <v>0</v>
      </c>
      <c r="O6213" t="n">
        <v>0</v>
      </c>
      <c r="P6213" t="n">
        <v>0</v>
      </c>
      <c r="Q6213" t="n">
        <v>0</v>
      </c>
      <c r="R6213" s="2" t="inlineStr"/>
    </row>
    <row r="6214" ht="15" customHeight="1">
      <c r="A6214" t="inlineStr">
        <is>
          <t>A 10722-2026</t>
        </is>
      </c>
      <c r="B6214" s="1" t="n">
        <v>46078.46929398148</v>
      </c>
      <c r="C6214" s="1" t="n">
        <v>46185</v>
      </c>
      <c r="D6214" t="inlineStr">
        <is>
          <t>VÄSTERNORRLANDS LÄN</t>
        </is>
      </c>
      <c r="E6214" t="inlineStr">
        <is>
          <t>ÅNGE</t>
        </is>
      </c>
      <c r="F6214" t="inlineStr">
        <is>
          <t>SCA</t>
        </is>
      </c>
      <c r="G6214" t="n">
        <v>6.8</v>
      </c>
      <c r="H6214" t="n">
        <v>0</v>
      </c>
      <c r="I6214" t="n">
        <v>0</v>
      </c>
      <c r="J6214" t="n">
        <v>0</v>
      </c>
      <c r="K6214" t="n">
        <v>0</v>
      </c>
      <c r="L6214" t="n">
        <v>0</v>
      </c>
      <c r="M6214" t="n">
        <v>0</v>
      </c>
      <c r="N6214" t="n">
        <v>0</v>
      </c>
      <c r="O6214" t="n">
        <v>0</v>
      </c>
      <c r="P6214" t="n">
        <v>0</v>
      </c>
      <c r="Q6214" t="n">
        <v>0</v>
      </c>
      <c r="R6214" s="2" t="inlineStr"/>
    </row>
    <row r="6215" ht="15" customHeight="1">
      <c r="A6215" t="inlineStr">
        <is>
          <t>A 18917-2023</t>
        </is>
      </c>
      <c r="B6215" s="1" t="n">
        <v>45044</v>
      </c>
      <c r="C6215" s="1" t="n">
        <v>46185</v>
      </c>
      <c r="D6215" t="inlineStr">
        <is>
          <t>VÄSTERNORRLANDS LÄN</t>
        </is>
      </c>
      <c r="E6215" t="inlineStr">
        <is>
          <t>KRAMFORS</t>
        </is>
      </c>
      <c r="G6215" t="n">
        <v>6.9</v>
      </c>
      <c r="H6215" t="n">
        <v>0</v>
      </c>
      <c r="I6215" t="n">
        <v>0</v>
      </c>
      <c r="J6215" t="n">
        <v>0</v>
      </c>
      <c r="K6215" t="n">
        <v>0</v>
      </c>
      <c r="L6215" t="n">
        <v>0</v>
      </c>
      <c r="M6215" t="n">
        <v>0</v>
      </c>
      <c r="N6215" t="n">
        <v>0</v>
      </c>
      <c r="O6215" t="n">
        <v>0</v>
      </c>
      <c r="P6215" t="n">
        <v>0</v>
      </c>
      <c r="Q6215" t="n">
        <v>0</v>
      </c>
      <c r="R6215" s="2" t="inlineStr"/>
    </row>
    <row r="6216" ht="15" customHeight="1">
      <c r="A6216" t="inlineStr">
        <is>
          <t>A 10878-2026</t>
        </is>
      </c>
      <c r="B6216" s="1" t="n">
        <v>46078.71934027778</v>
      </c>
      <c r="C6216" s="1" t="n">
        <v>46185</v>
      </c>
      <c r="D6216" t="inlineStr">
        <is>
          <t>VÄSTERNORRLANDS LÄN</t>
        </is>
      </c>
      <c r="E6216" t="inlineStr">
        <is>
          <t>ÅNGE</t>
        </is>
      </c>
      <c r="F6216" t="inlineStr">
        <is>
          <t>SCA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59450-2025</t>
        </is>
      </c>
      <c r="B6217" s="1" t="n">
        <v>45989.57114583333</v>
      </c>
      <c r="C6217" s="1" t="n">
        <v>46185</v>
      </c>
      <c r="D6217" t="inlineStr">
        <is>
          <t>VÄSTERNORRLANDS LÄN</t>
        </is>
      </c>
      <c r="E6217" t="inlineStr">
        <is>
          <t>ÖRNSKÖLDSVIK</t>
        </is>
      </c>
      <c r="F6217" t="inlineStr">
        <is>
          <t>Holmen skog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67448-2021</t>
        </is>
      </c>
      <c r="B6218" s="1" t="n">
        <v>44524</v>
      </c>
      <c r="C6218" s="1" t="n">
        <v>46185</v>
      </c>
      <c r="D6218" t="inlineStr">
        <is>
          <t>VÄSTERNORRLANDS LÄN</t>
        </is>
      </c>
      <c r="E6218" t="inlineStr">
        <is>
          <t>ÖRNSKÖLDSVIK</t>
        </is>
      </c>
      <c r="F6218" t="inlineStr">
        <is>
          <t>Holmen skog AB</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59461-2025</t>
        </is>
      </c>
      <c r="B6219" s="1" t="n">
        <v>45989.57855324074</v>
      </c>
      <c r="C6219" s="1" t="n">
        <v>46185</v>
      </c>
      <c r="D6219" t="inlineStr">
        <is>
          <t>VÄSTERNORRLANDS LÄN</t>
        </is>
      </c>
      <c r="E6219" t="inlineStr">
        <is>
          <t>ÖRNSKÖLDSVIK</t>
        </is>
      </c>
      <c r="F6219" t="inlineStr">
        <is>
          <t>Holmen skog AB</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59614-2025</t>
        </is>
      </c>
      <c r="B6220" s="1" t="n">
        <v>45992.37185185185</v>
      </c>
      <c r="C6220" s="1" t="n">
        <v>46185</v>
      </c>
      <c r="D6220" t="inlineStr">
        <is>
          <t>VÄSTERNORRLANDS LÄN</t>
        </is>
      </c>
      <c r="E6220" t="inlineStr">
        <is>
          <t>ÖRNSKÖLDSVIK</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10926-2026</t>
        </is>
      </c>
      <c r="B6221" s="1" t="n">
        <v>46079</v>
      </c>
      <c r="C6221" s="1" t="n">
        <v>46185</v>
      </c>
      <c r="D6221" t="inlineStr">
        <is>
          <t>VÄSTERNORRLANDS LÄN</t>
        </is>
      </c>
      <c r="E6221" t="inlineStr">
        <is>
          <t>SUNDSVALL</t>
        </is>
      </c>
      <c r="G6221" t="n">
        <v>5.4</v>
      </c>
      <c r="H6221" t="n">
        <v>0</v>
      </c>
      <c r="I6221" t="n">
        <v>0</v>
      </c>
      <c r="J6221" t="n">
        <v>0</v>
      </c>
      <c r="K6221" t="n">
        <v>0</v>
      </c>
      <c r="L6221" t="n">
        <v>0</v>
      </c>
      <c r="M6221" t="n">
        <v>0</v>
      </c>
      <c r="N6221" t="n">
        <v>0</v>
      </c>
      <c r="O6221" t="n">
        <v>0</v>
      </c>
      <c r="P6221" t="n">
        <v>0</v>
      </c>
      <c r="Q6221" t="n">
        <v>0</v>
      </c>
      <c r="R6221" s="2" t="inlineStr"/>
    </row>
    <row r="6222" ht="15" customHeight="1">
      <c r="A6222" t="inlineStr">
        <is>
          <t>A 10937-2026</t>
        </is>
      </c>
      <c r="B6222" s="1" t="n">
        <v>46079.368125</v>
      </c>
      <c r="C6222" s="1" t="n">
        <v>46185</v>
      </c>
      <c r="D6222" t="inlineStr">
        <is>
          <t>VÄSTERNORRLANDS LÄN</t>
        </is>
      </c>
      <c r="E6222" t="inlineStr">
        <is>
          <t>SUNDSVALL</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59815-2025</t>
        </is>
      </c>
      <c r="B6223" s="1" t="n">
        <v>45992.6359837963</v>
      </c>
      <c r="C6223" s="1" t="n">
        <v>46185</v>
      </c>
      <c r="D6223" t="inlineStr">
        <is>
          <t>VÄSTERNORRLANDS LÄN</t>
        </is>
      </c>
      <c r="E6223" t="inlineStr">
        <is>
          <t>ÅNGE</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10823-2026</t>
        </is>
      </c>
      <c r="B6224" s="1" t="n">
        <v>46078.61910879629</v>
      </c>
      <c r="C6224" s="1" t="n">
        <v>46185</v>
      </c>
      <c r="D6224" t="inlineStr">
        <is>
          <t>VÄSTERNORRLANDS LÄN</t>
        </is>
      </c>
      <c r="E6224" t="inlineStr">
        <is>
          <t>SOLLEFTEÅ</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59689-2025</t>
        </is>
      </c>
      <c r="B6225" s="1" t="n">
        <v>45992.48307870371</v>
      </c>
      <c r="C6225" s="1" t="n">
        <v>46185</v>
      </c>
      <c r="D6225" t="inlineStr">
        <is>
          <t>VÄSTERNORRLANDS LÄN</t>
        </is>
      </c>
      <c r="E6225" t="inlineStr">
        <is>
          <t>ÖRNSKÖLDSVIK</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59556-2025</t>
        </is>
      </c>
      <c r="B6226" s="1" t="n">
        <v>45991.40039351852</v>
      </c>
      <c r="C6226" s="1" t="n">
        <v>46185</v>
      </c>
      <c r="D6226" t="inlineStr">
        <is>
          <t>VÄSTERNORRLANDS LÄN</t>
        </is>
      </c>
      <c r="E6226" t="inlineStr">
        <is>
          <t>ÖRNSKÖLDSVIK</t>
        </is>
      </c>
      <c r="F6226" t="inlineStr">
        <is>
          <t>Holmen skog AB</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59557-2025</t>
        </is>
      </c>
      <c r="B6227" s="1" t="n">
        <v>45991</v>
      </c>
      <c r="C6227" s="1" t="n">
        <v>46185</v>
      </c>
      <c r="D6227" t="inlineStr">
        <is>
          <t>VÄSTERNORRLANDS LÄN</t>
        </is>
      </c>
      <c r="E6227" t="inlineStr">
        <is>
          <t>ÖRNSKÖLDSVIK</t>
        </is>
      </c>
      <c r="F6227" t="inlineStr">
        <is>
          <t>Holmen skog AB</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59558-2025</t>
        </is>
      </c>
      <c r="B6228" s="1" t="n">
        <v>45991</v>
      </c>
      <c r="C6228" s="1" t="n">
        <v>46185</v>
      </c>
      <c r="D6228" t="inlineStr">
        <is>
          <t>VÄSTERNORRLANDS LÄN</t>
        </is>
      </c>
      <c r="E6228" t="inlineStr">
        <is>
          <t>ÖRNSKÖLDSVIK</t>
        </is>
      </c>
      <c r="F6228" t="inlineStr">
        <is>
          <t>Holmen skog AB</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59368-2025</t>
        </is>
      </c>
      <c r="B6229" s="1" t="n">
        <v>45989.44824074074</v>
      </c>
      <c r="C6229" s="1" t="n">
        <v>46185</v>
      </c>
      <c r="D6229" t="inlineStr">
        <is>
          <t>VÄSTERNORRLANDS LÄN</t>
        </is>
      </c>
      <c r="E6229" t="inlineStr">
        <is>
          <t>ÖRNSKÖLDSVIK</t>
        </is>
      </c>
      <c r="F6229" t="inlineStr">
        <is>
          <t>Holmen skog AB</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59764-2025</t>
        </is>
      </c>
      <c r="B6230" s="1" t="n">
        <v>45992.59456018519</v>
      </c>
      <c r="C6230" s="1" t="n">
        <v>46185</v>
      </c>
      <c r="D6230" t="inlineStr">
        <is>
          <t>VÄSTERNORRLANDS LÄN</t>
        </is>
      </c>
      <c r="E6230" t="inlineStr">
        <is>
          <t>SOLLEFTEÅ</t>
        </is>
      </c>
      <c r="F6230" t="inlineStr">
        <is>
          <t>SCA</t>
        </is>
      </c>
      <c r="G6230" t="n">
        <v>7.5</v>
      </c>
      <c r="H6230" t="n">
        <v>0</v>
      </c>
      <c r="I6230" t="n">
        <v>0</v>
      </c>
      <c r="J6230" t="n">
        <v>0</v>
      </c>
      <c r="K6230" t="n">
        <v>0</v>
      </c>
      <c r="L6230" t="n">
        <v>0</v>
      </c>
      <c r="M6230" t="n">
        <v>0</v>
      </c>
      <c r="N6230" t="n">
        <v>0</v>
      </c>
      <c r="O6230" t="n">
        <v>0</v>
      </c>
      <c r="P6230" t="n">
        <v>0</v>
      </c>
      <c r="Q6230" t="n">
        <v>0</v>
      </c>
      <c r="R6230" s="2" t="inlineStr"/>
    </row>
    <row r="6231" ht="15" customHeight="1">
      <c r="A6231" t="inlineStr">
        <is>
          <t>A 5108-2022</t>
        </is>
      </c>
      <c r="B6231" s="1" t="n">
        <v>44593.92135416667</v>
      </c>
      <c r="C6231" s="1" t="n">
        <v>46185</v>
      </c>
      <c r="D6231" t="inlineStr">
        <is>
          <t>VÄSTERNORRLANDS LÄN</t>
        </is>
      </c>
      <c r="E6231" t="inlineStr">
        <is>
          <t>SOLLEFTEÅ</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59636-2025</t>
        </is>
      </c>
      <c r="B6232" s="1" t="n">
        <v>45992.40660879629</v>
      </c>
      <c r="C6232" s="1" t="n">
        <v>46185</v>
      </c>
      <c r="D6232" t="inlineStr">
        <is>
          <t>VÄSTERNORRLANDS LÄN</t>
        </is>
      </c>
      <c r="E6232" t="inlineStr">
        <is>
          <t>SUNDSVALL</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11014-2026</t>
        </is>
      </c>
      <c r="B6233" s="1" t="n">
        <v>46079.53983796296</v>
      </c>
      <c r="C6233" s="1" t="n">
        <v>46185</v>
      </c>
      <c r="D6233" t="inlineStr">
        <is>
          <t>VÄSTERNORRLANDS LÄN</t>
        </is>
      </c>
      <c r="E6233" t="inlineStr">
        <is>
          <t>SOLLEFTEÅ</t>
        </is>
      </c>
      <c r="G6233" t="n">
        <v>8.199999999999999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59713-2025</t>
        </is>
      </c>
      <c r="B6234" s="1" t="n">
        <v>45992.52734953703</v>
      </c>
      <c r="C6234" s="1" t="n">
        <v>46185</v>
      </c>
      <c r="D6234" t="inlineStr">
        <is>
          <t>VÄSTERNORRLANDS LÄN</t>
        </is>
      </c>
      <c r="E6234" t="inlineStr">
        <is>
          <t>KRAMFORS</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42958-2024</t>
        </is>
      </c>
      <c r="B6235" s="1" t="n">
        <v>45567.37131944444</v>
      </c>
      <c r="C6235" s="1" t="n">
        <v>46185</v>
      </c>
      <c r="D6235" t="inlineStr">
        <is>
          <t>VÄSTERNORRLANDS LÄN</t>
        </is>
      </c>
      <c r="E6235" t="inlineStr">
        <is>
          <t>ÅNGE</t>
        </is>
      </c>
      <c r="F6235" t="inlineStr">
        <is>
          <t>SCA</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59551-2025</t>
        </is>
      </c>
      <c r="B6236" s="1" t="n">
        <v>45990.45982638889</v>
      </c>
      <c r="C6236" s="1" t="n">
        <v>46185</v>
      </c>
      <c r="D6236" t="inlineStr">
        <is>
          <t>VÄSTERNORRLANDS LÄN</t>
        </is>
      </c>
      <c r="E6236" t="inlineStr">
        <is>
          <t>ÖRNSKÖLDSVIK</t>
        </is>
      </c>
      <c r="F6236" t="inlineStr">
        <is>
          <t>Holmen skog AB</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7061-2022</t>
        </is>
      </c>
      <c r="B6237" s="1" t="n">
        <v>44603</v>
      </c>
      <c r="C6237" s="1" t="n">
        <v>46185</v>
      </c>
      <c r="D6237" t="inlineStr">
        <is>
          <t>VÄSTERNORRLANDS LÄN</t>
        </is>
      </c>
      <c r="E6237" t="inlineStr">
        <is>
          <t>HÄRNÖSAND</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19828-2025</t>
        </is>
      </c>
      <c r="B6238" s="1" t="n">
        <v>45771.46931712963</v>
      </c>
      <c r="C6238" s="1" t="n">
        <v>46185</v>
      </c>
      <c r="D6238" t="inlineStr">
        <is>
          <t>VÄSTERNORRLANDS LÄN</t>
        </is>
      </c>
      <c r="E6238" t="inlineStr">
        <is>
          <t>SUNDSVALL</t>
        </is>
      </c>
      <c r="F6238" t="inlineStr">
        <is>
          <t>Naturvårdsverket</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19830-2025</t>
        </is>
      </c>
      <c r="B6239" s="1" t="n">
        <v>45771.46956018519</v>
      </c>
      <c r="C6239" s="1" t="n">
        <v>46185</v>
      </c>
      <c r="D6239" t="inlineStr">
        <is>
          <t>VÄSTERNORRLANDS LÄN</t>
        </is>
      </c>
      <c r="E6239" t="inlineStr">
        <is>
          <t>SUNDSVALL</t>
        </is>
      </c>
      <c r="F6239" t="inlineStr">
        <is>
          <t>Naturvårdsverket</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10716-2026</t>
        </is>
      </c>
      <c r="B6240" s="1" t="n">
        <v>46078.46438657407</v>
      </c>
      <c r="C6240" s="1" t="n">
        <v>46185</v>
      </c>
      <c r="D6240" t="inlineStr">
        <is>
          <t>VÄSTERNORRLANDS LÄN</t>
        </is>
      </c>
      <c r="E6240" t="inlineStr">
        <is>
          <t>KRAMFORS</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10718-2026</t>
        </is>
      </c>
      <c r="B6241" s="1" t="n">
        <v>46078.4666087963</v>
      </c>
      <c r="C6241" s="1" t="n">
        <v>46185</v>
      </c>
      <c r="D6241" t="inlineStr">
        <is>
          <t>VÄSTERNORRLANDS LÄN</t>
        </is>
      </c>
      <c r="E6241" t="inlineStr">
        <is>
          <t>KRAMFORS</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10719-2026</t>
        </is>
      </c>
      <c r="B6242" s="1" t="n">
        <v>46078.46847222222</v>
      </c>
      <c r="C6242" s="1" t="n">
        <v>46185</v>
      </c>
      <c r="D6242" t="inlineStr">
        <is>
          <t>VÄSTERNORRLANDS LÄN</t>
        </is>
      </c>
      <c r="E6242" t="inlineStr">
        <is>
          <t>SUNDSVALL</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3291-2026</t>
        </is>
      </c>
      <c r="B6243" s="1" t="n">
        <v>46041</v>
      </c>
      <c r="C6243" s="1" t="n">
        <v>46185</v>
      </c>
      <c r="D6243" t="inlineStr">
        <is>
          <t>VÄSTERNORRLANDS LÄN</t>
        </is>
      </c>
      <c r="E6243" t="inlineStr">
        <is>
          <t>KRAMFORS</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59747-2025</t>
        </is>
      </c>
      <c r="B6244" s="1" t="n">
        <v>45992.58003472222</v>
      </c>
      <c r="C6244" s="1" t="n">
        <v>46185</v>
      </c>
      <c r="D6244" t="inlineStr">
        <is>
          <t>VÄSTERNORRLANDS LÄN</t>
        </is>
      </c>
      <c r="E6244" t="inlineStr">
        <is>
          <t>ÖRNSKÖLDSVIK</t>
        </is>
      </c>
      <c r="G6244" t="n">
        <v>6.3</v>
      </c>
      <c r="H6244" t="n">
        <v>0</v>
      </c>
      <c r="I6244" t="n">
        <v>0</v>
      </c>
      <c r="J6244" t="n">
        <v>0</v>
      </c>
      <c r="K6244" t="n">
        <v>0</v>
      </c>
      <c r="L6244" t="n">
        <v>0</v>
      </c>
      <c r="M6244" t="n">
        <v>0</v>
      </c>
      <c r="N6244" t="n">
        <v>0</v>
      </c>
      <c r="O6244" t="n">
        <v>0</v>
      </c>
      <c r="P6244" t="n">
        <v>0</v>
      </c>
      <c r="Q6244" t="n">
        <v>0</v>
      </c>
      <c r="R6244" s="2" t="inlineStr"/>
    </row>
    <row r="6245" ht="15" customHeight="1">
      <c r="A6245" t="inlineStr">
        <is>
          <t>A 44001-2025</t>
        </is>
      </c>
      <c r="B6245" s="1" t="n">
        <v>45915</v>
      </c>
      <c r="C6245" s="1" t="n">
        <v>46185</v>
      </c>
      <c r="D6245" t="inlineStr">
        <is>
          <t>VÄSTERNORRLANDS LÄN</t>
        </is>
      </c>
      <c r="E6245" t="inlineStr">
        <is>
          <t>TIMRÅ</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5878-2026</t>
        </is>
      </c>
      <c r="B6246" s="1" t="n">
        <v>46052</v>
      </c>
      <c r="C6246" s="1" t="n">
        <v>46185</v>
      </c>
      <c r="D6246" t="inlineStr">
        <is>
          <t>VÄSTERNORRLANDS LÄN</t>
        </is>
      </c>
      <c r="E6246" t="inlineStr">
        <is>
          <t>HÄRNÖSAND</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10706-2026</t>
        </is>
      </c>
      <c r="B6247" s="1" t="n">
        <v>46078.44876157407</v>
      </c>
      <c r="C6247" s="1" t="n">
        <v>46185</v>
      </c>
      <c r="D6247" t="inlineStr">
        <is>
          <t>VÄSTERNORRLANDS LÄN</t>
        </is>
      </c>
      <c r="E6247" t="inlineStr">
        <is>
          <t>ÅNGE</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10647-2026</t>
        </is>
      </c>
      <c r="B6248" s="1" t="n">
        <v>46078.344375</v>
      </c>
      <c r="C6248" s="1" t="n">
        <v>46185</v>
      </c>
      <c r="D6248" t="inlineStr">
        <is>
          <t>VÄSTERNORRLANDS LÄN</t>
        </is>
      </c>
      <c r="E6248" t="inlineStr">
        <is>
          <t>ÅNGE</t>
        </is>
      </c>
      <c r="F6248" t="inlineStr">
        <is>
          <t>SCA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10678-2026</t>
        </is>
      </c>
      <c r="B6249" s="1" t="n">
        <v>46078.40769675926</v>
      </c>
      <c r="C6249" s="1" t="n">
        <v>46185</v>
      </c>
      <c r="D6249" t="inlineStr">
        <is>
          <t>VÄSTERNORRLANDS LÄN</t>
        </is>
      </c>
      <c r="E6249" t="inlineStr">
        <is>
          <t>ÅNGE</t>
        </is>
      </c>
      <c r="F6249" t="inlineStr">
        <is>
          <t>SCA</t>
        </is>
      </c>
      <c r="G6249" t="n">
        <v>19.9</v>
      </c>
      <c r="H6249" t="n">
        <v>0</v>
      </c>
      <c r="I6249" t="n">
        <v>0</v>
      </c>
      <c r="J6249" t="n">
        <v>0</v>
      </c>
      <c r="K6249" t="n">
        <v>0</v>
      </c>
      <c r="L6249" t="n">
        <v>0</v>
      </c>
      <c r="M6249" t="n">
        <v>0</v>
      </c>
      <c r="N6249" t="n">
        <v>0</v>
      </c>
      <c r="O6249" t="n">
        <v>0</v>
      </c>
      <c r="P6249" t="n">
        <v>0</v>
      </c>
      <c r="Q6249" t="n">
        <v>0</v>
      </c>
      <c r="R6249" s="2" t="inlineStr"/>
    </row>
    <row r="6250" ht="15" customHeight="1">
      <c r="A6250" t="inlineStr">
        <is>
          <t>A 59594-2025</t>
        </is>
      </c>
      <c r="B6250" s="1" t="n">
        <v>45992</v>
      </c>
      <c r="C6250" s="1" t="n">
        <v>46185</v>
      </c>
      <c r="D6250" t="inlineStr">
        <is>
          <t>VÄSTERNORRLANDS LÄN</t>
        </is>
      </c>
      <c r="E6250" t="inlineStr">
        <is>
          <t>ÖRNSKÖLDSVIK</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59548-2025</t>
        </is>
      </c>
      <c r="B6251" s="1" t="n">
        <v>45990.37614583333</v>
      </c>
      <c r="C6251" s="1" t="n">
        <v>46185</v>
      </c>
      <c r="D6251" t="inlineStr">
        <is>
          <t>VÄSTERNORRLANDS LÄN</t>
        </is>
      </c>
      <c r="E6251" t="inlineStr">
        <is>
          <t>ÖRNSKÖLDSVIK</t>
        </is>
      </c>
      <c r="F6251" t="inlineStr">
        <is>
          <t>Holmen skog AB</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59720-2025</t>
        </is>
      </c>
      <c r="B6252" s="1" t="n">
        <v>45992.54521990741</v>
      </c>
      <c r="C6252" s="1" t="n">
        <v>46185</v>
      </c>
      <c r="D6252" t="inlineStr">
        <is>
          <t>VÄSTERNORRLANDS LÄN</t>
        </is>
      </c>
      <c r="E6252" t="inlineStr">
        <is>
          <t>SUNDSVALL</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47702-2021</t>
        </is>
      </c>
      <c r="B6253" s="1" t="n">
        <v>44448</v>
      </c>
      <c r="C6253" s="1" t="n">
        <v>46185</v>
      </c>
      <c r="D6253" t="inlineStr">
        <is>
          <t>VÄSTERNORRLANDS LÄN</t>
        </is>
      </c>
      <c r="E6253" t="inlineStr">
        <is>
          <t>HÄRNÖSAND</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11075-2026</t>
        </is>
      </c>
      <c r="B6254" s="1" t="n">
        <v>46079.61521990741</v>
      </c>
      <c r="C6254" s="1" t="n">
        <v>46185</v>
      </c>
      <c r="D6254" t="inlineStr">
        <is>
          <t>VÄSTERNORRLANDS LÄN</t>
        </is>
      </c>
      <c r="E6254" t="inlineStr">
        <is>
          <t>ÅNGE</t>
        </is>
      </c>
      <c r="F6254" t="inlineStr">
        <is>
          <t>SCA</t>
        </is>
      </c>
      <c r="G6254" t="n">
        <v>4</v>
      </c>
      <c r="H6254" t="n">
        <v>0</v>
      </c>
      <c r="I6254" t="n">
        <v>0</v>
      </c>
      <c r="J6254" t="n">
        <v>0</v>
      </c>
      <c r="K6254" t="n">
        <v>0</v>
      </c>
      <c r="L6254" t="n">
        <v>0</v>
      </c>
      <c r="M6254" t="n">
        <v>0</v>
      </c>
      <c r="N6254" t="n">
        <v>0</v>
      </c>
      <c r="O6254" t="n">
        <v>0</v>
      </c>
      <c r="P6254" t="n">
        <v>0</v>
      </c>
      <c r="Q6254" t="n">
        <v>0</v>
      </c>
      <c r="R6254" s="2" t="inlineStr"/>
    </row>
    <row r="6255" ht="15" customHeight="1">
      <c r="A6255" t="inlineStr">
        <is>
          <t>A 10814-2026</t>
        </is>
      </c>
      <c r="B6255" s="1" t="n">
        <v>46078.60829861111</v>
      </c>
      <c r="C6255" s="1" t="n">
        <v>46185</v>
      </c>
      <c r="D6255" t="inlineStr">
        <is>
          <t>VÄSTERNORRLANDS LÄN</t>
        </is>
      </c>
      <c r="E6255" t="inlineStr">
        <is>
          <t>SOLLEFTEÅ</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58508-2025</t>
        </is>
      </c>
      <c r="B6256" s="1" t="n">
        <v>45982</v>
      </c>
      <c r="C6256" s="1" t="n">
        <v>46185</v>
      </c>
      <c r="D6256" t="inlineStr">
        <is>
          <t>VÄSTERNORRLANDS LÄN</t>
        </is>
      </c>
      <c r="E6256" t="inlineStr">
        <is>
          <t>SOLLEFTEÅ</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59609-2025</t>
        </is>
      </c>
      <c r="B6257" s="1" t="n">
        <v>45992.36618055555</v>
      </c>
      <c r="C6257" s="1" t="n">
        <v>46185</v>
      </c>
      <c r="D6257" t="inlineStr">
        <is>
          <t>VÄSTERNORRLANDS LÄN</t>
        </is>
      </c>
      <c r="E6257" t="inlineStr">
        <is>
          <t>ÖRNSKÖLDSVIK</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13794-2025</t>
        </is>
      </c>
      <c r="B6258" s="1" t="n">
        <v>45737.46950231482</v>
      </c>
      <c r="C6258" s="1" t="n">
        <v>46185</v>
      </c>
      <c r="D6258" t="inlineStr">
        <is>
          <t>VÄSTERNORRLANDS LÄN</t>
        </is>
      </c>
      <c r="E6258" t="inlineStr">
        <is>
          <t>SUNDSVALL</t>
        </is>
      </c>
      <c r="F6258" t="inlineStr">
        <is>
          <t>Kommuner</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27622-2024</t>
        </is>
      </c>
      <c r="B6259" s="1" t="n">
        <v>45474</v>
      </c>
      <c r="C6259" s="1" t="n">
        <v>46185</v>
      </c>
      <c r="D6259" t="inlineStr">
        <is>
          <t>VÄSTERNORRLANDS LÄN</t>
        </is>
      </c>
      <c r="E6259" t="inlineStr">
        <is>
          <t>KRAMFORS</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10749-2026</t>
        </is>
      </c>
      <c r="B6260" s="1" t="n">
        <v>46078.53174768519</v>
      </c>
      <c r="C6260" s="1" t="n">
        <v>46185</v>
      </c>
      <c r="D6260" t="inlineStr">
        <is>
          <t>VÄSTERNORRLANDS LÄN</t>
        </is>
      </c>
      <c r="E6260" t="inlineStr">
        <is>
          <t>ÅNGE</t>
        </is>
      </c>
      <c r="F6260" t="inlineStr">
        <is>
          <t>SCA</t>
        </is>
      </c>
      <c r="G6260" t="n">
        <v>5.4</v>
      </c>
      <c r="H6260" t="n">
        <v>0</v>
      </c>
      <c r="I6260" t="n">
        <v>0</v>
      </c>
      <c r="J6260" t="n">
        <v>0</v>
      </c>
      <c r="K6260" t="n">
        <v>0</v>
      </c>
      <c r="L6260" t="n">
        <v>0</v>
      </c>
      <c r="M6260" t="n">
        <v>0</v>
      </c>
      <c r="N6260" t="n">
        <v>0</v>
      </c>
      <c r="O6260" t="n">
        <v>0</v>
      </c>
      <c r="P6260" t="n">
        <v>0</v>
      </c>
      <c r="Q6260" t="n">
        <v>0</v>
      </c>
      <c r="R6260" s="2" t="inlineStr"/>
    </row>
    <row r="6261" ht="15" customHeight="1">
      <c r="A6261" t="inlineStr">
        <is>
          <t>A 10657-2026</t>
        </is>
      </c>
      <c r="B6261" s="1" t="n">
        <v>46078.36505787037</v>
      </c>
      <c r="C6261" s="1" t="n">
        <v>46185</v>
      </c>
      <c r="D6261" t="inlineStr">
        <is>
          <t>VÄSTERNORRLANDS LÄN</t>
        </is>
      </c>
      <c r="E6261" t="inlineStr">
        <is>
          <t>ÅNGE</t>
        </is>
      </c>
      <c r="F6261" t="inlineStr">
        <is>
          <t>SCA</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19228-2023</t>
        </is>
      </c>
      <c r="B6262" s="1" t="n">
        <v>45048</v>
      </c>
      <c r="C6262" s="1" t="n">
        <v>46185</v>
      </c>
      <c r="D6262" t="inlineStr">
        <is>
          <t>VÄSTERNORRLANDS LÄN</t>
        </is>
      </c>
      <c r="E6262" t="inlineStr">
        <is>
          <t>SUNDSVALL</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34861-2024</t>
        </is>
      </c>
      <c r="B6263" s="1" t="n">
        <v>45527.339375</v>
      </c>
      <c r="C6263" s="1" t="n">
        <v>46185</v>
      </c>
      <c r="D6263" t="inlineStr">
        <is>
          <t>VÄSTERNORRLANDS LÄN</t>
        </is>
      </c>
      <c r="E6263" t="inlineStr">
        <is>
          <t>ÅNGE</t>
        </is>
      </c>
      <c r="F6263" t="inlineStr">
        <is>
          <t>SCA</t>
        </is>
      </c>
      <c r="G6263" t="n">
        <v>9.1</v>
      </c>
      <c r="H6263" t="n">
        <v>0</v>
      </c>
      <c r="I6263" t="n">
        <v>0</v>
      </c>
      <c r="J6263" t="n">
        <v>0</v>
      </c>
      <c r="K6263" t="n">
        <v>0</v>
      </c>
      <c r="L6263" t="n">
        <v>0</v>
      </c>
      <c r="M6263" t="n">
        <v>0</v>
      </c>
      <c r="N6263" t="n">
        <v>0</v>
      </c>
      <c r="O6263" t="n">
        <v>0</v>
      </c>
      <c r="P6263" t="n">
        <v>0</v>
      </c>
      <c r="Q6263" t="n">
        <v>0</v>
      </c>
      <c r="R6263" s="2" t="inlineStr"/>
    </row>
    <row r="6264" ht="15" customHeight="1">
      <c r="A6264" t="inlineStr">
        <is>
          <t>A 58382-2025</t>
        </is>
      </c>
      <c r="B6264" s="1" t="n">
        <v>45982</v>
      </c>
      <c r="C6264" s="1" t="n">
        <v>46185</v>
      </c>
      <c r="D6264" t="inlineStr">
        <is>
          <t>VÄSTERNORRLANDS LÄN</t>
        </is>
      </c>
      <c r="E6264" t="inlineStr">
        <is>
          <t>SOLLEFTEÅ</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58391-2025</t>
        </is>
      </c>
      <c r="B6265" s="1" t="n">
        <v>45982</v>
      </c>
      <c r="C6265" s="1" t="n">
        <v>46185</v>
      </c>
      <c r="D6265" t="inlineStr">
        <is>
          <t>VÄSTERNORRLANDS LÄN</t>
        </is>
      </c>
      <c r="E6265" t="inlineStr">
        <is>
          <t>SOLLEFTEÅ</t>
        </is>
      </c>
      <c r="G6265" t="n">
        <v>7</v>
      </c>
      <c r="H6265" t="n">
        <v>0</v>
      </c>
      <c r="I6265" t="n">
        <v>0</v>
      </c>
      <c r="J6265" t="n">
        <v>0</v>
      </c>
      <c r="K6265" t="n">
        <v>0</v>
      </c>
      <c r="L6265" t="n">
        <v>0</v>
      </c>
      <c r="M6265" t="n">
        <v>0</v>
      </c>
      <c r="N6265" t="n">
        <v>0</v>
      </c>
      <c r="O6265" t="n">
        <v>0</v>
      </c>
      <c r="P6265" t="n">
        <v>0</v>
      </c>
      <c r="Q6265" t="n">
        <v>0</v>
      </c>
      <c r="R6265" s="2" t="inlineStr"/>
    </row>
    <row r="6266" ht="15" customHeight="1">
      <c r="A6266" t="inlineStr">
        <is>
          <t>A 10962-2026</t>
        </is>
      </c>
      <c r="B6266" s="1" t="n">
        <v>46079.42851851852</v>
      </c>
      <c r="C6266" s="1" t="n">
        <v>46185</v>
      </c>
      <c r="D6266" t="inlineStr">
        <is>
          <t>VÄSTERNORRLANDS LÄN</t>
        </is>
      </c>
      <c r="E6266" t="inlineStr">
        <is>
          <t>SUNDSVALL</t>
        </is>
      </c>
      <c r="G6266" t="n">
        <v>7.6</v>
      </c>
      <c r="H6266" t="n">
        <v>0</v>
      </c>
      <c r="I6266" t="n">
        <v>0</v>
      </c>
      <c r="J6266" t="n">
        <v>0</v>
      </c>
      <c r="K6266" t="n">
        <v>0</v>
      </c>
      <c r="L6266" t="n">
        <v>0</v>
      </c>
      <c r="M6266" t="n">
        <v>0</v>
      </c>
      <c r="N6266" t="n">
        <v>0</v>
      </c>
      <c r="O6266" t="n">
        <v>0</v>
      </c>
      <c r="P6266" t="n">
        <v>0</v>
      </c>
      <c r="Q6266" t="n">
        <v>0</v>
      </c>
      <c r="R6266" s="2" t="inlineStr"/>
    </row>
    <row r="6267" ht="15" customHeight="1">
      <c r="A6267" t="inlineStr">
        <is>
          <t>A 59789-2025</t>
        </is>
      </c>
      <c r="B6267" s="1" t="n">
        <v>45992.61519675926</v>
      </c>
      <c r="C6267" s="1" t="n">
        <v>46185</v>
      </c>
      <c r="D6267" t="inlineStr">
        <is>
          <t>VÄSTERNORRLANDS LÄN</t>
        </is>
      </c>
      <c r="E6267" t="inlineStr">
        <is>
          <t>SOLLEFTEÅ</t>
        </is>
      </c>
      <c r="F6267" t="inlineStr">
        <is>
          <t>SCA</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34917-2024</t>
        </is>
      </c>
      <c r="B6268" s="1" t="n">
        <v>45527.43394675926</v>
      </c>
      <c r="C6268" s="1" t="n">
        <v>46185</v>
      </c>
      <c r="D6268" t="inlineStr">
        <is>
          <t>VÄSTERNORRLANDS LÄN</t>
        </is>
      </c>
      <c r="E6268" t="inlineStr">
        <is>
          <t>ÖRNSKÖLDSVIK</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13733-2023</t>
        </is>
      </c>
      <c r="B6269" s="1" t="n">
        <v>45006</v>
      </c>
      <c r="C6269" s="1" t="n">
        <v>46185</v>
      </c>
      <c r="D6269" t="inlineStr">
        <is>
          <t>VÄSTERNORRLANDS LÄN</t>
        </is>
      </c>
      <c r="E6269" t="inlineStr">
        <is>
          <t>ÖRNSKÖLDSVIK</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10988-2026</t>
        </is>
      </c>
      <c r="B6270" s="1" t="n">
        <v>46079</v>
      </c>
      <c r="C6270" s="1" t="n">
        <v>46185</v>
      </c>
      <c r="D6270" t="inlineStr">
        <is>
          <t>VÄSTERNORRLANDS LÄN</t>
        </is>
      </c>
      <c r="E6270" t="inlineStr">
        <is>
          <t>TIMRÅ</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10994-2026</t>
        </is>
      </c>
      <c r="B6271" s="1" t="n">
        <v>46079</v>
      </c>
      <c r="C6271" s="1" t="n">
        <v>46185</v>
      </c>
      <c r="D6271" t="inlineStr">
        <is>
          <t>VÄSTERNORRLANDS LÄN</t>
        </is>
      </c>
      <c r="E6271" t="inlineStr">
        <is>
          <t>TIMRÅ</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11054-2026</t>
        </is>
      </c>
      <c r="B6272" s="1" t="n">
        <v>46079.59443287037</v>
      </c>
      <c r="C6272" s="1" t="n">
        <v>46185</v>
      </c>
      <c r="D6272" t="inlineStr">
        <is>
          <t>VÄSTERNORRLANDS LÄN</t>
        </is>
      </c>
      <c r="E6272" t="inlineStr">
        <is>
          <t>ÅNGE</t>
        </is>
      </c>
      <c r="F6272" t="inlineStr">
        <is>
          <t>SCA</t>
        </is>
      </c>
      <c r="G6272" t="n">
        <v>26.2</v>
      </c>
      <c r="H6272" t="n">
        <v>0</v>
      </c>
      <c r="I6272" t="n">
        <v>0</v>
      </c>
      <c r="J6272" t="n">
        <v>0</v>
      </c>
      <c r="K6272" t="n">
        <v>0</v>
      </c>
      <c r="L6272" t="n">
        <v>0</v>
      </c>
      <c r="M6272" t="n">
        <v>0</v>
      </c>
      <c r="N6272" t="n">
        <v>0</v>
      </c>
      <c r="O6272" t="n">
        <v>0</v>
      </c>
      <c r="P6272" t="n">
        <v>0</v>
      </c>
      <c r="Q6272" t="n">
        <v>0</v>
      </c>
      <c r="R6272" s="2" t="inlineStr"/>
    </row>
    <row r="6273" ht="15" customHeight="1">
      <c r="A6273" t="inlineStr">
        <is>
          <t>A 17172-2024</t>
        </is>
      </c>
      <c r="B6273" s="1" t="n">
        <v>45412.97858796296</v>
      </c>
      <c r="C6273" s="1" t="n">
        <v>46185</v>
      </c>
      <c r="D6273" t="inlineStr">
        <is>
          <t>VÄSTERNORRLANDS LÄN</t>
        </is>
      </c>
      <c r="E6273" t="inlineStr">
        <is>
          <t>SOLLEFTEÅ</t>
        </is>
      </c>
      <c r="F6273" t="inlineStr">
        <is>
          <t>SCA</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60278-2025</t>
        </is>
      </c>
      <c r="B6274" s="1" t="n">
        <v>45994.63739583334</v>
      </c>
      <c r="C6274" s="1" t="n">
        <v>46185</v>
      </c>
      <c r="D6274" t="inlineStr">
        <is>
          <t>VÄSTERNORRLANDS LÄN</t>
        </is>
      </c>
      <c r="E6274" t="inlineStr">
        <is>
          <t>ÅNGE</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11109-2026</t>
        </is>
      </c>
      <c r="B6275" s="1" t="n">
        <v>46079.65716435185</v>
      </c>
      <c r="C6275" s="1" t="n">
        <v>46185</v>
      </c>
      <c r="D6275" t="inlineStr">
        <is>
          <t>VÄSTERNORRLANDS LÄN</t>
        </is>
      </c>
      <c r="E6275" t="inlineStr">
        <is>
          <t>TIMRÅ</t>
        </is>
      </c>
      <c r="F6275" t="inlineStr">
        <is>
          <t>SCA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10959-2026</t>
        </is>
      </c>
      <c r="B6276" s="1" t="n">
        <v>46079.41228009259</v>
      </c>
      <c r="C6276" s="1" t="n">
        <v>46185</v>
      </c>
      <c r="D6276" t="inlineStr">
        <is>
          <t>VÄSTERNORRLANDS LÄN</t>
        </is>
      </c>
      <c r="E6276" t="inlineStr">
        <is>
          <t>SUNDSVALL</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10523-2025</t>
        </is>
      </c>
      <c r="B6277" s="1" t="n">
        <v>45721.43300925926</v>
      </c>
      <c r="C6277" s="1" t="n">
        <v>46185</v>
      </c>
      <c r="D6277" t="inlineStr">
        <is>
          <t>VÄSTERNORRLANDS LÄN</t>
        </is>
      </c>
      <c r="E6277" t="inlineStr">
        <is>
          <t>ÖRNSKÖLDSVIK</t>
        </is>
      </c>
      <c r="G6277" t="n">
        <v>5.3</v>
      </c>
      <c r="H6277" t="n">
        <v>0</v>
      </c>
      <c r="I6277" t="n">
        <v>0</v>
      </c>
      <c r="J6277" t="n">
        <v>0</v>
      </c>
      <c r="K6277" t="n">
        <v>0</v>
      </c>
      <c r="L6277" t="n">
        <v>0</v>
      </c>
      <c r="M6277" t="n">
        <v>0</v>
      </c>
      <c r="N6277" t="n">
        <v>0</v>
      </c>
      <c r="O6277" t="n">
        <v>0</v>
      </c>
      <c r="P6277" t="n">
        <v>0</v>
      </c>
      <c r="Q6277" t="n">
        <v>0</v>
      </c>
      <c r="R6277" s="2" t="inlineStr"/>
    </row>
    <row r="6278" ht="15" customHeight="1">
      <c r="A6278" t="inlineStr">
        <is>
          <t>A 34563-2024</t>
        </is>
      </c>
      <c r="B6278" s="1" t="n">
        <v>45526.32954861111</v>
      </c>
      <c r="C6278" s="1" t="n">
        <v>46185</v>
      </c>
      <c r="D6278" t="inlineStr">
        <is>
          <t>VÄSTERNORRLANDS LÄN</t>
        </is>
      </c>
      <c r="E6278" t="inlineStr">
        <is>
          <t>ÖRNSKÖLDSVIK</t>
        </is>
      </c>
      <c r="F6278" t="inlineStr">
        <is>
          <t>Holmen skog AB</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34607-2024</t>
        </is>
      </c>
      <c r="B6279" s="1" t="n">
        <v>45526</v>
      </c>
      <c r="C6279" s="1" t="n">
        <v>46185</v>
      </c>
      <c r="D6279" t="inlineStr">
        <is>
          <t>VÄSTERNORRLANDS LÄN</t>
        </is>
      </c>
      <c r="E6279" t="inlineStr">
        <is>
          <t>SUNDSVALL</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47511-2023</t>
        </is>
      </c>
      <c r="B6280" s="1" t="n">
        <v>45197</v>
      </c>
      <c r="C6280" s="1" t="n">
        <v>46185</v>
      </c>
      <c r="D6280" t="inlineStr">
        <is>
          <t>VÄSTERNORRLANDS LÄN</t>
        </is>
      </c>
      <c r="E6280" t="inlineStr">
        <is>
          <t>ÖRNSKÖLDSVIK</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47514-2023</t>
        </is>
      </c>
      <c r="B6281" s="1" t="n">
        <v>45197</v>
      </c>
      <c r="C6281" s="1" t="n">
        <v>46185</v>
      </c>
      <c r="D6281" t="inlineStr">
        <is>
          <t>VÄSTERNORRLANDS LÄN</t>
        </is>
      </c>
      <c r="E6281" t="inlineStr">
        <is>
          <t>ÖRNSKÖLDSVIK</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10980-2026</t>
        </is>
      </c>
      <c r="B6282" s="1" t="n">
        <v>46079</v>
      </c>
      <c r="C6282" s="1" t="n">
        <v>46185</v>
      </c>
      <c r="D6282" t="inlineStr">
        <is>
          <t>VÄSTERNORRLANDS LÄN</t>
        </is>
      </c>
      <c r="E6282" t="inlineStr">
        <is>
          <t>TIMRÅ</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59869-2025</t>
        </is>
      </c>
      <c r="B6283" s="1" t="n">
        <v>45992.89322916666</v>
      </c>
      <c r="C6283" s="1" t="n">
        <v>46185</v>
      </c>
      <c r="D6283" t="inlineStr">
        <is>
          <t>VÄSTERNORRLANDS LÄN</t>
        </is>
      </c>
      <c r="E6283" t="inlineStr">
        <is>
          <t>HÄRNÖSAND</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60036-2025</t>
        </is>
      </c>
      <c r="B6284" s="1" t="n">
        <v>45993.61569444444</v>
      </c>
      <c r="C6284" s="1" t="n">
        <v>46185</v>
      </c>
      <c r="D6284" t="inlineStr">
        <is>
          <t>VÄSTERNORRLANDS LÄN</t>
        </is>
      </c>
      <c r="E6284" t="inlineStr">
        <is>
          <t>SOLLEFTEÅ</t>
        </is>
      </c>
      <c r="F6284" t="inlineStr">
        <is>
          <t>SCA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58530-2023</t>
        </is>
      </c>
      <c r="B6285" s="1" t="n">
        <v>45251.39074074074</v>
      </c>
      <c r="C6285" s="1" t="n">
        <v>46185</v>
      </c>
      <c r="D6285" t="inlineStr">
        <is>
          <t>VÄSTERNORRLANDS LÄN</t>
        </is>
      </c>
      <c r="E6285" t="inlineStr">
        <is>
          <t>ÖRNSKÖLDSVIK</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18618-2025</t>
        </is>
      </c>
      <c r="B6286" s="1" t="n">
        <v>45763.51076388889</v>
      </c>
      <c r="C6286" s="1" t="n">
        <v>46185</v>
      </c>
      <c r="D6286" t="inlineStr">
        <is>
          <t>VÄSTERNORRLANDS LÄN</t>
        </is>
      </c>
      <c r="E6286" t="inlineStr">
        <is>
          <t>KRAMFORS</t>
        </is>
      </c>
      <c r="F6286" t="inlineStr">
        <is>
          <t>SCA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57846-2022</t>
        </is>
      </c>
      <c r="B6287" s="1" t="n">
        <v>44897.95008101852</v>
      </c>
      <c r="C6287" s="1" t="n">
        <v>46185</v>
      </c>
      <c r="D6287" t="inlineStr">
        <is>
          <t>VÄSTERNORRLANDS LÄN</t>
        </is>
      </c>
      <c r="E6287" t="inlineStr">
        <is>
          <t>ÅNGE</t>
        </is>
      </c>
      <c r="F6287" t="inlineStr">
        <is>
          <t>SCA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3614-2024</t>
        </is>
      </c>
      <c r="B6288" s="1" t="n">
        <v>45320.92836805555</v>
      </c>
      <c r="C6288" s="1" t="n">
        <v>46185</v>
      </c>
      <c r="D6288" t="inlineStr">
        <is>
          <t>VÄSTERNORRLANDS LÄN</t>
        </is>
      </c>
      <c r="E6288" t="inlineStr">
        <is>
          <t>KRAMFORS</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18978-2023</t>
        </is>
      </c>
      <c r="B6289" s="1" t="n">
        <v>45044</v>
      </c>
      <c r="C6289" s="1" t="n">
        <v>46185</v>
      </c>
      <c r="D6289" t="inlineStr">
        <is>
          <t>VÄSTERNORRLANDS LÄN</t>
        </is>
      </c>
      <c r="E6289" t="inlineStr">
        <is>
          <t>HÄRNÖSAND</t>
        </is>
      </c>
      <c r="F6289" t="inlineStr">
        <is>
          <t>SCA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34746-2024</t>
        </is>
      </c>
      <c r="B6290" s="1" t="n">
        <v>45526</v>
      </c>
      <c r="C6290" s="1" t="n">
        <v>46185</v>
      </c>
      <c r="D6290" t="inlineStr">
        <is>
          <t>VÄSTERNORRLANDS LÄN</t>
        </is>
      </c>
      <c r="E6290" t="inlineStr">
        <is>
          <t>ÖRNSKÖLDSVIK</t>
        </is>
      </c>
      <c r="F6290" t="inlineStr">
        <is>
          <t>Holmen skog AB</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61095-2022</t>
        </is>
      </c>
      <c r="B6291" s="1" t="n">
        <v>44915.39849537037</v>
      </c>
      <c r="C6291" s="1" t="n">
        <v>46185</v>
      </c>
      <c r="D6291" t="inlineStr">
        <is>
          <t>VÄSTERNORRLANDS LÄN</t>
        </is>
      </c>
      <c r="E6291" t="inlineStr">
        <is>
          <t>ÖRNSKÖLDSVIK</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60156-2025</t>
        </is>
      </c>
      <c r="B6292" s="1" t="n">
        <v>45994.42489583333</v>
      </c>
      <c r="C6292" s="1" t="n">
        <v>46185</v>
      </c>
      <c r="D6292" t="inlineStr">
        <is>
          <t>VÄSTERNORRLANDS LÄN</t>
        </is>
      </c>
      <c r="E6292" t="inlineStr">
        <is>
          <t>KRAMFORS</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51754-2021</t>
        </is>
      </c>
      <c r="B6293" s="1" t="n">
        <v>44462</v>
      </c>
      <c r="C6293" s="1" t="n">
        <v>46185</v>
      </c>
      <c r="D6293" t="inlineStr">
        <is>
          <t>VÄSTERNORRLANDS LÄN</t>
        </is>
      </c>
      <c r="E6293" t="inlineStr">
        <is>
          <t>ÖRNSKÖLDSVIK</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43194-2021</t>
        </is>
      </c>
      <c r="B6294" s="1" t="n">
        <v>44431</v>
      </c>
      <c r="C6294" s="1" t="n">
        <v>46185</v>
      </c>
      <c r="D6294" t="inlineStr">
        <is>
          <t>VÄSTERNORRLANDS LÄN</t>
        </is>
      </c>
      <c r="E6294" t="inlineStr">
        <is>
          <t>SUNDSVALL</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60013-2025</t>
        </is>
      </c>
      <c r="B6295" s="1" t="n">
        <v>45993.59806712963</v>
      </c>
      <c r="C6295" s="1" t="n">
        <v>46185</v>
      </c>
      <c r="D6295" t="inlineStr">
        <is>
          <t>VÄSTERNORRLANDS LÄN</t>
        </is>
      </c>
      <c r="E6295" t="inlineStr">
        <is>
          <t>ÖRNSKÖLDSVIK</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60063-2025</t>
        </is>
      </c>
      <c r="B6296" s="1" t="n">
        <v>45993.65711805555</v>
      </c>
      <c r="C6296" s="1" t="n">
        <v>46185</v>
      </c>
      <c r="D6296" t="inlineStr">
        <is>
          <t>VÄSTERNORRLANDS LÄN</t>
        </is>
      </c>
      <c r="E6296" t="inlineStr">
        <is>
          <t>SOLLEFTEÅ</t>
        </is>
      </c>
      <c r="F6296" t="inlineStr">
        <is>
          <t>SCA</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59908-2025</t>
        </is>
      </c>
      <c r="B6297" s="1" t="n">
        <v>45993</v>
      </c>
      <c r="C6297" s="1" t="n">
        <v>46185</v>
      </c>
      <c r="D6297" t="inlineStr">
        <is>
          <t>VÄSTERNORRLANDS LÄN</t>
        </is>
      </c>
      <c r="E6297" t="inlineStr">
        <is>
          <t>SUNDSVALL</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59911-2025</t>
        </is>
      </c>
      <c r="B6298" s="1" t="n">
        <v>45993.36211805556</v>
      </c>
      <c r="C6298" s="1" t="n">
        <v>46185</v>
      </c>
      <c r="D6298" t="inlineStr">
        <is>
          <t>VÄSTERNORRLANDS LÄN</t>
        </is>
      </c>
      <c r="E6298" t="inlineStr">
        <is>
          <t>SUNDSVALL</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61324-2023</t>
        </is>
      </c>
      <c r="B6299" s="1" t="n">
        <v>45261</v>
      </c>
      <c r="C6299" s="1" t="n">
        <v>46185</v>
      </c>
      <c r="D6299" t="inlineStr">
        <is>
          <t>VÄSTERNORRLANDS LÄN</t>
        </is>
      </c>
      <c r="E6299" t="inlineStr">
        <is>
          <t>ÖRNSKÖLDSVIK</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68934-2021</t>
        </is>
      </c>
      <c r="B6300" s="1" t="n">
        <v>44529</v>
      </c>
      <c r="C6300" s="1" t="n">
        <v>46185</v>
      </c>
      <c r="D6300" t="inlineStr">
        <is>
          <t>VÄSTERNORRLANDS LÄN</t>
        </is>
      </c>
      <c r="E6300" t="inlineStr">
        <is>
          <t>ÖRNSKÖLDSVIK</t>
        </is>
      </c>
      <c r="G6300" t="n">
        <v>7.2</v>
      </c>
      <c r="H6300" t="n">
        <v>0</v>
      </c>
      <c r="I6300" t="n">
        <v>0</v>
      </c>
      <c r="J6300" t="n">
        <v>0</v>
      </c>
      <c r="K6300" t="n">
        <v>0</v>
      </c>
      <c r="L6300" t="n">
        <v>0</v>
      </c>
      <c r="M6300" t="n">
        <v>0</v>
      </c>
      <c r="N6300" t="n">
        <v>0</v>
      </c>
      <c r="O6300" t="n">
        <v>0</v>
      </c>
      <c r="P6300" t="n">
        <v>0</v>
      </c>
      <c r="Q6300" t="n">
        <v>0</v>
      </c>
      <c r="R6300" s="2" t="inlineStr"/>
    </row>
    <row r="6301" ht="15" customHeight="1">
      <c r="A6301" t="inlineStr">
        <is>
          <t>A 36342-2024</t>
        </is>
      </c>
      <c r="B6301" s="1" t="n">
        <v>45534.64315972223</v>
      </c>
      <c r="C6301" s="1" t="n">
        <v>46185</v>
      </c>
      <c r="D6301" t="inlineStr">
        <is>
          <t>VÄSTERNORRLANDS LÄN</t>
        </is>
      </c>
      <c r="E6301" t="inlineStr">
        <is>
          <t>ÅNGE</t>
        </is>
      </c>
      <c r="F6301" t="inlineStr">
        <is>
          <t>SCA</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6704-2025</t>
        </is>
      </c>
      <c r="B6302" s="1" t="n">
        <v>45700.54395833334</v>
      </c>
      <c r="C6302" s="1" t="n">
        <v>46185</v>
      </c>
      <c r="D6302" t="inlineStr">
        <is>
          <t>VÄSTERNORRLANDS LÄN</t>
        </is>
      </c>
      <c r="E6302" t="inlineStr">
        <is>
          <t>SUNDSVALL</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6735-2025</t>
        </is>
      </c>
      <c r="B6303" s="1" t="n">
        <v>45700.59434027778</v>
      </c>
      <c r="C6303" s="1" t="n">
        <v>46185</v>
      </c>
      <c r="D6303" t="inlineStr">
        <is>
          <t>VÄSTERNORRLANDS LÄN</t>
        </is>
      </c>
      <c r="E6303" t="inlineStr">
        <is>
          <t>SOLLEFTEÅ</t>
        </is>
      </c>
      <c r="F6303" t="inlineStr">
        <is>
          <t>SCA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6737-2025</t>
        </is>
      </c>
      <c r="B6304" s="1" t="n">
        <v>45700.59450231482</v>
      </c>
      <c r="C6304" s="1" t="n">
        <v>46185</v>
      </c>
      <c r="D6304" t="inlineStr">
        <is>
          <t>VÄSTERNORRLANDS LÄN</t>
        </is>
      </c>
      <c r="E6304" t="inlineStr">
        <is>
          <t>SOLLEFTEÅ</t>
        </is>
      </c>
      <c r="F6304" t="inlineStr">
        <is>
          <t>SCA</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11071-2026</t>
        </is>
      </c>
      <c r="B6305" s="1" t="n">
        <v>46079.61130787037</v>
      </c>
      <c r="C6305" s="1" t="n">
        <v>46185</v>
      </c>
      <c r="D6305" t="inlineStr">
        <is>
          <t>VÄSTERNORRLANDS LÄN</t>
        </is>
      </c>
      <c r="E6305" t="inlineStr">
        <is>
          <t>SOLLEFTEÅ</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10854-2026</t>
        </is>
      </c>
      <c r="B6306" s="1" t="n">
        <v>46078.65730324074</v>
      </c>
      <c r="C6306" s="1" t="n">
        <v>46185</v>
      </c>
      <c r="D6306" t="inlineStr">
        <is>
          <t>VÄSTERNORRLANDS LÄN</t>
        </is>
      </c>
      <c r="E6306" t="inlineStr">
        <is>
          <t>ÅNGE</t>
        </is>
      </c>
      <c r="F6306" t="inlineStr">
        <is>
          <t>SCA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60286-2025</t>
        </is>
      </c>
      <c r="B6307" s="1" t="n">
        <v>45994.64612268518</v>
      </c>
      <c r="C6307" s="1" t="n">
        <v>46185</v>
      </c>
      <c r="D6307" t="inlineStr">
        <is>
          <t>VÄSTERNORRLANDS LÄN</t>
        </is>
      </c>
      <c r="E6307" t="inlineStr">
        <is>
          <t>ÅNGE</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21640-2023</t>
        </is>
      </c>
      <c r="B6308" s="1" t="n">
        <v>45063</v>
      </c>
      <c r="C6308" s="1" t="n">
        <v>46185</v>
      </c>
      <c r="D6308" t="inlineStr">
        <is>
          <t>VÄSTERNORRLANDS LÄN</t>
        </is>
      </c>
      <c r="E6308" t="inlineStr">
        <is>
          <t>ÖRNSKÖLDSVIK</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19207-2025</t>
        </is>
      </c>
      <c r="B6309" s="1" t="n">
        <v>45769</v>
      </c>
      <c r="C6309" s="1" t="n">
        <v>46185</v>
      </c>
      <c r="D6309" t="inlineStr">
        <is>
          <t>VÄSTERNORRLANDS LÄN</t>
        </is>
      </c>
      <c r="E6309" t="inlineStr">
        <is>
          <t>SOLLEFTEÅ</t>
        </is>
      </c>
      <c r="F6309" t="inlineStr">
        <is>
          <t>SCA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60296-2025</t>
        </is>
      </c>
      <c r="B6310" s="1" t="n">
        <v>45994.6568287037</v>
      </c>
      <c r="C6310" s="1" t="n">
        <v>46185</v>
      </c>
      <c r="D6310" t="inlineStr">
        <is>
          <t>VÄSTERNORRLANDS LÄN</t>
        </is>
      </c>
      <c r="E6310" t="inlineStr">
        <is>
          <t>ÅNGE</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60582-2025</t>
        </is>
      </c>
      <c r="B6311" s="1" t="n">
        <v>45994</v>
      </c>
      <c r="C6311" s="1" t="n">
        <v>46185</v>
      </c>
      <c r="D6311" t="inlineStr">
        <is>
          <t>VÄSTERNORRLANDS LÄN</t>
        </is>
      </c>
      <c r="E6311" t="inlineStr">
        <is>
          <t>ÅNGE</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60599-2025</t>
        </is>
      </c>
      <c r="B6312" s="1" t="n">
        <v>45994</v>
      </c>
      <c r="C6312" s="1" t="n">
        <v>46185</v>
      </c>
      <c r="D6312" t="inlineStr">
        <is>
          <t>VÄSTERNORRLANDS LÄN</t>
        </is>
      </c>
      <c r="E6312" t="inlineStr">
        <is>
          <t>ÅNGE</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60250-2025</t>
        </is>
      </c>
      <c r="B6313" s="1" t="n">
        <v>45994.59465277778</v>
      </c>
      <c r="C6313" s="1" t="n">
        <v>46185</v>
      </c>
      <c r="D6313" t="inlineStr">
        <is>
          <t>VÄSTERNORRLANDS LÄN</t>
        </is>
      </c>
      <c r="E6313" t="inlineStr">
        <is>
          <t>SUNDSVALL</t>
        </is>
      </c>
      <c r="F6313" t="inlineStr">
        <is>
          <t>SCA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60257-2025</t>
        </is>
      </c>
      <c r="B6314" s="1" t="n">
        <v>45994.60502314815</v>
      </c>
      <c r="C6314" s="1" t="n">
        <v>46185</v>
      </c>
      <c r="D6314" t="inlineStr">
        <is>
          <t>VÄSTERNORRLANDS LÄN</t>
        </is>
      </c>
      <c r="E6314" t="inlineStr">
        <is>
          <t>ÖRNSKÖLDSVIK</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60079-2025</t>
        </is>
      </c>
      <c r="B6315" s="1" t="n">
        <v>45993.6834375</v>
      </c>
      <c r="C6315" s="1" t="n">
        <v>46185</v>
      </c>
      <c r="D6315" t="inlineStr">
        <is>
          <t>VÄSTERNORRLANDS LÄN</t>
        </is>
      </c>
      <c r="E6315" t="inlineStr">
        <is>
          <t>ÅNGE</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10684-2025</t>
        </is>
      </c>
      <c r="B6316" s="1" t="n">
        <v>45721.95054398148</v>
      </c>
      <c r="C6316" s="1" t="n">
        <v>46185</v>
      </c>
      <c r="D6316" t="inlineStr">
        <is>
          <t>VÄSTERNORRLANDS LÄN</t>
        </is>
      </c>
      <c r="E6316" t="inlineStr">
        <is>
          <t>SUNDSVALL</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10686-2025</t>
        </is>
      </c>
      <c r="B6317" s="1" t="n">
        <v>45721.9587962963</v>
      </c>
      <c r="C6317" s="1" t="n">
        <v>46185</v>
      </c>
      <c r="D6317" t="inlineStr">
        <is>
          <t>VÄSTERNORRLANDS LÄN</t>
        </is>
      </c>
      <c r="E6317" t="inlineStr">
        <is>
          <t>SUNDSVALL</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60590-2025</t>
        </is>
      </c>
      <c r="B6318" s="1" t="n">
        <v>45994</v>
      </c>
      <c r="C6318" s="1" t="n">
        <v>46185</v>
      </c>
      <c r="D6318" t="inlineStr">
        <is>
          <t>VÄSTERNORRLANDS LÄN</t>
        </is>
      </c>
      <c r="E6318" t="inlineStr">
        <is>
          <t>ÅNGE</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59999-2025</t>
        </is>
      </c>
      <c r="B6319" s="1" t="n">
        <v>45993.57372685185</v>
      </c>
      <c r="C6319" s="1" t="n">
        <v>46185</v>
      </c>
      <c r="D6319" t="inlineStr">
        <is>
          <t>VÄSTERNORRLANDS LÄN</t>
        </is>
      </c>
      <c r="E6319" t="inlineStr">
        <is>
          <t>SOLLEFTEÅ</t>
        </is>
      </c>
      <c r="F6319" t="inlineStr">
        <is>
          <t>SCA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60277-2025</t>
        </is>
      </c>
      <c r="B6320" s="1" t="n">
        <v>45994.63581018519</v>
      </c>
      <c r="C6320" s="1" t="n">
        <v>46185</v>
      </c>
      <c r="D6320" t="inlineStr">
        <is>
          <t>VÄSTERNORRLANDS LÄN</t>
        </is>
      </c>
      <c r="E6320" t="inlineStr">
        <is>
          <t>SUNDSVALL</t>
        </is>
      </c>
      <c r="F6320" t="inlineStr">
        <is>
          <t>SCA</t>
        </is>
      </c>
      <c r="G6320" t="n">
        <v>13.2</v>
      </c>
      <c r="H6320" t="n">
        <v>0</v>
      </c>
      <c r="I6320" t="n">
        <v>0</v>
      </c>
      <c r="J6320" t="n">
        <v>0</v>
      </c>
      <c r="K6320" t="n">
        <v>0</v>
      </c>
      <c r="L6320" t="n">
        <v>0</v>
      </c>
      <c r="M6320" t="n">
        <v>0</v>
      </c>
      <c r="N6320" t="n">
        <v>0</v>
      </c>
      <c r="O6320" t="n">
        <v>0</v>
      </c>
      <c r="P6320" t="n">
        <v>0</v>
      </c>
      <c r="Q6320" t="n">
        <v>0</v>
      </c>
      <c r="R6320" s="2" t="inlineStr"/>
    </row>
    <row r="6321" ht="15" customHeight="1">
      <c r="A6321" t="inlineStr">
        <is>
          <t>A 60303-2025</t>
        </is>
      </c>
      <c r="B6321" s="1" t="n">
        <v>45994.67751157407</v>
      </c>
      <c r="C6321" s="1" t="n">
        <v>46185</v>
      </c>
      <c r="D6321" t="inlineStr">
        <is>
          <t>VÄSTERNORRLANDS LÄN</t>
        </is>
      </c>
      <c r="E6321" t="inlineStr">
        <is>
          <t>SUNDSVALL</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59896-2025</t>
        </is>
      </c>
      <c r="B6322" s="1" t="n">
        <v>45993.34427083333</v>
      </c>
      <c r="C6322" s="1" t="n">
        <v>46185</v>
      </c>
      <c r="D6322" t="inlineStr">
        <is>
          <t>VÄSTERNORRLANDS LÄN</t>
        </is>
      </c>
      <c r="E6322" t="inlineStr">
        <is>
          <t>SOLLEFTEÅ</t>
        </is>
      </c>
      <c r="F6322" t="inlineStr">
        <is>
          <t>SCA</t>
        </is>
      </c>
      <c r="G6322" t="n">
        <v>16.1</v>
      </c>
      <c r="H6322" t="n">
        <v>0</v>
      </c>
      <c r="I6322" t="n">
        <v>0</v>
      </c>
      <c r="J6322" t="n">
        <v>0</v>
      </c>
      <c r="K6322" t="n">
        <v>0</v>
      </c>
      <c r="L6322" t="n">
        <v>0</v>
      </c>
      <c r="M6322" t="n">
        <v>0</v>
      </c>
      <c r="N6322" t="n">
        <v>0</v>
      </c>
      <c r="O6322" t="n">
        <v>0</v>
      </c>
      <c r="P6322" t="n">
        <v>0</v>
      </c>
      <c r="Q6322" t="n">
        <v>0</v>
      </c>
      <c r="R6322" s="2" t="inlineStr"/>
    </row>
    <row r="6323" ht="15" customHeight="1">
      <c r="A6323" t="inlineStr">
        <is>
          <t>A 18794-2025</t>
        </is>
      </c>
      <c r="B6323" s="1" t="n">
        <v>45764.34547453704</v>
      </c>
      <c r="C6323" s="1" t="n">
        <v>46185</v>
      </c>
      <c r="D6323" t="inlineStr">
        <is>
          <t>VÄSTERNORRLANDS LÄN</t>
        </is>
      </c>
      <c r="E6323" t="inlineStr">
        <is>
          <t>KRAMFORS</t>
        </is>
      </c>
      <c r="F6323" t="inlineStr">
        <is>
          <t>SCA</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18824-2025</t>
        </is>
      </c>
      <c r="B6324" s="1" t="n">
        <v>45764.38584490741</v>
      </c>
      <c r="C6324" s="1" t="n">
        <v>46185</v>
      </c>
      <c r="D6324" t="inlineStr">
        <is>
          <t>VÄSTERNORRLANDS LÄN</t>
        </is>
      </c>
      <c r="E6324" t="inlineStr">
        <is>
          <t>TIMRÅ</t>
        </is>
      </c>
      <c r="F6324" t="inlineStr">
        <is>
          <t>SCA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60316-2025</t>
        </is>
      </c>
      <c r="B6325" s="1" t="n">
        <v>45993</v>
      </c>
      <c r="C6325" s="1" t="n">
        <v>46185</v>
      </c>
      <c r="D6325" t="inlineStr">
        <is>
          <t>VÄSTERNORRLANDS LÄN</t>
        </is>
      </c>
      <c r="E6325" t="inlineStr">
        <is>
          <t>SUNDSVALL</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59957-2025</t>
        </is>
      </c>
      <c r="B6326" s="1" t="n">
        <v>45993.46804398148</v>
      </c>
      <c r="C6326" s="1" t="n">
        <v>46185</v>
      </c>
      <c r="D6326" t="inlineStr">
        <is>
          <t>VÄSTERNORRLANDS LÄN</t>
        </is>
      </c>
      <c r="E6326" t="inlineStr">
        <is>
          <t>SUNDSVALL</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60061-2025</t>
        </is>
      </c>
      <c r="B6327" s="1" t="n">
        <v>45993.65673611111</v>
      </c>
      <c r="C6327" s="1" t="n">
        <v>46185</v>
      </c>
      <c r="D6327" t="inlineStr">
        <is>
          <t>VÄSTERNORRLANDS LÄN</t>
        </is>
      </c>
      <c r="E6327" t="inlineStr">
        <is>
          <t>ÅNGE</t>
        </is>
      </c>
      <c r="F6327" t="inlineStr">
        <is>
          <t>SCA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47757-2023</t>
        </is>
      </c>
      <c r="B6328" s="1" t="n">
        <v>45203.83018518519</v>
      </c>
      <c r="C6328" s="1" t="n">
        <v>46185</v>
      </c>
      <c r="D6328" t="inlineStr">
        <is>
          <t>VÄSTERNORRLANDS LÄN</t>
        </is>
      </c>
      <c r="E6328" t="inlineStr">
        <is>
          <t>ÖRNSKÖLDSVIK</t>
        </is>
      </c>
      <c r="F6328" t="inlineStr">
        <is>
          <t>Holmen skog AB</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47781-2023</t>
        </is>
      </c>
      <c r="B6329" s="1" t="n">
        <v>45203</v>
      </c>
      <c r="C6329" s="1" t="n">
        <v>46185</v>
      </c>
      <c r="D6329" t="inlineStr">
        <is>
          <t>VÄSTERNORRLANDS LÄN</t>
        </is>
      </c>
      <c r="E6329" t="inlineStr">
        <is>
          <t>HÄRNÖSAND</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18894-2025</t>
        </is>
      </c>
      <c r="B6330" s="1" t="n">
        <v>45764.44842592593</v>
      </c>
      <c r="C6330" s="1" t="n">
        <v>46185</v>
      </c>
      <c r="D6330" t="inlineStr">
        <is>
          <t>VÄSTERNORRLANDS LÄN</t>
        </is>
      </c>
      <c r="E6330" t="inlineStr">
        <is>
          <t>HÄRNÖSAND</t>
        </is>
      </c>
      <c r="F6330" t="inlineStr">
        <is>
          <t>SCA</t>
        </is>
      </c>
      <c r="G6330" t="n">
        <v>5.8</v>
      </c>
      <c r="H6330" t="n">
        <v>0</v>
      </c>
      <c r="I6330" t="n">
        <v>0</v>
      </c>
      <c r="J6330" t="n">
        <v>0</v>
      </c>
      <c r="K6330" t="n">
        <v>0</v>
      </c>
      <c r="L6330" t="n">
        <v>0</v>
      </c>
      <c r="M6330" t="n">
        <v>0</v>
      </c>
      <c r="N6330" t="n">
        <v>0</v>
      </c>
      <c r="O6330" t="n">
        <v>0</v>
      </c>
      <c r="P6330" t="n">
        <v>0</v>
      </c>
      <c r="Q6330" t="n">
        <v>0</v>
      </c>
      <c r="R6330" s="2" t="inlineStr"/>
    </row>
    <row r="6331" ht="15" customHeight="1">
      <c r="A6331" t="inlineStr">
        <is>
          <t>A 10852-2026</t>
        </is>
      </c>
      <c r="B6331" s="1" t="n">
        <v>46078.65675925926</v>
      </c>
      <c r="C6331" s="1" t="n">
        <v>46185</v>
      </c>
      <c r="D6331" t="inlineStr">
        <is>
          <t>VÄSTERNORRLANDS LÄN</t>
        </is>
      </c>
      <c r="E6331" t="inlineStr">
        <is>
          <t>SOLLEFTEÅ</t>
        </is>
      </c>
      <c r="F6331" t="inlineStr">
        <is>
          <t>SCA</t>
        </is>
      </c>
      <c r="G6331" t="n">
        <v>25.7</v>
      </c>
      <c r="H6331" t="n">
        <v>0</v>
      </c>
      <c r="I6331" t="n">
        <v>0</v>
      </c>
      <c r="J6331" t="n">
        <v>0</v>
      </c>
      <c r="K6331" t="n">
        <v>0</v>
      </c>
      <c r="L6331" t="n">
        <v>0</v>
      </c>
      <c r="M6331" t="n">
        <v>0</v>
      </c>
      <c r="N6331" t="n">
        <v>0</v>
      </c>
      <c r="O6331" t="n">
        <v>0</v>
      </c>
      <c r="P6331" t="n">
        <v>0</v>
      </c>
      <c r="Q6331" t="n">
        <v>0</v>
      </c>
      <c r="R6331" s="2" t="inlineStr"/>
    </row>
    <row r="6332" ht="15" customHeight="1">
      <c r="A6332" t="inlineStr">
        <is>
          <t>A 32922-2024</t>
        </is>
      </c>
      <c r="B6332" s="1" t="n">
        <v>45516.95263888889</v>
      </c>
      <c r="C6332" s="1" t="n">
        <v>46185</v>
      </c>
      <c r="D6332" t="inlineStr">
        <is>
          <t>VÄSTERNORRLANDS LÄN</t>
        </is>
      </c>
      <c r="E6332" t="inlineStr">
        <is>
          <t>ÅNGE</t>
        </is>
      </c>
      <c r="F6332" t="inlineStr">
        <is>
          <t>SCA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32924-2024</t>
        </is>
      </c>
      <c r="B6333" s="1" t="n">
        <v>45516.95292824074</v>
      </c>
      <c r="C6333" s="1" t="n">
        <v>46185</v>
      </c>
      <c r="D6333" t="inlineStr">
        <is>
          <t>VÄSTERNORRLANDS LÄN</t>
        </is>
      </c>
      <c r="E6333" t="inlineStr">
        <is>
          <t>SOLLEFTEÅ</t>
        </is>
      </c>
      <c r="F6333" t="inlineStr">
        <is>
          <t>SCA</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10827-2026</t>
        </is>
      </c>
      <c r="B6334" s="1" t="n">
        <v>46078</v>
      </c>
      <c r="C6334" s="1" t="n">
        <v>46185</v>
      </c>
      <c r="D6334" t="inlineStr">
        <is>
          <t>VÄSTERNORRLANDS LÄN</t>
        </is>
      </c>
      <c r="E6334" t="inlineStr">
        <is>
          <t>TIMRÅ</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13455-2025</t>
        </is>
      </c>
      <c r="B6335" s="1" t="n">
        <v>45736.38248842592</v>
      </c>
      <c r="C6335" s="1" t="n">
        <v>46185</v>
      </c>
      <c r="D6335" t="inlineStr">
        <is>
          <t>VÄSTERNORRLANDS LÄN</t>
        </is>
      </c>
      <c r="E6335" t="inlineStr">
        <is>
          <t>KRAMFORS</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29597-2023</t>
        </is>
      </c>
      <c r="B6336" s="1" t="n">
        <v>45106</v>
      </c>
      <c r="C6336" s="1" t="n">
        <v>46185</v>
      </c>
      <c r="D6336" t="inlineStr">
        <is>
          <t>VÄSTERNORRLANDS LÄN</t>
        </is>
      </c>
      <c r="E6336" t="inlineStr">
        <is>
          <t>SUNDSVALL</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29613-2023</t>
        </is>
      </c>
      <c r="B6337" s="1" t="n">
        <v>45106.94429398148</v>
      </c>
      <c r="C6337" s="1" t="n">
        <v>46185</v>
      </c>
      <c r="D6337" t="inlineStr">
        <is>
          <t>VÄSTERNORRLANDS LÄN</t>
        </is>
      </c>
      <c r="E6337" t="inlineStr">
        <is>
          <t>HÄRNÖSAND</t>
        </is>
      </c>
      <c r="F6337" t="inlineStr">
        <is>
          <t>SCA</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20450-2023</t>
        </is>
      </c>
      <c r="B6338" s="1" t="n">
        <v>45056</v>
      </c>
      <c r="C6338" s="1" t="n">
        <v>46185</v>
      </c>
      <c r="D6338" t="inlineStr">
        <is>
          <t>VÄSTERNORRLANDS LÄN</t>
        </is>
      </c>
      <c r="E6338" t="inlineStr">
        <is>
          <t>KRAMFORS</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30644-2023</t>
        </is>
      </c>
      <c r="B6339" s="1" t="n">
        <v>45112.47061342592</v>
      </c>
      <c r="C6339" s="1" t="n">
        <v>46185</v>
      </c>
      <c r="D6339" t="inlineStr">
        <is>
          <t>VÄSTERNORRLANDS LÄN</t>
        </is>
      </c>
      <c r="E6339" t="inlineStr">
        <is>
          <t>ÖRNSKÖLDSVIK</t>
        </is>
      </c>
      <c r="F6339" t="inlineStr">
        <is>
          <t>Holmen skog AB</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11051-2026</t>
        </is>
      </c>
      <c r="B6340" s="1" t="n">
        <v>46079.59100694444</v>
      </c>
      <c r="C6340" s="1" t="n">
        <v>46185</v>
      </c>
      <c r="D6340" t="inlineStr">
        <is>
          <t>VÄSTERNORRLANDS LÄN</t>
        </is>
      </c>
      <c r="E6340" t="inlineStr">
        <is>
          <t>SUNDSVALL</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60213-2025</t>
        </is>
      </c>
      <c r="B6341" s="1" t="n">
        <v>45994.53517361111</v>
      </c>
      <c r="C6341" s="1" t="n">
        <v>46185</v>
      </c>
      <c r="D6341" t="inlineStr">
        <is>
          <t>VÄSTERNORRLANDS LÄN</t>
        </is>
      </c>
      <c r="E6341" t="inlineStr">
        <is>
          <t>SUNDSVALL</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20547-2023</t>
        </is>
      </c>
      <c r="B6342" s="1" t="n">
        <v>45057</v>
      </c>
      <c r="C6342" s="1" t="n">
        <v>46185</v>
      </c>
      <c r="D6342" t="inlineStr">
        <is>
          <t>VÄSTERNORRLANDS LÄN</t>
        </is>
      </c>
      <c r="E6342" t="inlineStr">
        <is>
          <t>ÖRNSKÖLDSVIK</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20548-2023</t>
        </is>
      </c>
      <c r="B6343" s="1" t="n">
        <v>45057</v>
      </c>
      <c r="C6343" s="1" t="n">
        <v>46185</v>
      </c>
      <c r="D6343" t="inlineStr">
        <is>
          <t>VÄSTERNORRLANDS LÄN</t>
        </is>
      </c>
      <c r="E6343" t="inlineStr">
        <is>
          <t>ÖRNSKÖLDSVIK</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30453-2023</t>
        </is>
      </c>
      <c r="B6344" s="1" t="n">
        <v>45111.57388888889</v>
      </c>
      <c r="C6344" s="1" t="n">
        <v>46185</v>
      </c>
      <c r="D6344" t="inlineStr">
        <is>
          <t>VÄSTERNORRLANDS LÄN</t>
        </is>
      </c>
      <c r="E6344" t="inlineStr">
        <is>
          <t>ÖRNSKÖLDSVIK</t>
        </is>
      </c>
      <c r="F6344" t="inlineStr">
        <is>
          <t>Holmen skog AB</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60123-2025</t>
        </is>
      </c>
      <c r="B6345" s="1" t="n">
        <v>45994.33506944445</v>
      </c>
      <c r="C6345" s="1" t="n">
        <v>46185</v>
      </c>
      <c r="D6345" t="inlineStr">
        <is>
          <t>VÄSTERNORRLANDS LÄN</t>
        </is>
      </c>
      <c r="E6345" t="inlineStr">
        <is>
          <t>SOLLEFTEÅ</t>
        </is>
      </c>
      <c r="G6345" t="n">
        <v>5.6</v>
      </c>
      <c r="H6345" t="n">
        <v>0</v>
      </c>
      <c r="I6345" t="n">
        <v>0</v>
      </c>
      <c r="J6345" t="n">
        <v>0</v>
      </c>
      <c r="K6345" t="n">
        <v>0</v>
      </c>
      <c r="L6345" t="n">
        <v>0</v>
      </c>
      <c r="M6345" t="n">
        <v>0</v>
      </c>
      <c r="N6345" t="n">
        <v>0</v>
      </c>
      <c r="O6345" t="n">
        <v>0</v>
      </c>
      <c r="P6345" t="n">
        <v>0</v>
      </c>
      <c r="Q6345" t="n">
        <v>0</v>
      </c>
      <c r="R6345" s="2" t="inlineStr"/>
    </row>
    <row r="6346" ht="15" customHeight="1">
      <c r="A6346" t="inlineStr">
        <is>
          <t>A 11226-2025</t>
        </is>
      </c>
      <c r="B6346" s="1" t="n">
        <v>45726.34546296296</v>
      </c>
      <c r="C6346" s="1" t="n">
        <v>46185</v>
      </c>
      <c r="D6346" t="inlineStr">
        <is>
          <t>VÄSTERNORRLANDS LÄN</t>
        </is>
      </c>
      <c r="E6346" t="inlineStr">
        <is>
          <t>ÖRNSKÖLDSVIK</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60119-2025</t>
        </is>
      </c>
      <c r="B6347" s="1" t="n">
        <v>45994.33081018519</v>
      </c>
      <c r="C6347" s="1" t="n">
        <v>46185</v>
      </c>
      <c r="D6347" t="inlineStr">
        <is>
          <t>VÄSTERNORRLANDS LÄN</t>
        </is>
      </c>
      <c r="E6347" t="inlineStr">
        <is>
          <t>ÅNGE</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68615-2021</t>
        </is>
      </c>
      <c r="B6348" s="1" t="n">
        <v>44529</v>
      </c>
      <c r="C6348" s="1" t="n">
        <v>46185</v>
      </c>
      <c r="D6348" t="inlineStr">
        <is>
          <t>VÄSTERNORRLANDS LÄN</t>
        </is>
      </c>
      <c r="E6348" t="inlineStr">
        <is>
          <t>KRAMFORS</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42512-2023</t>
        </is>
      </c>
      <c r="B6349" s="1" t="n">
        <v>45180.95953703704</v>
      </c>
      <c r="C6349" s="1" t="n">
        <v>46185</v>
      </c>
      <c r="D6349" t="inlineStr">
        <is>
          <t>VÄSTERNORRLANDS LÄN</t>
        </is>
      </c>
      <c r="E6349" t="inlineStr">
        <is>
          <t>SOLLEFTEÅ</t>
        </is>
      </c>
      <c r="F6349" t="inlineStr">
        <is>
          <t>SCA</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52228-2025</t>
        </is>
      </c>
      <c r="B6350" s="1" t="n">
        <v>45953.4488425926</v>
      </c>
      <c r="C6350" s="1" t="n">
        <v>46185</v>
      </c>
      <c r="D6350" t="inlineStr">
        <is>
          <t>VÄSTERNORRLANDS LÄN</t>
        </is>
      </c>
      <c r="E6350" t="inlineStr">
        <is>
          <t>TIMRÅ</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58243-2023</t>
        </is>
      </c>
      <c r="B6351" s="1" t="n">
        <v>45250</v>
      </c>
      <c r="C6351" s="1" t="n">
        <v>46185</v>
      </c>
      <c r="D6351" t="inlineStr">
        <is>
          <t>VÄSTERNORRLANDS LÄN</t>
        </is>
      </c>
      <c r="E6351" t="inlineStr">
        <is>
          <t>SUNDSVALL</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20437-2025</t>
        </is>
      </c>
      <c r="B6352" s="1" t="n">
        <v>45775</v>
      </c>
      <c r="C6352" s="1" t="n">
        <v>46185</v>
      </c>
      <c r="D6352" t="inlineStr">
        <is>
          <t>VÄSTERNORRLANDS LÄN</t>
        </is>
      </c>
      <c r="E6352" t="inlineStr">
        <is>
          <t>SOLLEFTEÅ</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32908-2024</t>
        </is>
      </c>
      <c r="B6353" s="1" t="n">
        <v>45516</v>
      </c>
      <c r="C6353" s="1" t="n">
        <v>46185</v>
      </c>
      <c r="D6353" t="inlineStr">
        <is>
          <t>VÄSTERNORRLANDS LÄN</t>
        </is>
      </c>
      <c r="E6353" t="inlineStr">
        <is>
          <t>KRAMFORS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10723-2026</t>
        </is>
      </c>
      <c r="B6354" s="1" t="n">
        <v>46078.46982638889</v>
      </c>
      <c r="C6354" s="1" t="n">
        <v>46185</v>
      </c>
      <c r="D6354" t="inlineStr">
        <is>
          <t>VÄSTERNORRLANDS LÄN</t>
        </is>
      </c>
      <c r="E6354" t="inlineStr">
        <is>
          <t>ÖRNSKÖLDSVIK</t>
        </is>
      </c>
      <c r="G6354" t="n">
        <v>6.3</v>
      </c>
      <c r="H6354" t="n">
        <v>0</v>
      </c>
      <c r="I6354" t="n">
        <v>0</v>
      </c>
      <c r="J6354" t="n">
        <v>0</v>
      </c>
      <c r="K6354" t="n">
        <v>0</v>
      </c>
      <c r="L6354" t="n">
        <v>0</v>
      </c>
      <c r="M6354" t="n">
        <v>0</v>
      </c>
      <c r="N6354" t="n">
        <v>0</v>
      </c>
      <c r="O6354" t="n">
        <v>0</v>
      </c>
      <c r="P6354" t="n">
        <v>0</v>
      </c>
      <c r="Q6354" t="n">
        <v>0</v>
      </c>
      <c r="R6354" s="2" t="inlineStr"/>
    </row>
    <row r="6355" ht="15" customHeight="1">
      <c r="A6355" t="inlineStr">
        <is>
          <t>A 53329-2025</t>
        </is>
      </c>
      <c r="B6355" s="1" t="n">
        <v>45959</v>
      </c>
      <c r="C6355" s="1" t="n">
        <v>46185</v>
      </c>
      <c r="D6355" t="inlineStr">
        <is>
          <t>VÄSTERNORRLANDS LÄN</t>
        </is>
      </c>
      <c r="E6355" t="inlineStr">
        <is>
          <t>KRAMFORS</t>
        </is>
      </c>
      <c r="G6355" t="n">
        <v>7.8</v>
      </c>
      <c r="H6355" t="n">
        <v>0</v>
      </c>
      <c r="I6355" t="n">
        <v>0</v>
      </c>
      <c r="J6355" t="n">
        <v>0</v>
      </c>
      <c r="K6355" t="n">
        <v>0</v>
      </c>
      <c r="L6355" t="n">
        <v>0</v>
      </c>
      <c r="M6355" t="n">
        <v>0</v>
      </c>
      <c r="N6355" t="n">
        <v>0</v>
      </c>
      <c r="O6355" t="n">
        <v>0</v>
      </c>
      <c r="P6355" t="n">
        <v>0</v>
      </c>
      <c r="Q6355" t="n">
        <v>0</v>
      </c>
      <c r="R6355" s="2" t="inlineStr"/>
    </row>
    <row r="6356" ht="15" customHeight="1">
      <c r="A6356" t="inlineStr">
        <is>
          <t>A 60448-2025</t>
        </is>
      </c>
      <c r="B6356" s="1" t="n">
        <v>45995.50024305555</v>
      </c>
      <c r="C6356" s="1" t="n">
        <v>46185</v>
      </c>
      <c r="D6356" t="inlineStr">
        <is>
          <t>VÄSTERNORRLANDS LÄN</t>
        </is>
      </c>
      <c r="E6356" t="inlineStr">
        <is>
          <t>ÖRNSKÖLDSVIK</t>
        </is>
      </c>
      <c r="F6356" t="inlineStr">
        <is>
          <t>Holmen skog AB</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60457-2025</t>
        </is>
      </c>
      <c r="B6357" s="1" t="n">
        <v>45995.53137731482</v>
      </c>
      <c r="C6357" s="1" t="n">
        <v>46185</v>
      </c>
      <c r="D6357" t="inlineStr">
        <is>
          <t>VÄSTERNORRLANDS LÄN</t>
        </is>
      </c>
      <c r="E6357" t="inlineStr">
        <is>
          <t>ÖRNSKÖLDSVIK</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60458-2025</t>
        </is>
      </c>
      <c r="B6358" s="1" t="n">
        <v>45995.53168981482</v>
      </c>
      <c r="C6358" s="1" t="n">
        <v>46185</v>
      </c>
      <c r="D6358" t="inlineStr">
        <is>
          <t>VÄSTERNORRLANDS LÄN</t>
        </is>
      </c>
      <c r="E6358" t="inlineStr">
        <is>
          <t>SUNDSVALL</t>
        </is>
      </c>
      <c r="F6358" t="inlineStr">
        <is>
          <t>SCA</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17034-2025</t>
        </is>
      </c>
      <c r="B6359" s="1" t="n">
        <v>45755.57385416667</v>
      </c>
      <c r="C6359" s="1" t="n">
        <v>46185</v>
      </c>
      <c r="D6359" t="inlineStr">
        <is>
          <t>VÄSTERNORRLANDS LÄN</t>
        </is>
      </c>
      <c r="E6359" t="inlineStr">
        <is>
          <t>SOLLEFTEÅ</t>
        </is>
      </c>
      <c r="F6359" t="inlineStr">
        <is>
          <t>SCA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60665-2025</t>
        </is>
      </c>
      <c r="B6360" s="1" t="n">
        <v>45996.51637731482</v>
      </c>
      <c r="C6360" s="1" t="n">
        <v>46185</v>
      </c>
      <c r="D6360" t="inlineStr">
        <is>
          <t>VÄSTERNORRLANDS LÄN</t>
        </is>
      </c>
      <c r="E6360" t="inlineStr">
        <is>
          <t>KRAMFORS</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60612-2025</t>
        </is>
      </c>
      <c r="B6361" s="1" t="n">
        <v>45996.36546296296</v>
      </c>
      <c r="C6361" s="1" t="n">
        <v>46185</v>
      </c>
      <c r="D6361" t="inlineStr">
        <is>
          <t>VÄSTERNORRLANDS LÄN</t>
        </is>
      </c>
      <c r="E6361" t="inlineStr">
        <is>
          <t>SUNDSVALL</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60709-2025</t>
        </is>
      </c>
      <c r="B6362" s="1" t="n">
        <v>45996.62238425926</v>
      </c>
      <c r="C6362" s="1" t="n">
        <v>46185</v>
      </c>
      <c r="D6362" t="inlineStr">
        <is>
          <t>VÄSTERNORRLANDS LÄN</t>
        </is>
      </c>
      <c r="E6362" t="inlineStr">
        <is>
          <t>SOLLEFTEÅ</t>
        </is>
      </c>
      <c r="F6362" t="inlineStr">
        <is>
          <t>Holmen skog AB</t>
        </is>
      </c>
      <c r="G6362" t="n">
        <v>5.2</v>
      </c>
      <c r="H6362" t="n">
        <v>0</v>
      </c>
      <c r="I6362" t="n">
        <v>0</v>
      </c>
      <c r="J6362" t="n">
        <v>0</v>
      </c>
      <c r="K6362" t="n">
        <v>0</v>
      </c>
      <c r="L6362" t="n">
        <v>0</v>
      </c>
      <c r="M6362" t="n">
        <v>0</v>
      </c>
      <c r="N6362" t="n">
        <v>0</v>
      </c>
      <c r="O6362" t="n">
        <v>0</v>
      </c>
      <c r="P6362" t="n">
        <v>0</v>
      </c>
      <c r="Q6362" t="n">
        <v>0</v>
      </c>
      <c r="R6362" s="2" t="inlineStr"/>
    </row>
    <row r="6363" ht="15" customHeight="1">
      <c r="A6363" t="inlineStr">
        <is>
          <t>A 30381-2023</t>
        </is>
      </c>
      <c r="B6363" s="1" t="n">
        <v>45111</v>
      </c>
      <c r="C6363" s="1" t="n">
        <v>46185</v>
      </c>
      <c r="D6363" t="inlineStr">
        <is>
          <t>VÄSTERNORRLANDS LÄN</t>
        </is>
      </c>
      <c r="E6363" t="inlineStr">
        <is>
          <t>ÖRNSKÖLDSVIK</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60342-2025</t>
        </is>
      </c>
      <c r="B6364" s="1" t="n">
        <v>45994.86804398148</v>
      </c>
      <c r="C6364" s="1" t="n">
        <v>46185</v>
      </c>
      <c r="D6364" t="inlineStr">
        <is>
          <t>VÄSTERNORRLANDS LÄN</t>
        </is>
      </c>
      <c r="E6364" t="inlineStr">
        <is>
          <t>ÅNGE</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60510-2025</t>
        </is>
      </c>
      <c r="B6365" s="1" t="n">
        <v>45995</v>
      </c>
      <c r="C6365" s="1" t="n">
        <v>46185</v>
      </c>
      <c r="D6365" t="inlineStr">
        <is>
          <t>VÄSTERNORRLANDS LÄN</t>
        </is>
      </c>
      <c r="E6365" t="inlineStr">
        <is>
          <t>ÖRNSKÖLDSVIK</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46716-2022</t>
        </is>
      </c>
      <c r="B6366" s="1" t="n">
        <v>44851</v>
      </c>
      <c r="C6366" s="1" t="n">
        <v>46185</v>
      </c>
      <c r="D6366" t="inlineStr">
        <is>
          <t>VÄSTERNORRLANDS LÄN</t>
        </is>
      </c>
      <c r="E6366" t="inlineStr">
        <is>
          <t>SUNDSVALL</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10689-2026</t>
        </is>
      </c>
      <c r="B6367" s="1" t="n">
        <v>46078</v>
      </c>
      <c r="C6367" s="1" t="n">
        <v>46185</v>
      </c>
      <c r="D6367" t="inlineStr">
        <is>
          <t>VÄSTERNORRLANDS LÄN</t>
        </is>
      </c>
      <c r="E6367" t="inlineStr">
        <is>
          <t>SUNDSVALL</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60350-2025</t>
        </is>
      </c>
      <c r="B6368" s="1" t="n">
        <v>45995.29032407407</v>
      </c>
      <c r="C6368" s="1" t="n">
        <v>46185</v>
      </c>
      <c r="D6368" t="inlineStr">
        <is>
          <t>VÄSTERNORRLANDS LÄN</t>
        </is>
      </c>
      <c r="E6368" t="inlineStr">
        <is>
          <t>ÖRNSKÖLDSVIK</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60519-2025</t>
        </is>
      </c>
      <c r="B6369" s="1" t="n">
        <v>45995.6367824074</v>
      </c>
      <c r="C6369" s="1" t="n">
        <v>46185</v>
      </c>
      <c r="D6369" t="inlineStr">
        <is>
          <t>VÄSTERNORRLANDS LÄN</t>
        </is>
      </c>
      <c r="E6369" t="inlineStr">
        <is>
          <t>SUNDSVALL</t>
        </is>
      </c>
      <c r="F6369" t="inlineStr">
        <is>
          <t>SCA</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42229-2021</t>
        </is>
      </c>
      <c r="B6370" s="1" t="n">
        <v>44426.93474537037</v>
      </c>
      <c r="C6370" s="1" t="n">
        <v>46185</v>
      </c>
      <c r="D6370" t="inlineStr">
        <is>
          <t>VÄSTERNORRLANDS LÄN</t>
        </is>
      </c>
      <c r="E6370" t="inlineStr">
        <is>
          <t>SOLLEFTEÅ</t>
        </is>
      </c>
      <c r="F6370" t="inlineStr">
        <is>
          <t>SCA</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10769-2026</t>
        </is>
      </c>
      <c r="B6371" s="1" t="n">
        <v>46078</v>
      </c>
      <c r="C6371" s="1" t="n">
        <v>46185</v>
      </c>
      <c r="D6371" t="inlineStr">
        <is>
          <t>VÄSTERNORRLANDS LÄN</t>
        </is>
      </c>
      <c r="E6371" t="inlineStr">
        <is>
          <t>SUNDSVALL</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10776-2026</t>
        </is>
      </c>
      <c r="B6372" s="1" t="n">
        <v>46078.57349537037</v>
      </c>
      <c r="C6372" s="1" t="n">
        <v>46185</v>
      </c>
      <c r="D6372" t="inlineStr">
        <is>
          <t>VÄSTERNORRLANDS LÄN</t>
        </is>
      </c>
      <c r="E6372" t="inlineStr">
        <is>
          <t>SOLLEFTEÅ</t>
        </is>
      </c>
      <c r="F6372" t="inlineStr">
        <is>
          <t>SCA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60525-2025</t>
        </is>
      </c>
      <c r="B6373" s="1" t="n">
        <v>45995</v>
      </c>
      <c r="C6373" s="1" t="n">
        <v>46185</v>
      </c>
      <c r="D6373" t="inlineStr">
        <is>
          <t>VÄSTERNORRLANDS LÄN</t>
        </is>
      </c>
      <c r="E6373" t="inlineStr">
        <is>
          <t>ÖRNSKÖLDSVIK</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60475-2025</t>
        </is>
      </c>
      <c r="B6374" s="1" t="n">
        <v>45995.58141203703</v>
      </c>
      <c r="C6374" s="1" t="n">
        <v>46185</v>
      </c>
      <c r="D6374" t="inlineStr">
        <is>
          <t>VÄSTERNORRLANDS LÄN</t>
        </is>
      </c>
      <c r="E6374" t="inlineStr">
        <is>
          <t>ÖRNSKÖLDSVIK</t>
        </is>
      </c>
      <c r="F6374" t="inlineStr">
        <is>
          <t>Holmen skog AB</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60483-2025</t>
        </is>
      </c>
      <c r="B6375" s="1" t="n">
        <v>45995.59846064815</v>
      </c>
      <c r="C6375" s="1" t="n">
        <v>46185</v>
      </c>
      <c r="D6375" t="inlineStr">
        <is>
          <t>VÄSTERNORRLANDS LÄN</t>
        </is>
      </c>
      <c r="E6375" t="inlineStr">
        <is>
          <t>ÖRNSKÖLDSVIK</t>
        </is>
      </c>
      <c r="F6375" t="inlineStr">
        <is>
          <t>Holmen skog AB</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20183-2025</t>
        </is>
      </c>
      <c r="B6376" s="1" t="n">
        <v>45772.59440972222</v>
      </c>
      <c r="C6376" s="1" t="n">
        <v>46185</v>
      </c>
      <c r="D6376" t="inlineStr">
        <is>
          <t>VÄSTERNORRLANDS LÄN</t>
        </is>
      </c>
      <c r="E6376" t="inlineStr">
        <is>
          <t>SOLLEFTEÅ</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60383-2025</t>
        </is>
      </c>
      <c r="B6377" s="1" t="n">
        <v>45995.37831018519</v>
      </c>
      <c r="C6377" s="1" t="n">
        <v>46185</v>
      </c>
      <c r="D6377" t="inlineStr">
        <is>
          <t>VÄSTERNORRLANDS LÄN</t>
        </is>
      </c>
      <c r="E6377" t="inlineStr">
        <is>
          <t>ÖRNSKÖLDSVIK</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22564-2023</t>
        </is>
      </c>
      <c r="B6378" s="1" t="n">
        <v>45071.44974537037</v>
      </c>
      <c r="C6378" s="1" t="n">
        <v>46185</v>
      </c>
      <c r="D6378" t="inlineStr">
        <is>
          <t>VÄSTERNORRLANDS LÄN</t>
        </is>
      </c>
      <c r="E6378" t="inlineStr">
        <is>
          <t>SUNDSVALL</t>
        </is>
      </c>
      <c r="F6378" t="inlineStr">
        <is>
          <t>Holmen skog AB</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60402-2025</t>
        </is>
      </c>
      <c r="B6379" s="1" t="n">
        <v>45995.4262962963</v>
      </c>
      <c r="C6379" s="1" t="n">
        <v>46185</v>
      </c>
      <c r="D6379" t="inlineStr">
        <is>
          <t>VÄSTERNORRLANDS LÄN</t>
        </is>
      </c>
      <c r="E6379" t="inlineStr">
        <is>
          <t>ÅNGE</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60410-2025</t>
        </is>
      </c>
      <c r="B6380" s="1" t="n">
        <v>45995.44840277778</v>
      </c>
      <c r="C6380" s="1" t="n">
        <v>46185</v>
      </c>
      <c r="D6380" t="inlineStr">
        <is>
          <t>VÄSTERNORRLANDS LÄN</t>
        </is>
      </c>
      <c r="E6380" t="inlineStr">
        <is>
          <t>SOLLEFTEÅ</t>
        </is>
      </c>
      <c r="F6380" t="inlineStr">
        <is>
          <t>SCA</t>
        </is>
      </c>
      <c r="G6380" t="n">
        <v>4.2</v>
      </c>
      <c r="H6380" t="n">
        <v>0</v>
      </c>
      <c r="I6380" t="n">
        <v>0</v>
      </c>
      <c r="J6380" t="n">
        <v>0</v>
      </c>
      <c r="K6380" t="n">
        <v>0</v>
      </c>
      <c r="L6380" t="n">
        <v>0</v>
      </c>
      <c r="M6380" t="n">
        <v>0</v>
      </c>
      <c r="N6380" t="n">
        <v>0</v>
      </c>
      <c r="O6380" t="n">
        <v>0</v>
      </c>
      <c r="P6380" t="n">
        <v>0</v>
      </c>
      <c r="Q6380" t="n">
        <v>0</v>
      </c>
      <c r="R6380" s="2" t="inlineStr"/>
    </row>
    <row r="6381" ht="15" customHeight="1">
      <c r="A6381" t="inlineStr">
        <is>
          <t>A 9242-2025</t>
        </is>
      </c>
      <c r="B6381" s="1" t="n">
        <v>45714.56533564815</v>
      </c>
      <c r="C6381" s="1" t="n">
        <v>46185</v>
      </c>
      <c r="D6381" t="inlineStr">
        <is>
          <t>VÄSTERNORRLANDS LÄN</t>
        </is>
      </c>
      <c r="E6381" t="inlineStr">
        <is>
          <t>HÄRNÖSAND</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60422-2025</t>
        </is>
      </c>
      <c r="B6382" s="1" t="n">
        <v>45995.46922453704</v>
      </c>
      <c r="C6382" s="1" t="n">
        <v>46185</v>
      </c>
      <c r="D6382" t="inlineStr">
        <is>
          <t>VÄSTERNORRLANDS LÄN</t>
        </is>
      </c>
      <c r="E6382" t="inlineStr">
        <is>
          <t>ÅNGE</t>
        </is>
      </c>
      <c r="F6382" t="inlineStr">
        <is>
          <t>SCA</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59635-2025</t>
        </is>
      </c>
      <c r="B6383" s="1" t="n">
        <v>45992.4065625</v>
      </c>
      <c r="C6383" s="1" t="n">
        <v>46185</v>
      </c>
      <c r="D6383" t="inlineStr">
        <is>
          <t>VÄSTERNORRLANDS LÄN</t>
        </is>
      </c>
      <c r="E6383" t="inlineStr">
        <is>
          <t>SOLLEFTEÅ</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60496-2025</t>
        </is>
      </c>
      <c r="B6384" s="1" t="n">
        <v>45995</v>
      </c>
      <c r="C6384" s="1" t="n">
        <v>46185</v>
      </c>
      <c r="D6384" t="inlineStr">
        <is>
          <t>VÄSTERNORRLANDS LÄN</t>
        </is>
      </c>
      <c r="E6384" t="inlineStr">
        <is>
          <t>ÖRNSKÖLDSVIK</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30542-2024</t>
        </is>
      </c>
      <c r="B6385" s="1" t="n">
        <v>45492.65896990741</v>
      </c>
      <c r="C6385" s="1" t="n">
        <v>46185</v>
      </c>
      <c r="D6385" t="inlineStr">
        <is>
          <t>VÄSTERNORRLANDS LÄN</t>
        </is>
      </c>
      <c r="E6385" t="inlineStr">
        <is>
          <t>ÖRNSKÖLDSVIK</t>
        </is>
      </c>
      <c r="F6385" t="inlineStr">
        <is>
          <t>Holmen skog AB</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30546-2024</t>
        </is>
      </c>
      <c r="B6386" s="1" t="n">
        <v>45492.67429398148</v>
      </c>
      <c r="C6386" s="1" t="n">
        <v>46185</v>
      </c>
      <c r="D6386" t="inlineStr">
        <is>
          <t>VÄSTERNORRLANDS LÄN</t>
        </is>
      </c>
      <c r="E6386" t="inlineStr">
        <is>
          <t>ÖRNSKÖLDSVIK</t>
        </is>
      </c>
      <c r="F6386" t="inlineStr">
        <is>
          <t>Holmen skog AB</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25695-2024</t>
        </is>
      </c>
      <c r="B6387" s="1" t="n">
        <v>45463</v>
      </c>
      <c r="C6387" s="1" t="n">
        <v>46185</v>
      </c>
      <c r="D6387" t="inlineStr">
        <is>
          <t>VÄSTERNORRLANDS LÄN</t>
        </is>
      </c>
      <c r="E6387" t="inlineStr">
        <is>
          <t>SUNDSVALL</t>
        </is>
      </c>
      <c r="F6387" t="inlineStr">
        <is>
          <t>SCA</t>
        </is>
      </c>
      <c r="G6387" t="n">
        <v>7.9</v>
      </c>
      <c r="H6387" t="n">
        <v>0</v>
      </c>
      <c r="I6387" t="n">
        <v>0</v>
      </c>
      <c r="J6387" t="n">
        <v>0</v>
      </c>
      <c r="K6387" t="n">
        <v>0</v>
      </c>
      <c r="L6387" t="n">
        <v>0</v>
      </c>
      <c r="M6387" t="n">
        <v>0</v>
      </c>
      <c r="N6387" t="n">
        <v>0</v>
      </c>
      <c r="O6387" t="n">
        <v>0</v>
      </c>
      <c r="P6387" t="n">
        <v>0</v>
      </c>
      <c r="Q6387" t="n">
        <v>0</v>
      </c>
      <c r="R6387" s="2" t="inlineStr"/>
    </row>
    <row r="6388" ht="15" customHeight="1">
      <c r="A6388" t="inlineStr">
        <is>
          <t>A 60515-2025</t>
        </is>
      </c>
      <c r="B6388" s="1" t="n">
        <v>45995</v>
      </c>
      <c r="C6388" s="1" t="n">
        <v>46185</v>
      </c>
      <c r="D6388" t="inlineStr">
        <is>
          <t>VÄSTERNORRLANDS LÄN</t>
        </is>
      </c>
      <c r="E6388" t="inlineStr">
        <is>
          <t>SOLLEFTEÅ</t>
        </is>
      </c>
      <c r="F6388" t="inlineStr">
        <is>
          <t>SCA</t>
        </is>
      </c>
      <c r="G6388" t="n">
        <v>5.6</v>
      </c>
      <c r="H6388" t="n">
        <v>0</v>
      </c>
      <c r="I6388" t="n">
        <v>0</v>
      </c>
      <c r="J6388" t="n">
        <v>0</v>
      </c>
      <c r="K6388" t="n">
        <v>0</v>
      </c>
      <c r="L6388" t="n">
        <v>0</v>
      </c>
      <c r="M6388" t="n">
        <v>0</v>
      </c>
      <c r="N6388" t="n">
        <v>0</v>
      </c>
      <c r="O6388" t="n">
        <v>0</v>
      </c>
      <c r="P6388" t="n">
        <v>0</v>
      </c>
      <c r="Q6388" t="n">
        <v>0</v>
      </c>
      <c r="R6388" s="2" t="inlineStr"/>
    </row>
    <row r="6389" ht="15" customHeight="1">
      <c r="A6389" t="inlineStr">
        <is>
          <t>A 60520-2025</t>
        </is>
      </c>
      <c r="B6389" s="1" t="n">
        <v>45995.63694444444</v>
      </c>
      <c r="C6389" s="1" t="n">
        <v>46185</v>
      </c>
      <c r="D6389" t="inlineStr">
        <is>
          <t>VÄSTERNORRLANDS LÄN</t>
        </is>
      </c>
      <c r="E6389" t="inlineStr">
        <is>
          <t>ÅNGE</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9317-2022</t>
        </is>
      </c>
      <c r="B6390" s="1" t="n">
        <v>44616</v>
      </c>
      <c r="C6390" s="1" t="n">
        <v>46185</v>
      </c>
      <c r="D6390" t="inlineStr">
        <is>
          <t>VÄSTERNORRLANDS LÄN</t>
        </is>
      </c>
      <c r="E6390" t="inlineStr">
        <is>
          <t>TIMRÅ</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33843-2024</t>
        </is>
      </c>
      <c r="B6391" s="1" t="n">
        <v>45520.63395833333</v>
      </c>
      <c r="C6391" s="1" t="n">
        <v>46185</v>
      </c>
      <c r="D6391" t="inlineStr">
        <is>
          <t>VÄSTERNORRLANDS LÄN</t>
        </is>
      </c>
      <c r="E6391" t="inlineStr">
        <is>
          <t>ÖRNSKÖLDSVIK</t>
        </is>
      </c>
      <c r="F6391" t="inlineStr">
        <is>
          <t>Holmen skog AB</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60124-2025</t>
        </is>
      </c>
      <c r="B6392" s="1" t="n">
        <v>45994.33722222222</v>
      </c>
      <c r="C6392" s="1" t="n">
        <v>46185</v>
      </c>
      <c r="D6392" t="inlineStr">
        <is>
          <t>VÄSTERNORRLANDS LÄN</t>
        </is>
      </c>
      <c r="E6392" t="inlineStr">
        <is>
          <t>ÅNGE</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60134-2025</t>
        </is>
      </c>
      <c r="B6393" s="1" t="n">
        <v>45994.34793981481</v>
      </c>
      <c r="C6393" s="1" t="n">
        <v>46185</v>
      </c>
      <c r="D6393" t="inlineStr">
        <is>
          <t>VÄSTERNORRLANDS LÄN</t>
        </is>
      </c>
      <c r="E6393" t="inlineStr">
        <is>
          <t>ÅNGE</t>
        </is>
      </c>
      <c r="G6393" t="n">
        <v>5.1</v>
      </c>
      <c r="H6393" t="n">
        <v>0</v>
      </c>
      <c r="I6393" t="n">
        <v>0</v>
      </c>
      <c r="J6393" t="n">
        <v>0</v>
      </c>
      <c r="K6393" t="n">
        <v>0</v>
      </c>
      <c r="L6393" t="n">
        <v>0</v>
      </c>
      <c r="M6393" t="n">
        <v>0</v>
      </c>
      <c r="N6393" t="n">
        <v>0</v>
      </c>
      <c r="O6393" t="n">
        <v>0</v>
      </c>
      <c r="P6393" t="n">
        <v>0</v>
      </c>
      <c r="Q6393" t="n">
        <v>0</v>
      </c>
      <c r="R6393" s="2" t="inlineStr"/>
    </row>
    <row r="6394" ht="15" customHeight="1">
      <c r="A6394" t="inlineStr">
        <is>
          <t>A 60579-2025</t>
        </is>
      </c>
      <c r="B6394" s="1" t="n">
        <v>45996.32737268518</v>
      </c>
      <c r="C6394" s="1" t="n">
        <v>46185</v>
      </c>
      <c r="D6394" t="inlineStr">
        <is>
          <t>VÄSTERNORRLANDS LÄN</t>
        </is>
      </c>
      <c r="E6394" t="inlineStr">
        <is>
          <t>ÖRNSKÖLDSVIK</t>
        </is>
      </c>
      <c r="G6394" t="n">
        <v>5.9</v>
      </c>
      <c r="H6394" t="n">
        <v>0</v>
      </c>
      <c r="I6394" t="n">
        <v>0</v>
      </c>
      <c r="J6394" t="n">
        <v>0</v>
      </c>
      <c r="K6394" t="n">
        <v>0</v>
      </c>
      <c r="L6394" t="n">
        <v>0</v>
      </c>
      <c r="M6394" t="n">
        <v>0</v>
      </c>
      <c r="N6394" t="n">
        <v>0</v>
      </c>
      <c r="O6394" t="n">
        <v>0</v>
      </c>
      <c r="P6394" t="n">
        <v>0</v>
      </c>
      <c r="Q6394" t="n">
        <v>0</v>
      </c>
      <c r="R6394" s="2" t="inlineStr"/>
    </row>
    <row r="6395" ht="15" customHeight="1">
      <c r="A6395" t="inlineStr">
        <is>
          <t>A 10648-2026</t>
        </is>
      </c>
      <c r="B6395" s="1" t="n">
        <v>46078.3446412037</v>
      </c>
      <c r="C6395" s="1" t="n">
        <v>46185</v>
      </c>
      <c r="D6395" t="inlineStr">
        <is>
          <t>VÄSTERNORRLANDS LÄN</t>
        </is>
      </c>
      <c r="E6395" t="inlineStr">
        <is>
          <t>ÅNGE</t>
        </is>
      </c>
      <c r="F6395" t="inlineStr">
        <is>
          <t>SCA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11256-2026</t>
        </is>
      </c>
      <c r="B6396" s="1" t="n">
        <v>46080</v>
      </c>
      <c r="C6396" s="1" t="n">
        <v>46185</v>
      </c>
      <c r="D6396" t="inlineStr">
        <is>
          <t>VÄSTERNORRLANDS LÄN</t>
        </is>
      </c>
      <c r="E6396" t="inlineStr">
        <is>
          <t>ÅNGE</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13180-2025</t>
        </is>
      </c>
      <c r="B6397" s="1" t="n">
        <v>45735.38108796296</v>
      </c>
      <c r="C6397" s="1" t="n">
        <v>46185</v>
      </c>
      <c r="D6397" t="inlineStr">
        <is>
          <t>VÄSTERNORRLANDS LÄN</t>
        </is>
      </c>
      <c r="E6397" t="inlineStr">
        <is>
          <t>SUNDSVALL</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11271-2026</t>
        </is>
      </c>
      <c r="B6398" s="1" t="n">
        <v>46080.57349537037</v>
      </c>
      <c r="C6398" s="1" t="n">
        <v>46185</v>
      </c>
      <c r="D6398" t="inlineStr">
        <is>
          <t>VÄSTERNORRLANDS LÄN</t>
        </is>
      </c>
      <c r="E6398" t="inlineStr">
        <is>
          <t>ÅNGE</t>
        </is>
      </c>
      <c r="F6398" t="inlineStr">
        <is>
          <t>SCA</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11472-2026</t>
        </is>
      </c>
      <c r="B6399" s="1" t="n">
        <v>46083.59460648148</v>
      </c>
      <c r="C6399" s="1" t="n">
        <v>46185</v>
      </c>
      <c r="D6399" t="inlineStr">
        <is>
          <t>VÄSTERNORRLANDS LÄN</t>
        </is>
      </c>
      <c r="E6399" t="inlineStr">
        <is>
          <t>ÅNGE</t>
        </is>
      </c>
      <c r="F6399" t="inlineStr">
        <is>
          <t>SCA</t>
        </is>
      </c>
      <c r="G6399" t="n">
        <v>9.199999999999999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60514-2025</t>
        </is>
      </c>
      <c r="B6400" s="1" t="n">
        <v>45995.63584490741</v>
      </c>
      <c r="C6400" s="1" t="n">
        <v>46185</v>
      </c>
      <c r="D6400" t="inlineStr">
        <is>
          <t>VÄSTERNORRLANDS LÄN</t>
        </is>
      </c>
      <c r="E6400" t="inlineStr">
        <is>
          <t>SOLLEFTEÅ</t>
        </is>
      </c>
      <c r="F6400" t="inlineStr">
        <is>
          <t>SCA</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60516-2025</t>
        </is>
      </c>
      <c r="B6401" s="1" t="n">
        <v>45995.63630787037</v>
      </c>
      <c r="C6401" s="1" t="n">
        <v>46185</v>
      </c>
      <c r="D6401" t="inlineStr">
        <is>
          <t>VÄSTERNORRLANDS LÄN</t>
        </is>
      </c>
      <c r="E6401" t="inlineStr">
        <is>
          <t>SOLLEFTEÅ</t>
        </is>
      </c>
      <c r="F6401" t="inlineStr">
        <is>
          <t>SCA</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60598-2025</t>
        </is>
      </c>
      <c r="B6402" s="1" t="n">
        <v>45996.34484953704</v>
      </c>
      <c r="C6402" s="1" t="n">
        <v>46185</v>
      </c>
      <c r="D6402" t="inlineStr">
        <is>
          <t>VÄSTERNORRLANDS LÄN</t>
        </is>
      </c>
      <c r="E6402" t="inlineStr">
        <is>
          <t>SUNDSVALL</t>
        </is>
      </c>
      <c r="G6402" t="n">
        <v>10.2</v>
      </c>
      <c r="H6402" t="n">
        <v>0</v>
      </c>
      <c r="I6402" t="n">
        <v>0</v>
      </c>
      <c r="J6402" t="n">
        <v>0</v>
      </c>
      <c r="K6402" t="n">
        <v>0</v>
      </c>
      <c r="L6402" t="n">
        <v>0</v>
      </c>
      <c r="M6402" t="n">
        <v>0</v>
      </c>
      <c r="N6402" t="n">
        <v>0</v>
      </c>
      <c r="O6402" t="n">
        <v>0</v>
      </c>
      <c r="P6402" t="n">
        <v>0</v>
      </c>
      <c r="Q6402" t="n">
        <v>0</v>
      </c>
      <c r="R6402" s="2" t="inlineStr"/>
    </row>
    <row r="6403" ht="15" customHeight="1">
      <c r="A6403" t="inlineStr">
        <is>
          <t>A 60668-2025</t>
        </is>
      </c>
      <c r="B6403" s="1" t="n">
        <v>45996.52039351852</v>
      </c>
      <c r="C6403" s="1" t="n">
        <v>46185</v>
      </c>
      <c r="D6403" t="inlineStr">
        <is>
          <t>VÄSTERNORRLANDS LÄN</t>
        </is>
      </c>
      <c r="E6403" t="inlineStr">
        <is>
          <t>KRAMFORS</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60526-2025</t>
        </is>
      </c>
      <c r="B6404" s="1" t="n">
        <v>45995.64572916667</v>
      </c>
      <c r="C6404" s="1" t="n">
        <v>46185</v>
      </c>
      <c r="D6404" t="inlineStr">
        <is>
          <t>VÄSTERNORRLANDS LÄN</t>
        </is>
      </c>
      <c r="E6404" t="inlineStr">
        <is>
          <t>ÖRNSKÖLDSVIK</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60601-2025</t>
        </is>
      </c>
      <c r="B6405" s="1" t="n">
        <v>45996.3521412037</v>
      </c>
      <c r="C6405" s="1" t="n">
        <v>46185</v>
      </c>
      <c r="D6405" t="inlineStr">
        <is>
          <t>VÄSTERNORRLANDS LÄN</t>
        </is>
      </c>
      <c r="E6405" t="inlineStr">
        <is>
          <t>SOLLEFTEÅ</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11470-2026</t>
        </is>
      </c>
      <c r="B6406" s="1" t="n">
        <v>46083.59429398148</v>
      </c>
      <c r="C6406" s="1" t="n">
        <v>46185</v>
      </c>
      <c r="D6406" t="inlineStr">
        <is>
          <t>VÄSTERNORRLANDS LÄN</t>
        </is>
      </c>
      <c r="E6406" t="inlineStr">
        <is>
          <t>SUNDSVALL</t>
        </is>
      </c>
      <c r="F6406" t="inlineStr">
        <is>
          <t>SCA</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60523-2025</t>
        </is>
      </c>
      <c r="B6407" s="1" t="n">
        <v>45995</v>
      </c>
      <c r="C6407" s="1" t="n">
        <v>46185</v>
      </c>
      <c r="D6407" t="inlineStr">
        <is>
          <t>VÄSTERNORRLANDS LÄN</t>
        </is>
      </c>
      <c r="E6407" t="inlineStr">
        <is>
          <t>ÖRNSKÖLDSVIK</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11507-2026</t>
        </is>
      </c>
      <c r="B6408" s="1" t="n">
        <v>46083.65457175926</v>
      </c>
      <c r="C6408" s="1" t="n">
        <v>46185</v>
      </c>
      <c r="D6408" t="inlineStr">
        <is>
          <t>VÄSTERNORRLANDS LÄN</t>
        </is>
      </c>
      <c r="E6408" t="inlineStr">
        <is>
          <t>SUNDSVALL</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11202-2026</t>
        </is>
      </c>
      <c r="B6409" s="1" t="n">
        <v>46080</v>
      </c>
      <c r="C6409" s="1" t="n">
        <v>46185</v>
      </c>
      <c r="D6409" t="inlineStr">
        <is>
          <t>VÄSTERNORRLANDS LÄN</t>
        </is>
      </c>
      <c r="E6409" t="inlineStr">
        <is>
          <t>HÄRNÖSAND</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60591-2025</t>
        </is>
      </c>
      <c r="B6410" s="1" t="n">
        <v>45996.34302083333</v>
      </c>
      <c r="C6410" s="1" t="n">
        <v>46185</v>
      </c>
      <c r="D6410" t="inlineStr">
        <is>
          <t>VÄSTERNORRLANDS LÄN</t>
        </is>
      </c>
      <c r="E6410" t="inlineStr">
        <is>
          <t>SOLLEFTEÅ</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60604-2025</t>
        </is>
      </c>
      <c r="B6411" s="1" t="n">
        <v>45995</v>
      </c>
      <c r="C6411" s="1" t="n">
        <v>46185</v>
      </c>
      <c r="D6411" t="inlineStr">
        <is>
          <t>VÄSTERNORRLANDS LÄN</t>
        </is>
      </c>
      <c r="E6411" t="inlineStr">
        <is>
          <t>ÅNGE</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20338-2025</t>
        </is>
      </c>
      <c r="B6412" s="1" t="n">
        <v>45775</v>
      </c>
      <c r="C6412" s="1" t="n">
        <v>46185</v>
      </c>
      <c r="D6412" t="inlineStr">
        <is>
          <t>VÄSTERNORRLANDS LÄN</t>
        </is>
      </c>
      <c r="E6412" t="inlineStr">
        <is>
          <t>ÅNGE</t>
        </is>
      </c>
      <c r="F6412" t="inlineStr">
        <is>
          <t>SCA</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60637-2025</t>
        </is>
      </c>
      <c r="B6413" s="1" t="n">
        <v>45996.43682870371</v>
      </c>
      <c r="C6413" s="1" t="n">
        <v>46185</v>
      </c>
      <c r="D6413" t="inlineStr">
        <is>
          <t>VÄSTERNORRLANDS LÄN</t>
        </is>
      </c>
      <c r="E6413" t="inlineStr">
        <is>
          <t>ÖRNSKÖLDSVIK</t>
        </is>
      </c>
      <c r="F6413" t="inlineStr">
        <is>
          <t>Holmen skog AB</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60403-2025</t>
        </is>
      </c>
      <c r="B6414" s="1" t="n">
        <v>45995.42762731481</v>
      </c>
      <c r="C6414" s="1" t="n">
        <v>46185</v>
      </c>
      <c r="D6414" t="inlineStr">
        <is>
          <t>VÄSTERNORRLANDS LÄN</t>
        </is>
      </c>
      <c r="E6414" t="inlineStr">
        <is>
          <t>ÅNGE</t>
        </is>
      </c>
      <c r="F6414" t="inlineStr">
        <is>
          <t>SCA</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47449-2022</t>
        </is>
      </c>
      <c r="B6415" s="1" t="n">
        <v>44852</v>
      </c>
      <c r="C6415" s="1" t="n">
        <v>46185</v>
      </c>
      <c r="D6415" t="inlineStr">
        <is>
          <t>VÄSTERNORRLANDS LÄN</t>
        </is>
      </c>
      <c r="E6415" t="inlineStr">
        <is>
          <t>ÖRNSKÖLDSVIK</t>
        </is>
      </c>
      <c r="G6415" t="n">
        <v>5.8</v>
      </c>
      <c r="H6415" t="n">
        <v>0</v>
      </c>
      <c r="I6415" t="n">
        <v>0</v>
      </c>
      <c r="J6415" t="n">
        <v>0</v>
      </c>
      <c r="K6415" t="n">
        <v>0</v>
      </c>
      <c r="L6415" t="n">
        <v>0</v>
      </c>
      <c r="M6415" t="n">
        <v>0</v>
      </c>
      <c r="N6415" t="n">
        <v>0</v>
      </c>
      <c r="O6415" t="n">
        <v>0</v>
      </c>
      <c r="P6415" t="n">
        <v>0</v>
      </c>
      <c r="Q6415" t="n">
        <v>0</v>
      </c>
      <c r="R6415" s="2" t="inlineStr"/>
    </row>
    <row r="6416" ht="15" customHeight="1">
      <c r="A6416" t="inlineStr">
        <is>
          <t>A 47551-2022</t>
        </is>
      </c>
      <c r="B6416" s="1" t="n">
        <v>44853.92789351852</v>
      </c>
      <c r="C6416" s="1" t="n">
        <v>46185</v>
      </c>
      <c r="D6416" t="inlineStr">
        <is>
          <t>VÄSTERNORRLANDS LÄN</t>
        </is>
      </c>
      <c r="E6416" t="inlineStr">
        <is>
          <t>HÄRNÖSAND</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11160-2026</t>
        </is>
      </c>
      <c r="B6417" s="1" t="n">
        <v>46080.34474537037</v>
      </c>
      <c r="C6417" s="1" t="n">
        <v>46185</v>
      </c>
      <c r="D6417" t="inlineStr">
        <is>
          <t>VÄSTERNORRLANDS LÄN</t>
        </is>
      </c>
      <c r="E6417" t="inlineStr">
        <is>
          <t>ÖRNSKÖLDSVIK</t>
        </is>
      </c>
      <c r="F6417" t="inlineStr">
        <is>
          <t>SCA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11383-2026</t>
        </is>
      </c>
      <c r="B6418" s="1" t="n">
        <v>46083.4175</v>
      </c>
      <c r="C6418" s="1" t="n">
        <v>46185</v>
      </c>
      <c r="D6418" t="inlineStr">
        <is>
          <t>VÄSTERNORRLANDS LÄN</t>
        </is>
      </c>
      <c r="E6418" t="inlineStr">
        <is>
          <t>TIMRÅ</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40197-2022</t>
        </is>
      </c>
      <c r="B6419" s="1" t="n">
        <v>44818</v>
      </c>
      <c r="C6419" s="1" t="n">
        <v>46185</v>
      </c>
      <c r="D6419" t="inlineStr">
        <is>
          <t>VÄSTERNORRLANDS LÄN</t>
        </is>
      </c>
      <c r="E6419" t="inlineStr">
        <is>
          <t>ÖRNSKÖLDSVIK</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34224-2023</t>
        </is>
      </c>
      <c r="B6420" s="1" t="n">
        <v>45126</v>
      </c>
      <c r="C6420" s="1" t="n">
        <v>46185</v>
      </c>
      <c r="D6420" t="inlineStr">
        <is>
          <t>VÄSTERNORRLANDS LÄN</t>
        </is>
      </c>
      <c r="E6420" t="inlineStr">
        <is>
          <t>HÄRNÖSAND</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60651-2025</t>
        </is>
      </c>
      <c r="B6421" s="1" t="n">
        <v>45996.4615625</v>
      </c>
      <c r="C6421" s="1" t="n">
        <v>46185</v>
      </c>
      <c r="D6421" t="inlineStr">
        <is>
          <t>VÄSTERNORRLANDS LÄN</t>
        </is>
      </c>
      <c r="E6421" t="inlineStr">
        <is>
          <t>SUNDSVALL</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36457-2021</t>
        </is>
      </c>
      <c r="B6422" s="1" t="n">
        <v>44390.93858796296</v>
      </c>
      <c r="C6422" s="1" t="n">
        <v>46185</v>
      </c>
      <c r="D6422" t="inlineStr">
        <is>
          <t>VÄSTERNORRLANDS LÄN</t>
        </is>
      </c>
      <c r="E6422" t="inlineStr">
        <is>
          <t>ÅNGE</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60492-2025</t>
        </is>
      </c>
      <c r="B6423" s="1" t="n">
        <v>45995</v>
      </c>
      <c r="C6423" s="1" t="n">
        <v>46185</v>
      </c>
      <c r="D6423" t="inlineStr">
        <is>
          <t>VÄSTERNORRLANDS LÄN</t>
        </is>
      </c>
      <c r="E6423" t="inlineStr">
        <is>
          <t>ÖRNSKÖLDSVIK</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60497-2025</t>
        </is>
      </c>
      <c r="B6424" s="1" t="n">
        <v>45995.61512731481</v>
      </c>
      <c r="C6424" s="1" t="n">
        <v>46185</v>
      </c>
      <c r="D6424" t="inlineStr">
        <is>
          <t>VÄSTERNORRLANDS LÄN</t>
        </is>
      </c>
      <c r="E6424" t="inlineStr">
        <is>
          <t>SUNDSVALL</t>
        </is>
      </c>
      <c r="F6424" t="inlineStr">
        <is>
          <t>SCA</t>
        </is>
      </c>
      <c r="G6424" t="n">
        <v>8.6</v>
      </c>
      <c r="H6424" t="n">
        <v>0</v>
      </c>
      <c r="I6424" t="n">
        <v>0</v>
      </c>
      <c r="J6424" t="n">
        <v>0</v>
      </c>
      <c r="K6424" t="n">
        <v>0</v>
      </c>
      <c r="L6424" t="n">
        <v>0</v>
      </c>
      <c r="M6424" t="n">
        <v>0</v>
      </c>
      <c r="N6424" t="n">
        <v>0</v>
      </c>
      <c r="O6424" t="n">
        <v>0</v>
      </c>
      <c r="P6424" t="n">
        <v>0</v>
      </c>
      <c r="Q6424" t="n">
        <v>0</v>
      </c>
      <c r="R6424" s="2" t="inlineStr"/>
    </row>
    <row r="6425" ht="15" customHeight="1">
      <c r="A6425" t="inlineStr">
        <is>
          <t>A 60761-2025</t>
        </is>
      </c>
      <c r="B6425" s="1" t="n">
        <v>45999.3862037037</v>
      </c>
      <c r="C6425" s="1" t="n">
        <v>46185</v>
      </c>
      <c r="D6425" t="inlineStr">
        <is>
          <t>VÄSTERNORRLANDS LÄN</t>
        </is>
      </c>
      <c r="E6425" t="inlineStr">
        <is>
          <t>SOLLEFTEÅ</t>
        </is>
      </c>
      <c r="F6425" t="inlineStr">
        <is>
          <t>SCA</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60803-2025</t>
        </is>
      </c>
      <c r="B6426" s="1" t="n">
        <v>45999.43230324074</v>
      </c>
      <c r="C6426" s="1" t="n">
        <v>46185</v>
      </c>
      <c r="D6426" t="inlineStr">
        <is>
          <t>VÄSTERNORRLANDS LÄN</t>
        </is>
      </c>
      <c r="E6426" t="inlineStr">
        <is>
          <t>SOLLEFTEÅ</t>
        </is>
      </c>
      <c r="F6426" t="inlineStr">
        <is>
          <t>Holmen skog AB</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11461-2026</t>
        </is>
      </c>
      <c r="B6427" s="1" t="n">
        <v>46083.57335648148</v>
      </c>
      <c r="C6427" s="1" t="n">
        <v>46185</v>
      </c>
      <c r="D6427" t="inlineStr">
        <is>
          <t>VÄSTERNORRLANDS LÄN</t>
        </is>
      </c>
      <c r="E6427" t="inlineStr">
        <is>
          <t>ÅNGE</t>
        </is>
      </c>
      <c r="F6427" t="inlineStr">
        <is>
          <t>SCA</t>
        </is>
      </c>
      <c r="G6427" t="n">
        <v>6.7</v>
      </c>
      <c r="H6427" t="n">
        <v>0</v>
      </c>
      <c r="I6427" t="n">
        <v>0</v>
      </c>
      <c r="J6427" t="n">
        <v>0</v>
      </c>
      <c r="K6427" t="n">
        <v>0</v>
      </c>
      <c r="L6427" t="n">
        <v>0</v>
      </c>
      <c r="M6427" t="n">
        <v>0</v>
      </c>
      <c r="N6427" t="n">
        <v>0</v>
      </c>
      <c r="O6427" t="n">
        <v>0</v>
      </c>
      <c r="P6427" t="n">
        <v>0</v>
      </c>
      <c r="Q6427" t="n">
        <v>0</v>
      </c>
      <c r="R6427" s="2" t="inlineStr"/>
    </row>
    <row r="6428" ht="15" customHeight="1">
      <c r="A6428" t="inlineStr">
        <is>
          <t>A 61203-2025</t>
        </is>
      </c>
      <c r="B6428" s="1" t="n">
        <v>46000.61237268519</v>
      </c>
      <c r="C6428" s="1" t="n">
        <v>46185</v>
      </c>
      <c r="D6428" t="inlineStr">
        <is>
          <t>VÄSTERNORRLANDS LÄN</t>
        </is>
      </c>
      <c r="E6428" t="inlineStr">
        <is>
          <t>ÅNGE</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61008-2025</t>
        </is>
      </c>
      <c r="B6429" s="1" t="n">
        <v>45998</v>
      </c>
      <c r="C6429" s="1" t="n">
        <v>46185</v>
      </c>
      <c r="D6429" t="inlineStr">
        <is>
          <t>VÄSTERNORRLANDS LÄN</t>
        </is>
      </c>
      <c r="E6429" t="inlineStr">
        <is>
          <t>KRAMFORS</t>
        </is>
      </c>
      <c r="G6429" t="n">
        <v>15.8</v>
      </c>
      <c r="H6429" t="n">
        <v>0</v>
      </c>
      <c r="I6429" t="n">
        <v>0</v>
      </c>
      <c r="J6429" t="n">
        <v>0</v>
      </c>
      <c r="K6429" t="n">
        <v>0</v>
      </c>
      <c r="L6429" t="n">
        <v>0</v>
      </c>
      <c r="M6429" t="n">
        <v>0</v>
      </c>
      <c r="N6429" t="n">
        <v>0</v>
      </c>
      <c r="O6429" t="n">
        <v>0</v>
      </c>
      <c r="P6429" t="n">
        <v>0</v>
      </c>
      <c r="Q6429" t="n">
        <v>0</v>
      </c>
      <c r="R6429" s="2" t="inlineStr"/>
    </row>
    <row r="6430" ht="15" customHeight="1">
      <c r="A6430" t="inlineStr">
        <is>
          <t>A 11487-2026</t>
        </is>
      </c>
      <c r="B6430" s="1" t="n">
        <v>46083.63237268518</v>
      </c>
      <c r="C6430" s="1" t="n">
        <v>46185</v>
      </c>
      <c r="D6430" t="inlineStr">
        <is>
          <t>VÄSTERNORRLANDS LÄN</t>
        </is>
      </c>
      <c r="E6430" t="inlineStr">
        <is>
          <t>SUNDSVALL</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61265-2025</t>
        </is>
      </c>
      <c r="B6431" s="1" t="n">
        <v>46000.67771990741</v>
      </c>
      <c r="C6431" s="1" t="n">
        <v>46185</v>
      </c>
      <c r="D6431" t="inlineStr">
        <is>
          <t>VÄSTERNORRLANDS LÄN</t>
        </is>
      </c>
      <c r="E6431" t="inlineStr">
        <is>
          <t>SOLLEFTEÅ</t>
        </is>
      </c>
      <c r="F6431" t="inlineStr">
        <is>
          <t>SCA</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61278-2025</t>
        </is>
      </c>
      <c r="B6432" s="1" t="n">
        <v>46000.69827546296</v>
      </c>
      <c r="C6432" s="1" t="n">
        <v>46185</v>
      </c>
      <c r="D6432" t="inlineStr">
        <is>
          <t>VÄSTERNORRLANDS LÄN</t>
        </is>
      </c>
      <c r="E6432" t="inlineStr">
        <is>
          <t>SOLLEFTEÅ</t>
        </is>
      </c>
      <c r="F6432" t="inlineStr">
        <is>
          <t>SCA</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11474-2026</t>
        </is>
      </c>
      <c r="B6433" s="1" t="n">
        <v>46083.59480324074</v>
      </c>
      <c r="C6433" s="1" t="n">
        <v>46185</v>
      </c>
      <c r="D6433" t="inlineStr">
        <is>
          <t>VÄSTERNORRLANDS LÄN</t>
        </is>
      </c>
      <c r="E6433" t="inlineStr">
        <is>
          <t>SUNDSVALL</t>
        </is>
      </c>
      <c r="F6433" t="inlineStr">
        <is>
          <t>SCA</t>
        </is>
      </c>
      <c r="G6433" t="n">
        <v>5</v>
      </c>
      <c r="H6433" t="n">
        <v>0</v>
      </c>
      <c r="I6433" t="n">
        <v>0</v>
      </c>
      <c r="J6433" t="n">
        <v>0</v>
      </c>
      <c r="K6433" t="n">
        <v>0</v>
      </c>
      <c r="L6433" t="n">
        <v>0</v>
      </c>
      <c r="M6433" t="n">
        <v>0</v>
      </c>
      <c r="N6433" t="n">
        <v>0</v>
      </c>
      <c r="O6433" t="n">
        <v>0</v>
      </c>
      <c r="P6433" t="n">
        <v>0</v>
      </c>
      <c r="Q6433" t="n">
        <v>0</v>
      </c>
      <c r="R6433" s="2" t="inlineStr"/>
    </row>
    <row r="6434" ht="15" customHeight="1">
      <c r="A6434" t="inlineStr">
        <is>
          <t>A 11490-2026</t>
        </is>
      </c>
      <c r="B6434" s="1" t="n">
        <v>46083.63535879629</v>
      </c>
      <c r="C6434" s="1" t="n">
        <v>46185</v>
      </c>
      <c r="D6434" t="inlineStr">
        <is>
          <t>VÄSTERNORRLANDS LÄN</t>
        </is>
      </c>
      <c r="E6434" t="inlineStr">
        <is>
          <t>SUNDSVALL</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42507-2023</t>
        </is>
      </c>
      <c r="B6435" s="1" t="n">
        <v>45180.95899305555</v>
      </c>
      <c r="C6435" s="1" t="n">
        <v>46185</v>
      </c>
      <c r="D6435" t="inlineStr">
        <is>
          <t>VÄSTERNORRLANDS LÄN</t>
        </is>
      </c>
      <c r="E6435" t="inlineStr">
        <is>
          <t>SUNDSVALL</t>
        </is>
      </c>
      <c r="G6435" t="n">
        <v>6.1</v>
      </c>
      <c r="H6435" t="n">
        <v>0</v>
      </c>
      <c r="I6435" t="n">
        <v>0</v>
      </c>
      <c r="J6435" t="n">
        <v>0</v>
      </c>
      <c r="K6435" t="n">
        <v>0</v>
      </c>
      <c r="L6435" t="n">
        <v>0</v>
      </c>
      <c r="M6435" t="n">
        <v>0</v>
      </c>
      <c r="N6435" t="n">
        <v>0</v>
      </c>
      <c r="O6435" t="n">
        <v>0</v>
      </c>
      <c r="P6435" t="n">
        <v>0</v>
      </c>
      <c r="Q6435" t="n">
        <v>0</v>
      </c>
      <c r="R6435" s="2" t="inlineStr"/>
    </row>
    <row r="6436" ht="15" customHeight="1">
      <c r="A6436" t="inlineStr">
        <is>
          <t>A 60895-2025</t>
        </is>
      </c>
      <c r="B6436" s="1" t="n">
        <v>45999.57681712963</v>
      </c>
      <c r="C6436" s="1" t="n">
        <v>46185</v>
      </c>
      <c r="D6436" t="inlineStr">
        <is>
          <t>VÄSTERNORRLANDS LÄN</t>
        </is>
      </c>
      <c r="E6436" t="inlineStr">
        <is>
          <t>ÖRNSKÖLDSVIK</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56682-2023</t>
        </is>
      </c>
      <c r="B6437" s="1" t="n">
        <v>45243</v>
      </c>
      <c r="C6437" s="1" t="n">
        <v>46185</v>
      </c>
      <c r="D6437" t="inlineStr">
        <is>
          <t>VÄSTERNORRLANDS LÄN</t>
        </is>
      </c>
      <c r="E6437" t="inlineStr">
        <is>
          <t>SUNDSVALL</t>
        </is>
      </c>
      <c r="G6437" t="n">
        <v>7.5</v>
      </c>
      <c r="H6437" t="n">
        <v>0</v>
      </c>
      <c r="I6437" t="n">
        <v>0</v>
      </c>
      <c r="J6437" t="n">
        <v>0</v>
      </c>
      <c r="K6437" t="n">
        <v>0</v>
      </c>
      <c r="L6437" t="n">
        <v>0</v>
      </c>
      <c r="M6437" t="n">
        <v>0</v>
      </c>
      <c r="N6437" t="n">
        <v>0</v>
      </c>
      <c r="O6437" t="n">
        <v>0</v>
      </c>
      <c r="P6437" t="n">
        <v>0</v>
      </c>
      <c r="Q6437" t="n">
        <v>0</v>
      </c>
      <c r="R6437" s="2" t="inlineStr"/>
    </row>
    <row r="6438" ht="15" customHeight="1">
      <c r="A6438" t="inlineStr">
        <is>
          <t>A 56685-2023</t>
        </is>
      </c>
      <c r="B6438" s="1" t="n">
        <v>45243.96600694444</v>
      </c>
      <c r="C6438" s="1" t="n">
        <v>46185</v>
      </c>
      <c r="D6438" t="inlineStr">
        <is>
          <t>VÄSTERNORRLANDS LÄN</t>
        </is>
      </c>
      <c r="E6438" t="inlineStr">
        <is>
          <t>SOLLEFTEÅ</t>
        </is>
      </c>
      <c r="F6438" t="inlineStr">
        <is>
          <t>SCA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60908-2025</t>
        </is>
      </c>
      <c r="B6439" s="1" t="n">
        <v>45999.59487268519</v>
      </c>
      <c r="C6439" s="1" t="n">
        <v>46185</v>
      </c>
      <c r="D6439" t="inlineStr">
        <is>
          <t>VÄSTERNORRLANDS LÄN</t>
        </is>
      </c>
      <c r="E6439" t="inlineStr">
        <is>
          <t>SUNDSVALL</t>
        </is>
      </c>
      <c r="F6439" t="inlineStr">
        <is>
          <t>SCA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60914-2025</t>
        </is>
      </c>
      <c r="B6440" s="1" t="n">
        <v>45999.60865740741</v>
      </c>
      <c r="C6440" s="1" t="n">
        <v>46185</v>
      </c>
      <c r="D6440" t="inlineStr">
        <is>
          <t>VÄSTERNORRLANDS LÄN</t>
        </is>
      </c>
      <c r="E6440" t="inlineStr">
        <is>
          <t>ÖRNSKÖLDSVIK</t>
        </is>
      </c>
      <c r="F6440" t="inlineStr">
        <is>
          <t>Kommuner</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56699-2023</t>
        </is>
      </c>
      <c r="B6441" s="1" t="n">
        <v>45243</v>
      </c>
      <c r="C6441" s="1" t="n">
        <v>46185</v>
      </c>
      <c r="D6441" t="inlineStr">
        <is>
          <t>VÄSTERNORRLANDS LÄN</t>
        </is>
      </c>
      <c r="E6441" t="inlineStr">
        <is>
          <t>ÅNGE</t>
        </is>
      </c>
      <c r="F6441" t="inlineStr">
        <is>
          <t>SCA</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11157-2026</t>
        </is>
      </c>
      <c r="B6442" s="1" t="n">
        <v>46080.34425925926</v>
      </c>
      <c r="C6442" s="1" t="n">
        <v>46185</v>
      </c>
      <c r="D6442" t="inlineStr">
        <is>
          <t>VÄSTERNORRLANDS LÄN</t>
        </is>
      </c>
      <c r="E6442" t="inlineStr">
        <is>
          <t>ÅNGE</t>
        </is>
      </c>
      <c r="F6442" t="inlineStr">
        <is>
          <t>SCA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39302-2025</t>
        </is>
      </c>
      <c r="B6443" s="1" t="n">
        <v>45889</v>
      </c>
      <c r="C6443" s="1" t="n">
        <v>46185</v>
      </c>
      <c r="D6443" t="inlineStr">
        <is>
          <t>VÄSTERNORRLANDS LÄN</t>
        </is>
      </c>
      <c r="E6443" t="inlineStr">
        <is>
          <t>TIMRÅ</t>
        </is>
      </c>
      <c r="F6443" t="inlineStr">
        <is>
          <t>SCA</t>
        </is>
      </c>
      <c r="G6443" t="n">
        <v>6.2</v>
      </c>
      <c r="H6443" t="n">
        <v>0</v>
      </c>
      <c r="I6443" t="n">
        <v>0</v>
      </c>
      <c r="J6443" t="n">
        <v>0</v>
      </c>
      <c r="K6443" t="n">
        <v>0</v>
      </c>
      <c r="L6443" t="n">
        <v>0</v>
      </c>
      <c r="M6443" t="n">
        <v>0</v>
      </c>
      <c r="N6443" t="n">
        <v>0</v>
      </c>
      <c r="O6443" t="n">
        <v>0</v>
      </c>
      <c r="P6443" t="n">
        <v>0</v>
      </c>
      <c r="Q6443" t="n">
        <v>0</v>
      </c>
      <c r="R6443" s="2" t="inlineStr"/>
    </row>
    <row r="6444" ht="15" customHeight="1">
      <c r="A6444" t="inlineStr">
        <is>
          <t>A 60839-2025</t>
        </is>
      </c>
      <c r="B6444" s="1" t="n">
        <v>45999.48539351852</v>
      </c>
      <c r="C6444" s="1" t="n">
        <v>46185</v>
      </c>
      <c r="D6444" t="inlineStr">
        <is>
          <t>VÄSTERNORRLANDS LÄN</t>
        </is>
      </c>
      <c r="E6444" t="inlineStr">
        <is>
          <t>ÖRNSKÖLDSVIK</t>
        </is>
      </c>
      <c r="F6444" t="inlineStr">
        <is>
          <t>Holmen skog AB</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61075-2025</t>
        </is>
      </c>
      <c r="B6445" s="1" t="n">
        <v>46000.3959837963</v>
      </c>
      <c r="C6445" s="1" t="n">
        <v>46185</v>
      </c>
      <c r="D6445" t="inlineStr">
        <is>
          <t>VÄSTERNORRLANDS LÄN</t>
        </is>
      </c>
      <c r="E6445" t="inlineStr">
        <is>
          <t>ÅNGE</t>
        </is>
      </c>
      <c r="F6445" t="inlineStr">
        <is>
          <t>Holmen skog AB</t>
        </is>
      </c>
      <c r="G6445" t="n">
        <v>7.9</v>
      </c>
      <c r="H6445" t="n">
        <v>0</v>
      </c>
      <c r="I6445" t="n">
        <v>0</v>
      </c>
      <c r="J6445" t="n">
        <v>0</v>
      </c>
      <c r="K6445" t="n">
        <v>0</v>
      </c>
      <c r="L6445" t="n">
        <v>0</v>
      </c>
      <c r="M6445" t="n">
        <v>0</v>
      </c>
      <c r="N6445" t="n">
        <v>0</v>
      </c>
      <c r="O6445" t="n">
        <v>0</v>
      </c>
      <c r="P6445" t="n">
        <v>0</v>
      </c>
      <c r="Q6445" t="n">
        <v>0</v>
      </c>
      <c r="R6445" s="2" t="inlineStr"/>
    </row>
    <row r="6446" ht="15" customHeight="1">
      <c r="A6446" t="inlineStr">
        <is>
          <t>A 54998-2022</t>
        </is>
      </c>
      <c r="B6446" s="1" t="n">
        <v>44881</v>
      </c>
      <c r="C6446" s="1" t="n">
        <v>46185</v>
      </c>
      <c r="D6446" t="inlineStr">
        <is>
          <t>VÄSTERNORRLANDS LÄN</t>
        </is>
      </c>
      <c r="E6446" t="inlineStr">
        <is>
          <t>SUNDSVALL</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61928-2021</t>
        </is>
      </c>
      <c r="B6447" s="1" t="n">
        <v>44502.38475694445</v>
      </c>
      <c r="C6447" s="1" t="n">
        <v>46185</v>
      </c>
      <c r="D6447" t="inlineStr">
        <is>
          <t>VÄSTERNORRLANDS LÄN</t>
        </is>
      </c>
      <c r="E6447" t="inlineStr">
        <is>
          <t>ÅNGE</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62013-2021</t>
        </is>
      </c>
      <c r="B6448" s="1" t="n">
        <v>44502.50188657407</v>
      </c>
      <c r="C6448" s="1" t="n">
        <v>46185</v>
      </c>
      <c r="D6448" t="inlineStr">
        <is>
          <t>VÄSTERNORRLANDS LÄN</t>
        </is>
      </c>
      <c r="E6448" t="inlineStr">
        <is>
          <t>ÖRNSKÖLDSVIK</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19036-2025</t>
        </is>
      </c>
      <c r="B6449" s="1" t="n">
        <v>45764.67304398148</v>
      </c>
      <c r="C6449" s="1" t="n">
        <v>46185</v>
      </c>
      <c r="D6449" t="inlineStr">
        <is>
          <t>VÄSTERNORRLANDS LÄN</t>
        </is>
      </c>
      <c r="E6449" t="inlineStr">
        <is>
          <t>SUNDSVALL</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6510-2025</t>
        </is>
      </c>
      <c r="B6450" s="1" t="n">
        <v>45699</v>
      </c>
      <c r="C6450" s="1" t="n">
        <v>46185</v>
      </c>
      <c r="D6450" t="inlineStr">
        <is>
          <t>VÄSTERNORRLANDS LÄN</t>
        </is>
      </c>
      <c r="E6450" t="inlineStr">
        <is>
          <t>ÖRNSKÖLDSVIK</t>
        </is>
      </c>
      <c r="G6450" t="n">
        <v>6.3</v>
      </c>
      <c r="H6450" t="n">
        <v>0</v>
      </c>
      <c r="I6450" t="n">
        <v>0</v>
      </c>
      <c r="J6450" t="n">
        <v>0</v>
      </c>
      <c r="K6450" t="n">
        <v>0</v>
      </c>
      <c r="L6450" t="n">
        <v>0</v>
      </c>
      <c r="M6450" t="n">
        <v>0</v>
      </c>
      <c r="N6450" t="n">
        <v>0</v>
      </c>
      <c r="O6450" t="n">
        <v>0</v>
      </c>
      <c r="P6450" t="n">
        <v>0</v>
      </c>
      <c r="Q6450" t="n">
        <v>0</v>
      </c>
      <c r="R6450" s="2" t="inlineStr"/>
    </row>
    <row r="6451" ht="15" customHeight="1">
      <c r="A6451" t="inlineStr">
        <is>
          <t>A 11182-2026</t>
        </is>
      </c>
      <c r="B6451" s="1" t="n">
        <v>46080</v>
      </c>
      <c r="C6451" s="1" t="n">
        <v>46185</v>
      </c>
      <c r="D6451" t="inlineStr">
        <is>
          <t>VÄSTERNORRLANDS LÄN</t>
        </is>
      </c>
      <c r="E6451" t="inlineStr">
        <is>
          <t>SOLLEFTEÅ</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11175-2026</t>
        </is>
      </c>
      <c r="B6452" s="1" t="n">
        <v>46080.38614583333</v>
      </c>
      <c r="C6452" s="1" t="n">
        <v>46185</v>
      </c>
      <c r="D6452" t="inlineStr">
        <is>
          <t>VÄSTERNORRLANDS LÄN</t>
        </is>
      </c>
      <c r="E6452" t="inlineStr">
        <is>
          <t>SOLLEFTEÅ</t>
        </is>
      </c>
      <c r="F6452" t="inlineStr">
        <is>
          <t>SCA</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60750-2025</t>
        </is>
      </c>
      <c r="B6453" s="1" t="n">
        <v>45999.38076388889</v>
      </c>
      <c r="C6453" s="1" t="n">
        <v>46185</v>
      </c>
      <c r="D6453" t="inlineStr">
        <is>
          <t>VÄSTERNORRLANDS LÄN</t>
        </is>
      </c>
      <c r="E6453" t="inlineStr">
        <is>
          <t>ÖRNSKÖLDSVIK</t>
        </is>
      </c>
      <c r="F6453" t="inlineStr">
        <is>
          <t>Holmen skog AB</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60888-2025</t>
        </is>
      </c>
      <c r="B6454" s="1" t="n">
        <v>45999</v>
      </c>
      <c r="C6454" s="1" t="n">
        <v>46185</v>
      </c>
      <c r="D6454" t="inlineStr">
        <is>
          <t>VÄSTERNORRLANDS LÄN</t>
        </is>
      </c>
      <c r="E6454" t="inlineStr">
        <is>
          <t>ÖRNSKÖLDSVIK</t>
        </is>
      </c>
      <c r="F6454" t="inlineStr">
        <is>
          <t>Holmen skog AB</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60748-2025</t>
        </is>
      </c>
      <c r="B6455" s="1" t="n">
        <v>45999.38032407407</v>
      </c>
      <c r="C6455" s="1" t="n">
        <v>46185</v>
      </c>
      <c r="D6455" t="inlineStr">
        <is>
          <t>VÄSTERNORRLANDS LÄN</t>
        </is>
      </c>
      <c r="E6455" t="inlineStr">
        <is>
          <t>ÖRNSKÖLDSVIK</t>
        </is>
      </c>
      <c r="F6455" t="inlineStr">
        <is>
          <t>Holmen skog AB</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16302-2025</t>
        </is>
      </c>
      <c r="B6456" s="1" t="n">
        <v>45751.34613425926</v>
      </c>
      <c r="C6456" s="1" t="n">
        <v>46185</v>
      </c>
      <c r="D6456" t="inlineStr">
        <is>
          <t>VÄSTERNORRLANDS LÄN</t>
        </is>
      </c>
      <c r="E6456" t="inlineStr">
        <is>
          <t>TIMRÅ</t>
        </is>
      </c>
      <c r="F6456" t="inlineStr">
        <is>
          <t>SCA</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16303-2025</t>
        </is>
      </c>
      <c r="B6457" s="1" t="n">
        <v>45751.3462037037</v>
      </c>
      <c r="C6457" s="1" t="n">
        <v>46185</v>
      </c>
      <c r="D6457" t="inlineStr">
        <is>
          <t>VÄSTERNORRLANDS LÄN</t>
        </is>
      </c>
      <c r="E6457" t="inlineStr">
        <is>
          <t>ÅNGE</t>
        </is>
      </c>
      <c r="F6457" t="inlineStr">
        <is>
          <t>SCA</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60764-2025</t>
        </is>
      </c>
      <c r="B6458" s="1" t="n">
        <v>45999.38659722222</v>
      </c>
      <c r="C6458" s="1" t="n">
        <v>46185</v>
      </c>
      <c r="D6458" t="inlineStr">
        <is>
          <t>VÄSTERNORRLANDS LÄN</t>
        </is>
      </c>
      <c r="E6458" t="inlineStr">
        <is>
          <t>SOLLEFTEÅ</t>
        </is>
      </c>
      <c r="F6458" t="inlineStr">
        <is>
          <t>SCA</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60768-2025</t>
        </is>
      </c>
      <c r="B6459" s="1" t="n">
        <v>45999.38697916667</v>
      </c>
      <c r="C6459" s="1" t="n">
        <v>46185</v>
      </c>
      <c r="D6459" t="inlineStr">
        <is>
          <t>VÄSTERNORRLANDS LÄN</t>
        </is>
      </c>
      <c r="E6459" t="inlineStr">
        <is>
          <t>HÄRNÖSAND</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60771-2025</t>
        </is>
      </c>
      <c r="B6460" s="1" t="n">
        <v>45999.38715277778</v>
      </c>
      <c r="C6460" s="1" t="n">
        <v>46185</v>
      </c>
      <c r="D6460" t="inlineStr">
        <is>
          <t>VÄSTERNORRLANDS LÄN</t>
        </is>
      </c>
      <c r="E6460" t="inlineStr">
        <is>
          <t>HÄRNÖSAND</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60772-2025</t>
        </is>
      </c>
      <c r="B6461" s="1" t="n">
        <v>45999.38717592593</v>
      </c>
      <c r="C6461" s="1" t="n">
        <v>46185</v>
      </c>
      <c r="D6461" t="inlineStr">
        <is>
          <t>VÄSTERNORRLANDS LÄN</t>
        </is>
      </c>
      <c r="E6461" t="inlineStr">
        <is>
          <t>HÄRNÖSAND</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49056-2022</t>
        </is>
      </c>
      <c r="B6462" s="1" t="n">
        <v>44860</v>
      </c>
      <c r="C6462" s="1" t="n">
        <v>46185</v>
      </c>
      <c r="D6462" t="inlineStr">
        <is>
          <t>VÄSTERNORRLANDS LÄN</t>
        </is>
      </c>
      <c r="E6462" t="inlineStr">
        <is>
          <t>ÖRNSKÖLDSVIK</t>
        </is>
      </c>
      <c r="F6462" t="inlineStr">
        <is>
          <t>Holmen skog AB</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60782-2025</t>
        </is>
      </c>
      <c r="B6463" s="1" t="n">
        <v>45999.39840277778</v>
      </c>
      <c r="C6463" s="1" t="n">
        <v>46185</v>
      </c>
      <c r="D6463" t="inlineStr">
        <is>
          <t>VÄSTERNORRLANDS LÄN</t>
        </is>
      </c>
      <c r="E6463" t="inlineStr">
        <is>
          <t>ÖRNSKÖLDSVIK</t>
        </is>
      </c>
      <c r="F6463" t="inlineStr">
        <is>
          <t>Holmen skog AB</t>
        </is>
      </c>
      <c r="G6463" t="n">
        <v>19.5</v>
      </c>
      <c r="H6463" t="n">
        <v>0</v>
      </c>
      <c r="I6463" t="n">
        <v>0</v>
      </c>
      <c r="J6463" t="n">
        <v>0</v>
      </c>
      <c r="K6463" t="n">
        <v>0</v>
      </c>
      <c r="L6463" t="n">
        <v>0</v>
      </c>
      <c r="M6463" t="n">
        <v>0</v>
      </c>
      <c r="N6463" t="n">
        <v>0</v>
      </c>
      <c r="O6463" t="n">
        <v>0</v>
      </c>
      <c r="P6463" t="n">
        <v>0</v>
      </c>
      <c r="Q6463" t="n">
        <v>0</v>
      </c>
      <c r="R6463" s="2" t="inlineStr"/>
    </row>
    <row r="6464" ht="15" customHeight="1">
      <c r="A6464" t="inlineStr">
        <is>
          <t>A 60854-2025</t>
        </is>
      </c>
      <c r="B6464" s="1" t="n">
        <v>45999</v>
      </c>
      <c r="C6464" s="1" t="n">
        <v>46185</v>
      </c>
      <c r="D6464" t="inlineStr">
        <is>
          <t>VÄSTERNORRLANDS LÄN</t>
        </is>
      </c>
      <c r="E6464" t="inlineStr">
        <is>
          <t>SOLLEFTEÅ</t>
        </is>
      </c>
      <c r="F6464" t="inlineStr">
        <is>
          <t>SCA</t>
        </is>
      </c>
      <c r="G6464" t="n">
        <v>5.6</v>
      </c>
      <c r="H6464" t="n">
        <v>0</v>
      </c>
      <c r="I6464" t="n">
        <v>0</v>
      </c>
      <c r="J6464" t="n">
        <v>0</v>
      </c>
      <c r="K6464" t="n">
        <v>0</v>
      </c>
      <c r="L6464" t="n">
        <v>0</v>
      </c>
      <c r="M6464" t="n">
        <v>0</v>
      </c>
      <c r="N6464" t="n">
        <v>0</v>
      </c>
      <c r="O6464" t="n">
        <v>0</v>
      </c>
      <c r="P6464" t="n">
        <v>0</v>
      </c>
      <c r="Q6464" t="n">
        <v>0</v>
      </c>
      <c r="R6464" s="2" t="inlineStr"/>
    </row>
    <row r="6465" ht="15" customHeight="1">
      <c r="A6465" t="inlineStr">
        <is>
          <t>A 60864-2025</t>
        </is>
      </c>
      <c r="B6465" s="1" t="n">
        <v>45999.53170138889</v>
      </c>
      <c r="C6465" s="1" t="n">
        <v>46185</v>
      </c>
      <c r="D6465" t="inlineStr">
        <is>
          <t>VÄSTERNORRLANDS LÄN</t>
        </is>
      </c>
      <c r="E6465" t="inlineStr">
        <is>
          <t>ÅNGE</t>
        </is>
      </c>
      <c r="F6465" t="inlineStr">
        <is>
          <t>SCA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60882-2025</t>
        </is>
      </c>
      <c r="B6466" s="1" t="n">
        <v>45999.56179398148</v>
      </c>
      <c r="C6466" s="1" t="n">
        <v>46185</v>
      </c>
      <c r="D6466" t="inlineStr">
        <is>
          <t>VÄSTERNORRLANDS LÄN</t>
        </is>
      </c>
      <c r="E6466" t="inlineStr">
        <is>
          <t>ÖRNSKÖLDSVIK</t>
        </is>
      </c>
      <c r="F6466" t="inlineStr">
        <is>
          <t>Holmen skog AB</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37051-2021</t>
        </is>
      </c>
      <c r="B6467" s="1" t="n">
        <v>44393</v>
      </c>
      <c r="C6467" s="1" t="n">
        <v>46185</v>
      </c>
      <c r="D6467" t="inlineStr">
        <is>
          <t>VÄSTERNORRLANDS LÄN</t>
        </is>
      </c>
      <c r="E6467" t="inlineStr">
        <is>
          <t>ÅNGE</t>
        </is>
      </c>
      <c r="F6467" t="inlineStr">
        <is>
          <t>SCA</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60971-2025</t>
        </is>
      </c>
      <c r="B6468" s="1" t="n">
        <v>45999.69315972222</v>
      </c>
      <c r="C6468" s="1" t="n">
        <v>46185</v>
      </c>
      <c r="D6468" t="inlineStr">
        <is>
          <t>VÄSTERNORRLANDS LÄN</t>
        </is>
      </c>
      <c r="E6468" t="inlineStr">
        <is>
          <t>KRAMFORS</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54607-2023</t>
        </is>
      </c>
      <c r="B6469" s="1" t="n">
        <v>45233.95748842593</v>
      </c>
      <c r="C6469" s="1" t="n">
        <v>46185</v>
      </c>
      <c r="D6469" t="inlineStr">
        <is>
          <t>VÄSTERNORRLANDS LÄN</t>
        </is>
      </c>
      <c r="E6469" t="inlineStr">
        <is>
          <t>SOLLEFTEÅ</t>
        </is>
      </c>
      <c r="F6469" t="inlineStr">
        <is>
          <t>SCA</t>
        </is>
      </c>
      <c r="G6469" t="n">
        <v>9.300000000000001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11518-2026</t>
        </is>
      </c>
      <c r="B6470" s="1" t="n">
        <v>46083.66465277778</v>
      </c>
      <c r="C6470" s="1" t="n">
        <v>46185</v>
      </c>
      <c r="D6470" t="inlineStr">
        <is>
          <t>VÄSTERNORRLANDS LÄN</t>
        </is>
      </c>
      <c r="E6470" t="inlineStr">
        <is>
          <t>SUNDSVALL</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53223-2022</t>
        </is>
      </c>
      <c r="B6471" s="1" t="n">
        <v>44876</v>
      </c>
      <c r="C6471" s="1" t="n">
        <v>46185</v>
      </c>
      <c r="D6471" t="inlineStr">
        <is>
          <t>VÄSTERNORRLANDS LÄN</t>
        </is>
      </c>
      <c r="E6471" t="inlineStr">
        <is>
          <t>ÖRNSKÖLDSVIK</t>
        </is>
      </c>
      <c r="F6471" t="inlineStr">
        <is>
          <t>Holmen skog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60765-2025</t>
        </is>
      </c>
      <c r="B6472" s="1" t="n">
        <v>45999.38672453703</v>
      </c>
      <c r="C6472" s="1" t="n">
        <v>46185</v>
      </c>
      <c r="D6472" t="inlineStr">
        <is>
          <t>VÄSTERNORRLANDS LÄN</t>
        </is>
      </c>
      <c r="E6472" t="inlineStr">
        <is>
          <t>ÖRNSKÖLDSVIK</t>
        </is>
      </c>
      <c r="F6472" t="inlineStr">
        <is>
          <t>SCA</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60770-2025</t>
        </is>
      </c>
      <c r="B6473" s="1" t="n">
        <v>45999.38707175926</v>
      </c>
      <c r="C6473" s="1" t="n">
        <v>46185</v>
      </c>
      <c r="D6473" t="inlineStr">
        <is>
          <t>VÄSTERNORRLANDS LÄN</t>
        </is>
      </c>
      <c r="E6473" t="inlineStr">
        <is>
          <t>SUNDSVALL</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3546-2022</t>
        </is>
      </c>
      <c r="B6474" s="1" t="n">
        <v>44585</v>
      </c>
      <c r="C6474" s="1" t="n">
        <v>46185</v>
      </c>
      <c r="D6474" t="inlineStr">
        <is>
          <t>VÄSTERNORRLANDS LÄN</t>
        </is>
      </c>
      <c r="E6474" t="inlineStr">
        <is>
          <t>SUNDSVALL</t>
        </is>
      </c>
      <c r="F6474" t="inlineStr">
        <is>
          <t>SCA</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48397-2024</t>
        </is>
      </c>
      <c r="B6475" s="1" t="n">
        <v>45590.61517361111</v>
      </c>
      <c r="C6475" s="1" t="n">
        <v>46185</v>
      </c>
      <c r="D6475" t="inlineStr">
        <is>
          <t>VÄSTERNORRLANDS LÄN</t>
        </is>
      </c>
      <c r="E6475" t="inlineStr">
        <is>
          <t>TIMRÅ</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56908-2021</t>
        </is>
      </c>
      <c r="B6476" s="1" t="n">
        <v>44481.93844907408</v>
      </c>
      <c r="C6476" s="1" t="n">
        <v>46185</v>
      </c>
      <c r="D6476" t="inlineStr">
        <is>
          <t>VÄSTERNORRLANDS LÄN</t>
        </is>
      </c>
      <c r="E6476" t="inlineStr">
        <is>
          <t>ÅNGE</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732-2023</t>
        </is>
      </c>
      <c r="B6477" s="1" t="n">
        <v>44931.29981481482</v>
      </c>
      <c r="C6477" s="1" t="n">
        <v>46185</v>
      </c>
      <c r="D6477" t="inlineStr">
        <is>
          <t>VÄSTERNORRLANDS LÄN</t>
        </is>
      </c>
      <c r="E6477" t="inlineStr">
        <is>
          <t>ÅNGE</t>
        </is>
      </c>
      <c r="F6477" t="inlineStr">
        <is>
          <t>Sveaskog</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763-2023</t>
        </is>
      </c>
      <c r="B6478" s="1" t="n">
        <v>44931</v>
      </c>
      <c r="C6478" s="1" t="n">
        <v>46185</v>
      </c>
      <c r="D6478" t="inlineStr">
        <is>
          <t>VÄSTERNORRLANDS LÄN</t>
        </is>
      </c>
      <c r="E6478" t="inlineStr">
        <is>
          <t>ÖRNSKÖLDSVIK</t>
        </is>
      </c>
      <c r="F6478" t="inlineStr">
        <is>
          <t>Holmen skog AB</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39046-2023</t>
        </is>
      </c>
      <c r="B6479" s="1" t="n">
        <v>45163</v>
      </c>
      <c r="C6479" s="1" t="n">
        <v>46185</v>
      </c>
      <c r="D6479" t="inlineStr">
        <is>
          <t>VÄSTERNORRLANDS LÄN</t>
        </is>
      </c>
      <c r="E6479" t="inlineStr">
        <is>
          <t>TIMRÅ</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61062-2025</t>
        </is>
      </c>
      <c r="B6480" s="1" t="n">
        <v>46000.36528935185</v>
      </c>
      <c r="C6480" s="1" t="n">
        <v>46185</v>
      </c>
      <c r="D6480" t="inlineStr">
        <is>
          <t>VÄSTERNORRLANDS LÄN</t>
        </is>
      </c>
      <c r="E6480" t="inlineStr">
        <is>
          <t>SOLLEFTEÅ</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47741-2023</t>
        </is>
      </c>
      <c r="B6481" s="1" t="n">
        <v>45198</v>
      </c>
      <c r="C6481" s="1" t="n">
        <v>46185</v>
      </c>
      <c r="D6481" t="inlineStr">
        <is>
          <t>VÄSTERNORRLANDS LÄN</t>
        </is>
      </c>
      <c r="E6481" t="inlineStr">
        <is>
          <t>SOLLEFTEÅ</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21349-2023</t>
        </is>
      </c>
      <c r="B6482" s="1" t="n">
        <v>45062.9390625</v>
      </c>
      <c r="C6482" s="1" t="n">
        <v>46185</v>
      </c>
      <c r="D6482" t="inlineStr">
        <is>
          <t>VÄSTERNORRLANDS LÄN</t>
        </is>
      </c>
      <c r="E6482" t="inlineStr">
        <is>
          <t>SOLLEFTEÅ</t>
        </is>
      </c>
      <c r="F6482" t="inlineStr">
        <is>
          <t>SCA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5520-2022</t>
        </is>
      </c>
      <c r="B6483" s="1" t="n">
        <v>44595</v>
      </c>
      <c r="C6483" s="1" t="n">
        <v>46185</v>
      </c>
      <c r="D6483" t="inlineStr">
        <is>
          <t>VÄSTERNORRLANDS LÄN</t>
        </is>
      </c>
      <c r="E6483" t="inlineStr">
        <is>
          <t>ÅNGE</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60992-2025</t>
        </is>
      </c>
      <c r="B6484" s="1" t="n">
        <v>45999.72966435185</v>
      </c>
      <c r="C6484" s="1" t="n">
        <v>46185</v>
      </c>
      <c r="D6484" t="inlineStr">
        <is>
          <t>VÄSTERNORRLANDS LÄN</t>
        </is>
      </c>
      <c r="E6484" t="inlineStr">
        <is>
          <t>KRAMFORS</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11214-2026</t>
        </is>
      </c>
      <c r="B6485" s="1" t="n">
        <v>46080.46942129629</v>
      </c>
      <c r="C6485" s="1" t="n">
        <v>46185</v>
      </c>
      <c r="D6485" t="inlineStr">
        <is>
          <t>VÄSTERNORRLANDS LÄN</t>
        </is>
      </c>
      <c r="E6485" t="inlineStr">
        <is>
          <t>SOLLEFTEÅ</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11215-2026</t>
        </is>
      </c>
      <c r="B6486" s="1" t="n">
        <v>46080.46967592592</v>
      </c>
      <c r="C6486" s="1" t="n">
        <v>46185</v>
      </c>
      <c r="D6486" t="inlineStr">
        <is>
          <t>VÄSTERNORRLANDS LÄN</t>
        </is>
      </c>
      <c r="E6486" t="inlineStr">
        <is>
          <t>SOLLEFTEÅ</t>
        </is>
      </c>
      <c r="F6486" t="inlineStr">
        <is>
          <t>SCA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9506-2023</t>
        </is>
      </c>
      <c r="B6487" s="1" t="n">
        <v>44978</v>
      </c>
      <c r="C6487" s="1" t="n">
        <v>46185</v>
      </c>
      <c r="D6487" t="inlineStr">
        <is>
          <t>VÄSTERNORRLANDS LÄN</t>
        </is>
      </c>
      <c r="E6487" t="inlineStr">
        <is>
          <t>KRAMFORS</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61061-2025</t>
        </is>
      </c>
      <c r="B6488" s="1" t="n">
        <v>46000.36512731481</v>
      </c>
      <c r="C6488" s="1" t="n">
        <v>46185</v>
      </c>
      <c r="D6488" t="inlineStr">
        <is>
          <t>VÄSTERNORRLANDS LÄN</t>
        </is>
      </c>
      <c r="E6488" t="inlineStr">
        <is>
          <t>SOLLEFTEÅ</t>
        </is>
      </c>
      <c r="F6488" t="inlineStr">
        <is>
          <t>SCA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42744-2021</t>
        </is>
      </c>
      <c r="B6489" s="1" t="n">
        <v>44428</v>
      </c>
      <c r="C6489" s="1" t="n">
        <v>46185</v>
      </c>
      <c r="D6489" t="inlineStr">
        <is>
          <t>VÄSTERNORRLANDS LÄN</t>
        </is>
      </c>
      <c r="E6489" t="inlineStr">
        <is>
          <t>ÖRNSKÖLDSVIK</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46273-2021</t>
        </is>
      </c>
      <c r="B6490" s="1" t="n">
        <v>44442.56886574074</v>
      </c>
      <c r="C6490" s="1" t="n">
        <v>46185</v>
      </c>
      <c r="D6490" t="inlineStr">
        <is>
          <t>VÄSTERNORRLANDS LÄN</t>
        </is>
      </c>
      <c r="E6490" t="inlineStr">
        <is>
          <t>HÄRNÖSAND</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11281-2026</t>
        </is>
      </c>
      <c r="B6491" s="1" t="n">
        <v>46080.59430555555</v>
      </c>
      <c r="C6491" s="1" t="n">
        <v>46185</v>
      </c>
      <c r="D6491" t="inlineStr">
        <is>
          <t>VÄSTERNORRLANDS LÄN</t>
        </is>
      </c>
      <c r="E6491" t="inlineStr">
        <is>
          <t>SOLLEFTEÅ</t>
        </is>
      </c>
      <c r="F6491" t="inlineStr">
        <is>
          <t>SCA</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61232-2025</t>
        </is>
      </c>
      <c r="B6492" s="1" t="n">
        <v>46000.63325231482</v>
      </c>
      <c r="C6492" s="1" t="n">
        <v>46185</v>
      </c>
      <c r="D6492" t="inlineStr">
        <is>
          <t>VÄSTERNORRLANDS LÄN</t>
        </is>
      </c>
      <c r="E6492" t="inlineStr">
        <is>
          <t>ÖRNSKÖLDSVIK</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36786-2024</t>
        </is>
      </c>
      <c r="B6493" s="1" t="n">
        <v>45538</v>
      </c>
      <c r="C6493" s="1" t="n">
        <v>46185</v>
      </c>
      <c r="D6493" t="inlineStr">
        <is>
          <t>VÄSTERNORRLANDS LÄN</t>
        </is>
      </c>
      <c r="E6493" t="inlineStr">
        <is>
          <t>ÅNGE</t>
        </is>
      </c>
      <c r="F6493" t="inlineStr">
        <is>
          <t>SCA</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59341-2023</t>
        </is>
      </c>
      <c r="B6494" s="1" t="n">
        <v>45253.65173611111</v>
      </c>
      <c r="C6494" s="1" t="n">
        <v>46185</v>
      </c>
      <c r="D6494" t="inlineStr">
        <is>
          <t>VÄSTERNORRLANDS LÄN</t>
        </is>
      </c>
      <c r="E6494" t="inlineStr">
        <is>
          <t>SUNDSVALL</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61055-2025</t>
        </is>
      </c>
      <c r="B6495" s="1" t="n">
        <v>46000.34418981482</v>
      </c>
      <c r="C6495" s="1" t="n">
        <v>46185</v>
      </c>
      <c r="D6495" t="inlineStr">
        <is>
          <t>VÄSTERNORRLANDS LÄN</t>
        </is>
      </c>
      <c r="E6495" t="inlineStr">
        <is>
          <t>TIMRÅ</t>
        </is>
      </c>
      <c r="F6495" t="inlineStr">
        <is>
          <t>SCA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11486-2026</t>
        </is>
      </c>
      <c r="B6496" s="1" t="n">
        <v>46083.63189814815</v>
      </c>
      <c r="C6496" s="1" t="n">
        <v>46185</v>
      </c>
      <c r="D6496" t="inlineStr">
        <is>
          <t>VÄSTERNORRLANDS LÄN</t>
        </is>
      </c>
      <c r="E6496" t="inlineStr">
        <is>
          <t>SOLLEFTEÅ</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11197-2026</t>
        </is>
      </c>
      <c r="B6497" s="1" t="n">
        <v>46080.42792824074</v>
      </c>
      <c r="C6497" s="1" t="n">
        <v>46185</v>
      </c>
      <c r="D6497" t="inlineStr">
        <is>
          <t>VÄSTERNORRLANDS LÄN</t>
        </is>
      </c>
      <c r="E6497" t="inlineStr">
        <is>
          <t>ÖRNSKÖLDSVIK</t>
        </is>
      </c>
      <c r="F6497" t="inlineStr">
        <is>
          <t>SCA</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11196-2026</t>
        </is>
      </c>
      <c r="B6498" s="1" t="n">
        <v>46080.4278587963</v>
      </c>
      <c r="C6498" s="1" t="n">
        <v>46185</v>
      </c>
      <c r="D6498" t="inlineStr">
        <is>
          <t>VÄSTERNORRLANDS LÄN</t>
        </is>
      </c>
      <c r="E6498" t="inlineStr">
        <is>
          <t>ÖRNSKÖLDSVIK</t>
        </is>
      </c>
      <c r="F6498" t="inlineStr">
        <is>
          <t>SCA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3329-2022</t>
        </is>
      </c>
      <c r="B6499" s="1" t="n">
        <v>44585</v>
      </c>
      <c r="C6499" s="1" t="n">
        <v>46185</v>
      </c>
      <c r="D6499" t="inlineStr">
        <is>
          <t>VÄSTERNORRLANDS LÄN</t>
        </is>
      </c>
      <c r="E6499" t="inlineStr">
        <is>
          <t>ÖRNSKÖLDSVIK</t>
        </is>
      </c>
      <c r="G6499" t="n">
        <v>7.9</v>
      </c>
      <c r="H6499" t="n">
        <v>0</v>
      </c>
      <c r="I6499" t="n">
        <v>0</v>
      </c>
      <c r="J6499" t="n">
        <v>0</v>
      </c>
      <c r="K6499" t="n">
        <v>0</v>
      </c>
      <c r="L6499" t="n">
        <v>0</v>
      </c>
      <c r="M6499" t="n">
        <v>0</v>
      </c>
      <c r="N6499" t="n">
        <v>0</v>
      </c>
      <c r="O6499" t="n">
        <v>0</v>
      </c>
      <c r="P6499" t="n">
        <v>0</v>
      </c>
      <c r="Q6499" t="n">
        <v>0</v>
      </c>
      <c r="R6499" s="2" t="inlineStr"/>
    </row>
    <row r="6500" ht="15" customHeight="1">
      <c r="A6500" t="inlineStr">
        <is>
          <t>A 11193-2026</t>
        </is>
      </c>
      <c r="B6500" s="1" t="n">
        <v>46080.42586805556</v>
      </c>
      <c r="C6500" s="1" t="n">
        <v>46185</v>
      </c>
      <c r="D6500" t="inlineStr">
        <is>
          <t>VÄSTERNORRLANDS LÄN</t>
        </is>
      </c>
      <c r="E6500" t="inlineStr">
        <is>
          <t>SUNDSVALL</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11386-2026</t>
        </is>
      </c>
      <c r="B6501" s="1" t="n">
        <v>46083.42164351852</v>
      </c>
      <c r="C6501" s="1" t="n">
        <v>46185</v>
      </c>
      <c r="D6501" t="inlineStr">
        <is>
          <t>VÄSTERNORRLANDS LÄN</t>
        </is>
      </c>
      <c r="E6501" t="inlineStr">
        <is>
          <t>TIMRÅ</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53663-2022</t>
        </is>
      </c>
      <c r="B6502" s="1" t="n">
        <v>44879</v>
      </c>
      <c r="C6502" s="1" t="n">
        <v>46185</v>
      </c>
      <c r="D6502" t="inlineStr">
        <is>
          <t>VÄSTERNORRLANDS LÄN</t>
        </is>
      </c>
      <c r="E6502" t="inlineStr">
        <is>
          <t>ÅNGE</t>
        </is>
      </c>
      <c r="F6502" t="inlineStr">
        <is>
          <t>SCA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11916-2026</t>
        </is>
      </c>
      <c r="B6503" s="1" t="n">
        <v>46085.55888888889</v>
      </c>
      <c r="C6503" s="1" t="n">
        <v>46185</v>
      </c>
      <c r="D6503" t="inlineStr">
        <is>
          <t>VÄSTERNORRLANDS LÄN</t>
        </is>
      </c>
      <c r="E6503" t="inlineStr">
        <is>
          <t>SOLLEFTEÅ</t>
        </is>
      </c>
      <c r="G6503" t="n">
        <v>25.5</v>
      </c>
      <c r="H6503" t="n">
        <v>0</v>
      </c>
      <c r="I6503" t="n">
        <v>0</v>
      </c>
      <c r="J6503" t="n">
        <v>0</v>
      </c>
      <c r="K6503" t="n">
        <v>0</v>
      </c>
      <c r="L6503" t="n">
        <v>0</v>
      </c>
      <c r="M6503" t="n">
        <v>0</v>
      </c>
      <c r="N6503" t="n">
        <v>0</v>
      </c>
      <c r="O6503" t="n">
        <v>0</v>
      </c>
      <c r="P6503" t="n">
        <v>0</v>
      </c>
      <c r="Q6503" t="n">
        <v>0</v>
      </c>
      <c r="R6503" s="2" t="inlineStr"/>
    </row>
    <row r="6504" ht="15" customHeight="1">
      <c r="A6504" t="inlineStr">
        <is>
          <t>A 11924-2026</t>
        </is>
      </c>
      <c r="B6504" s="1" t="n">
        <v>46085.5734837963</v>
      </c>
      <c r="C6504" s="1" t="n">
        <v>46185</v>
      </c>
      <c r="D6504" t="inlineStr">
        <is>
          <t>VÄSTERNORRLANDS LÄN</t>
        </is>
      </c>
      <c r="E6504" t="inlineStr">
        <is>
          <t>ÅNGE</t>
        </is>
      </c>
      <c r="F6504" t="inlineStr">
        <is>
          <t>SCA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60901-2025</t>
        </is>
      </c>
      <c r="B6505" s="1" t="n">
        <v>45999</v>
      </c>
      <c r="C6505" s="1" t="n">
        <v>46185</v>
      </c>
      <c r="D6505" t="inlineStr">
        <is>
          <t>VÄSTERNORRLANDS LÄN</t>
        </is>
      </c>
      <c r="E6505" t="inlineStr">
        <is>
          <t>ÖRNSKÖLDSVIK</t>
        </is>
      </c>
      <c r="F6505" t="inlineStr">
        <is>
          <t>Holmen skog AB</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51329-2022</t>
        </is>
      </c>
      <c r="B6506" s="1" t="n">
        <v>44869</v>
      </c>
      <c r="C6506" s="1" t="n">
        <v>46185</v>
      </c>
      <c r="D6506" t="inlineStr">
        <is>
          <t>VÄSTERNORRLANDS LÄN</t>
        </is>
      </c>
      <c r="E6506" t="inlineStr">
        <is>
          <t>ÖRNSKÖLDSVIK</t>
        </is>
      </c>
      <c r="F6506" t="inlineStr">
        <is>
          <t>Holmen skog AB</t>
        </is>
      </c>
      <c r="G6506" t="n">
        <v>7.5</v>
      </c>
      <c r="H6506" t="n">
        <v>0</v>
      </c>
      <c r="I6506" t="n">
        <v>0</v>
      </c>
      <c r="J6506" t="n">
        <v>0</v>
      </c>
      <c r="K6506" t="n">
        <v>0</v>
      </c>
      <c r="L6506" t="n">
        <v>0</v>
      </c>
      <c r="M6506" t="n">
        <v>0</v>
      </c>
      <c r="N6506" t="n">
        <v>0</v>
      </c>
      <c r="O6506" t="n">
        <v>0</v>
      </c>
      <c r="P6506" t="n">
        <v>0</v>
      </c>
      <c r="Q6506" t="n">
        <v>0</v>
      </c>
      <c r="R6506" s="2" t="inlineStr"/>
    </row>
    <row r="6507" ht="15" customHeight="1">
      <c r="A6507" t="inlineStr">
        <is>
          <t>A 51360-2022</t>
        </is>
      </c>
      <c r="B6507" s="1" t="n">
        <v>44869</v>
      </c>
      <c r="C6507" s="1" t="n">
        <v>46185</v>
      </c>
      <c r="D6507" t="inlineStr">
        <is>
          <t>VÄSTERNORRLANDS LÄN</t>
        </is>
      </c>
      <c r="E6507" t="inlineStr">
        <is>
          <t>SUNDSVALL</t>
        </is>
      </c>
      <c r="G6507" t="n">
        <v>30.9</v>
      </c>
      <c r="H6507" t="n">
        <v>0</v>
      </c>
      <c r="I6507" t="n">
        <v>0</v>
      </c>
      <c r="J6507" t="n">
        <v>0</v>
      </c>
      <c r="K6507" t="n">
        <v>0</v>
      </c>
      <c r="L6507" t="n">
        <v>0</v>
      </c>
      <c r="M6507" t="n">
        <v>0</v>
      </c>
      <c r="N6507" t="n">
        <v>0</v>
      </c>
      <c r="O6507" t="n">
        <v>0</v>
      </c>
      <c r="P6507" t="n">
        <v>0</v>
      </c>
      <c r="Q6507" t="n">
        <v>0</v>
      </c>
      <c r="R6507" s="2" t="inlineStr"/>
    </row>
    <row r="6508" ht="15" customHeight="1">
      <c r="A6508" t="inlineStr">
        <is>
          <t>A 61189-2025</t>
        </is>
      </c>
      <c r="B6508" s="1" t="n">
        <v>46000.58881944444</v>
      </c>
      <c r="C6508" s="1" t="n">
        <v>46185</v>
      </c>
      <c r="D6508" t="inlineStr">
        <is>
          <t>VÄSTERNORRLANDS LÄN</t>
        </is>
      </c>
      <c r="E6508" t="inlineStr">
        <is>
          <t>HÄRNÖSAND</t>
        </is>
      </c>
      <c r="G6508" t="n">
        <v>6.3</v>
      </c>
      <c r="H6508" t="n">
        <v>0</v>
      </c>
      <c r="I6508" t="n">
        <v>0</v>
      </c>
      <c r="J6508" t="n">
        <v>0</v>
      </c>
      <c r="K6508" t="n">
        <v>0</v>
      </c>
      <c r="L6508" t="n">
        <v>0</v>
      </c>
      <c r="M6508" t="n">
        <v>0</v>
      </c>
      <c r="N6508" t="n">
        <v>0</v>
      </c>
      <c r="O6508" t="n">
        <v>0</v>
      </c>
      <c r="P6508" t="n">
        <v>0</v>
      </c>
      <c r="Q6508" t="n">
        <v>0</v>
      </c>
      <c r="R6508" s="2" t="inlineStr"/>
    </row>
    <row r="6509" ht="15" customHeight="1">
      <c r="A6509" t="inlineStr">
        <is>
          <t>A 11691-2026</t>
        </is>
      </c>
      <c r="B6509" s="1" t="n">
        <v>46084</v>
      </c>
      <c r="C6509" s="1" t="n">
        <v>46185</v>
      </c>
      <c r="D6509" t="inlineStr">
        <is>
          <t>VÄSTERNORRLANDS LÄN</t>
        </is>
      </c>
      <c r="E6509" t="inlineStr">
        <is>
          <t>TIMRÅ</t>
        </is>
      </c>
      <c r="G6509" t="n">
        <v>21.4</v>
      </c>
      <c r="H6509" t="n">
        <v>0</v>
      </c>
      <c r="I6509" t="n">
        <v>0</v>
      </c>
      <c r="J6509" t="n">
        <v>0</v>
      </c>
      <c r="K6509" t="n">
        <v>0</v>
      </c>
      <c r="L6509" t="n">
        <v>0</v>
      </c>
      <c r="M6509" t="n">
        <v>0</v>
      </c>
      <c r="N6509" t="n">
        <v>0</v>
      </c>
      <c r="O6509" t="n">
        <v>0</v>
      </c>
      <c r="P6509" t="n">
        <v>0</v>
      </c>
      <c r="Q6509" t="n">
        <v>0</v>
      </c>
      <c r="R6509" s="2" t="inlineStr"/>
    </row>
    <row r="6510" ht="15" customHeight="1">
      <c r="A6510" t="inlineStr">
        <is>
          <t>A 11744-2026</t>
        </is>
      </c>
      <c r="B6510" s="1" t="n">
        <v>46084.65695601852</v>
      </c>
      <c r="C6510" s="1" t="n">
        <v>46185</v>
      </c>
      <c r="D6510" t="inlineStr">
        <is>
          <t>VÄSTERNORRLANDS LÄN</t>
        </is>
      </c>
      <c r="E6510" t="inlineStr">
        <is>
          <t>ÅNGE</t>
        </is>
      </c>
      <c r="F6510" t="inlineStr">
        <is>
          <t>SCA</t>
        </is>
      </c>
      <c r="G6510" t="n">
        <v>8.9</v>
      </c>
      <c r="H6510" t="n">
        <v>0</v>
      </c>
      <c r="I6510" t="n">
        <v>0</v>
      </c>
      <c r="J6510" t="n">
        <v>0</v>
      </c>
      <c r="K6510" t="n">
        <v>0</v>
      </c>
      <c r="L6510" t="n">
        <v>0</v>
      </c>
      <c r="M6510" t="n">
        <v>0</v>
      </c>
      <c r="N6510" t="n">
        <v>0</v>
      </c>
      <c r="O6510" t="n">
        <v>0</v>
      </c>
      <c r="P6510" t="n">
        <v>0</v>
      </c>
      <c r="Q6510" t="n">
        <v>0</v>
      </c>
      <c r="R6510" s="2" t="inlineStr"/>
    </row>
    <row r="6511" ht="15" customHeight="1">
      <c r="A6511" t="inlineStr">
        <is>
          <t>A 10582-2025</t>
        </is>
      </c>
      <c r="B6511" s="1" t="n">
        <v>45721.5515162037</v>
      </c>
      <c r="C6511" s="1" t="n">
        <v>46185</v>
      </c>
      <c r="D6511" t="inlineStr">
        <is>
          <t>VÄSTERNORRLANDS LÄN</t>
        </is>
      </c>
      <c r="E6511" t="inlineStr">
        <is>
          <t>ÖRNSKÖLDSVIK</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11747-2026</t>
        </is>
      </c>
      <c r="B6512" s="1" t="n">
        <v>46084</v>
      </c>
      <c r="C6512" s="1" t="n">
        <v>46185</v>
      </c>
      <c r="D6512" t="inlineStr">
        <is>
          <t>VÄSTERNORRLANDS LÄN</t>
        </is>
      </c>
      <c r="E6512" t="inlineStr">
        <is>
          <t>SOLLEFTEÅ</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50314-2021</t>
        </is>
      </c>
      <c r="B6513" s="1" t="n">
        <v>44456</v>
      </c>
      <c r="C6513" s="1" t="n">
        <v>46185</v>
      </c>
      <c r="D6513" t="inlineStr">
        <is>
          <t>VÄSTERNORRLANDS LÄN</t>
        </is>
      </c>
      <c r="E6513" t="inlineStr">
        <is>
          <t>KRAMFORS</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61308-2025</t>
        </is>
      </c>
      <c r="B6514" s="1" t="n">
        <v>46000.81952546296</v>
      </c>
      <c r="C6514" s="1" t="n">
        <v>46185</v>
      </c>
      <c r="D6514" t="inlineStr">
        <is>
          <t>VÄSTERNORRLANDS LÄN</t>
        </is>
      </c>
      <c r="E6514" t="inlineStr">
        <is>
          <t>ÅNGE</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61317-2025</t>
        </is>
      </c>
      <c r="B6515" s="1" t="n">
        <v>46000.94012731482</v>
      </c>
      <c r="C6515" s="1" t="n">
        <v>46185</v>
      </c>
      <c r="D6515" t="inlineStr">
        <is>
          <t>VÄSTERNORRLANDS LÄN</t>
        </is>
      </c>
      <c r="E6515" t="inlineStr">
        <is>
          <t>KRAMFORS</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61321-2025</t>
        </is>
      </c>
      <c r="B6516" s="1" t="n">
        <v>46000.96894675926</v>
      </c>
      <c r="C6516" s="1" t="n">
        <v>46185</v>
      </c>
      <c r="D6516" t="inlineStr">
        <is>
          <t>VÄSTERNORRLANDS LÄN</t>
        </is>
      </c>
      <c r="E6516" t="inlineStr">
        <is>
          <t>ÅNGE</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61349-2025</t>
        </is>
      </c>
      <c r="B6517" s="1" t="n">
        <v>46001.3866087963</v>
      </c>
      <c r="C6517" s="1" t="n">
        <v>46185</v>
      </c>
      <c r="D6517" t="inlineStr">
        <is>
          <t>VÄSTERNORRLANDS LÄN</t>
        </is>
      </c>
      <c r="E6517" t="inlineStr">
        <is>
          <t>ÅNGE</t>
        </is>
      </c>
      <c r="F6517" t="inlineStr">
        <is>
          <t>SCA</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61376-2025</t>
        </is>
      </c>
      <c r="B6518" s="1" t="n">
        <v>46001.44199074074</v>
      </c>
      <c r="C6518" s="1" t="n">
        <v>46185</v>
      </c>
      <c r="D6518" t="inlineStr">
        <is>
          <t>VÄSTERNORRLANDS LÄN</t>
        </is>
      </c>
      <c r="E6518" t="inlineStr">
        <is>
          <t>SUNDSVALL</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61379-2025</t>
        </is>
      </c>
      <c r="B6519" s="1" t="n">
        <v>46001.44366898148</v>
      </c>
      <c r="C6519" s="1" t="n">
        <v>46185</v>
      </c>
      <c r="D6519" t="inlineStr">
        <is>
          <t>VÄSTERNORRLANDS LÄN</t>
        </is>
      </c>
      <c r="E6519" t="inlineStr">
        <is>
          <t>SUNDSVALL</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61588-2025</t>
        </is>
      </c>
      <c r="B6520" s="1" t="n">
        <v>46002.34503472222</v>
      </c>
      <c r="C6520" s="1" t="n">
        <v>46185</v>
      </c>
      <c r="D6520" t="inlineStr">
        <is>
          <t>VÄSTERNORRLANDS LÄN</t>
        </is>
      </c>
      <c r="E6520" t="inlineStr">
        <is>
          <t>SOLLEFTEÅ</t>
        </is>
      </c>
      <c r="F6520" t="inlineStr">
        <is>
          <t>SCA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49711-2024</t>
        </is>
      </c>
      <c r="B6521" s="1" t="n">
        <v>45596.69891203703</v>
      </c>
      <c r="C6521" s="1" t="n">
        <v>46185</v>
      </c>
      <c r="D6521" t="inlineStr">
        <is>
          <t>VÄSTERNORRLANDS LÄN</t>
        </is>
      </c>
      <c r="E6521" t="inlineStr">
        <is>
          <t>ÅNGE</t>
        </is>
      </c>
      <c r="F6521" t="inlineStr">
        <is>
          <t>SCA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25986-2023</t>
        </is>
      </c>
      <c r="B6522" s="1" t="n">
        <v>45090</v>
      </c>
      <c r="C6522" s="1" t="n">
        <v>46185</v>
      </c>
      <c r="D6522" t="inlineStr">
        <is>
          <t>VÄSTERNORRLANDS LÄN</t>
        </is>
      </c>
      <c r="E6522" t="inlineStr">
        <is>
          <t>SOLLEFTEÅ</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25988-2023</t>
        </is>
      </c>
      <c r="B6523" s="1" t="n">
        <v>45090.9250462963</v>
      </c>
      <c r="C6523" s="1" t="n">
        <v>46185</v>
      </c>
      <c r="D6523" t="inlineStr">
        <is>
          <t>VÄSTERNORRLANDS LÄN</t>
        </is>
      </c>
      <c r="E6523" t="inlineStr">
        <is>
          <t>SUNDSVALL</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60430-2025</t>
        </is>
      </c>
      <c r="B6524" s="1" t="n">
        <v>45995.47020833333</v>
      </c>
      <c r="C6524" s="1" t="n">
        <v>46185</v>
      </c>
      <c r="D6524" t="inlineStr">
        <is>
          <t>VÄSTERNORRLANDS LÄN</t>
        </is>
      </c>
      <c r="E6524" t="inlineStr">
        <is>
          <t>SOLLEFTEÅ</t>
        </is>
      </c>
      <c r="G6524" t="n">
        <v>8.1</v>
      </c>
      <c r="H6524" t="n">
        <v>0</v>
      </c>
      <c r="I6524" t="n">
        <v>0</v>
      </c>
      <c r="J6524" t="n">
        <v>0</v>
      </c>
      <c r="K6524" t="n">
        <v>0</v>
      </c>
      <c r="L6524" t="n">
        <v>0</v>
      </c>
      <c r="M6524" t="n">
        <v>0</v>
      </c>
      <c r="N6524" t="n">
        <v>0</v>
      </c>
      <c r="O6524" t="n">
        <v>0</v>
      </c>
      <c r="P6524" t="n">
        <v>0</v>
      </c>
      <c r="Q6524" t="n">
        <v>0</v>
      </c>
      <c r="R6524" s="2" t="inlineStr"/>
    </row>
    <row r="6525" ht="15" customHeight="1">
      <c r="A6525" t="inlineStr">
        <is>
          <t>A 61488-2025</t>
        </is>
      </c>
      <c r="B6525" s="1" t="n">
        <v>46001.63652777778</v>
      </c>
      <c r="C6525" s="1" t="n">
        <v>46185</v>
      </c>
      <c r="D6525" t="inlineStr">
        <is>
          <t>VÄSTERNORRLANDS LÄN</t>
        </is>
      </c>
      <c r="E6525" t="inlineStr">
        <is>
          <t>SOLLEFTEÅ</t>
        </is>
      </c>
      <c r="F6525" t="inlineStr">
        <is>
          <t>SCA</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61373-2025</t>
        </is>
      </c>
      <c r="B6526" s="1" t="n">
        <v>46001.44010416666</v>
      </c>
      <c r="C6526" s="1" t="n">
        <v>46185</v>
      </c>
      <c r="D6526" t="inlineStr">
        <is>
          <t>VÄSTERNORRLANDS LÄN</t>
        </is>
      </c>
      <c r="E6526" t="inlineStr">
        <is>
          <t>SUNDSVALL</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61485-2025</t>
        </is>
      </c>
      <c r="B6527" s="1" t="n">
        <v>46001.63587962963</v>
      </c>
      <c r="C6527" s="1" t="n">
        <v>46185</v>
      </c>
      <c r="D6527" t="inlineStr">
        <is>
          <t>VÄSTERNORRLANDS LÄN</t>
        </is>
      </c>
      <c r="E6527" t="inlineStr">
        <is>
          <t>SOLLEFTEÅ</t>
        </is>
      </c>
      <c r="F6527" t="inlineStr">
        <is>
          <t>SCA</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57268-2022</t>
        </is>
      </c>
      <c r="B6528" s="1" t="n">
        <v>44895.92809027778</v>
      </c>
      <c r="C6528" s="1" t="n">
        <v>46185</v>
      </c>
      <c r="D6528" t="inlineStr">
        <is>
          <t>VÄSTERNORRLANDS LÄN</t>
        </is>
      </c>
      <c r="E6528" t="inlineStr">
        <is>
          <t>TIMRÅ</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57273-2022</t>
        </is>
      </c>
      <c r="B6529" s="1" t="n">
        <v>44895.9487962963</v>
      </c>
      <c r="C6529" s="1" t="n">
        <v>46185</v>
      </c>
      <c r="D6529" t="inlineStr">
        <is>
          <t>VÄSTERNORRLANDS LÄN</t>
        </is>
      </c>
      <c r="E6529" t="inlineStr">
        <is>
          <t>SOLLEFTEÅ</t>
        </is>
      </c>
      <c r="F6529" t="inlineStr">
        <is>
          <t>SCA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11556-2026</t>
        </is>
      </c>
      <c r="B6530" s="1" t="n">
        <v>46084.34427083333</v>
      </c>
      <c r="C6530" s="1" t="n">
        <v>46185</v>
      </c>
      <c r="D6530" t="inlineStr">
        <is>
          <t>VÄSTERNORRLANDS LÄN</t>
        </is>
      </c>
      <c r="E6530" t="inlineStr">
        <is>
          <t>SOLLEFTEÅ</t>
        </is>
      </c>
      <c r="F6530" t="inlineStr">
        <is>
          <t>SCA</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11570-2026</t>
        </is>
      </c>
      <c r="B6531" s="1" t="n">
        <v>46084.38008101852</v>
      </c>
      <c r="C6531" s="1" t="n">
        <v>46185</v>
      </c>
      <c r="D6531" t="inlineStr">
        <is>
          <t>VÄSTERNORRLANDS LÄN</t>
        </is>
      </c>
      <c r="E6531" t="inlineStr">
        <is>
          <t>SUNDSVALL</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11573-2026</t>
        </is>
      </c>
      <c r="B6532" s="1" t="n">
        <v>46084.38239583333</v>
      </c>
      <c r="C6532" s="1" t="n">
        <v>46185</v>
      </c>
      <c r="D6532" t="inlineStr">
        <is>
          <t>VÄSTERNORRLANDS LÄN</t>
        </is>
      </c>
      <c r="E6532" t="inlineStr">
        <is>
          <t>SUNDSVALL</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37354-2024</t>
        </is>
      </c>
      <c r="B6533" s="1" t="n">
        <v>45540.54201388889</v>
      </c>
      <c r="C6533" s="1" t="n">
        <v>46185</v>
      </c>
      <c r="D6533" t="inlineStr">
        <is>
          <t>VÄSTERNORRLANDS LÄN</t>
        </is>
      </c>
      <c r="E6533" t="inlineStr">
        <is>
          <t>SOLLEFTEÅ</t>
        </is>
      </c>
      <c r="F6533" t="inlineStr">
        <is>
          <t>Holmen skog AB</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37384-2024</t>
        </is>
      </c>
      <c r="B6534" s="1" t="n">
        <v>45540</v>
      </c>
      <c r="C6534" s="1" t="n">
        <v>46185</v>
      </c>
      <c r="D6534" t="inlineStr">
        <is>
          <t>VÄSTERNORRLANDS LÄN</t>
        </is>
      </c>
      <c r="E6534" t="inlineStr">
        <is>
          <t>ÖRNSKÖLDSVIK</t>
        </is>
      </c>
      <c r="F6534" t="inlineStr">
        <is>
          <t>Holmen skog AB</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24293-2023</t>
        </is>
      </c>
      <c r="B6535" s="1" t="n">
        <v>45079.92756944444</v>
      </c>
      <c r="C6535" s="1" t="n">
        <v>46185</v>
      </c>
      <c r="D6535" t="inlineStr">
        <is>
          <t>VÄSTERNORRLANDS LÄN</t>
        </is>
      </c>
      <c r="E6535" t="inlineStr">
        <is>
          <t>ÅNGE</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38665-2022</t>
        </is>
      </c>
      <c r="B6536" s="1" t="n">
        <v>44813</v>
      </c>
      <c r="C6536" s="1" t="n">
        <v>46185</v>
      </c>
      <c r="D6536" t="inlineStr">
        <is>
          <t>VÄSTERNORRLANDS LÄN</t>
        </is>
      </c>
      <c r="E6536" t="inlineStr">
        <is>
          <t>SUNDSVALL</t>
        </is>
      </c>
      <c r="F6536" t="inlineStr">
        <is>
          <t>SCA</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61530-2025</t>
        </is>
      </c>
      <c r="B6537" s="1" t="n">
        <v>46001</v>
      </c>
      <c r="C6537" s="1" t="n">
        <v>46185</v>
      </c>
      <c r="D6537" t="inlineStr">
        <is>
          <t>VÄSTERNORRLANDS LÄN</t>
        </is>
      </c>
      <c r="E6537" t="inlineStr">
        <is>
          <t>SUNDSVALL</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712-2023</t>
        </is>
      </c>
      <c r="B6538" s="1" t="n">
        <v>44930.92733796296</v>
      </c>
      <c r="C6538" s="1" t="n">
        <v>46185</v>
      </c>
      <c r="D6538" t="inlineStr">
        <is>
          <t>VÄSTERNORRLANDS LÄN</t>
        </is>
      </c>
      <c r="E6538" t="inlineStr">
        <is>
          <t>SUNDSVALL</t>
        </is>
      </c>
      <c r="G6538" t="n">
        <v>6.2</v>
      </c>
      <c r="H6538" t="n">
        <v>0</v>
      </c>
      <c r="I6538" t="n">
        <v>0</v>
      </c>
      <c r="J6538" t="n">
        <v>0</v>
      </c>
      <c r="K6538" t="n">
        <v>0</v>
      </c>
      <c r="L6538" t="n">
        <v>0</v>
      </c>
      <c r="M6538" t="n">
        <v>0</v>
      </c>
      <c r="N6538" t="n">
        <v>0</v>
      </c>
      <c r="O6538" t="n">
        <v>0</v>
      </c>
      <c r="P6538" t="n">
        <v>0</v>
      </c>
      <c r="Q6538" t="n">
        <v>0</v>
      </c>
      <c r="R6538" s="2" t="inlineStr"/>
    </row>
    <row r="6539" ht="15" customHeight="1">
      <c r="A6539" t="inlineStr">
        <is>
          <t>A 11917-2026</t>
        </is>
      </c>
      <c r="B6539" s="1" t="n">
        <v>46085</v>
      </c>
      <c r="C6539" s="1" t="n">
        <v>46185</v>
      </c>
      <c r="D6539" t="inlineStr">
        <is>
          <t>VÄSTERNORRLANDS LÄN</t>
        </is>
      </c>
      <c r="E6539" t="inlineStr">
        <is>
          <t>HÄRNÖSAND</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11935-2026</t>
        </is>
      </c>
      <c r="B6540" s="1" t="n">
        <v>46085.58747685186</v>
      </c>
      <c r="C6540" s="1" t="n">
        <v>46185</v>
      </c>
      <c r="D6540" t="inlineStr">
        <is>
          <t>VÄSTERNORRLANDS LÄN</t>
        </is>
      </c>
      <c r="E6540" t="inlineStr">
        <is>
          <t>SUNDSVALL</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61669-2025</t>
        </is>
      </c>
      <c r="B6541" s="1" t="n">
        <v>46002.46998842592</v>
      </c>
      <c r="C6541" s="1" t="n">
        <v>46185</v>
      </c>
      <c r="D6541" t="inlineStr">
        <is>
          <t>VÄSTERNORRLANDS LÄN</t>
        </is>
      </c>
      <c r="E6541" t="inlineStr">
        <is>
          <t>SOLLEFTEÅ</t>
        </is>
      </c>
      <c r="G6541" t="n">
        <v>7.4</v>
      </c>
      <c r="H6541" t="n">
        <v>0</v>
      </c>
      <c r="I6541" t="n">
        <v>0</v>
      </c>
      <c r="J6541" t="n">
        <v>0</v>
      </c>
      <c r="K6541" t="n">
        <v>0</v>
      </c>
      <c r="L6541" t="n">
        <v>0</v>
      </c>
      <c r="M6541" t="n">
        <v>0</v>
      </c>
      <c r="N6541" t="n">
        <v>0</v>
      </c>
      <c r="O6541" t="n">
        <v>0</v>
      </c>
      <c r="P6541" t="n">
        <v>0</v>
      </c>
      <c r="Q6541" t="n">
        <v>0</v>
      </c>
      <c r="R6541" s="2" t="inlineStr"/>
    </row>
    <row r="6542" ht="15" customHeight="1">
      <c r="A6542" t="inlineStr">
        <is>
          <t>A 61181-2025</t>
        </is>
      </c>
      <c r="B6542" s="1" t="n">
        <v>46000.58288194444</v>
      </c>
      <c r="C6542" s="1" t="n">
        <v>46185</v>
      </c>
      <c r="D6542" t="inlineStr">
        <is>
          <t>VÄSTERNORRLANDS LÄN</t>
        </is>
      </c>
      <c r="E6542" t="inlineStr">
        <is>
          <t>HÄRNÖSAND</t>
        </is>
      </c>
      <c r="G6542" t="n">
        <v>12.5</v>
      </c>
      <c r="H6542" t="n">
        <v>0</v>
      </c>
      <c r="I6542" t="n">
        <v>0</v>
      </c>
      <c r="J6542" t="n">
        <v>0</v>
      </c>
      <c r="K6542" t="n">
        <v>0</v>
      </c>
      <c r="L6542" t="n">
        <v>0</v>
      </c>
      <c r="M6542" t="n">
        <v>0</v>
      </c>
      <c r="N6542" t="n">
        <v>0</v>
      </c>
      <c r="O6542" t="n">
        <v>0</v>
      </c>
      <c r="P6542" t="n">
        <v>0</v>
      </c>
      <c r="Q6542" t="n">
        <v>0</v>
      </c>
      <c r="R6542" s="2" t="inlineStr"/>
    </row>
    <row r="6543" ht="15" customHeight="1">
      <c r="A6543" t="inlineStr">
        <is>
          <t>A 25779-2023</t>
        </is>
      </c>
      <c r="B6543" s="1" t="n">
        <v>45090.47439814815</v>
      </c>
      <c r="C6543" s="1" t="n">
        <v>46185</v>
      </c>
      <c r="D6543" t="inlineStr">
        <is>
          <t>VÄSTERNORRLANDS LÄN</t>
        </is>
      </c>
      <c r="E6543" t="inlineStr">
        <is>
          <t>ÅNGE</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31317-2024</t>
        </is>
      </c>
      <c r="B6544" s="1" t="n">
        <v>45504</v>
      </c>
      <c r="C6544" s="1" t="n">
        <v>46185</v>
      </c>
      <c r="D6544" t="inlineStr">
        <is>
          <t>VÄSTERNORRLANDS LÄN</t>
        </is>
      </c>
      <c r="E6544" t="inlineStr">
        <is>
          <t>SUNDSVALL</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62472-2021</t>
        </is>
      </c>
      <c r="B6545" s="1" t="n">
        <v>44503.5502662037</v>
      </c>
      <c r="C6545" s="1" t="n">
        <v>46185</v>
      </c>
      <c r="D6545" t="inlineStr">
        <is>
          <t>VÄSTERNORRLANDS LÄN</t>
        </is>
      </c>
      <c r="E6545" t="inlineStr">
        <is>
          <t>ÖRNSKÖLDSVIK</t>
        </is>
      </c>
      <c r="G6545" t="n">
        <v>13.6</v>
      </c>
      <c r="H6545" t="n">
        <v>0</v>
      </c>
      <c r="I6545" t="n">
        <v>0</v>
      </c>
      <c r="J6545" t="n">
        <v>0</v>
      </c>
      <c r="K6545" t="n">
        <v>0</v>
      </c>
      <c r="L6545" t="n">
        <v>0</v>
      </c>
      <c r="M6545" t="n">
        <v>0</v>
      </c>
      <c r="N6545" t="n">
        <v>0</v>
      </c>
      <c r="O6545" t="n">
        <v>0</v>
      </c>
      <c r="P6545" t="n">
        <v>0</v>
      </c>
      <c r="Q6545" t="n">
        <v>0</v>
      </c>
      <c r="R6545" s="2" t="inlineStr"/>
    </row>
    <row r="6546" ht="15" customHeight="1">
      <c r="A6546" t="inlineStr">
        <is>
          <t>A 9211-2023</t>
        </is>
      </c>
      <c r="B6546" s="1" t="n">
        <v>44980</v>
      </c>
      <c r="C6546" s="1" t="n">
        <v>46185</v>
      </c>
      <c r="D6546" t="inlineStr">
        <is>
          <t>VÄSTERNORRLANDS LÄN</t>
        </is>
      </c>
      <c r="E6546" t="inlineStr">
        <is>
          <t>ÅNGE</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31345-2024</t>
        </is>
      </c>
      <c r="B6547" s="1" t="n">
        <v>45504.92040509259</v>
      </c>
      <c r="C6547" s="1" t="n">
        <v>46185</v>
      </c>
      <c r="D6547" t="inlineStr">
        <is>
          <t>VÄSTERNORRLANDS LÄN</t>
        </is>
      </c>
      <c r="E6547" t="inlineStr">
        <is>
          <t>ÖRNSKÖLDSVIK</t>
        </is>
      </c>
      <c r="F6547" t="inlineStr">
        <is>
          <t>Holmen skog AB</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11655-2026</t>
        </is>
      </c>
      <c r="B6548" s="1" t="n">
        <v>46084.53188657408</v>
      </c>
      <c r="C6548" s="1" t="n">
        <v>46185</v>
      </c>
      <c r="D6548" t="inlineStr">
        <is>
          <t>VÄSTERNORRLANDS LÄN</t>
        </is>
      </c>
      <c r="E6548" t="inlineStr">
        <is>
          <t>SOLLEFTEÅ</t>
        </is>
      </c>
      <c r="F6548" t="inlineStr">
        <is>
          <t>SCA</t>
        </is>
      </c>
      <c r="G6548" t="n">
        <v>7.6</v>
      </c>
      <c r="H6548" t="n">
        <v>0</v>
      </c>
      <c r="I6548" t="n">
        <v>0</v>
      </c>
      <c r="J6548" t="n">
        <v>0</v>
      </c>
      <c r="K6548" t="n">
        <v>0</v>
      </c>
      <c r="L6548" t="n">
        <v>0</v>
      </c>
      <c r="M6548" t="n">
        <v>0</v>
      </c>
      <c r="N6548" t="n">
        <v>0</v>
      </c>
      <c r="O6548" t="n">
        <v>0</v>
      </c>
      <c r="P6548" t="n">
        <v>0</v>
      </c>
      <c r="Q6548" t="n">
        <v>0</v>
      </c>
      <c r="R6548" s="2" t="inlineStr"/>
    </row>
    <row r="6549" ht="15" customHeight="1">
      <c r="A6549" t="inlineStr">
        <is>
          <t>A 11743-2026</t>
        </is>
      </c>
      <c r="B6549" s="1" t="n">
        <v>46084.65674768519</v>
      </c>
      <c r="C6549" s="1" t="n">
        <v>46185</v>
      </c>
      <c r="D6549" t="inlineStr">
        <is>
          <t>VÄSTERNORRLANDS LÄN</t>
        </is>
      </c>
      <c r="E6549" t="inlineStr">
        <is>
          <t>ÅNGE</t>
        </is>
      </c>
      <c r="F6549" t="inlineStr">
        <is>
          <t>SCA</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13251-2025</t>
        </is>
      </c>
      <c r="B6550" s="1" t="n">
        <v>45735</v>
      </c>
      <c r="C6550" s="1" t="n">
        <v>46185</v>
      </c>
      <c r="D6550" t="inlineStr">
        <is>
          <t>VÄSTERNORRLANDS LÄN</t>
        </is>
      </c>
      <c r="E6550" t="inlineStr">
        <is>
          <t>TIMRÅ</t>
        </is>
      </c>
      <c r="F6550" t="inlineStr">
        <is>
          <t>SCA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11564-2026</t>
        </is>
      </c>
      <c r="B6551" s="1" t="n">
        <v>46084.36503472222</v>
      </c>
      <c r="C6551" s="1" t="n">
        <v>46185</v>
      </c>
      <c r="D6551" t="inlineStr">
        <is>
          <t>VÄSTERNORRLANDS LÄN</t>
        </is>
      </c>
      <c r="E6551" t="inlineStr">
        <is>
          <t>ÅNGE</t>
        </is>
      </c>
      <c r="F6551" t="inlineStr">
        <is>
          <t>SCA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61332-2025</t>
        </is>
      </c>
      <c r="B6552" s="1" t="n">
        <v>46001.34416666667</v>
      </c>
      <c r="C6552" s="1" t="n">
        <v>46185</v>
      </c>
      <c r="D6552" t="inlineStr">
        <is>
          <t>VÄSTERNORRLANDS LÄN</t>
        </is>
      </c>
      <c r="E6552" t="inlineStr">
        <is>
          <t>ÅNGE</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12164-2026</t>
        </is>
      </c>
      <c r="B6553" s="1" t="n">
        <v>46084</v>
      </c>
      <c r="C6553" s="1" t="n">
        <v>46185</v>
      </c>
      <c r="D6553" t="inlineStr">
        <is>
          <t>VÄSTERNORRLANDS LÄN</t>
        </is>
      </c>
      <c r="E6553" t="inlineStr">
        <is>
          <t>SOLLEFTEÅ</t>
        </is>
      </c>
      <c r="G6553" t="n">
        <v>5.8</v>
      </c>
      <c r="H6553" t="n">
        <v>0</v>
      </c>
      <c r="I6553" t="n">
        <v>0</v>
      </c>
      <c r="J6553" t="n">
        <v>0</v>
      </c>
      <c r="K6553" t="n">
        <v>0</v>
      </c>
      <c r="L6553" t="n">
        <v>0</v>
      </c>
      <c r="M6553" t="n">
        <v>0</v>
      </c>
      <c r="N6553" t="n">
        <v>0</v>
      </c>
      <c r="O6553" t="n">
        <v>0</v>
      </c>
      <c r="P6553" t="n">
        <v>0</v>
      </c>
      <c r="Q6553" t="n">
        <v>0</v>
      </c>
      <c r="R6553" s="2" t="inlineStr"/>
    </row>
    <row r="6554" ht="15" customHeight="1">
      <c r="A6554" t="inlineStr">
        <is>
          <t>A 11804-2026</t>
        </is>
      </c>
      <c r="B6554" s="1" t="n">
        <v>46085.35903935185</v>
      </c>
      <c r="C6554" s="1" t="n">
        <v>46185</v>
      </c>
      <c r="D6554" t="inlineStr">
        <is>
          <t>VÄSTERNORRLANDS LÄN</t>
        </is>
      </c>
      <c r="E6554" t="inlineStr">
        <is>
          <t>ÅNGE</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11827-2026</t>
        </is>
      </c>
      <c r="B6555" s="1" t="n">
        <v>46085.41469907408</v>
      </c>
      <c r="C6555" s="1" t="n">
        <v>46185</v>
      </c>
      <c r="D6555" t="inlineStr">
        <is>
          <t>VÄSTERNORRLANDS LÄN</t>
        </is>
      </c>
      <c r="E6555" t="inlineStr">
        <is>
          <t>SUNDSVALL</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61401-2025</t>
        </is>
      </c>
      <c r="B6556" s="1" t="n">
        <v>46001.48276620371</v>
      </c>
      <c r="C6556" s="1" t="n">
        <v>46185</v>
      </c>
      <c r="D6556" t="inlineStr">
        <is>
          <t>VÄSTERNORRLANDS LÄN</t>
        </is>
      </c>
      <c r="E6556" t="inlineStr">
        <is>
          <t>ÖRNSKÖLDSVIK</t>
        </is>
      </c>
      <c r="F6556" t="inlineStr">
        <is>
          <t>Holmen skog AB</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61425-2025</t>
        </is>
      </c>
      <c r="B6557" s="1" t="n">
        <v>46001.54767361111</v>
      </c>
      <c r="C6557" s="1" t="n">
        <v>46185</v>
      </c>
      <c r="D6557" t="inlineStr">
        <is>
          <t>VÄSTERNORRLANDS LÄN</t>
        </is>
      </c>
      <c r="E6557" t="inlineStr">
        <is>
          <t>KRAMFORS</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61716-2025</t>
        </is>
      </c>
      <c r="B6558" s="1" t="n">
        <v>46002.57275462963</v>
      </c>
      <c r="C6558" s="1" t="n">
        <v>46185</v>
      </c>
      <c r="D6558" t="inlineStr">
        <is>
          <t>VÄSTERNORRLANDS LÄN</t>
        </is>
      </c>
      <c r="E6558" t="inlineStr">
        <is>
          <t>KRAMFORS</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8375-2026</t>
        </is>
      </c>
      <c r="B6559" s="1" t="n">
        <v>46064</v>
      </c>
      <c r="C6559" s="1" t="n">
        <v>46185</v>
      </c>
      <c r="D6559" t="inlineStr">
        <is>
          <t>VÄSTERNORRLANDS LÄN</t>
        </is>
      </c>
      <c r="E6559" t="inlineStr">
        <is>
          <t>HÄRNÖSAND</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38283-2021</t>
        </is>
      </c>
      <c r="B6560" s="1" t="n">
        <v>44405</v>
      </c>
      <c r="C6560" s="1" t="n">
        <v>46185</v>
      </c>
      <c r="D6560" t="inlineStr">
        <is>
          <t>VÄSTERNORRLANDS LÄN</t>
        </is>
      </c>
      <c r="E6560" t="inlineStr">
        <is>
          <t>SOLLEFTEÅ</t>
        </is>
      </c>
      <c r="F6560" t="inlineStr">
        <is>
          <t>SCA</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61523-2025</t>
        </is>
      </c>
      <c r="B6561" s="1" t="n">
        <v>46001.68748842592</v>
      </c>
      <c r="C6561" s="1" t="n">
        <v>46185</v>
      </c>
      <c r="D6561" t="inlineStr">
        <is>
          <t>VÄSTERNORRLANDS LÄN</t>
        </is>
      </c>
      <c r="E6561" t="inlineStr">
        <is>
          <t>SOLLEFTEÅ</t>
        </is>
      </c>
      <c r="F6561" t="inlineStr">
        <is>
          <t>SCA</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11944-2026</t>
        </is>
      </c>
      <c r="B6562" s="1" t="n">
        <v>46085.59435185185</v>
      </c>
      <c r="C6562" s="1" t="n">
        <v>46185</v>
      </c>
      <c r="D6562" t="inlineStr">
        <is>
          <t>VÄSTERNORRLANDS LÄN</t>
        </is>
      </c>
      <c r="E6562" t="inlineStr">
        <is>
          <t>SUNDSVALL</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11992-2026</t>
        </is>
      </c>
      <c r="B6563" s="1" t="n">
        <v>46085.65706018519</v>
      </c>
      <c r="C6563" s="1" t="n">
        <v>46185</v>
      </c>
      <c r="D6563" t="inlineStr">
        <is>
          <t>VÄSTERNORRLANDS LÄN</t>
        </is>
      </c>
      <c r="E6563" t="inlineStr">
        <is>
          <t>ÅNGE</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11645-2026</t>
        </is>
      </c>
      <c r="B6564" s="1" t="n">
        <v>46084.51116898148</v>
      </c>
      <c r="C6564" s="1" t="n">
        <v>46185</v>
      </c>
      <c r="D6564" t="inlineStr">
        <is>
          <t>VÄSTERNORRLANDS LÄN</t>
        </is>
      </c>
      <c r="E6564" t="inlineStr">
        <is>
          <t>ÅNGE</t>
        </is>
      </c>
      <c r="F6564" t="inlineStr">
        <is>
          <t>SCA</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61784-2025</t>
        </is>
      </c>
      <c r="B6565" s="1" t="n">
        <v>46002</v>
      </c>
      <c r="C6565" s="1" t="n">
        <v>46185</v>
      </c>
      <c r="D6565" t="inlineStr">
        <is>
          <t>VÄSTERNORRLANDS LÄN</t>
        </is>
      </c>
      <c r="E6565" t="inlineStr">
        <is>
          <t>SUNDSVALL</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61159-2025</t>
        </is>
      </c>
      <c r="B6566" s="1" t="n">
        <v>46000.55240740741</v>
      </c>
      <c r="C6566" s="1" t="n">
        <v>46185</v>
      </c>
      <c r="D6566" t="inlineStr">
        <is>
          <t>VÄSTERNORRLANDS LÄN</t>
        </is>
      </c>
      <c r="E6566" t="inlineStr">
        <is>
          <t>KRAMFORS</t>
        </is>
      </c>
      <c r="G6566" t="n">
        <v>10.6</v>
      </c>
      <c r="H6566" t="n">
        <v>0</v>
      </c>
      <c r="I6566" t="n">
        <v>0</v>
      </c>
      <c r="J6566" t="n">
        <v>0</v>
      </c>
      <c r="K6566" t="n">
        <v>0</v>
      </c>
      <c r="L6566" t="n">
        <v>0</v>
      </c>
      <c r="M6566" t="n">
        <v>0</v>
      </c>
      <c r="N6566" t="n">
        <v>0</v>
      </c>
      <c r="O6566" t="n">
        <v>0</v>
      </c>
      <c r="P6566" t="n">
        <v>0</v>
      </c>
      <c r="Q6566" t="n">
        <v>0</v>
      </c>
      <c r="R6566" s="2" t="inlineStr"/>
    </row>
    <row r="6567" ht="15" customHeight="1">
      <c r="A6567" t="inlineStr">
        <is>
          <t>A 11993-2026</t>
        </is>
      </c>
      <c r="B6567" s="1" t="n">
        <v>46085</v>
      </c>
      <c r="C6567" s="1" t="n">
        <v>46185</v>
      </c>
      <c r="D6567" t="inlineStr">
        <is>
          <t>VÄSTERNORRLANDS LÄN</t>
        </is>
      </c>
      <c r="E6567" t="inlineStr">
        <is>
          <t>KRAMFORS</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27260-2023</t>
        </is>
      </c>
      <c r="B6568" s="1" t="n">
        <v>45092</v>
      </c>
      <c r="C6568" s="1" t="n">
        <v>46185</v>
      </c>
      <c r="D6568" t="inlineStr">
        <is>
          <t>VÄSTERNORRLANDS LÄN</t>
        </is>
      </c>
      <c r="E6568" t="inlineStr">
        <is>
          <t>ÅNGE</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61513-2023</t>
        </is>
      </c>
      <c r="B6569" s="1" t="n">
        <v>45265</v>
      </c>
      <c r="C6569" s="1" t="n">
        <v>46185</v>
      </c>
      <c r="D6569" t="inlineStr">
        <is>
          <t>VÄSTERNORRLANDS LÄN</t>
        </is>
      </c>
      <c r="E6569" t="inlineStr">
        <is>
          <t>ÖRNSKÖLDSVIK</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11766-2026</t>
        </is>
      </c>
      <c r="B6570" s="1" t="n">
        <v>46084.70090277777</v>
      </c>
      <c r="C6570" s="1" t="n">
        <v>46185</v>
      </c>
      <c r="D6570" t="inlineStr">
        <is>
          <t>VÄSTERNORRLANDS LÄN</t>
        </is>
      </c>
      <c r="E6570" t="inlineStr">
        <is>
          <t>SOLLEFTEÅ</t>
        </is>
      </c>
      <c r="F6570" t="inlineStr">
        <is>
          <t>Holmen skog AB</t>
        </is>
      </c>
      <c r="G6570" t="n">
        <v>8.1</v>
      </c>
      <c r="H6570" t="n">
        <v>0</v>
      </c>
      <c r="I6570" t="n">
        <v>0</v>
      </c>
      <c r="J6570" t="n">
        <v>0</v>
      </c>
      <c r="K6570" t="n">
        <v>0</v>
      </c>
      <c r="L6570" t="n">
        <v>0</v>
      </c>
      <c r="M6570" t="n">
        <v>0</v>
      </c>
      <c r="N6570" t="n">
        <v>0</v>
      </c>
      <c r="O6570" t="n">
        <v>0</v>
      </c>
      <c r="P6570" t="n">
        <v>0</v>
      </c>
      <c r="Q6570" t="n">
        <v>0</v>
      </c>
      <c r="R6570" s="2" t="inlineStr"/>
    </row>
    <row r="6571" ht="15" customHeight="1">
      <c r="A6571" t="inlineStr">
        <is>
          <t>A 11796-2026</t>
        </is>
      </c>
      <c r="B6571" s="1" t="n">
        <v>46084</v>
      </c>
      <c r="C6571" s="1" t="n">
        <v>46185</v>
      </c>
      <c r="D6571" t="inlineStr">
        <is>
          <t>VÄSTERNORRLANDS LÄN</t>
        </is>
      </c>
      <c r="E6571" t="inlineStr">
        <is>
          <t>SOLLEFTEÅ</t>
        </is>
      </c>
      <c r="G6571" t="n">
        <v>8.300000000000001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11816-2026</t>
        </is>
      </c>
      <c r="B6572" s="1" t="n">
        <v>46085.38608796296</v>
      </c>
      <c r="C6572" s="1" t="n">
        <v>46185</v>
      </c>
      <c r="D6572" t="inlineStr">
        <is>
          <t>VÄSTERNORRLANDS LÄN</t>
        </is>
      </c>
      <c r="E6572" t="inlineStr">
        <is>
          <t>ÅNGE</t>
        </is>
      </c>
      <c r="F6572" t="inlineStr">
        <is>
          <t>SCA</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11845-2026</t>
        </is>
      </c>
      <c r="B6573" s="1" t="n">
        <v>46085.45684027778</v>
      </c>
      <c r="C6573" s="1" t="n">
        <v>46185</v>
      </c>
      <c r="D6573" t="inlineStr">
        <is>
          <t>VÄSTERNORRLANDS LÄN</t>
        </is>
      </c>
      <c r="E6573" t="inlineStr">
        <is>
          <t>ÖRNSKÖLDSVIK</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11803-2026</t>
        </is>
      </c>
      <c r="B6574" s="1" t="n">
        <v>46085</v>
      </c>
      <c r="C6574" s="1" t="n">
        <v>46185</v>
      </c>
      <c r="D6574" t="inlineStr">
        <is>
          <t>VÄSTERNORRLANDS LÄN</t>
        </is>
      </c>
      <c r="E6574" t="inlineStr">
        <is>
          <t>ÅNGE</t>
        </is>
      </c>
      <c r="G6574" t="n">
        <v>5.8</v>
      </c>
      <c r="H6574" t="n">
        <v>0</v>
      </c>
      <c r="I6574" t="n">
        <v>0</v>
      </c>
      <c r="J6574" t="n">
        <v>0</v>
      </c>
      <c r="K6574" t="n">
        <v>0</v>
      </c>
      <c r="L6574" t="n">
        <v>0</v>
      </c>
      <c r="M6574" t="n">
        <v>0</v>
      </c>
      <c r="N6574" t="n">
        <v>0</v>
      </c>
      <c r="O6574" t="n">
        <v>0</v>
      </c>
      <c r="P6574" t="n">
        <v>0</v>
      </c>
      <c r="Q6574" t="n">
        <v>0</v>
      </c>
      <c r="R6574" s="2" t="inlineStr"/>
    </row>
    <row r="6575" ht="15" customHeight="1">
      <c r="A6575" t="inlineStr">
        <is>
          <t>A 61507-2025</t>
        </is>
      </c>
      <c r="B6575" s="1" t="n">
        <v>46001.68109953704</v>
      </c>
      <c r="C6575" s="1" t="n">
        <v>46185</v>
      </c>
      <c r="D6575" t="inlineStr">
        <is>
          <t>VÄSTERNORRLANDS LÄN</t>
        </is>
      </c>
      <c r="E6575" t="inlineStr">
        <is>
          <t>SOLLEFTEÅ</t>
        </is>
      </c>
      <c r="F6575" t="inlineStr">
        <is>
          <t>SCA</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61508-2025</t>
        </is>
      </c>
      <c r="B6576" s="1" t="n">
        <v>46001.68148148148</v>
      </c>
      <c r="C6576" s="1" t="n">
        <v>46185</v>
      </c>
      <c r="D6576" t="inlineStr">
        <is>
          <t>VÄSTERNORRLANDS LÄN</t>
        </is>
      </c>
      <c r="E6576" t="inlineStr">
        <is>
          <t>SUNDSVALL</t>
        </is>
      </c>
      <c r="F6576" t="inlineStr">
        <is>
          <t>Naturvårdsverket</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11792-2026</t>
        </is>
      </c>
      <c r="B6577" s="1" t="n">
        <v>46084</v>
      </c>
      <c r="C6577" s="1" t="n">
        <v>46185</v>
      </c>
      <c r="D6577" t="inlineStr">
        <is>
          <t>VÄSTERNORRLANDS LÄN</t>
        </is>
      </c>
      <c r="E6577" t="inlineStr">
        <is>
          <t>SOLLEFTEÅ</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11571-2026</t>
        </is>
      </c>
      <c r="B6578" s="1" t="n">
        <v>46084.38119212963</v>
      </c>
      <c r="C6578" s="1" t="n">
        <v>46185</v>
      </c>
      <c r="D6578" t="inlineStr">
        <is>
          <t>VÄSTERNORRLANDS LÄN</t>
        </is>
      </c>
      <c r="E6578" t="inlineStr">
        <is>
          <t>SUNDSVALL</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10687-2022</t>
        </is>
      </c>
      <c r="B6579" s="1" t="n">
        <v>44624.92684027777</v>
      </c>
      <c r="C6579" s="1" t="n">
        <v>46185</v>
      </c>
      <c r="D6579" t="inlineStr">
        <is>
          <t>VÄSTERNORRLANDS LÄN</t>
        </is>
      </c>
      <c r="E6579" t="inlineStr">
        <is>
          <t>ÅNGE</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11842-2026</t>
        </is>
      </c>
      <c r="B6580" s="1" t="n">
        <v>46085.45105324074</v>
      </c>
      <c r="C6580" s="1" t="n">
        <v>46185</v>
      </c>
      <c r="D6580" t="inlineStr">
        <is>
          <t>VÄSTERNORRLANDS LÄN</t>
        </is>
      </c>
      <c r="E6580" t="inlineStr">
        <is>
          <t>SUNDSVALL</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12210-2026</t>
        </is>
      </c>
      <c r="B6581" s="1" t="n">
        <v>46087.34452546296</v>
      </c>
      <c r="C6581" s="1" t="n">
        <v>46185</v>
      </c>
      <c r="D6581" t="inlineStr">
        <is>
          <t>VÄSTERNORRLANDS LÄN</t>
        </is>
      </c>
      <c r="E6581" t="inlineStr">
        <is>
          <t>SOLLEFTEÅ</t>
        </is>
      </c>
      <c r="F6581" t="inlineStr">
        <is>
          <t>Kyrkan</t>
        </is>
      </c>
      <c r="G6581" t="n">
        <v>5.7</v>
      </c>
      <c r="H6581" t="n">
        <v>0</v>
      </c>
      <c r="I6581" t="n">
        <v>0</v>
      </c>
      <c r="J6581" t="n">
        <v>0</v>
      </c>
      <c r="K6581" t="n">
        <v>0</v>
      </c>
      <c r="L6581" t="n">
        <v>0</v>
      </c>
      <c r="M6581" t="n">
        <v>0</v>
      </c>
      <c r="N6581" t="n">
        <v>0</v>
      </c>
      <c r="O6581" t="n">
        <v>0</v>
      </c>
      <c r="P6581" t="n">
        <v>0</v>
      </c>
      <c r="Q6581" t="n">
        <v>0</v>
      </c>
      <c r="R6581" s="2" t="inlineStr"/>
    </row>
    <row r="6582" ht="15" customHeight="1">
      <c r="A6582" t="inlineStr">
        <is>
          <t>A 12316-2026</t>
        </is>
      </c>
      <c r="B6582" s="1" t="n">
        <v>46087.59761574074</v>
      </c>
      <c r="C6582" s="1" t="n">
        <v>46185</v>
      </c>
      <c r="D6582" t="inlineStr">
        <is>
          <t>VÄSTERNORRLANDS LÄN</t>
        </is>
      </c>
      <c r="E6582" t="inlineStr">
        <is>
          <t>TIMRÅ</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14169-2024</t>
        </is>
      </c>
      <c r="B6583" s="1" t="n">
        <v>45392.95831018518</v>
      </c>
      <c r="C6583" s="1" t="n">
        <v>46185</v>
      </c>
      <c r="D6583" t="inlineStr">
        <is>
          <t>VÄSTERNORRLANDS LÄN</t>
        </is>
      </c>
      <c r="E6583" t="inlineStr">
        <is>
          <t>SOLLEFTEÅ</t>
        </is>
      </c>
      <c r="F6583" t="inlineStr">
        <is>
          <t>SCA</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61386-2025</t>
        </is>
      </c>
      <c r="B6584" s="1" t="n">
        <v>46001.45239583333</v>
      </c>
      <c r="C6584" s="1" t="n">
        <v>46185</v>
      </c>
      <c r="D6584" t="inlineStr">
        <is>
          <t>VÄSTERNORRLANDS LÄN</t>
        </is>
      </c>
      <c r="E6584" t="inlineStr">
        <is>
          <t>SUNDSVALL</t>
        </is>
      </c>
      <c r="G6584" t="n">
        <v>7.2</v>
      </c>
      <c r="H6584" t="n">
        <v>0</v>
      </c>
      <c r="I6584" t="n">
        <v>0</v>
      </c>
      <c r="J6584" t="n">
        <v>0</v>
      </c>
      <c r="K6584" t="n">
        <v>0</v>
      </c>
      <c r="L6584" t="n">
        <v>0</v>
      </c>
      <c r="M6584" t="n">
        <v>0</v>
      </c>
      <c r="N6584" t="n">
        <v>0</v>
      </c>
      <c r="O6584" t="n">
        <v>0</v>
      </c>
      <c r="P6584" t="n">
        <v>0</v>
      </c>
      <c r="Q6584" t="n">
        <v>0</v>
      </c>
      <c r="R6584" s="2" t="inlineStr"/>
    </row>
    <row r="6585" ht="15" customHeight="1">
      <c r="A6585" t="inlineStr">
        <is>
          <t>A 12301-2026</t>
        </is>
      </c>
      <c r="B6585" s="1" t="n">
        <v>46087.5733912037</v>
      </c>
      <c r="C6585" s="1" t="n">
        <v>46185</v>
      </c>
      <c r="D6585" t="inlineStr">
        <is>
          <t>VÄSTERNORRLANDS LÄN</t>
        </is>
      </c>
      <c r="E6585" t="inlineStr">
        <is>
          <t>SUNDSVALL</t>
        </is>
      </c>
      <c r="F6585" t="inlineStr">
        <is>
          <t>SCA</t>
        </is>
      </c>
      <c r="G6585" t="n">
        <v>8.4</v>
      </c>
      <c r="H6585" t="n">
        <v>0</v>
      </c>
      <c r="I6585" t="n">
        <v>0</v>
      </c>
      <c r="J6585" t="n">
        <v>0</v>
      </c>
      <c r="K6585" t="n">
        <v>0</v>
      </c>
      <c r="L6585" t="n">
        <v>0</v>
      </c>
      <c r="M6585" t="n">
        <v>0</v>
      </c>
      <c r="N6585" t="n">
        <v>0</v>
      </c>
      <c r="O6585" t="n">
        <v>0</v>
      </c>
      <c r="P6585" t="n">
        <v>0</v>
      </c>
      <c r="Q6585" t="n">
        <v>0</v>
      </c>
      <c r="R6585" s="2" t="inlineStr"/>
    </row>
    <row r="6586" ht="15" customHeight="1">
      <c r="A6586" t="inlineStr">
        <is>
          <t>A 12233-2026</t>
        </is>
      </c>
      <c r="B6586" s="1" t="n">
        <v>46087.40685185185</v>
      </c>
      <c r="C6586" s="1" t="n">
        <v>46185</v>
      </c>
      <c r="D6586" t="inlineStr">
        <is>
          <t>VÄSTERNORRLANDS LÄN</t>
        </is>
      </c>
      <c r="E6586" t="inlineStr">
        <is>
          <t>SUNDSVALL</t>
        </is>
      </c>
      <c r="F6586" t="inlineStr">
        <is>
          <t>SCA</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25926-2024</t>
        </is>
      </c>
      <c r="B6587" s="1" t="n">
        <v>45467.6140162037</v>
      </c>
      <c r="C6587" s="1" t="n">
        <v>46185</v>
      </c>
      <c r="D6587" t="inlineStr">
        <is>
          <t>VÄSTERNORRLANDS LÄN</t>
        </is>
      </c>
      <c r="E6587" t="inlineStr">
        <is>
          <t>ÖRNSKÖLDSVIK</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16768-2023</t>
        </is>
      </c>
      <c r="B6588" s="1" t="n">
        <v>45030</v>
      </c>
      <c r="C6588" s="1" t="n">
        <v>46185</v>
      </c>
      <c r="D6588" t="inlineStr">
        <is>
          <t>VÄSTERNORRLANDS LÄN</t>
        </is>
      </c>
      <c r="E6588" t="inlineStr">
        <is>
          <t>SUNDSVALL</t>
        </is>
      </c>
      <c r="F6588" t="inlineStr">
        <is>
          <t>SCA</t>
        </is>
      </c>
      <c r="G6588" t="n">
        <v>7.2</v>
      </c>
      <c r="H6588" t="n">
        <v>0</v>
      </c>
      <c r="I6588" t="n">
        <v>0</v>
      </c>
      <c r="J6588" t="n">
        <v>0</v>
      </c>
      <c r="K6588" t="n">
        <v>0</v>
      </c>
      <c r="L6588" t="n">
        <v>0</v>
      </c>
      <c r="M6588" t="n">
        <v>0</v>
      </c>
      <c r="N6588" t="n">
        <v>0</v>
      </c>
      <c r="O6588" t="n">
        <v>0</v>
      </c>
      <c r="P6588" t="n">
        <v>0</v>
      </c>
      <c r="Q6588" t="n">
        <v>0</v>
      </c>
      <c r="R6588" s="2" t="inlineStr"/>
    </row>
    <row r="6589" ht="15" customHeight="1">
      <c r="A6589" t="inlineStr">
        <is>
          <t>A 61732-2025</t>
        </is>
      </c>
      <c r="B6589" s="1" t="n">
        <v>46002.59408564815</v>
      </c>
      <c r="C6589" s="1" t="n">
        <v>46185</v>
      </c>
      <c r="D6589" t="inlineStr">
        <is>
          <t>VÄSTERNORRLANDS LÄN</t>
        </is>
      </c>
      <c r="E6589" t="inlineStr">
        <is>
          <t>SOLLEFTEÅ</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61733-2025</t>
        </is>
      </c>
      <c r="B6590" s="1" t="n">
        <v>46002.59412037037</v>
      </c>
      <c r="C6590" s="1" t="n">
        <v>46185</v>
      </c>
      <c r="D6590" t="inlineStr">
        <is>
          <t>VÄSTERNORRLANDS LÄN</t>
        </is>
      </c>
      <c r="E6590" t="inlineStr">
        <is>
          <t>SOLLEFTEÅ</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12288-2026</t>
        </is>
      </c>
      <c r="B6591" s="1" t="n">
        <v>46087.55270833334</v>
      </c>
      <c r="C6591" s="1" t="n">
        <v>46185</v>
      </c>
      <c r="D6591" t="inlineStr">
        <is>
          <t>VÄSTERNORRLANDS LÄN</t>
        </is>
      </c>
      <c r="E6591" t="inlineStr">
        <is>
          <t>SOLLEFTEÅ</t>
        </is>
      </c>
      <c r="F6591" t="inlineStr">
        <is>
          <t>SCA</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31244-2023</t>
        </is>
      </c>
      <c r="B6592" s="1" t="n">
        <v>45114.35319444445</v>
      </c>
      <c r="C6592" s="1" t="n">
        <v>46185</v>
      </c>
      <c r="D6592" t="inlineStr">
        <is>
          <t>VÄSTERNORRLANDS LÄN</t>
        </is>
      </c>
      <c r="E6592" t="inlineStr">
        <is>
          <t>ÖRNSKÖLDSVIK</t>
        </is>
      </c>
      <c r="F6592" t="inlineStr">
        <is>
          <t>Holmen skog AB</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29498-2023</t>
        </is>
      </c>
      <c r="B6593" s="1" t="n">
        <v>45106.59748842593</v>
      </c>
      <c r="C6593" s="1" t="n">
        <v>46185</v>
      </c>
      <c r="D6593" t="inlineStr">
        <is>
          <t>VÄSTERNORRLANDS LÄN</t>
        </is>
      </c>
      <c r="E6593" t="inlineStr">
        <is>
          <t>ÖRNSKÖLDSVIK</t>
        </is>
      </c>
      <c r="F6593" t="inlineStr">
        <is>
          <t>Holmen skog AB</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5896-2022</t>
        </is>
      </c>
      <c r="B6594" s="1" t="n">
        <v>44596</v>
      </c>
      <c r="C6594" s="1" t="n">
        <v>46185</v>
      </c>
      <c r="D6594" t="inlineStr">
        <is>
          <t>VÄSTERNORRLANDS LÄN</t>
        </is>
      </c>
      <c r="E6594" t="inlineStr">
        <is>
          <t>HÄRNÖSAND</t>
        </is>
      </c>
      <c r="F6594" t="inlineStr">
        <is>
          <t>Övriga statliga verk och myndigheter</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12097-2026</t>
        </is>
      </c>
      <c r="B6595" s="1" t="n">
        <v>46086</v>
      </c>
      <c r="C6595" s="1" t="n">
        <v>46185</v>
      </c>
      <c r="D6595" t="inlineStr">
        <is>
          <t>VÄSTERNORRLANDS LÄN</t>
        </is>
      </c>
      <c r="E6595" t="inlineStr">
        <is>
          <t>TIMRÅ</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12209-2026</t>
        </is>
      </c>
      <c r="B6596" s="1" t="n">
        <v>46087.34435185185</v>
      </c>
      <c r="C6596" s="1" t="n">
        <v>46185</v>
      </c>
      <c r="D6596" t="inlineStr">
        <is>
          <t>VÄSTERNORRLANDS LÄN</t>
        </is>
      </c>
      <c r="E6596" t="inlineStr">
        <is>
          <t>SOLLEFTEÅ</t>
        </is>
      </c>
      <c r="F6596" t="inlineStr">
        <is>
          <t>SCA</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56434-2021</t>
        </is>
      </c>
      <c r="B6597" s="1" t="n">
        <v>44477</v>
      </c>
      <c r="C6597" s="1" t="n">
        <v>46185</v>
      </c>
      <c r="D6597" t="inlineStr">
        <is>
          <t>VÄSTERNORRLANDS LÄN</t>
        </is>
      </c>
      <c r="E6597" t="inlineStr">
        <is>
          <t>ÅNGE</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62662-2022</t>
        </is>
      </c>
      <c r="B6598" s="1" t="n">
        <v>44917</v>
      </c>
      <c r="C6598" s="1" t="n">
        <v>46185</v>
      </c>
      <c r="D6598" t="inlineStr">
        <is>
          <t>VÄSTERNORRLANDS LÄN</t>
        </is>
      </c>
      <c r="E6598" t="inlineStr">
        <is>
          <t>SOLLEFTEÅ</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19929-2025</t>
        </is>
      </c>
      <c r="B6599" s="1" t="n">
        <v>45771.6359837963</v>
      </c>
      <c r="C6599" s="1" t="n">
        <v>46185</v>
      </c>
      <c r="D6599" t="inlineStr">
        <is>
          <t>VÄSTERNORRLANDS LÄN</t>
        </is>
      </c>
      <c r="E6599" t="inlineStr">
        <is>
          <t>SOLLEFTEÅ</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19932-2025</t>
        </is>
      </c>
      <c r="B6600" s="1" t="n">
        <v>45771.63940972222</v>
      </c>
      <c r="C6600" s="1" t="n">
        <v>46185</v>
      </c>
      <c r="D6600" t="inlineStr">
        <is>
          <t>VÄSTERNORRLANDS LÄN</t>
        </is>
      </c>
      <c r="E6600" t="inlineStr">
        <is>
          <t>SOLLEFTEÅ</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12287-2026</t>
        </is>
      </c>
      <c r="B6601" s="1" t="n">
        <v>46087.55252314815</v>
      </c>
      <c r="C6601" s="1" t="n">
        <v>46185</v>
      </c>
      <c r="D6601" t="inlineStr">
        <is>
          <t>VÄSTERNORRLANDS LÄN</t>
        </is>
      </c>
      <c r="E6601" t="inlineStr">
        <is>
          <t>ÅNGE</t>
        </is>
      </c>
      <c r="F6601" t="inlineStr">
        <is>
          <t>SCA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61318-2025</t>
        </is>
      </c>
      <c r="B6602" s="1" t="n">
        <v>46000.94104166667</v>
      </c>
      <c r="C6602" s="1" t="n">
        <v>46185</v>
      </c>
      <c r="D6602" t="inlineStr">
        <is>
          <t>VÄSTERNORRLANDS LÄN</t>
        </is>
      </c>
      <c r="E6602" t="inlineStr">
        <is>
          <t>KRAMFORS</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61347-2025</t>
        </is>
      </c>
      <c r="B6603" s="1" t="n">
        <v>46001.3863425926</v>
      </c>
      <c r="C6603" s="1" t="n">
        <v>46185</v>
      </c>
      <c r="D6603" t="inlineStr">
        <is>
          <t>VÄSTERNORRLANDS LÄN</t>
        </is>
      </c>
      <c r="E6603" t="inlineStr">
        <is>
          <t>SOLLEFTEÅ</t>
        </is>
      </c>
      <c r="F6603" t="inlineStr">
        <is>
          <t>SCA</t>
        </is>
      </c>
      <c r="G6603" t="n">
        <v>5.8</v>
      </c>
      <c r="H6603" t="n">
        <v>0</v>
      </c>
      <c r="I6603" t="n">
        <v>0</v>
      </c>
      <c r="J6603" t="n">
        <v>0</v>
      </c>
      <c r="K6603" t="n">
        <v>0</v>
      </c>
      <c r="L6603" t="n">
        <v>0</v>
      </c>
      <c r="M6603" t="n">
        <v>0</v>
      </c>
      <c r="N6603" t="n">
        <v>0</v>
      </c>
      <c r="O6603" t="n">
        <v>0</v>
      </c>
      <c r="P6603" t="n">
        <v>0</v>
      </c>
      <c r="Q6603" t="n">
        <v>0</v>
      </c>
      <c r="R6603" s="2" t="inlineStr"/>
    </row>
    <row r="6604" ht="15" customHeight="1">
      <c r="A6604" t="inlineStr">
        <is>
          <t>A 61348-2025</t>
        </is>
      </c>
      <c r="B6604" s="1" t="n">
        <v>46001.38648148148</v>
      </c>
      <c r="C6604" s="1" t="n">
        <v>46185</v>
      </c>
      <c r="D6604" t="inlineStr">
        <is>
          <t>VÄSTERNORRLANDS LÄN</t>
        </is>
      </c>
      <c r="E6604" t="inlineStr">
        <is>
          <t>TIMRÅ</t>
        </is>
      </c>
      <c r="F6604" t="inlineStr">
        <is>
          <t>SCA</t>
        </is>
      </c>
      <c r="G6604" t="n">
        <v>6.1</v>
      </c>
      <c r="H6604" t="n">
        <v>0</v>
      </c>
      <c r="I6604" t="n">
        <v>0</v>
      </c>
      <c r="J6604" t="n">
        <v>0</v>
      </c>
      <c r="K6604" t="n">
        <v>0</v>
      </c>
      <c r="L6604" t="n">
        <v>0</v>
      </c>
      <c r="M6604" t="n">
        <v>0</v>
      </c>
      <c r="N6604" t="n">
        <v>0</v>
      </c>
      <c r="O6604" t="n">
        <v>0</v>
      </c>
      <c r="P6604" t="n">
        <v>0</v>
      </c>
      <c r="Q6604" t="n">
        <v>0</v>
      </c>
      <c r="R6604" s="2" t="inlineStr"/>
    </row>
    <row r="6605" ht="15" customHeight="1">
      <c r="A6605" t="inlineStr">
        <is>
          <t>A 61442-2025</t>
        </is>
      </c>
      <c r="B6605" s="1" t="n">
        <v>46001</v>
      </c>
      <c r="C6605" s="1" t="n">
        <v>46185</v>
      </c>
      <c r="D6605" t="inlineStr">
        <is>
          <t>VÄSTERNORRLANDS LÄN</t>
        </is>
      </c>
      <c r="E6605" t="inlineStr">
        <is>
          <t>SOLLEFTEÅ</t>
        </is>
      </c>
      <c r="F6605" t="inlineStr">
        <is>
          <t>SCA</t>
        </is>
      </c>
      <c r="G6605" t="n">
        <v>12.8</v>
      </c>
      <c r="H6605" t="n">
        <v>0</v>
      </c>
      <c r="I6605" t="n">
        <v>0</v>
      </c>
      <c r="J6605" t="n">
        <v>0</v>
      </c>
      <c r="K6605" t="n">
        <v>0</v>
      </c>
      <c r="L6605" t="n">
        <v>0</v>
      </c>
      <c r="M6605" t="n">
        <v>0</v>
      </c>
      <c r="N6605" t="n">
        <v>0</v>
      </c>
      <c r="O6605" t="n">
        <v>0</v>
      </c>
      <c r="P6605" t="n">
        <v>0</v>
      </c>
      <c r="Q6605" t="n">
        <v>0</v>
      </c>
      <c r="R6605" s="2" t="inlineStr"/>
    </row>
    <row r="6606" ht="15" customHeight="1">
      <c r="A6606" t="inlineStr">
        <is>
          <t>A 12212-2026</t>
        </is>
      </c>
      <c r="B6606" s="1" t="n">
        <v>46087.34480324074</v>
      </c>
      <c r="C6606" s="1" t="n">
        <v>46185</v>
      </c>
      <c r="D6606" t="inlineStr">
        <is>
          <t>VÄSTERNORRLANDS LÄN</t>
        </is>
      </c>
      <c r="E6606" t="inlineStr">
        <is>
          <t>SOLLEFTEÅ</t>
        </is>
      </c>
      <c r="F6606" t="inlineStr">
        <is>
          <t>SCA</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12249-2026</t>
        </is>
      </c>
      <c r="B6607" s="1" t="n">
        <v>46087.44841435185</v>
      </c>
      <c r="C6607" s="1" t="n">
        <v>46185</v>
      </c>
      <c r="D6607" t="inlineStr">
        <is>
          <t>VÄSTERNORRLANDS LÄN</t>
        </is>
      </c>
      <c r="E6607" t="inlineStr">
        <is>
          <t>SOLLEFTEÅ</t>
        </is>
      </c>
      <c r="F6607" t="inlineStr">
        <is>
          <t>SCA</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12315-2026</t>
        </is>
      </c>
      <c r="B6608" s="1" t="n">
        <v>46087.59430555555</v>
      </c>
      <c r="C6608" s="1" t="n">
        <v>46185</v>
      </c>
      <c r="D6608" t="inlineStr">
        <is>
          <t>VÄSTERNORRLANDS LÄN</t>
        </is>
      </c>
      <c r="E6608" t="inlineStr">
        <is>
          <t>SUNDSVALL</t>
        </is>
      </c>
      <c r="F6608" t="inlineStr">
        <is>
          <t>SCA</t>
        </is>
      </c>
      <c r="G6608" t="n">
        <v>47.5</v>
      </c>
      <c r="H6608" t="n">
        <v>0</v>
      </c>
      <c r="I6608" t="n">
        <v>0</v>
      </c>
      <c r="J6608" t="n">
        <v>0</v>
      </c>
      <c r="K6608" t="n">
        <v>0</v>
      </c>
      <c r="L6608" t="n">
        <v>0</v>
      </c>
      <c r="M6608" t="n">
        <v>0</v>
      </c>
      <c r="N6608" t="n">
        <v>0</v>
      </c>
      <c r="O6608" t="n">
        <v>0</v>
      </c>
      <c r="P6608" t="n">
        <v>0</v>
      </c>
      <c r="Q6608" t="n">
        <v>0</v>
      </c>
      <c r="R6608" s="2" t="inlineStr"/>
    </row>
    <row r="6609" ht="15" customHeight="1">
      <c r="A6609" t="inlineStr">
        <is>
          <t>A 61658-2025</t>
        </is>
      </c>
      <c r="B6609" s="1" t="n">
        <v>46002</v>
      </c>
      <c r="C6609" s="1" t="n">
        <v>46185</v>
      </c>
      <c r="D6609" t="inlineStr">
        <is>
          <t>VÄSTERNORRLANDS LÄN</t>
        </is>
      </c>
      <c r="E6609" t="inlineStr">
        <is>
          <t>ÖRNSKÖLDSVIK</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12329-2026</t>
        </is>
      </c>
      <c r="B6610" s="1" t="n">
        <v>46087</v>
      </c>
      <c r="C6610" s="1" t="n">
        <v>46185</v>
      </c>
      <c r="D6610" t="inlineStr">
        <is>
          <t>VÄSTERNORRLANDS LÄN</t>
        </is>
      </c>
      <c r="E6610" t="inlineStr">
        <is>
          <t>TIMRÅ</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12333-2026</t>
        </is>
      </c>
      <c r="B6611" s="1" t="n">
        <v>46087.63590277778</v>
      </c>
      <c r="C6611" s="1" t="n">
        <v>46185</v>
      </c>
      <c r="D6611" t="inlineStr">
        <is>
          <t>VÄSTERNORRLANDS LÄN</t>
        </is>
      </c>
      <c r="E6611" t="inlineStr">
        <is>
          <t>SOLLEFTEÅ</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12170-2026</t>
        </is>
      </c>
      <c r="B6612" s="1" t="n">
        <v>46086.65668981482</v>
      </c>
      <c r="C6612" s="1" t="n">
        <v>46185</v>
      </c>
      <c r="D6612" t="inlineStr">
        <is>
          <t>VÄSTERNORRLANDS LÄN</t>
        </is>
      </c>
      <c r="E6612" t="inlineStr">
        <is>
          <t>ÖRNSKÖLDSVIK</t>
        </is>
      </c>
      <c r="F6612" t="inlineStr">
        <is>
          <t>SCA</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12176-2026</t>
        </is>
      </c>
      <c r="B6613" s="1" t="n">
        <v>46086.67760416667</v>
      </c>
      <c r="C6613" s="1" t="n">
        <v>46185</v>
      </c>
      <c r="D6613" t="inlineStr">
        <is>
          <t>VÄSTERNORRLANDS LÄN</t>
        </is>
      </c>
      <c r="E6613" t="inlineStr">
        <is>
          <t>ÅNGE</t>
        </is>
      </c>
      <c r="F6613" t="inlineStr">
        <is>
          <t>SCA</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12228-2026</t>
        </is>
      </c>
      <c r="B6614" s="1" t="n">
        <v>46087.38587962963</v>
      </c>
      <c r="C6614" s="1" t="n">
        <v>46185</v>
      </c>
      <c r="D6614" t="inlineStr">
        <is>
          <t>VÄSTERNORRLANDS LÄN</t>
        </is>
      </c>
      <c r="E6614" t="inlineStr">
        <is>
          <t>ÖRNSKÖLDSVIK</t>
        </is>
      </c>
      <c r="F6614" t="inlineStr">
        <is>
          <t>SCA</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12084-2026</t>
        </is>
      </c>
      <c r="B6615" s="1" t="n">
        <v>46086</v>
      </c>
      <c r="C6615" s="1" t="n">
        <v>46185</v>
      </c>
      <c r="D6615" t="inlineStr">
        <is>
          <t>VÄSTERNORRLANDS LÄN</t>
        </is>
      </c>
      <c r="E6615" t="inlineStr">
        <is>
          <t>HÄRNÖSAND</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61381-2025</t>
        </is>
      </c>
      <c r="B6616" s="1" t="n">
        <v>46001.4452662037</v>
      </c>
      <c r="C6616" s="1" t="n">
        <v>46185</v>
      </c>
      <c r="D6616" t="inlineStr">
        <is>
          <t>VÄSTERNORRLANDS LÄN</t>
        </is>
      </c>
      <c r="E6616" t="inlineStr">
        <is>
          <t>SUNDSVALL</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12340-2026</t>
        </is>
      </c>
      <c r="B6617" s="1" t="n">
        <v>46087</v>
      </c>
      <c r="C6617" s="1" t="n">
        <v>46185</v>
      </c>
      <c r="D6617" t="inlineStr">
        <is>
          <t>VÄSTERNORRLANDS LÄN</t>
        </is>
      </c>
      <c r="E6617" t="inlineStr">
        <is>
          <t>HÄRNÖSAND</t>
        </is>
      </c>
      <c r="F6617" t="inlineStr">
        <is>
          <t>Övriga statliga verk och myndigheter</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61500-2025</t>
        </is>
      </c>
      <c r="B6618" s="1" t="n">
        <v>46001.65667824074</v>
      </c>
      <c r="C6618" s="1" t="n">
        <v>46185</v>
      </c>
      <c r="D6618" t="inlineStr">
        <is>
          <t>VÄSTERNORRLANDS LÄN</t>
        </is>
      </c>
      <c r="E6618" t="inlineStr">
        <is>
          <t>ÅNGE</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35276-2022</t>
        </is>
      </c>
      <c r="B6619" s="1" t="n">
        <v>44798</v>
      </c>
      <c r="C6619" s="1" t="n">
        <v>46185</v>
      </c>
      <c r="D6619" t="inlineStr">
        <is>
          <t>VÄSTERNORRLANDS LÄN</t>
        </is>
      </c>
      <c r="E6619" t="inlineStr">
        <is>
          <t>ÅNGE</t>
        </is>
      </c>
      <c r="G6619" t="n">
        <v>15.2</v>
      </c>
      <c r="H6619" t="n">
        <v>0</v>
      </c>
      <c r="I6619" t="n">
        <v>0</v>
      </c>
      <c r="J6619" t="n">
        <v>0</v>
      </c>
      <c r="K6619" t="n">
        <v>0</v>
      </c>
      <c r="L6619" t="n">
        <v>0</v>
      </c>
      <c r="M6619" t="n">
        <v>0</v>
      </c>
      <c r="N6619" t="n">
        <v>0</v>
      </c>
      <c r="O6619" t="n">
        <v>0</v>
      </c>
      <c r="P6619" t="n">
        <v>0</v>
      </c>
      <c r="Q6619" t="n">
        <v>0</v>
      </c>
      <c r="R6619" s="2" t="inlineStr"/>
    </row>
    <row r="6620" ht="15" customHeight="1">
      <c r="A6620" t="inlineStr">
        <is>
          <t>A 12439-2026</t>
        </is>
      </c>
      <c r="B6620" s="1" t="n">
        <v>46090.47541666667</v>
      </c>
      <c r="C6620" s="1" t="n">
        <v>46185</v>
      </c>
      <c r="D6620" t="inlineStr">
        <is>
          <t>VÄSTERNORRLANDS LÄN</t>
        </is>
      </c>
      <c r="E6620" t="inlineStr">
        <is>
          <t>ÅNGE</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12376-2026</t>
        </is>
      </c>
      <c r="B6621" s="1" t="n">
        <v>46090.34447916667</v>
      </c>
      <c r="C6621" s="1" t="n">
        <v>46185</v>
      </c>
      <c r="D6621" t="inlineStr">
        <is>
          <t>VÄSTERNORRLANDS LÄN</t>
        </is>
      </c>
      <c r="E6621" t="inlineStr">
        <is>
          <t>SOLLEFTEÅ</t>
        </is>
      </c>
      <c r="F6621" t="inlineStr">
        <is>
          <t>SCA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36685-2024</t>
        </is>
      </c>
      <c r="B6622" s="1" t="n">
        <v>45537.66467592592</v>
      </c>
      <c r="C6622" s="1" t="n">
        <v>46185</v>
      </c>
      <c r="D6622" t="inlineStr">
        <is>
          <t>VÄSTERNORRLANDS LÄN</t>
        </is>
      </c>
      <c r="E6622" t="inlineStr">
        <is>
          <t>SOLLEFTEÅ</t>
        </is>
      </c>
      <c r="F6622" t="inlineStr">
        <is>
          <t>Holmen skog AB</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36704-2024</t>
        </is>
      </c>
      <c r="B6623" s="1" t="n">
        <v>45537.71113425926</v>
      </c>
      <c r="C6623" s="1" t="n">
        <v>46185</v>
      </c>
      <c r="D6623" t="inlineStr">
        <is>
          <t>VÄSTERNORRLANDS LÄN</t>
        </is>
      </c>
      <c r="E6623" t="inlineStr">
        <is>
          <t>ÖRNSKÖLDSVIK</t>
        </is>
      </c>
      <c r="F6623" t="inlineStr">
        <is>
          <t>Holmen skog AB</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12398-2026</t>
        </is>
      </c>
      <c r="B6624" s="1" t="n">
        <v>46090.39175925926</v>
      </c>
      <c r="C6624" s="1" t="n">
        <v>46185</v>
      </c>
      <c r="D6624" t="inlineStr">
        <is>
          <t>VÄSTERNORRLANDS LÄN</t>
        </is>
      </c>
      <c r="E6624" t="inlineStr">
        <is>
          <t>ÅNGE</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50770-2021</t>
        </is>
      </c>
      <c r="B6625" s="1" t="n">
        <v>44460.43626157408</v>
      </c>
      <c r="C6625" s="1" t="n">
        <v>46185</v>
      </c>
      <c r="D6625" t="inlineStr">
        <is>
          <t>VÄSTERNORRLANDS LÄN</t>
        </is>
      </c>
      <c r="E6625" t="inlineStr">
        <is>
          <t>KRAMFORS</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34123-2023</t>
        </is>
      </c>
      <c r="B6626" s="1" t="n">
        <v>45135</v>
      </c>
      <c r="C6626" s="1" t="n">
        <v>46185</v>
      </c>
      <c r="D6626" t="inlineStr">
        <is>
          <t>VÄSTERNORRLANDS LÄN</t>
        </is>
      </c>
      <c r="E6626" t="inlineStr">
        <is>
          <t>ÖRNSKÖLDSVIK</t>
        </is>
      </c>
      <c r="F6626" t="inlineStr">
        <is>
          <t>Holmen skog AB</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61468-2025</t>
        </is>
      </c>
      <c r="B6627" s="1" t="n">
        <v>46001.60657407407</v>
      </c>
      <c r="C6627" s="1" t="n">
        <v>46185</v>
      </c>
      <c r="D6627" t="inlineStr">
        <is>
          <t>VÄSTERNORRLANDS LÄN</t>
        </is>
      </c>
      <c r="E6627" t="inlineStr">
        <is>
          <t>ÖRNSKÖLDSVIK</t>
        </is>
      </c>
      <c r="G6627" t="n">
        <v>11.2</v>
      </c>
      <c r="H6627" t="n">
        <v>0</v>
      </c>
      <c r="I6627" t="n">
        <v>0</v>
      </c>
      <c r="J6627" t="n">
        <v>0</v>
      </c>
      <c r="K6627" t="n">
        <v>0</v>
      </c>
      <c r="L6627" t="n">
        <v>0</v>
      </c>
      <c r="M6627" t="n">
        <v>0</v>
      </c>
      <c r="N6627" t="n">
        <v>0</v>
      </c>
      <c r="O6627" t="n">
        <v>0</v>
      </c>
      <c r="P6627" t="n">
        <v>0</v>
      </c>
      <c r="Q6627" t="n">
        <v>0</v>
      </c>
      <c r="R6627" s="2" t="inlineStr"/>
    </row>
    <row r="6628" ht="15" customHeight="1">
      <c r="A6628" t="inlineStr">
        <is>
          <t>A 54946-2021</t>
        </is>
      </c>
      <c r="B6628" s="1" t="n">
        <v>44474.46466435185</v>
      </c>
      <c r="C6628" s="1" t="n">
        <v>46185</v>
      </c>
      <c r="D6628" t="inlineStr">
        <is>
          <t>VÄSTERNORRLANDS LÄN</t>
        </is>
      </c>
      <c r="E6628" t="inlineStr">
        <is>
          <t>ÅNGE</t>
        </is>
      </c>
      <c r="G6628" t="n">
        <v>5.4</v>
      </c>
      <c r="H6628" t="n">
        <v>0</v>
      </c>
      <c r="I6628" t="n">
        <v>0</v>
      </c>
      <c r="J6628" t="n">
        <v>0</v>
      </c>
      <c r="K6628" t="n">
        <v>0</v>
      </c>
      <c r="L6628" t="n">
        <v>0</v>
      </c>
      <c r="M6628" t="n">
        <v>0</v>
      </c>
      <c r="N6628" t="n">
        <v>0</v>
      </c>
      <c r="O6628" t="n">
        <v>0</v>
      </c>
      <c r="P6628" t="n">
        <v>0</v>
      </c>
      <c r="Q6628" t="n">
        <v>0</v>
      </c>
      <c r="R6628" s="2" t="inlineStr"/>
    </row>
    <row r="6629" ht="15" customHeight="1">
      <c r="A6629" t="inlineStr">
        <is>
          <t>A 61375-2025</t>
        </is>
      </c>
      <c r="B6629" s="1" t="n">
        <v>46001.4408912037</v>
      </c>
      <c r="C6629" s="1" t="n">
        <v>46185</v>
      </c>
      <c r="D6629" t="inlineStr">
        <is>
          <t>VÄSTERNORRLANDS LÄN</t>
        </is>
      </c>
      <c r="E6629" t="inlineStr">
        <is>
          <t>ÖRNSKÖLDSVIK</t>
        </is>
      </c>
      <c r="F6629" t="inlineStr">
        <is>
          <t>Holmen skog AB</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61918-2025</t>
        </is>
      </c>
      <c r="B6630" s="1" t="n">
        <v>46003.50512731481</v>
      </c>
      <c r="C6630" s="1" t="n">
        <v>46185</v>
      </c>
      <c r="D6630" t="inlineStr">
        <is>
          <t>VÄSTERNORRLANDS LÄN</t>
        </is>
      </c>
      <c r="E6630" t="inlineStr">
        <is>
          <t>ÖRNSKÖLDSVIK</t>
        </is>
      </c>
      <c r="G6630" t="n">
        <v>6.1</v>
      </c>
      <c r="H6630" t="n">
        <v>0</v>
      </c>
      <c r="I6630" t="n">
        <v>0</v>
      </c>
      <c r="J6630" t="n">
        <v>0</v>
      </c>
      <c r="K6630" t="n">
        <v>0</v>
      </c>
      <c r="L6630" t="n">
        <v>0</v>
      </c>
      <c r="M6630" t="n">
        <v>0</v>
      </c>
      <c r="N6630" t="n">
        <v>0</v>
      </c>
      <c r="O6630" t="n">
        <v>0</v>
      </c>
      <c r="P6630" t="n">
        <v>0</v>
      </c>
      <c r="Q6630" t="n">
        <v>0</v>
      </c>
      <c r="R6630" s="2" t="inlineStr"/>
    </row>
    <row r="6631" ht="15" customHeight="1">
      <c r="A6631" t="inlineStr">
        <is>
          <t>A 57109-2023</t>
        </is>
      </c>
      <c r="B6631" s="1" t="n">
        <v>45239</v>
      </c>
      <c r="C6631" s="1" t="n">
        <v>46185</v>
      </c>
      <c r="D6631" t="inlineStr">
        <is>
          <t>VÄSTERNORRLANDS LÄN</t>
        </is>
      </c>
      <c r="E6631" t="inlineStr">
        <is>
          <t>ÅNGE</t>
        </is>
      </c>
      <c r="G6631" t="n">
        <v>7</v>
      </c>
      <c r="H6631" t="n">
        <v>0</v>
      </c>
      <c r="I6631" t="n">
        <v>0</v>
      </c>
      <c r="J6631" t="n">
        <v>0</v>
      </c>
      <c r="K6631" t="n">
        <v>0</v>
      </c>
      <c r="L6631" t="n">
        <v>0</v>
      </c>
      <c r="M6631" t="n">
        <v>0</v>
      </c>
      <c r="N6631" t="n">
        <v>0</v>
      </c>
      <c r="O6631" t="n">
        <v>0</v>
      </c>
      <c r="P6631" t="n">
        <v>0</v>
      </c>
      <c r="Q6631" t="n">
        <v>0</v>
      </c>
      <c r="R6631" s="2" t="inlineStr"/>
    </row>
    <row r="6632" ht="15" customHeight="1">
      <c r="A6632" t="inlineStr">
        <is>
          <t>A 61922-2025</t>
        </is>
      </c>
      <c r="B6632" s="1" t="n">
        <v>46003.51127314815</v>
      </c>
      <c r="C6632" s="1" t="n">
        <v>46185</v>
      </c>
      <c r="D6632" t="inlineStr">
        <is>
          <t>VÄSTERNORRLANDS LÄN</t>
        </is>
      </c>
      <c r="E6632" t="inlineStr">
        <is>
          <t>SUNDSVALL</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12759-2026</t>
        </is>
      </c>
      <c r="B6633" s="1" t="n">
        <v>46091.66002314815</v>
      </c>
      <c r="C6633" s="1" t="n">
        <v>46185</v>
      </c>
      <c r="D6633" t="inlineStr">
        <is>
          <t>VÄSTERNORRLANDS LÄN</t>
        </is>
      </c>
      <c r="E6633" t="inlineStr">
        <is>
          <t>ÅNGE</t>
        </is>
      </c>
      <c r="F6633" t="inlineStr">
        <is>
          <t>SCA</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62204-2025</t>
        </is>
      </c>
      <c r="B6634" s="1" t="n">
        <v>46006.55872685185</v>
      </c>
      <c r="C6634" s="1" t="n">
        <v>46185</v>
      </c>
      <c r="D6634" t="inlineStr">
        <is>
          <t>VÄSTERNORRLANDS LÄN</t>
        </is>
      </c>
      <c r="E6634" t="inlineStr">
        <is>
          <t>ÖRNSKÖLDSVIK</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39808-2024</t>
        </is>
      </c>
      <c r="B6635" s="1" t="n">
        <v>45553.37101851852</v>
      </c>
      <c r="C6635" s="1" t="n">
        <v>46185</v>
      </c>
      <c r="D6635" t="inlineStr">
        <is>
          <t>VÄSTERNORRLANDS LÄN</t>
        </is>
      </c>
      <c r="E6635" t="inlineStr">
        <is>
          <t>ÖRNSKÖLDSVIK</t>
        </is>
      </c>
      <c r="F6635" t="inlineStr">
        <is>
          <t>Holmen skog AB</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53457-2023</t>
        </is>
      </c>
      <c r="B6636" s="1" t="n">
        <v>45229.96641203704</v>
      </c>
      <c r="C6636" s="1" t="n">
        <v>46185</v>
      </c>
      <c r="D6636" t="inlineStr">
        <is>
          <t>VÄSTERNORRLANDS LÄN</t>
        </is>
      </c>
      <c r="E6636" t="inlineStr">
        <is>
          <t>ÖRNSKÖLDSVIK</t>
        </is>
      </c>
      <c r="F6636" t="inlineStr">
        <is>
          <t>SCA</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12583-2026</t>
        </is>
      </c>
      <c r="B6637" s="1" t="n">
        <v>46090.6775462963</v>
      </c>
      <c r="C6637" s="1" t="n">
        <v>46185</v>
      </c>
      <c r="D6637" t="inlineStr">
        <is>
          <t>VÄSTERNORRLANDS LÄN</t>
        </is>
      </c>
      <c r="E6637" t="inlineStr">
        <is>
          <t>SOLLEFTEÅ</t>
        </is>
      </c>
      <c r="F6637" t="inlineStr">
        <is>
          <t>SCA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35975-2023</t>
        </is>
      </c>
      <c r="B6638" s="1" t="n">
        <v>45148</v>
      </c>
      <c r="C6638" s="1" t="n">
        <v>46185</v>
      </c>
      <c r="D6638" t="inlineStr">
        <is>
          <t>VÄSTERNORRLANDS LÄN</t>
        </is>
      </c>
      <c r="E6638" t="inlineStr">
        <is>
          <t>SOLLEFTEÅ</t>
        </is>
      </c>
      <c r="F6638" t="inlineStr">
        <is>
          <t>SCA</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12644-2026</t>
        </is>
      </c>
      <c r="B6639" s="1" t="n">
        <v>46091.47149305556</v>
      </c>
      <c r="C6639" s="1" t="n">
        <v>46185</v>
      </c>
      <c r="D6639" t="inlineStr">
        <is>
          <t>VÄSTERNORRLANDS LÄN</t>
        </is>
      </c>
      <c r="E6639" t="inlineStr">
        <is>
          <t>TIMRÅ</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12650-2026</t>
        </is>
      </c>
      <c r="B6640" s="1" t="n">
        <v>46091.480625</v>
      </c>
      <c r="C6640" s="1" t="n">
        <v>46185</v>
      </c>
      <c r="D6640" t="inlineStr">
        <is>
          <t>VÄSTERNORRLANDS LÄN</t>
        </is>
      </c>
      <c r="E6640" t="inlineStr">
        <is>
          <t>HÄRNÖSAND</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12661-2026</t>
        </is>
      </c>
      <c r="B6641" s="1" t="n">
        <v>46091.50719907408</v>
      </c>
      <c r="C6641" s="1" t="n">
        <v>46185</v>
      </c>
      <c r="D6641" t="inlineStr">
        <is>
          <t>VÄSTERNORRLANDS LÄN</t>
        </is>
      </c>
      <c r="E6641" t="inlineStr">
        <is>
          <t>SUNDSVALL</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23527-2023</t>
        </is>
      </c>
      <c r="B6642" s="1" t="n">
        <v>45076</v>
      </c>
      <c r="C6642" s="1" t="n">
        <v>46185</v>
      </c>
      <c r="D6642" t="inlineStr">
        <is>
          <t>VÄSTERNORRLANDS LÄN</t>
        </is>
      </c>
      <c r="E6642" t="inlineStr">
        <is>
          <t>SOLLEFTEÅ</t>
        </is>
      </c>
      <c r="F6642" t="inlineStr">
        <is>
          <t>SCA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62311-2025</t>
        </is>
      </c>
      <c r="B6643" s="1" t="n">
        <v>46006.67753472222</v>
      </c>
      <c r="C6643" s="1" t="n">
        <v>46185</v>
      </c>
      <c r="D6643" t="inlineStr">
        <is>
          <t>VÄSTERNORRLANDS LÄN</t>
        </is>
      </c>
      <c r="E6643" t="inlineStr">
        <is>
          <t>SOLLEFTEÅ</t>
        </is>
      </c>
      <c r="F6643" t="inlineStr">
        <is>
          <t>SCA</t>
        </is>
      </c>
      <c r="G6643" t="n">
        <v>6.4</v>
      </c>
      <c r="H6643" t="n">
        <v>0</v>
      </c>
      <c r="I6643" t="n">
        <v>0</v>
      </c>
      <c r="J6643" t="n">
        <v>0</v>
      </c>
      <c r="K6643" t="n">
        <v>0</v>
      </c>
      <c r="L6643" t="n">
        <v>0</v>
      </c>
      <c r="M6643" t="n">
        <v>0</v>
      </c>
      <c r="N6643" t="n">
        <v>0</v>
      </c>
      <c r="O6643" t="n">
        <v>0</v>
      </c>
      <c r="P6643" t="n">
        <v>0</v>
      </c>
      <c r="Q6643" t="n">
        <v>0</v>
      </c>
      <c r="R6643" s="2" t="inlineStr"/>
    </row>
    <row r="6644" ht="15" customHeight="1">
      <c r="A6644" t="inlineStr">
        <is>
          <t>A 21258-2022</t>
        </is>
      </c>
      <c r="B6644" s="1" t="n">
        <v>44706</v>
      </c>
      <c r="C6644" s="1" t="n">
        <v>46185</v>
      </c>
      <c r="D6644" t="inlineStr">
        <is>
          <t>VÄSTERNORRLANDS LÄN</t>
        </is>
      </c>
      <c r="E6644" t="inlineStr">
        <is>
          <t>ÖRNSKÖLDSVIK</t>
        </is>
      </c>
      <c r="G6644" t="n">
        <v>9.6</v>
      </c>
      <c r="H6644" t="n">
        <v>0</v>
      </c>
      <c r="I6644" t="n">
        <v>0</v>
      </c>
      <c r="J6644" t="n">
        <v>0</v>
      </c>
      <c r="K6644" t="n">
        <v>0</v>
      </c>
      <c r="L6644" t="n">
        <v>0</v>
      </c>
      <c r="M6644" t="n">
        <v>0</v>
      </c>
      <c r="N6644" t="n">
        <v>0</v>
      </c>
      <c r="O6644" t="n">
        <v>0</v>
      </c>
      <c r="P6644" t="n">
        <v>0</v>
      </c>
      <c r="Q6644" t="n">
        <v>0</v>
      </c>
      <c r="R6644" s="2" t="inlineStr"/>
    </row>
    <row r="6645" ht="15" customHeight="1">
      <c r="A6645" t="inlineStr">
        <is>
          <t>A 48864-2021</t>
        </is>
      </c>
      <c r="B6645" s="1" t="n">
        <v>44452.94085648148</v>
      </c>
      <c r="C6645" s="1" t="n">
        <v>46185</v>
      </c>
      <c r="D6645" t="inlineStr">
        <is>
          <t>VÄSTERNORRLANDS LÄN</t>
        </is>
      </c>
      <c r="E6645" t="inlineStr">
        <is>
          <t>SUNDSVALL</t>
        </is>
      </c>
      <c r="F6645" t="inlineStr">
        <is>
          <t>SCA</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53920-2022</t>
        </is>
      </c>
      <c r="B6646" s="1" t="n">
        <v>44880.92899305555</v>
      </c>
      <c r="C6646" s="1" t="n">
        <v>46185</v>
      </c>
      <c r="D6646" t="inlineStr">
        <is>
          <t>VÄSTERNORRLANDS LÄN</t>
        </is>
      </c>
      <c r="E6646" t="inlineStr">
        <is>
          <t>KRAMFORS</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12561-2026</t>
        </is>
      </c>
      <c r="B6647" s="1" t="n">
        <v>46090.64583333334</v>
      </c>
      <c r="C6647" s="1" t="n">
        <v>46185</v>
      </c>
      <c r="D6647" t="inlineStr">
        <is>
          <t>VÄSTERNORRLANDS LÄN</t>
        </is>
      </c>
      <c r="E6647" t="inlineStr">
        <is>
          <t>KRAMFORS</t>
        </is>
      </c>
      <c r="G6647" t="n">
        <v>5.8</v>
      </c>
      <c r="H6647" t="n">
        <v>0</v>
      </c>
      <c r="I6647" t="n">
        <v>0</v>
      </c>
      <c r="J6647" t="n">
        <v>0</v>
      </c>
      <c r="K6647" t="n">
        <v>0</v>
      </c>
      <c r="L6647" t="n">
        <v>0</v>
      </c>
      <c r="M6647" t="n">
        <v>0</v>
      </c>
      <c r="N6647" t="n">
        <v>0</v>
      </c>
      <c r="O6647" t="n">
        <v>0</v>
      </c>
      <c r="P6647" t="n">
        <v>0</v>
      </c>
      <c r="Q6647" t="n">
        <v>0</v>
      </c>
      <c r="R6647" s="2" t="inlineStr"/>
    </row>
    <row r="6648" ht="15" customHeight="1">
      <c r="A6648" t="inlineStr">
        <is>
          <t>A 12468-2026</t>
        </is>
      </c>
      <c r="B6648" s="1" t="n">
        <v>46090.53908564815</v>
      </c>
      <c r="C6648" s="1" t="n">
        <v>46185</v>
      </c>
      <c r="D6648" t="inlineStr">
        <is>
          <t>VÄSTERNORRLANDS LÄN</t>
        </is>
      </c>
      <c r="E6648" t="inlineStr">
        <is>
          <t>ÅNGE</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12476-2026</t>
        </is>
      </c>
      <c r="B6649" s="1" t="n">
        <v>46090.55582175926</v>
      </c>
      <c r="C6649" s="1" t="n">
        <v>46185</v>
      </c>
      <c r="D6649" t="inlineStr">
        <is>
          <t>VÄSTERNORRLANDS LÄN</t>
        </is>
      </c>
      <c r="E6649" t="inlineStr">
        <is>
          <t>ÅNGE</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12479-2026</t>
        </is>
      </c>
      <c r="B6650" s="1" t="n">
        <v>46090.55809027778</v>
      </c>
      <c r="C6650" s="1" t="n">
        <v>46185</v>
      </c>
      <c r="D6650" t="inlineStr">
        <is>
          <t>VÄSTERNORRLANDS LÄN</t>
        </is>
      </c>
      <c r="E6650" t="inlineStr">
        <is>
          <t>ÅNGE</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62140-2025</t>
        </is>
      </c>
      <c r="B6651" s="1" t="n">
        <v>46006.46724537037</v>
      </c>
      <c r="C6651" s="1" t="n">
        <v>46185</v>
      </c>
      <c r="D6651" t="inlineStr">
        <is>
          <t>VÄSTERNORRLANDS LÄN</t>
        </is>
      </c>
      <c r="E6651" t="inlineStr">
        <is>
          <t>ÖRNSKÖLDSVIK</t>
        </is>
      </c>
      <c r="F6651" t="inlineStr">
        <is>
          <t>Holmen skog AB</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12568-2026</t>
        </is>
      </c>
      <c r="B6652" s="1" t="n">
        <v>46090</v>
      </c>
      <c r="C6652" s="1" t="n">
        <v>46185</v>
      </c>
      <c r="D6652" t="inlineStr">
        <is>
          <t>VÄSTERNORRLANDS LÄN</t>
        </is>
      </c>
      <c r="E6652" t="inlineStr">
        <is>
          <t>SOLLEFTEÅ</t>
        </is>
      </c>
      <c r="F6652" t="inlineStr">
        <is>
          <t>SCA</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62338-2025</t>
        </is>
      </c>
      <c r="B6653" s="1" t="n">
        <v>46006</v>
      </c>
      <c r="C6653" s="1" t="n">
        <v>46185</v>
      </c>
      <c r="D6653" t="inlineStr">
        <is>
          <t>VÄSTERNORRLANDS LÄN</t>
        </is>
      </c>
      <c r="E6653" t="inlineStr">
        <is>
          <t>ÖRNSKÖLDSVIK</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61861-2025</t>
        </is>
      </c>
      <c r="B6654" s="1" t="n">
        <v>46003.3868287037</v>
      </c>
      <c r="C6654" s="1" t="n">
        <v>46185</v>
      </c>
      <c r="D6654" t="inlineStr">
        <is>
          <t>VÄSTERNORRLANDS LÄN</t>
        </is>
      </c>
      <c r="E6654" t="inlineStr">
        <is>
          <t>SOLLEFTEÅ</t>
        </is>
      </c>
      <c r="F6654" t="inlineStr">
        <is>
          <t>SCA</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62084-2025</t>
        </is>
      </c>
      <c r="B6655" s="1" t="n">
        <v>46006.37449074074</v>
      </c>
      <c r="C6655" s="1" t="n">
        <v>46185</v>
      </c>
      <c r="D6655" t="inlineStr">
        <is>
          <t>VÄSTERNORRLANDS LÄN</t>
        </is>
      </c>
      <c r="E6655" t="inlineStr">
        <is>
          <t>ÅNGE</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62094-2025</t>
        </is>
      </c>
      <c r="B6656" s="1" t="n">
        <v>46006.3864699074</v>
      </c>
      <c r="C6656" s="1" t="n">
        <v>46185</v>
      </c>
      <c r="D6656" t="inlineStr">
        <is>
          <t>VÄSTERNORRLANDS LÄN</t>
        </is>
      </c>
      <c r="E6656" t="inlineStr">
        <is>
          <t>ÖRNSKÖLDSVIK</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12636-2026</t>
        </is>
      </c>
      <c r="B6657" s="1" t="n">
        <v>46091.46101851852</v>
      </c>
      <c r="C6657" s="1" t="n">
        <v>46185</v>
      </c>
      <c r="D6657" t="inlineStr">
        <is>
          <t>VÄSTERNORRLANDS LÄN</t>
        </is>
      </c>
      <c r="E6657" t="inlineStr">
        <is>
          <t>TIMRÅ</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12658-2026</t>
        </is>
      </c>
      <c r="B6658" s="1" t="n">
        <v>46091.49255787037</v>
      </c>
      <c r="C6658" s="1" t="n">
        <v>46185</v>
      </c>
      <c r="D6658" t="inlineStr">
        <is>
          <t>VÄSTERNORRLANDS LÄN</t>
        </is>
      </c>
      <c r="E6658" t="inlineStr">
        <is>
          <t>SUNDSVALL</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42346-2023</t>
        </is>
      </c>
      <c r="B6659" s="1" t="n">
        <v>45180</v>
      </c>
      <c r="C6659" s="1" t="n">
        <v>46185</v>
      </c>
      <c r="D6659" t="inlineStr">
        <is>
          <t>VÄSTERNORRLANDS LÄN</t>
        </is>
      </c>
      <c r="E6659" t="inlineStr">
        <is>
          <t>ÅNGE</t>
        </is>
      </c>
      <c r="G6659" t="n">
        <v>9.300000000000001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3435-2026</t>
        </is>
      </c>
      <c r="B6660" s="1" t="n">
        <v>46042.46942129629</v>
      </c>
      <c r="C6660" s="1" t="n">
        <v>46185</v>
      </c>
      <c r="D6660" t="inlineStr">
        <is>
          <t>VÄSTERNORRLANDS LÄN</t>
        </is>
      </c>
      <c r="E6660" t="inlineStr">
        <is>
          <t>SOLLEFTEÅ</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33591-2023</t>
        </is>
      </c>
      <c r="B6661" s="1" t="n">
        <v>45131</v>
      </c>
      <c r="C6661" s="1" t="n">
        <v>46185</v>
      </c>
      <c r="D6661" t="inlineStr">
        <is>
          <t>VÄSTERNORRLANDS LÄN</t>
        </is>
      </c>
      <c r="E6661" t="inlineStr">
        <is>
          <t>SOLLEFTEÅ</t>
        </is>
      </c>
      <c r="F6661" t="inlineStr">
        <is>
          <t>SCA</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47185-2023</t>
        </is>
      </c>
      <c r="B6662" s="1" t="n">
        <v>45201</v>
      </c>
      <c r="C6662" s="1" t="n">
        <v>46185</v>
      </c>
      <c r="D6662" t="inlineStr">
        <is>
          <t>VÄSTERNORRLANDS LÄN</t>
        </is>
      </c>
      <c r="E6662" t="inlineStr">
        <is>
          <t>SOLLEFTEÅ</t>
        </is>
      </c>
      <c r="F6662" t="inlineStr">
        <is>
          <t>SCA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49324-2023</t>
        </is>
      </c>
      <c r="B6663" s="1" t="n">
        <v>45210</v>
      </c>
      <c r="C6663" s="1" t="n">
        <v>46185</v>
      </c>
      <c r="D6663" t="inlineStr">
        <is>
          <t>VÄSTERNORRLANDS LÄN</t>
        </is>
      </c>
      <c r="E6663" t="inlineStr">
        <is>
          <t>SOLLEFTEÅ</t>
        </is>
      </c>
      <c r="F6663" t="inlineStr">
        <is>
          <t>SCA</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12437-2026</t>
        </is>
      </c>
      <c r="B6664" s="1" t="n">
        <v>46090.47096064815</v>
      </c>
      <c r="C6664" s="1" t="n">
        <v>46185</v>
      </c>
      <c r="D6664" t="inlineStr">
        <is>
          <t>VÄSTERNORRLANDS LÄN</t>
        </is>
      </c>
      <c r="E6664" t="inlineStr">
        <is>
          <t>ÅNGE</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12670-2026</t>
        </is>
      </c>
      <c r="B6665" s="1" t="n">
        <v>46091</v>
      </c>
      <c r="C6665" s="1" t="n">
        <v>46185</v>
      </c>
      <c r="D6665" t="inlineStr">
        <is>
          <t>VÄSTERNORRLANDS LÄN</t>
        </is>
      </c>
      <c r="E6665" t="inlineStr">
        <is>
          <t>ÅNGE</t>
        </is>
      </c>
      <c r="F6665" t="inlineStr">
        <is>
          <t>SCA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62065-2025</t>
        </is>
      </c>
      <c r="B6666" s="1" t="n">
        <v>46006.34474537037</v>
      </c>
      <c r="C6666" s="1" t="n">
        <v>46185</v>
      </c>
      <c r="D6666" t="inlineStr">
        <is>
          <t>VÄSTERNORRLANDS LÄN</t>
        </is>
      </c>
      <c r="E6666" t="inlineStr">
        <is>
          <t>SOLLEFTEÅ</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2601-2023</t>
        </is>
      </c>
      <c r="B6667" s="1" t="n">
        <v>44943</v>
      </c>
      <c r="C6667" s="1" t="n">
        <v>46185</v>
      </c>
      <c r="D6667" t="inlineStr">
        <is>
          <t>VÄSTERNORRLANDS LÄN</t>
        </is>
      </c>
      <c r="E6667" t="inlineStr">
        <is>
          <t>KRAMFORS</t>
        </is>
      </c>
      <c r="F6667" t="inlineStr">
        <is>
          <t>SCA</t>
        </is>
      </c>
      <c r="G6667" t="n">
        <v>44.5</v>
      </c>
      <c r="H6667" t="n">
        <v>0</v>
      </c>
      <c r="I6667" t="n">
        <v>0</v>
      </c>
      <c r="J6667" t="n">
        <v>0</v>
      </c>
      <c r="K6667" t="n">
        <v>0</v>
      </c>
      <c r="L6667" t="n">
        <v>0</v>
      </c>
      <c r="M6667" t="n">
        <v>0</v>
      </c>
      <c r="N6667" t="n">
        <v>0</v>
      </c>
      <c r="O6667" t="n">
        <v>0</v>
      </c>
      <c r="P6667" t="n">
        <v>0</v>
      </c>
      <c r="Q6667" t="n">
        <v>0</v>
      </c>
      <c r="R6667" s="2" t="inlineStr"/>
    </row>
    <row r="6668" ht="15" customHeight="1">
      <c r="A6668" t="inlineStr">
        <is>
          <t>A 37042-2021</t>
        </is>
      </c>
      <c r="B6668" s="1" t="n">
        <v>44393.93495370371</v>
      </c>
      <c r="C6668" s="1" t="n">
        <v>46185</v>
      </c>
      <c r="D6668" t="inlineStr">
        <is>
          <t>VÄSTERNORRLANDS LÄN</t>
        </is>
      </c>
      <c r="E6668" t="inlineStr">
        <is>
          <t>SOLLEFTEÅ</t>
        </is>
      </c>
      <c r="F6668" t="inlineStr">
        <is>
          <t>SCA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61953-2025</t>
        </is>
      </c>
      <c r="B6669" s="1" t="n">
        <v>46003.57358796296</v>
      </c>
      <c r="C6669" s="1" t="n">
        <v>46185</v>
      </c>
      <c r="D6669" t="inlineStr">
        <is>
          <t>VÄSTERNORRLANDS LÄN</t>
        </is>
      </c>
      <c r="E6669" t="inlineStr">
        <is>
          <t>SOLLEFTEÅ</t>
        </is>
      </c>
      <c r="F6669" t="inlineStr">
        <is>
          <t>SCA</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61980-2025</t>
        </is>
      </c>
      <c r="B6670" s="1" t="n">
        <v>46003.61520833334</v>
      </c>
      <c r="C6670" s="1" t="n">
        <v>46185</v>
      </c>
      <c r="D6670" t="inlineStr">
        <is>
          <t>VÄSTERNORRLANDS LÄN</t>
        </is>
      </c>
      <c r="E6670" t="inlineStr">
        <is>
          <t>SOLLEFTEÅ</t>
        </is>
      </c>
      <c r="F6670" t="inlineStr">
        <is>
          <t>SCA</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12630-2026</t>
        </is>
      </c>
      <c r="B6671" s="1" t="n">
        <v>46091.45033564815</v>
      </c>
      <c r="C6671" s="1" t="n">
        <v>46185</v>
      </c>
      <c r="D6671" t="inlineStr">
        <is>
          <t>VÄSTERNORRLANDS LÄN</t>
        </is>
      </c>
      <c r="E6671" t="inlineStr">
        <is>
          <t>HÄRNÖSAND</t>
        </is>
      </c>
      <c r="G6671" t="n">
        <v>9.9</v>
      </c>
      <c r="H6671" t="n">
        <v>0</v>
      </c>
      <c r="I6671" t="n">
        <v>0</v>
      </c>
      <c r="J6671" t="n">
        <v>0</v>
      </c>
      <c r="K6671" t="n">
        <v>0</v>
      </c>
      <c r="L6671" t="n">
        <v>0</v>
      </c>
      <c r="M6671" t="n">
        <v>0</v>
      </c>
      <c r="N6671" t="n">
        <v>0</v>
      </c>
      <c r="O6671" t="n">
        <v>0</v>
      </c>
      <c r="P6671" t="n">
        <v>0</v>
      </c>
      <c r="Q6671" t="n">
        <v>0</v>
      </c>
      <c r="R6671" s="2" t="inlineStr"/>
    </row>
    <row r="6672" ht="15" customHeight="1">
      <c r="A6672" t="inlineStr">
        <is>
          <t>A 62251-2025</t>
        </is>
      </c>
      <c r="B6672" s="1" t="n">
        <v>46006.60891203704</v>
      </c>
      <c r="C6672" s="1" t="n">
        <v>46185</v>
      </c>
      <c r="D6672" t="inlineStr">
        <is>
          <t>VÄSTERNORRLANDS LÄN</t>
        </is>
      </c>
      <c r="E6672" t="inlineStr">
        <is>
          <t>SUNDSVALL</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62136-2025</t>
        </is>
      </c>
      <c r="B6673" s="1" t="n">
        <v>46006.45936342593</v>
      </c>
      <c r="C6673" s="1" t="n">
        <v>46185</v>
      </c>
      <c r="D6673" t="inlineStr">
        <is>
          <t>VÄSTERNORRLANDS LÄN</t>
        </is>
      </c>
      <c r="E6673" t="inlineStr">
        <is>
          <t>ÖRNSKÖLDSVIK</t>
        </is>
      </c>
      <c r="F6673" t="inlineStr">
        <is>
          <t>Holmen skog AB</t>
        </is>
      </c>
      <c r="G6673" t="n">
        <v>7.7</v>
      </c>
      <c r="H6673" t="n">
        <v>0</v>
      </c>
      <c r="I6673" t="n">
        <v>0</v>
      </c>
      <c r="J6673" t="n">
        <v>0</v>
      </c>
      <c r="K6673" t="n">
        <v>0</v>
      </c>
      <c r="L6673" t="n">
        <v>0</v>
      </c>
      <c r="M6673" t="n">
        <v>0</v>
      </c>
      <c r="N6673" t="n">
        <v>0</v>
      </c>
      <c r="O6673" t="n">
        <v>0</v>
      </c>
      <c r="P6673" t="n">
        <v>0</v>
      </c>
      <c r="Q6673" t="n">
        <v>0</v>
      </c>
      <c r="R6673" s="2" t="inlineStr"/>
    </row>
    <row r="6674" ht="15" customHeight="1">
      <c r="A6674" t="inlineStr">
        <is>
          <t>A 12365-2026</t>
        </is>
      </c>
      <c r="B6674" s="1" t="n">
        <v>46089</v>
      </c>
      <c r="C6674" s="1" t="n">
        <v>46185</v>
      </c>
      <c r="D6674" t="inlineStr">
        <is>
          <t>VÄSTERNORRLANDS LÄN</t>
        </is>
      </c>
      <c r="E6674" t="inlineStr">
        <is>
          <t>SUNDSVALL</t>
        </is>
      </c>
      <c r="G6674" t="n">
        <v>7.3</v>
      </c>
      <c r="H6674" t="n">
        <v>0</v>
      </c>
      <c r="I6674" t="n">
        <v>0</v>
      </c>
      <c r="J6674" t="n">
        <v>0</v>
      </c>
      <c r="K6674" t="n">
        <v>0</v>
      </c>
      <c r="L6674" t="n">
        <v>0</v>
      </c>
      <c r="M6674" t="n">
        <v>0</v>
      </c>
      <c r="N6674" t="n">
        <v>0</v>
      </c>
      <c r="O6674" t="n">
        <v>0</v>
      </c>
      <c r="P6674" t="n">
        <v>0</v>
      </c>
      <c r="Q6674" t="n">
        <v>0</v>
      </c>
      <c r="R6674" s="2" t="inlineStr"/>
    </row>
    <row r="6675" ht="15" customHeight="1">
      <c r="A6675" t="inlineStr">
        <is>
          <t>A 62160-2025</t>
        </is>
      </c>
      <c r="B6675" s="1" t="n">
        <v>46006.49094907408</v>
      </c>
      <c r="C6675" s="1" t="n">
        <v>46185</v>
      </c>
      <c r="D6675" t="inlineStr">
        <is>
          <t>VÄSTERNORRLANDS LÄN</t>
        </is>
      </c>
      <c r="E6675" t="inlineStr">
        <is>
          <t>ÅNGE</t>
        </is>
      </c>
      <c r="F6675" t="inlineStr">
        <is>
          <t>SCA</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44410-2023</t>
        </is>
      </c>
      <c r="B6676" s="1" t="n">
        <v>45188.94677083333</v>
      </c>
      <c r="C6676" s="1" t="n">
        <v>46185</v>
      </c>
      <c r="D6676" t="inlineStr">
        <is>
          <t>VÄSTERNORRLANDS LÄN</t>
        </is>
      </c>
      <c r="E6676" t="inlineStr">
        <is>
          <t>SOLLEFTEÅ</t>
        </is>
      </c>
      <c r="F6676" t="inlineStr">
        <is>
          <t>SCA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61869-2025</t>
        </is>
      </c>
      <c r="B6677" s="1" t="n">
        <v>46003.39366898148</v>
      </c>
      <c r="C6677" s="1" t="n">
        <v>46185</v>
      </c>
      <c r="D6677" t="inlineStr">
        <is>
          <t>VÄSTERNORRLANDS LÄN</t>
        </is>
      </c>
      <c r="E6677" t="inlineStr">
        <is>
          <t>ÖRNSKÖLDSVIK</t>
        </is>
      </c>
      <c r="G6677" t="n">
        <v>10.9</v>
      </c>
      <c r="H6677" t="n">
        <v>0</v>
      </c>
      <c r="I6677" t="n">
        <v>0</v>
      </c>
      <c r="J6677" t="n">
        <v>0</v>
      </c>
      <c r="K6677" t="n">
        <v>0</v>
      </c>
      <c r="L6677" t="n">
        <v>0</v>
      </c>
      <c r="M6677" t="n">
        <v>0</v>
      </c>
      <c r="N6677" t="n">
        <v>0</v>
      </c>
      <c r="O6677" t="n">
        <v>0</v>
      </c>
      <c r="P6677" t="n">
        <v>0</v>
      </c>
      <c r="Q6677" t="n">
        <v>0</v>
      </c>
      <c r="R6677" s="2" t="inlineStr"/>
    </row>
    <row r="6678" ht="15" customHeight="1">
      <c r="A6678" t="inlineStr">
        <is>
          <t>A 61828-2025</t>
        </is>
      </c>
      <c r="B6678" s="1" t="n">
        <v>46003.34099537037</v>
      </c>
      <c r="C6678" s="1" t="n">
        <v>46185</v>
      </c>
      <c r="D6678" t="inlineStr">
        <is>
          <t>VÄSTERNORRLANDS LÄN</t>
        </is>
      </c>
      <c r="E6678" t="inlineStr">
        <is>
          <t>SUNDSVALL</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12762-2026</t>
        </is>
      </c>
      <c r="B6679" s="1" t="n">
        <v>46091.66050925926</v>
      </c>
      <c r="C6679" s="1" t="n">
        <v>46185</v>
      </c>
      <c r="D6679" t="inlineStr">
        <is>
          <t>VÄSTERNORRLANDS LÄN</t>
        </is>
      </c>
      <c r="E6679" t="inlineStr">
        <is>
          <t>SOLLEFTEÅ</t>
        </is>
      </c>
      <c r="F6679" t="inlineStr">
        <is>
          <t>SCA</t>
        </is>
      </c>
      <c r="G6679" t="n">
        <v>36.8</v>
      </c>
      <c r="H6679" t="n">
        <v>0</v>
      </c>
      <c r="I6679" t="n">
        <v>0</v>
      </c>
      <c r="J6679" t="n">
        <v>0</v>
      </c>
      <c r="K6679" t="n">
        <v>0</v>
      </c>
      <c r="L6679" t="n">
        <v>0</v>
      </c>
      <c r="M6679" t="n">
        <v>0</v>
      </c>
      <c r="N6679" t="n">
        <v>0</v>
      </c>
      <c r="O6679" t="n">
        <v>0</v>
      </c>
      <c r="P6679" t="n">
        <v>0</v>
      </c>
      <c r="Q6679" t="n">
        <v>0</v>
      </c>
      <c r="R6679" s="2" t="inlineStr"/>
    </row>
    <row r="6680" ht="15" customHeight="1">
      <c r="A6680" t="inlineStr">
        <is>
          <t>A 12412-2026</t>
        </is>
      </c>
      <c r="B6680" s="1" t="n">
        <v>46090.42895833333</v>
      </c>
      <c r="C6680" s="1" t="n">
        <v>46185</v>
      </c>
      <c r="D6680" t="inlineStr">
        <is>
          <t>VÄSTERNORRLANDS LÄN</t>
        </is>
      </c>
      <c r="E6680" t="inlineStr">
        <is>
          <t>ÅNGE</t>
        </is>
      </c>
      <c r="G6680" t="n">
        <v>7.1</v>
      </c>
      <c r="H6680" t="n">
        <v>0</v>
      </c>
      <c r="I6680" t="n">
        <v>0</v>
      </c>
      <c r="J6680" t="n">
        <v>0</v>
      </c>
      <c r="K6680" t="n">
        <v>0</v>
      </c>
      <c r="L6680" t="n">
        <v>0</v>
      </c>
      <c r="M6680" t="n">
        <v>0</v>
      </c>
      <c r="N6680" t="n">
        <v>0</v>
      </c>
      <c r="O6680" t="n">
        <v>0</v>
      </c>
      <c r="P6680" t="n">
        <v>0</v>
      </c>
      <c r="Q6680" t="n">
        <v>0</v>
      </c>
      <c r="R6680" s="2" t="inlineStr"/>
    </row>
    <row r="6681" ht="15" customHeight="1">
      <c r="A6681" t="inlineStr">
        <is>
          <t>A 62320-2025</t>
        </is>
      </c>
      <c r="B6681" s="1" t="n">
        <v>46006.69832175926</v>
      </c>
      <c r="C6681" s="1" t="n">
        <v>46185</v>
      </c>
      <c r="D6681" t="inlineStr">
        <is>
          <t>VÄSTERNORRLANDS LÄN</t>
        </is>
      </c>
      <c r="E6681" t="inlineStr">
        <is>
          <t>SUNDSVALL</t>
        </is>
      </c>
      <c r="F6681" t="inlineStr">
        <is>
          <t>SCA</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12442-2026</t>
        </is>
      </c>
      <c r="B6682" s="1" t="n">
        <v>46090.47835648148</v>
      </c>
      <c r="C6682" s="1" t="n">
        <v>46185</v>
      </c>
      <c r="D6682" t="inlineStr">
        <is>
          <t>VÄSTERNORRLANDS LÄN</t>
        </is>
      </c>
      <c r="E6682" t="inlineStr">
        <is>
          <t>ÖRNSKÖLDSVIK</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61967-2025</t>
        </is>
      </c>
      <c r="B6683" s="1" t="n">
        <v>46003.59440972222</v>
      </c>
      <c r="C6683" s="1" t="n">
        <v>46185</v>
      </c>
      <c r="D6683" t="inlineStr">
        <is>
          <t>VÄSTERNORRLANDS LÄN</t>
        </is>
      </c>
      <c r="E6683" t="inlineStr">
        <is>
          <t>SOLLEFTEÅ</t>
        </is>
      </c>
      <c r="F6683" t="inlineStr">
        <is>
          <t>SCA</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61983-2025</t>
        </is>
      </c>
      <c r="B6684" s="1" t="n">
        <v>46003</v>
      </c>
      <c r="C6684" s="1" t="n">
        <v>46185</v>
      </c>
      <c r="D6684" t="inlineStr">
        <is>
          <t>VÄSTERNORRLANDS LÄN</t>
        </is>
      </c>
      <c r="E6684" t="inlineStr">
        <is>
          <t>SUNDSVALL</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62307-2025</t>
        </is>
      </c>
      <c r="B6685" s="1" t="n">
        <v>46006.66931712963</v>
      </c>
      <c r="C6685" s="1" t="n">
        <v>46185</v>
      </c>
      <c r="D6685" t="inlineStr">
        <is>
          <t>VÄSTERNORRLANDS LÄN</t>
        </is>
      </c>
      <c r="E6685" t="inlineStr">
        <is>
          <t>TIMRÅ</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12755-2026</t>
        </is>
      </c>
      <c r="B6686" s="1" t="n">
        <v>46091</v>
      </c>
      <c r="C6686" s="1" t="n">
        <v>46185</v>
      </c>
      <c r="D6686" t="inlineStr">
        <is>
          <t>VÄSTERNORRLANDS LÄN</t>
        </is>
      </c>
      <c r="E6686" t="inlineStr">
        <is>
          <t>ÅNGE</t>
        </is>
      </c>
      <c r="F6686" t="inlineStr">
        <is>
          <t>SCA</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12500-2026</t>
        </is>
      </c>
      <c r="B6687" s="1" t="n">
        <v>46090.57438657407</v>
      </c>
      <c r="C6687" s="1" t="n">
        <v>46185</v>
      </c>
      <c r="D6687" t="inlineStr">
        <is>
          <t>VÄSTERNORRLANDS LÄN</t>
        </is>
      </c>
      <c r="E6687" t="inlineStr">
        <is>
          <t>ÖRNSKÖLDSVIK</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62069-2025</t>
        </is>
      </c>
      <c r="B6688" s="1" t="n">
        <v>46006.36047453704</v>
      </c>
      <c r="C6688" s="1" t="n">
        <v>46185</v>
      </c>
      <c r="D6688" t="inlineStr">
        <is>
          <t>VÄSTERNORRLANDS LÄN</t>
        </is>
      </c>
      <c r="E6688" t="inlineStr">
        <is>
          <t>ÖRNSKÖLDSVIK</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62101-2025</t>
        </is>
      </c>
      <c r="B6689" s="1" t="n">
        <v>46006.40664351852</v>
      </c>
      <c r="C6689" s="1" t="n">
        <v>46185</v>
      </c>
      <c r="D6689" t="inlineStr">
        <is>
          <t>VÄSTERNORRLANDS LÄN</t>
        </is>
      </c>
      <c r="E6689" t="inlineStr">
        <is>
          <t>ÅNGE</t>
        </is>
      </c>
      <c r="F6689" t="inlineStr">
        <is>
          <t>SCA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12651-2026</t>
        </is>
      </c>
      <c r="B6690" s="1" t="n">
        <v>46091</v>
      </c>
      <c r="C6690" s="1" t="n">
        <v>46185</v>
      </c>
      <c r="D6690" t="inlineStr">
        <is>
          <t>VÄSTERNORRLANDS LÄN</t>
        </is>
      </c>
      <c r="E6690" t="inlineStr">
        <is>
          <t>TIMRÅ</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47580-2022</t>
        </is>
      </c>
      <c r="B6691" s="1" t="n">
        <v>44853.95252314815</v>
      </c>
      <c r="C6691" s="1" t="n">
        <v>46185</v>
      </c>
      <c r="D6691" t="inlineStr">
        <is>
          <t>VÄSTERNORRLANDS LÄN</t>
        </is>
      </c>
      <c r="E6691" t="inlineStr">
        <is>
          <t>SOLLEFTEÅ</t>
        </is>
      </c>
      <c r="F6691" t="inlineStr">
        <is>
          <t>SCA</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62181-2025</t>
        </is>
      </c>
      <c r="B6692" s="1" t="n">
        <v>46006.53164351852</v>
      </c>
      <c r="C6692" s="1" t="n">
        <v>46185</v>
      </c>
      <c r="D6692" t="inlineStr">
        <is>
          <t>VÄSTERNORRLANDS LÄN</t>
        </is>
      </c>
      <c r="E6692" t="inlineStr">
        <is>
          <t>SOLLEFTEÅ</t>
        </is>
      </c>
      <c r="F6692" t="inlineStr">
        <is>
          <t>SCA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62257-2025</t>
        </is>
      </c>
      <c r="B6693" s="1" t="n">
        <v>46006.61524305555</v>
      </c>
      <c r="C6693" s="1" t="n">
        <v>46185</v>
      </c>
      <c r="D6693" t="inlineStr">
        <is>
          <t>VÄSTERNORRLANDS LÄN</t>
        </is>
      </c>
      <c r="E6693" t="inlineStr">
        <is>
          <t>ÅNGE</t>
        </is>
      </c>
      <c r="F6693" t="inlineStr">
        <is>
          <t>SCA</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12633-2026</t>
        </is>
      </c>
      <c r="B6694" s="1" t="n">
        <v>46091.45716435185</v>
      </c>
      <c r="C6694" s="1" t="n">
        <v>46185</v>
      </c>
      <c r="D6694" t="inlineStr">
        <is>
          <t>VÄSTERNORRLANDS LÄN</t>
        </is>
      </c>
      <c r="E6694" t="inlineStr">
        <is>
          <t>TIMRÅ</t>
        </is>
      </c>
      <c r="G6694" t="n">
        <v>7.6</v>
      </c>
      <c r="H6694" t="n">
        <v>0</v>
      </c>
      <c r="I6694" t="n">
        <v>0</v>
      </c>
      <c r="J6694" t="n">
        <v>0</v>
      </c>
      <c r="K6694" t="n">
        <v>0</v>
      </c>
      <c r="L6694" t="n">
        <v>0</v>
      </c>
      <c r="M6694" t="n">
        <v>0</v>
      </c>
      <c r="N6694" t="n">
        <v>0</v>
      </c>
      <c r="O6694" t="n">
        <v>0</v>
      </c>
      <c r="P6694" t="n">
        <v>0</v>
      </c>
      <c r="Q6694" t="n">
        <v>0</v>
      </c>
      <c r="R6694" s="2" t="inlineStr"/>
    </row>
    <row r="6695" ht="15" customHeight="1">
      <c r="A6695" t="inlineStr">
        <is>
          <t>A 12637-2026</t>
        </is>
      </c>
      <c r="B6695" s="1" t="n">
        <v>46091.46262731482</v>
      </c>
      <c r="C6695" s="1" t="n">
        <v>46185</v>
      </c>
      <c r="D6695" t="inlineStr">
        <is>
          <t>VÄSTERNORRLANDS LÄN</t>
        </is>
      </c>
      <c r="E6695" t="inlineStr">
        <is>
          <t>HÄRNÖSAND</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12640-2026</t>
        </is>
      </c>
      <c r="B6696" s="1" t="n">
        <v>46091.4641550926</v>
      </c>
      <c r="C6696" s="1" t="n">
        <v>46185</v>
      </c>
      <c r="D6696" t="inlineStr">
        <is>
          <t>VÄSTERNORRLANDS LÄN</t>
        </is>
      </c>
      <c r="E6696" t="inlineStr">
        <is>
          <t>TIMRÅ</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12613-2026</t>
        </is>
      </c>
      <c r="B6697" s="1" t="n">
        <v>46091.40384259259</v>
      </c>
      <c r="C6697" s="1" t="n">
        <v>46185</v>
      </c>
      <c r="D6697" t="inlineStr">
        <is>
          <t>VÄSTERNORRLANDS LÄN</t>
        </is>
      </c>
      <c r="E6697" t="inlineStr">
        <is>
          <t>HÄRNÖSAND</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12623-2026</t>
        </is>
      </c>
      <c r="B6698" s="1" t="n">
        <v>46091.43540509259</v>
      </c>
      <c r="C6698" s="1" t="n">
        <v>46185</v>
      </c>
      <c r="D6698" t="inlineStr">
        <is>
          <t>VÄSTERNORRLANDS LÄN</t>
        </is>
      </c>
      <c r="E6698" t="inlineStr">
        <is>
          <t>HÄRNÖSAND</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12746-2026</t>
        </is>
      </c>
      <c r="B6699" s="1" t="n">
        <v>46091</v>
      </c>
      <c r="C6699" s="1" t="n">
        <v>46185</v>
      </c>
      <c r="D6699" t="inlineStr">
        <is>
          <t>VÄSTERNORRLANDS LÄN</t>
        </is>
      </c>
      <c r="E6699" t="inlineStr">
        <is>
          <t>ÅNGE</t>
        </is>
      </c>
      <c r="F6699" t="inlineStr">
        <is>
          <t>SCA</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62255-2025</t>
        </is>
      </c>
      <c r="B6700" s="1" t="n">
        <v>46006.61098379629</v>
      </c>
      <c r="C6700" s="1" t="n">
        <v>46185</v>
      </c>
      <c r="D6700" t="inlineStr">
        <is>
          <t>VÄSTERNORRLANDS LÄN</t>
        </is>
      </c>
      <c r="E6700" t="inlineStr">
        <is>
          <t>SUNDSVALL</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62258-2025</t>
        </is>
      </c>
      <c r="B6701" s="1" t="n">
        <v>46006.61533564814</v>
      </c>
      <c r="C6701" s="1" t="n">
        <v>46185</v>
      </c>
      <c r="D6701" t="inlineStr">
        <is>
          <t>VÄSTERNORRLANDS LÄN</t>
        </is>
      </c>
      <c r="E6701" t="inlineStr">
        <is>
          <t>SUNDSVALL</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62308-2025</t>
        </is>
      </c>
      <c r="B6702" s="1" t="n">
        <v>46006.67209490741</v>
      </c>
      <c r="C6702" s="1" t="n">
        <v>46185</v>
      </c>
      <c r="D6702" t="inlineStr">
        <is>
          <t>VÄSTERNORRLANDS LÄN</t>
        </is>
      </c>
      <c r="E6702" t="inlineStr">
        <is>
          <t>ÖRNSKÖLDSVIK</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34629-2025</t>
        </is>
      </c>
      <c r="B6703" s="1" t="n">
        <v>45847.93006944445</v>
      </c>
      <c r="C6703" s="1" t="n">
        <v>46185</v>
      </c>
      <c r="D6703" t="inlineStr">
        <is>
          <t>VÄSTERNORRLANDS LÄN</t>
        </is>
      </c>
      <c r="E6703" t="inlineStr">
        <is>
          <t>ÅNGE</t>
        </is>
      </c>
      <c r="G6703" t="n">
        <v>0.2</v>
      </c>
      <c r="H6703" t="n">
        <v>0</v>
      </c>
      <c r="I6703" t="n">
        <v>0</v>
      </c>
      <c r="J6703" t="n">
        <v>0</v>
      </c>
      <c r="K6703" t="n">
        <v>0</v>
      </c>
      <c r="L6703" t="n">
        <v>0</v>
      </c>
      <c r="M6703" t="n">
        <v>0</v>
      </c>
      <c r="N6703" t="n">
        <v>0</v>
      </c>
      <c r="O6703" t="n">
        <v>0</v>
      </c>
      <c r="P6703" t="n">
        <v>0</v>
      </c>
      <c r="Q6703" t="n">
        <v>0</v>
      </c>
      <c r="R6703" s="2" t="inlineStr"/>
    </row>
    <row r="6704" ht="15" customHeight="1">
      <c r="A6704" t="inlineStr">
        <is>
          <t>A 62195-2025</t>
        </is>
      </c>
      <c r="B6704" s="1" t="n">
        <v>46006.55266203704</v>
      </c>
      <c r="C6704" s="1" t="n">
        <v>46185</v>
      </c>
      <c r="D6704" t="inlineStr">
        <is>
          <t>VÄSTERNORRLANDS LÄN</t>
        </is>
      </c>
      <c r="E6704" t="inlineStr">
        <is>
          <t>SOLLEFTEÅ</t>
        </is>
      </c>
      <c r="F6704" t="inlineStr">
        <is>
          <t>SCA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62217-2025</t>
        </is>
      </c>
      <c r="B6705" s="1" t="n">
        <v>46006.57925925926</v>
      </c>
      <c r="C6705" s="1" t="n">
        <v>46185</v>
      </c>
      <c r="D6705" t="inlineStr">
        <is>
          <t>VÄSTERNORRLANDS LÄN</t>
        </is>
      </c>
      <c r="E6705" t="inlineStr">
        <is>
          <t>TIMRÅ</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12540-2026</t>
        </is>
      </c>
      <c r="B6706" s="1" t="n">
        <v>46090</v>
      </c>
      <c r="C6706" s="1" t="n">
        <v>46185</v>
      </c>
      <c r="D6706" t="inlineStr">
        <is>
          <t>VÄSTERNORRLANDS LÄN</t>
        </is>
      </c>
      <c r="E6706" t="inlineStr">
        <is>
          <t>SUNDSVALL</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12750-2026</t>
        </is>
      </c>
      <c r="B6707" s="1" t="n">
        <v>46091</v>
      </c>
      <c r="C6707" s="1" t="n">
        <v>46185</v>
      </c>
      <c r="D6707" t="inlineStr">
        <is>
          <t>VÄSTERNORRLANDS LÄN</t>
        </is>
      </c>
      <c r="E6707" t="inlineStr">
        <is>
          <t>ÅNGE</t>
        </is>
      </c>
      <c r="F6707" t="inlineStr">
        <is>
          <t>SCA</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62281-2025</t>
        </is>
      </c>
      <c r="B6708" s="1" t="n">
        <v>46006.63652777778</v>
      </c>
      <c r="C6708" s="1" t="n">
        <v>46185</v>
      </c>
      <c r="D6708" t="inlineStr">
        <is>
          <t>VÄSTERNORRLANDS LÄN</t>
        </is>
      </c>
      <c r="E6708" t="inlineStr">
        <is>
          <t>SOLLEFTEÅ</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15368-2024</t>
        </is>
      </c>
      <c r="B6709" s="1" t="n">
        <v>45400.92284722222</v>
      </c>
      <c r="C6709" s="1" t="n">
        <v>46185</v>
      </c>
      <c r="D6709" t="inlineStr">
        <is>
          <t>VÄSTERNORRLANDS LÄN</t>
        </is>
      </c>
      <c r="E6709" t="inlineStr">
        <is>
          <t>ÅNGE</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12837-2026</t>
        </is>
      </c>
      <c r="B6710" s="1" t="n">
        <v>46092.42834490741</v>
      </c>
      <c r="C6710" s="1" t="n">
        <v>46185</v>
      </c>
      <c r="D6710" t="inlineStr">
        <is>
          <t>VÄSTERNORRLANDS LÄN</t>
        </is>
      </c>
      <c r="E6710" t="inlineStr">
        <is>
          <t>SOLLEFTEÅ</t>
        </is>
      </c>
      <c r="F6710" t="inlineStr">
        <is>
          <t>SCA</t>
        </is>
      </c>
      <c r="G6710" t="n">
        <v>5.3</v>
      </c>
      <c r="H6710" t="n">
        <v>0</v>
      </c>
      <c r="I6710" t="n">
        <v>0</v>
      </c>
      <c r="J6710" t="n">
        <v>0</v>
      </c>
      <c r="K6710" t="n">
        <v>0</v>
      </c>
      <c r="L6710" t="n">
        <v>0</v>
      </c>
      <c r="M6710" t="n">
        <v>0</v>
      </c>
      <c r="N6710" t="n">
        <v>0</v>
      </c>
      <c r="O6710" t="n">
        <v>0</v>
      </c>
      <c r="P6710" t="n">
        <v>0</v>
      </c>
      <c r="Q6710" t="n">
        <v>0</v>
      </c>
      <c r="R6710" s="2" t="inlineStr"/>
    </row>
    <row r="6711" ht="15" customHeight="1">
      <c r="A6711" t="inlineStr">
        <is>
          <t>A 13144-2026</t>
        </is>
      </c>
      <c r="B6711" s="1" t="n">
        <v>46093.5115625</v>
      </c>
      <c r="C6711" s="1" t="n">
        <v>46185</v>
      </c>
      <c r="D6711" t="inlineStr">
        <is>
          <t>VÄSTERNORRLANDS LÄN</t>
        </is>
      </c>
      <c r="E6711" t="inlineStr">
        <is>
          <t>ÅNGE</t>
        </is>
      </c>
      <c r="F6711" t="inlineStr">
        <is>
          <t>SCA</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61829-2025</t>
        </is>
      </c>
      <c r="B6712" s="1" t="n">
        <v>46003.34233796296</v>
      </c>
      <c r="C6712" s="1" t="n">
        <v>46185</v>
      </c>
      <c r="D6712" t="inlineStr">
        <is>
          <t>VÄSTERNORRLANDS LÄN</t>
        </is>
      </c>
      <c r="E6712" t="inlineStr">
        <is>
          <t>SUNDSVALL</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61857-2025</t>
        </is>
      </c>
      <c r="B6713" s="1" t="n">
        <v>46003.3862962963</v>
      </c>
      <c r="C6713" s="1" t="n">
        <v>46185</v>
      </c>
      <c r="D6713" t="inlineStr">
        <is>
          <t>VÄSTERNORRLANDS LÄN</t>
        </is>
      </c>
      <c r="E6713" t="inlineStr">
        <is>
          <t>ÅNGE</t>
        </is>
      </c>
      <c r="F6713" t="inlineStr">
        <is>
          <t>SCA</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13190-2026</t>
        </is>
      </c>
      <c r="B6714" s="1" t="n">
        <v>46093</v>
      </c>
      <c r="C6714" s="1" t="n">
        <v>46185</v>
      </c>
      <c r="D6714" t="inlineStr">
        <is>
          <t>VÄSTERNORRLANDS LÄN</t>
        </is>
      </c>
      <c r="E6714" t="inlineStr">
        <is>
          <t>SUNDSVALL</t>
        </is>
      </c>
      <c r="F6714" t="inlineStr">
        <is>
          <t>SCA</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51999-2022</t>
        </is>
      </c>
      <c r="B6715" s="1" t="n">
        <v>44872</v>
      </c>
      <c r="C6715" s="1" t="n">
        <v>46185</v>
      </c>
      <c r="D6715" t="inlineStr">
        <is>
          <t>VÄSTERNORRLANDS LÄN</t>
        </is>
      </c>
      <c r="E6715" t="inlineStr">
        <is>
          <t>TIMRÅ</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61887-2025</t>
        </is>
      </c>
      <c r="B6716" s="1" t="n">
        <v>46003.43712962963</v>
      </c>
      <c r="C6716" s="1" t="n">
        <v>46185</v>
      </c>
      <c r="D6716" t="inlineStr">
        <is>
          <t>VÄSTERNORRLANDS LÄN</t>
        </is>
      </c>
      <c r="E6716" t="inlineStr">
        <is>
          <t>SUNDSVALL</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61920-2025</t>
        </is>
      </c>
      <c r="B6717" s="1" t="n">
        <v>46003.51108796296</v>
      </c>
      <c r="C6717" s="1" t="n">
        <v>46185</v>
      </c>
      <c r="D6717" t="inlineStr">
        <is>
          <t>VÄSTERNORRLANDS LÄN</t>
        </is>
      </c>
      <c r="E6717" t="inlineStr">
        <is>
          <t>SOLLEFTEÅ</t>
        </is>
      </c>
      <c r="F6717" t="inlineStr">
        <is>
          <t>SCA</t>
        </is>
      </c>
      <c r="G6717" t="n">
        <v>7.5</v>
      </c>
      <c r="H6717" t="n">
        <v>0</v>
      </c>
      <c r="I6717" t="n">
        <v>0</v>
      </c>
      <c r="J6717" t="n">
        <v>0</v>
      </c>
      <c r="K6717" t="n">
        <v>0</v>
      </c>
      <c r="L6717" t="n">
        <v>0</v>
      </c>
      <c r="M6717" t="n">
        <v>0</v>
      </c>
      <c r="N6717" t="n">
        <v>0</v>
      </c>
      <c r="O6717" t="n">
        <v>0</v>
      </c>
      <c r="P6717" t="n">
        <v>0</v>
      </c>
      <c r="Q6717" t="n">
        <v>0</v>
      </c>
      <c r="R6717" s="2" t="inlineStr"/>
    </row>
    <row r="6718" ht="15" customHeight="1">
      <c r="A6718" t="inlineStr">
        <is>
          <t>A 61943-2025</t>
        </is>
      </c>
      <c r="B6718" s="1" t="n">
        <v>46003</v>
      </c>
      <c r="C6718" s="1" t="n">
        <v>46185</v>
      </c>
      <c r="D6718" t="inlineStr">
        <is>
          <t>VÄSTERNORRLANDS LÄN</t>
        </is>
      </c>
      <c r="E6718" t="inlineStr">
        <is>
          <t>ÖRNSKÖLDSVIK</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12973-2026</t>
        </is>
      </c>
      <c r="B6719" s="1" t="n">
        <v>46092.65726851852</v>
      </c>
      <c r="C6719" s="1" t="n">
        <v>46185</v>
      </c>
      <c r="D6719" t="inlineStr">
        <is>
          <t>VÄSTERNORRLANDS LÄN</t>
        </is>
      </c>
      <c r="E6719" t="inlineStr">
        <is>
          <t>TIMRÅ</t>
        </is>
      </c>
      <c r="F6719" t="inlineStr">
        <is>
          <t>SCA</t>
        </is>
      </c>
      <c r="G6719" t="n">
        <v>0.3</v>
      </c>
      <c r="H6719" t="n">
        <v>0</v>
      </c>
      <c r="I6719" t="n">
        <v>0</v>
      </c>
      <c r="J6719" t="n">
        <v>0</v>
      </c>
      <c r="K6719" t="n">
        <v>0</v>
      </c>
      <c r="L6719" t="n">
        <v>0</v>
      </c>
      <c r="M6719" t="n">
        <v>0</v>
      </c>
      <c r="N6719" t="n">
        <v>0</v>
      </c>
      <c r="O6719" t="n">
        <v>0</v>
      </c>
      <c r="P6719" t="n">
        <v>0</v>
      </c>
      <c r="Q6719" t="n">
        <v>0</v>
      </c>
      <c r="R6719" s="2" t="inlineStr"/>
    </row>
    <row r="6720" ht="15" customHeight="1">
      <c r="A6720" t="inlineStr">
        <is>
          <t>A 12975-2026</t>
        </is>
      </c>
      <c r="B6720" s="1" t="n">
        <v>46092.65744212963</v>
      </c>
      <c r="C6720" s="1" t="n">
        <v>46185</v>
      </c>
      <c r="D6720" t="inlineStr">
        <is>
          <t>VÄSTERNORRLANDS LÄN</t>
        </is>
      </c>
      <c r="E6720" t="inlineStr">
        <is>
          <t>TIMRÅ</t>
        </is>
      </c>
      <c r="F6720" t="inlineStr">
        <is>
          <t>SCA</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13141-2026</t>
        </is>
      </c>
      <c r="B6721" s="1" t="n">
        <v>46093.51096064815</v>
      </c>
      <c r="C6721" s="1" t="n">
        <v>46185</v>
      </c>
      <c r="D6721" t="inlineStr">
        <is>
          <t>VÄSTERNORRLANDS LÄN</t>
        </is>
      </c>
      <c r="E6721" t="inlineStr">
        <is>
          <t>SUNDSVALL</t>
        </is>
      </c>
      <c r="F6721" t="inlineStr">
        <is>
          <t>SCA</t>
        </is>
      </c>
      <c r="G6721" t="n">
        <v>13.6</v>
      </c>
      <c r="H6721" t="n">
        <v>0</v>
      </c>
      <c r="I6721" t="n">
        <v>0</v>
      </c>
      <c r="J6721" t="n">
        <v>0</v>
      </c>
      <c r="K6721" t="n">
        <v>0</v>
      </c>
      <c r="L6721" t="n">
        <v>0</v>
      </c>
      <c r="M6721" t="n">
        <v>0</v>
      </c>
      <c r="N6721" t="n">
        <v>0</v>
      </c>
      <c r="O6721" t="n">
        <v>0</v>
      </c>
      <c r="P6721" t="n">
        <v>0</v>
      </c>
      <c r="Q6721" t="n">
        <v>0</v>
      </c>
      <c r="R6721" s="2" t="inlineStr"/>
    </row>
    <row r="6722" ht="15" customHeight="1">
      <c r="A6722" t="inlineStr">
        <is>
          <t>A 13183-2026</t>
        </is>
      </c>
      <c r="B6722" s="1" t="n">
        <v>46093.59131944444</v>
      </c>
      <c r="C6722" s="1" t="n">
        <v>46185</v>
      </c>
      <c r="D6722" t="inlineStr">
        <is>
          <t>VÄSTERNORRLANDS LÄN</t>
        </is>
      </c>
      <c r="E6722" t="inlineStr">
        <is>
          <t>ÖRNSKÖLDSVIK</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62657-2025</t>
        </is>
      </c>
      <c r="B6723" s="1" t="n">
        <v>46008</v>
      </c>
      <c r="C6723" s="1" t="n">
        <v>46185</v>
      </c>
      <c r="D6723" t="inlineStr">
        <is>
          <t>VÄSTERNORRLANDS LÄN</t>
        </is>
      </c>
      <c r="E6723" t="inlineStr">
        <is>
          <t>SUNDSVALL</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62661-2025</t>
        </is>
      </c>
      <c r="B6724" s="1" t="n">
        <v>46008.42761574074</v>
      </c>
      <c r="C6724" s="1" t="n">
        <v>46185</v>
      </c>
      <c r="D6724" t="inlineStr">
        <is>
          <t>VÄSTERNORRLANDS LÄN</t>
        </is>
      </c>
      <c r="E6724" t="inlineStr">
        <is>
          <t>ÅNGE</t>
        </is>
      </c>
      <c r="F6724" t="inlineStr">
        <is>
          <t>SCA</t>
        </is>
      </c>
      <c r="G6724" t="n">
        <v>6</v>
      </c>
      <c r="H6724" t="n">
        <v>0</v>
      </c>
      <c r="I6724" t="n">
        <v>0</v>
      </c>
      <c r="J6724" t="n">
        <v>0</v>
      </c>
      <c r="K6724" t="n">
        <v>0</v>
      </c>
      <c r="L6724" t="n">
        <v>0</v>
      </c>
      <c r="M6724" t="n">
        <v>0</v>
      </c>
      <c r="N6724" t="n">
        <v>0</v>
      </c>
      <c r="O6724" t="n">
        <v>0</v>
      </c>
      <c r="P6724" t="n">
        <v>0</v>
      </c>
      <c r="Q6724" t="n">
        <v>0</v>
      </c>
      <c r="R6724" s="2" t="inlineStr"/>
    </row>
    <row r="6725" ht="15" customHeight="1">
      <c r="A6725" t="inlineStr">
        <is>
          <t>A 13251-2026</t>
        </is>
      </c>
      <c r="B6725" s="1" t="n">
        <v>46093.65733796296</v>
      </c>
      <c r="C6725" s="1" t="n">
        <v>46185</v>
      </c>
      <c r="D6725" t="inlineStr">
        <is>
          <t>VÄSTERNORRLANDS LÄN</t>
        </is>
      </c>
      <c r="E6725" t="inlineStr">
        <is>
          <t>SOLLEFTEÅ</t>
        </is>
      </c>
      <c r="F6725" t="inlineStr">
        <is>
          <t>SCA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13187-2026</t>
        </is>
      </c>
      <c r="B6726" s="1" t="n">
        <v>46093.59449074074</v>
      </c>
      <c r="C6726" s="1" t="n">
        <v>46185</v>
      </c>
      <c r="D6726" t="inlineStr">
        <is>
          <t>VÄSTERNORRLANDS LÄN</t>
        </is>
      </c>
      <c r="E6726" t="inlineStr">
        <is>
          <t>SUNDSVALL</t>
        </is>
      </c>
      <c r="F6726" t="inlineStr">
        <is>
          <t>SCA</t>
        </is>
      </c>
      <c r="G6726" t="n">
        <v>7</v>
      </c>
      <c r="H6726" t="n">
        <v>0</v>
      </c>
      <c r="I6726" t="n">
        <v>0</v>
      </c>
      <c r="J6726" t="n">
        <v>0</v>
      </c>
      <c r="K6726" t="n">
        <v>0</v>
      </c>
      <c r="L6726" t="n">
        <v>0</v>
      </c>
      <c r="M6726" t="n">
        <v>0</v>
      </c>
      <c r="N6726" t="n">
        <v>0</v>
      </c>
      <c r="O6726" t="n">
        <v>0</v>
      </c>
      <c r="P6726" t="n">
        <v>0</v>
      </c>
      <c r="Q6726" t="n">
        <v>0</v>
      </c>
      <c r="R6726" s="2" t="inlineStr"/>
    </row>
    <row r="6727" ht="15" customHeight="1">
      <c r="A6727" t="inlineStr">
        <is>
          <t>A 13110-2026</t>
        </is>
      </c>
      <c r="B6727" s="1" t="n">
        <v>46093.4278125</v>
      </c>
      <c r="C6727" s="1" t="n">
        <v>46185</v>
      </c>
      <c r="D6727" t="inlineStr">
        <is>
          <t>VÄSTERNORRLANDS LÄN</t>
        </is>
      </c>
      <c r="E6727" t="inlineStr">
        <is>
          <t>ÅNGE</t>
        </is>
      </c>
      <c r="F6727" t="inlineStr">
        <is>
          <t>SCA</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770-2025</t>
        </is>
      </c>
      <c r="B6728" s="1" t="n">
        <v>45665</v>
      </c>
      <c r="C6728" s="1" t="n">
        <v>46185</v>
      </c>
      <c r="D6728" t="inlineStr">
        <is>
          <t>VÄSTERNORRLANDS LÄN</t>
        </is>
      </c>
      <c r="E6728" t="inlineStr">
        <is>
          <t>KRAMFORS</t>
        </is>
      </c>
      <c r="G6728" t="n">
        <v>21.6</v>
      </c>
      <c r="H6728" t="n">
        <v>0</v>
      </c>
      <c r="I6728" t="n">
        <v>0</v>
      </c>
      <c r="J6728" t="n">
        <v>0</v>
      </c>
      <c r="K6728" t="n">
        <v>0</v>
      </c>
      <c r="L6728" t="n">
        <v>0</v>
      </c>
      <c r="M6728" t="n">
        <v>0</v>
      </c>
      <c r="N6728" t="n">
        <v>0</v>
      </c>
      <c r="O6728" t="n">
        <v>0</v>
      </c>
      <c r="P6728" t="n">
        <v>0</v>
      </c>
      <c r="Q6728" t="n">
        <v>0</v>
      </c>
      <c r="R6728" s="2" t="inlineStr"/>
    </row>
    <row r="6729" ht="15" customHeight="1">
      <c r="A6729" t="inlineStr">
        <is>
          <t>A 56252-2024</t>
        </is>
      </c>
      <c r="B6729" s="1" t="n">
        <v>45624</v>
      </c>
      <c r="C6729" s="1" t="n">
        <v>46185</v>
      </c>
      <c r="D6729" t="inlineStr">
        <is>
          <t>VÄSTERNORRLANDS LÄN</t>
        </is>
      </c>
      <c r="E6729" t="inlineStr">
        <is>
          <t>SOLLEFTEÅ</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17767-2025</t>
        </is>
      </c>
      <c r="B6730" s="1" t="n">
        <v>45758</v>
      </c>
      <c r="C6730" s="1" t="n">
        <v>46185</v>
      </c>
      <c r="D6730" t="inlineStr">
        <is>
          <t>VÄSTERNORRLANDS LÄN</t>
        </is>
      </c>
      <c r="E6730" t="inlineStr">
        <is>
          <t>SUNDSVALL</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62585-2025</t>
        </is>
      </c>
      <c r="B6731" s="1" t="n">
        <v>46007.84189814814</v>
      </c>
      <c r="C6731" s="1" t="n">
        <v>46185</v>
      </c>
      <c r="D6731" t="inlineStr">
        <is>
          <t>VÄSTERNORRLANDS LÄN</t>
        </is>
      </c>
      <c r="E6731" t="inlineStr">
        <is>
          <t>SOLLEFTEÅ</t>
        </is>
      </c>
      <c r="G6731" t="n">
        <v>7.1</v>
      </c>
      <c r="H6731" t="n">
        <v>0</v>
      </c>
      <c r="I6731" t="n">
        <v>0</v>
      </c>
      <c r="J6731" t="n">
        <v>0</v>
      </c>
      <c r="K6731" t="n">
        <v>0</v>
      </c>
      <c r="L6731" t="n">
        <v>0</v>
      </c>
      <c r="M6731" t="n">
        <v>0</v>
      </c>
      <c r="N6731" t="n">
        <v>0</v>
      </c>
      <c r="O6731" t="n">
        <v>0</v>
      </c>
      <c r="P6731" t="n">
        <v>0</v>
      </c>
      <c r="Q6731" t="n">
        <v>0</v>
      </c>
      <c r="R6731" s="2" t="inlineStr"/>
    </row>
    <row r="6732" ht="15" customHeight="1">
      <c r="A6732" t="inlineStr">
        <is>
          <t>A 62771-2025</t>
        </is>
      </c>
      <c r="B6732" s="1" t="n">
        <v>46008.60146990741</v>
      </c>
      <c r="C6732" s="1" t="n">
        <v>46185</v>
      </c>
      <c r="D6732" t="inlineStr">
        <is>
          <t>VÄSTERNORRLANDS LÄN</t>
        </is>
      </c>
      <c r="E6732" t="inlineStr">
        <is>
          <t>ÖRNSKÖLDSVIK</t>
        </is>
      </c>
      <c r="F6732" t="inlineStr">
        <is>
          <t>Holmen skog AB</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62793-2025</t>
        </is>
      </c>
      <c r="B6733" s="1" t="n">
        <v>46008.63625</v>
      </c>
      <c r="C6733" s="1" t="n">
        <v>46185</v>
      </c>
      <c r="D6733" t="inlineStr">
        <is>
          <t>VÄSTERNORRLANDS LÄN</t>
        </is>
      </c>
      <c r="E6733" t="inlineStr">
        <is>
          <t>ÅNGE</t>
        </is>
      </c>
      <c r="F6733" t="inlineStr">
        <is>
          <t>SCA</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13081-2026</t>
        </is>
      </c>
      <c r="B6734" s="1" t="n">
        <v>46093.38622685185</v>
      </c>
      <c r="C6734" s="1" t="n">
        <v>46185</v>
      </c>
      <c r="D6734" t="inlineStr">
        <is>
          <t>VÄSTERNORRLANDS LÄN</t>
        </is>
      </c>
      <c r="E6734" t="inlineStr">
        <is>
          <t>SUNDSVALL</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62526-2025</t>
        </is>
      </c>
      <c r="B6735" s="1" t="n">
        <v>46007.63583333333</v>
      </c>
      <c r="C6735" s="1" t="n">
        <v>46185</v>
      </c>
      <c r="D6735" t="inlineStr">
        <is>
          <t>VÄSTERNORRLANDS LÄN</t>
        </is>
      </c>
      <c r="E6735" t="inlineStr">
        <is>
          <t>SOLLEFTEÅ</t>
        </is>
      </c>
      <c r="F6735" t="inlineStr">
        <is>
          <t>SCA</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13189-2026</t>
        </is>
      </c>
      <c r="B6736" s="1" t="n">
        <v>46093</v>
      </c>
      <c r="C6736" s="1" t="n">
        <v>46185</v>
      </c>
      <c r="D6736" t="inlineStr">
        <is>
          <t>VÄSTERNORRLANDS LÄN</t>
        </is>
      </c>
      <c r="E6736" t="inlineStr">
        <is>
          <t>SUNDSVALL</t>
        </is>
      </c>
      <c r="F6736" t="inlineStr">
        <is>
          <t>SCA</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62763-2025</t>
        </is>
      </c>
      <c r="B6737" s="1" t="n">
        <v>46008.59434027778</v>
      </c>
      <c r="C6737" s="1" t="n">
        <v>46185</v>
      </c>
      <c r="D6737" t="inlineStr">
        <is>
          <t>VÄSTERNORRLANDS LÄN</t>
        </is>
      </c>
      <c r="E6737" t="inlineStr">
        <is>
          <t>ÅNGE</t>
        </is>
      </c>
      <c r="F6737" t="inlineStr">
        <is>
          <t>SCA</t>
        </is>
      </c>
      <c r="G6737" t="n">
        <v>7.6</v>
      </c>
      <c r="H6737" t="n">
        <v>0</v>
      </c>
      <c r="I6737" t="n">
        <v>0</v>
      </c>
      <c r="J6737" t="n">
        <v>0</v>
      </c>
      <c r="K6737" t="n">
        <v>0</v>
      </c>
      <c r="L6737" t="n">
        <v>0</v>
      </c>
      <c r="M6737" t="n">
        <v>0</v>
      </c>
      <c r="N6737" t="n">
        <v>0</v>
      </c>
      <c r="O6737" t="n">
        <v>0</v>
      </c>
      <c r="P6737" t="n">
        <v>0</v>
      </c>
      <c r="Q6737" t="n">
        <v>0</v>
      </c>
      <c r="R6737" s="2" t="inlineStr"/>
    </row>
    <row r="6738" ht="15" customHeight="1">
      <c r="A6738" t="inlineStr">
        <is>
          <t>A 62820-2025</t>
        </is>
      </c>
      <c r="B6738" s="1" t="n">
        <v>46008.65653935185</v>
      </c>
      <c r="C6738" s="1" t="n">
        <v>46185</v>
      </c>
      <c r="D6738" t="inlineStr">
        <is>
          <t>VÄSTERNORRLANDS LÄN</t>
        </is>
      </c>
      <c r="E6738" t="inlineStr">
        <is>
          <t>ÖRNSKÖLDSVIK</t>
        </is>
      </c>
      <c r="G6738" t="n">
        <v>10.4</v>
      </c>
      <c r="H6738" t="n">
        <v>0</v>
      </c>
      <c r="I6738" t="n">
        <v>0</v>
      </c>
      <c r="J6738" t="n">
        <v>0</v>
      </c>
      <c r="K6738" t="n">
        <v>0</v>
      </c>
      <c r="L6738" t="n">
        <v>0</v>
      </c>
      <c r="M6738" t="n">
        <v>0</v>
      </c>
      <c r="N6738" t="n">
        <v>0</v>
      </c>
      <c r="O6738" t="n">
        <v>0</v>
      </c>
      <c r="P6738" t="n">
        <v>0</v>
      </c>
      <c r="Q6738" t="n">
        <v>0</v>
      </c>
      <c r="R6738" s="2" t="inlineStr"/>
    </row>
    <row r="6739" ht="15" customHeight="1">
      <c r="A6739" t="inlineStr">
        <is>
          <t>A 62821-2025</t>
        </is>
      </c>
      <c r="B6739" s="1" t="n">
        <v>46008.65659722222</v>
      </c>
      <c r="C6739" s="1" t="n">
        <v>46185</v>
      </c>
      <c r="D6739" t="inlineStr">
        <is>
          <t>VÄSTERNORRLANDS LÄN</t>
        </is>
      </c>
      <c r="E6739" t="inlineStr">
        <is>
          <t>KRAMFORS</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62834-2025</t>
        </is>
      </c>
      <c r="B6740" s="1" t="n">
        <v>46008.67763888889</v>
      </c>
      <c r="C6740" s="1" t="n">
        <v>46185</v>
      </c>
      <c r="D6740" t="inlineStr">
        <is>
          <t>VÄSTERNORRLANDS LÄN</t>
        </is>
      </c>
      <c r="E6740" t="inlineStr">
        <is>
          <t>KRAMFORS</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12808-2026</t>
        </is>
      </c>
      <c r="B6741" s="1" t="n">
        <v>46092</v>
      </c>
      <c r="C6741" s="1" t="n">
        <v>46185</v>
      </c>
      <c r="D6741" t="inlineStr">
        <is>
          <t>VÄSTERNORRLANDS LÄN</t>
        </is>
      </c>
      <c r="E6741" t="inlineStr">
        <is>
          <t>SUNDSVALL</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62458-2025</t>
        </is>
      </c>
      <c r="B6742" s="1" t="n">
        <v>46007.50270833333</v>
      </c>
      <c r="C6742" s="1" t="n">
        <v>46185</v>
      </c>
      <c r="D6742" t="inlineStr">
        <is>
          <t>VÄSTERNORRLANDS LÄN</t>
        </is>
      </c>
      <c r="E6742" t="inlineStr">
        <is>
          <t>SOLLEFTEÅ</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12835-2026</t>
        </is>
      </c>
      <c r="B6743" s="1" t="n">
        <v>46092.42777777778</v>
      </c>
      <c r="C6743" s="1" t="n">
        <v>46185</v>
      </c>
      <c r="D6743" t="inlineStr">
        <is>
          <t>VÄSTERNORRLANDS LÄN</t>
        </is>
      </c>
      <c r="E6743" t="inlineStr">
        <is>
          <t>SOLLEFTEÅ</t>
        </is>
      </c>
      <c r="F6743" t="inlineStr">
        <is>
          <t>SCA</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57636-2022</t>
        </is>
      </c>
      <c r="B6744" s="1" t="n">
        <v>44897</v>
      </c>
      <c r="C6744" s="1" t="n">
        <v>46185</v>
      </c>
      <c r="D6744" t="inlineStr">
        <is>
          <t>VÄSTERNORRLANDS LÄN</t>
        </is>
      </c>
      <c r="E6744" t="inlineStr">
        <is>
          <t>ÅNGE</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61391-2022</t>
        </is>
      </c>
      <c r="B6745" s="1" t="n">
        <v>44915.94334490741</v>
      </c>
      <c r="C6745" s="1" t="n">
        <v>46185</v>
      </c>
      <c r="D6745" t="inlineStr">
        <is>
          <t>VÄSTERNORRLANDS LÄN</t>
        </is>
      </c>
      <c r="E6745" t="inlineStr">
        <is>
          <t>SOLLEFTEÅ</t>
        </is>
      </c>
      <c r="F6745" t="inlineStr">
        <is>
          <t>SCA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55021-2023</t>
        </is>
      </c>
      <c r="B6746" s="1" t="n">
        <v>45237</v>
      </c>
      <c r="C6746" s="1" t="n">
        <v>46185</v>
      </c>
      <c r="D6746" t="inlineStr">
        <is>
          <t>VÄSTERNORRLANDS LÄN</t>
        </is>
      </c>
      <c r="E6746" t="inlineStr">
        <is>
          <t>ÖRNSKÖLDSVIK</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13082-2026</t>
        </is>
      </c>
      <c r="B6747" s="1" t="n">
        <v>46093.38628472222</v>
      </c>
      <c r="C6747" s="1" t="n">
        <v>46185</v>
      </c>
      <c r="D6747" t="inlineStr">
        <is>
          <t>VÄSTERNORRLANDS LÄN</t>
        </is>
      </c>
      <c r="E6747" t="inlineStr">
        <is>
          <t>SUNDSVALL</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29092-2024</t>
        </is>
      </c>
      <c r="B6748" s="1" t="n">
        <v>45481.93005787037</v>
      </c>
      <c r="C6748" s="1" t="n">
        <v>46185</v>
      </c>
      <c r="D6748" t="inlineStr">
        <is>
          <t>VÄSTERNORRLANDS LÄN</t>
        </is>
      </c>
      <c r="E6748" t="inlineStr">
        <is>
          <t>ÖRNSKÖLDSVIK</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12907-2026</t>
        </is>
      </c>
      <c r="B6749" s="1" t="n">
        <v>46092.57351851852</v>
      </c>
      <c r="C6749" s="1" t="n">
        <v>46185</v>
      </c>
      <c r="D6749" t="inlineStr">
        <is>
          <t>VÄSTERNORRLANDS LÄN</t>
        </is>
      </c>
      <c r="E6749" t="inlineStr">
        <is>
          <t>ÖRNSKÖLDSVIK</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62474-2025</t>
        </is>
      </c>
      <c r="B6750" s="1" t="n">
        <v>46007.54631944445</v>
      </c>
      <c r="C6750" s="1" t="n">
        <v>46185</v>
      </c>
      <c r="D6750" t="inlineStr">
        <is>
          <t>VÄSTERNORRLANDS LÄN</t>
        </is>
      </c>
      <c r="E6750" t="inlineStr">
        <is>
          <t>KRAMFORS</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12906-2026</t>
        </is>
      </c>
      <c r="B6751" s="1" t="n">
        <v>46092.5734837963</v>
      </c>
      <c r="C6751" s="1" t="n">
        <v>46185</v>
      </c>
      <c r="D6751" t="inlineStr">
        <is>
          <t>VÄSTERNORRLANDS LÄN</t>
        </is>
      </c>
      <c r="E6751" t="inlineStr">
        <is>
          <t>ÖRNSKÖLDSVIK</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12908-2026</t>
        </is>
      </c>
      <c r="B6752" s="1" t="n">
        <v>46092.57359953703</v>
      </c>
      <c r="C6752" s="1" t="n">
        <v>46185</v>
      </c>
      <c r="D6752" t="inlineStr">
        <is>
          <t>VÄSTERNORRLANDS LÄN</t>
        </is>
      </c>
      <c r="E6752" t="inlineStr">
        <is>
          <t>ÖRNSKÖLDSVIK</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52334-2022</t>
        </is>
      </c>
      <c r="B6753" s="1" t="n">
        <v>44873</v>
      </c>
      <c r="C6753" s="1" t="n">
        <v>46185</v>
      </c>
      <c r="D6753" t="inlineStr">
        <is>
          <t>VÄSTERNORRLANDS LÄN</t>
        </is>
      </c>
      <c r="E6753" t="inlineStr">
        <is>
          <t>SUNDSVALL</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12946-2026</t>
        </is>
      </c>
      <c r="B6754" s="1" t="n">
        <v>46092.62706018519</v>
      </c>
      <c r="C6754" s="1" t="n">
        <v>46185</v>
      </c>
      <c r="D6754" t="inlineStr">
        <is>
          <t>VÄSTERNORRLANDS LÄN</t>
        </is>
      </c>
      <c r="E6754" t="inlineStr">
        <is>
          <t>ÖRNSKÖLDSVIK</t>
        </is>
      </c>
      <c r="G6754" t="n">
        <v>10.6</v>
      </c>
      <c r="H6754" t="n">
        <v>0</v>
      </c>
      <c r="I6754" t="n">
        <v>0</v>
      </c>
      <c r="J6754" t="n">
        <v>0</v>
      </c>
      <c r="K6754" t="n">
        <v>0</v>
      </c>
      <c r="L6754" t="n">
        <v>0</v>
      </c>
      <c r="M6754" t="n">
        <v>0</v>
      </c>
      <c r="N6754" t="n">
        <v>0</v>
      </c>
      <c r="O6754" t="n">
        <v>0</v>
      </c>
      <c r="P6754" t="n">
        <v>0</v>
      </c>
      <c r="Q6754" t="n">
        <v>0</v>
      </c>
      <c r="R6754" s="2" t="inlineStr"/>
    </row>
    <row r="6755" ht="15" customHeight="1">
      <c r="A6755" t="inlineStr">
        <is>
          <t>A 62421-2025</t>
        </is>
      </c>
      <c r="B6755" s="1" t="n">
        <v>46007.44850694444</v>
      </c>
      <c r="C6755" s="1" t="n">
        <v>46185</v>
      </c>
      <c r="D6755" t="inlineStr">
        <is>
          <t>VÄSTERNORRLANDS LÄN</t>
        </is>
      </c>
      <c r="E6755" t="inlineStr">
        <is>
          <t>SUNDSVALL</t>
        </is>
      </c>
      <c r="F6755" t="inlineStr">
        <is>
          <t>SCA</t>
        </is>
      </c>
      <c r="G6755" t="n">
        <v>6.5</v>
      </c>
      <c r="H6755" t="n">
        <v>0</v>
      </c>
      <c r="I6755" t="n">
        <v>0</v>
      </c>
      <c r="J6755" t="n">
        <v>0</v>
      </c>
      <c r="K6755" t="n">
        <v>0</v>
      </c>
      <c r="L6755" t="n">
        <v>0</v>
      </c>
      <c r="M6755" t="n">
        <v>0</v>
      </c>
      <c r="N6755" t="n">
        <v>0</v>
      </c>
      <c r="O6755" t="n">
        <v>0</v>
      </c>
      <c r="P6755" t="n">
        <v>0</v>
      </c>
      <c r="Q6755" t="n">
        <v>0</v>
      </c>
      <c r="R6755" s="2" t="inlineStr"/>
    </row>
    <row r="6756" ht="15" customHeight="1">
      <c r="A6756" t="inlineStr">
        <is>
          <t>A 13178-2026</t>
        </is>
      </c>
      <c r="B6756" s="1" t="n">
        <v>46093.58555555555</v>
      </c>
      <c r="C6756" s="1" t="n">
        <v>46185</v>
      </c>
      <c r="D6756" t="inlineStr">
        <is>
          <t>VÄSTERNORRLANDS LÄN</t>
        </is>
      </c>
      <c r="E6756" t="inlineStr">
        <is>
          <t>ÖRNSKÖLDSVIK</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13080-2026</t>
        </is>
      </c>
      <c r="B6757" s="1" t="n">
        <v>46093.38607638889</v>
      </c>
      <c r="C6757" s="1" t="n">
        <v>46185</v>
      </c>
      <c r="D6757" t="inlineStr">
        <is>
          <t>VÄSTERNORRLANDS LÄN</t>
        </is>
      </c>
      <c r="E6757" t="inlineStr">
        <is>
          <t>ÅNGE</t>
        </is>
      </c>
      <c r="F6757" t="inlineStr">
        <is>
          <t>SCA</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53325-2024</t>
        </is>
      </c>
      <c r="B6758" s="1" t="n">
        <v>45614.41177083334</v>
      </c>
      <c r="C6758" s="1" t="n">
        <v>46185</v>
      </c>
      <c r="D6758" t="inlineStr">
        <is>
          <t>VÄSTERNORRLANDS LÄN</t>
        </is>
      </c>
      <c r="E6758" t="inlineStr">
        <is>
          <t>SOLLEFTEÅ</t>
        </is>
      </c>
      <c r="G6758" t="n">
        <v>9.6</v>
      </c>
      <c r="H6758" t="n">
        <v>0</v>
      </c>
      <c r="I6758" t="n">
        <v>0</v>
      </c>
      <c r="J6758" t="n">
        <v>0</v>
      </c>
      <c r="K6758" t="n">
        <v>0</v>
      </c>
      <c r="L6758" t="n">
        <v>0</v>
      </c>
      <c r="M6758" t="n">
        <v>0</v>
      </c>
      <c r="N6758" t="n">
        <v>0</v>
      </c>
      <c r="O6758" t="n">
        <v>0</v>
      </c>
      <c r="P6758" t="n">
        <v>0</v>
      </c>
      <c r="Q6758" t="n">
        <v>0</v>
      </c>
      <c r="R6758" s="2" t="inlineStr"/>
    </row>
    <row r="6759" ht="15" customHeight="1">
      <c r="A6759" t="inlineStr">
        <is>
          <t>A 48767-2023</t>
        </is>
      </c>
      <c r="B6759" s="1" t="n">
        <v>45208</v>
      </c>
      <c r="C6759" s="1" t="n">
        <v>46185</v>
      </c>
      <c r="D6759" t="inlineStr">
        <is>
          <t>VÄSTERNORRLANDS LÄN</t>
        </is>
      </c>
      <c r="E6759" t="inlineStr">
        <is>
          <t>SOLLEFTEÅ</t>
        </is>
      </c>
      <c r="F6759" t="inlineStr">
        <is>
          <t>SCA</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54789-2024</t>
        </is>
      </c>
      <c r="B6760" s="1" t="n">
        <v>45618.4962962963</v>
      </c>
      <c r="C6760" s="1" t="n">
        <v>46185</v>
      </c>
      <c r="D6760" t="inlineStr">
        <is>
          <t>VÄSTERNORRLANDS LÄN</t>
        </is>
      </c>
      <c r="E6760" t="inlineStr">
        <is>
          <t>SUNDSVALL</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62510-2025</t>
        </is>
      </c>
      <c r="B6761" s="1" t="n">
        <v>46007</v>
      </c>
      <c r="C6761" s="1" t="n">
        <v>46185</v>
      </c>
      <c r="D6761" t="inlineStr">
        <is>
          <t>VÄSTERNORRLANDS LÄN</t>
        </is>
      </c>
      <c r="E6761" t="inlineStr">
        <is>
          <t>KRAMFORS</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13163-2026</t>
        </is>
      </c>
      <c r="B6762" s="1" t="n">
        <v>46093.55259259259</v>
      </c>
      <c r="C6762" s="1" t="n">
        <v>46185</v>
      </c>
      <c r="D6762" t="inlineStr">
        <is>
          <t>VÄSTERNORRLANDS LÄN</t>
        </is>
      </c>
      <c r="E6762" t="inlineStr">
        <is>
          <t>ÅNGE</t>
        </is>
      </c>
      <c r="F6762" t="inlineStr">
        <is>
          <t>SCA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62610-2025</t>
        </is>
      </c>
      <c r="B6763" s="1" t="n">
        <v>46008.30684027778</v>
      </c>
      <c r="C6763" s="1" t="n">
        <v>46185</v>
      </c>
      <c r="D6763" t="inlineStr">
        <is>
          <t>VÄSTERNORRLANDS LÄN</t>
        </is>
      </c>
      <c r="E6763" t="inlineStr">
        <is>
          <t>ÖRNSKÖLDSVIK</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13094-2026</t>
        </is>
      </c>
      <c r="B6764" s="1" t="n">
        <v>46093.40708333333</v>
      </c>
      <c r="C6764" s="1" t="n">
        <v>46185</v>
      </c>
      <c r="D6764" t="inlineStr">
        <is>
          <t>VÄSTERNORRLANDS LÄN</t>
        </is>
      </c>
      <c r="E6764" t="inlineStr">
        <is>
          <t>SUNDSVALL</t>
        </is>
      </c>
      <c r="F6764" t="inlineStr">
        <is>
          <t>SCA</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13095-2026</t>
        </is>
      </c>
      <c r="B6765" s="1" t="n">
        <v>46093.40765046296</v>
      </c>
      <c r="C6765" s="1" t="n">
        <v>46185</v>
      </c>
      <c r="D6765" t="inlineStr">
        <is>
          <t>VÄSTERNORRLANDS LÄN</t>
        </is>
      </c>
      <c r="E6765" t="inlineStr">
        <is>
          <t>SOLLEFTEÅ</t>
        </is>
      </c>
      <c r="G6765" t="n">
        <v>6.3</v>
      </c>
      <c r="H6765" t="n">
        <v>0</v>
      </c>
      <c r="I6765" t="n">
        <v>0</v>
      </c>
      <c r="J6765" t="n">
        <v>0</v>
      </c>
      <c r="K6765" t="n">
        <v>0</v>
      </c>
      <c r="L6765" t="n">
        <v>0</v>
      </c>
      <c r="M6765" t="n">
        <v>0</v>
      </c>
      <c r="N6765" t="n">
        <v>0</v>
      </c>
      <c r="O6765" t="n">
        <v>0</v>
      </c>
      <c r="P6765" t="n">
        <v>0</v>
      </c>
      <c r="Q6765" t="n">
        <v>0</v>
      </c>
      <c r="R6765" s="2" t="inlineStr"/>
    </row>
    <row r="6766" ht="15" customHeight="1">
      <c r="A6766" t="inlineStr">
        <is>
          <t>A 13186-2026</t>
        </is>
      </c>
      <c r="B6766" s="1" t="n">
        <v>46093.5943287037</v>
      </c>
      <c r="C6766" s="1" t="n">
        <v>46185</v>
      </c>
      <c r="D6766" t="inlineStr">
        <is>
          <t>VÄSTERNORRLANDS LÄN</t>
        </is>
      </c>
      <c r="E6766" t="inlineStr">
        <is>
          <t>SUNDSVALL</t>
        </is>
      </c>
      <c r="F6766" t="inlineStr">
        <is>
          <t>SCA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13191-2026</t>
        </is>
      </c>
      <c r="B6767" s="1" t="n">
        <v>46093.59491898148</v>
      </c>
      <c r="C6767" s="1" t="n">
        <v>46185</v>
      </c>
      <c r="D6767" t="inlineStr">
        <is>
          <t>VÄSTERNORRLANDS LÄN</t>
        </is>
      </c>
      <c r="E6767" t="inlineStr">
        <is>
          <t>SUNDSVALL</t>
        </is>
      </c>
      <c r="F6767" t="inlineStr">
        <is>
          <t>SCA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62627-2025</t>
        </is>
      </c>
      <c r="B6768" s="1" t="n">
        <v>46008</v>
      </c>
      <c r="C6768" s="1" t="n">
        <v>46185</v>
      </c>
      <c r="D6768" t="inlineStr">
        <is>
          <t>VÄSTERNORRLANDS LÄN</t>
        </is>
      </c>
      <c r="E6768" t="inlineStr">
        <is>
          <t>KRAMFORS</t>
        </is>
      </c>
      <c r="G6768" t="n">
        <v>0.3</v>
      </c>
      <c r="H6768" t="n">
        <v>0</v>
      </c>
      <c r="I6768" t="n">
        <v>0</v>
      </c>
      <c r="J6768" t="n">
        <v>0</v>
      </c>
      <c r="K6768" t="n">
        <v>0</v>
      </c>
      <c r="L6768" t="n">
        <v>0</v>
      </c>
      <c r="M6768" t="n">
        <v>0</v>
      </c>
      <c r="N6768" t="n">
        <v>0</v>
      </c>
      <c r="O6768" t="n">
        <v>0</v>
      </c>
      <c r="P6768" t="n">
        <v>0</v>
      </c>
      <c r="Q6768" t="n">
        <v>0</v>
      </c>
      <c r="R6768" s="2" t="inlineStr"/>
    </row>
    <row r="6769" ht="15" customHeight="1">
      <c r="A6769" t="inlineStr">
        <is>
          <t>A 12974-2026</t>
        </is>
      </c>
      <c r="B6769" s="1" t="n">
        <v>46092.65739583333</v>
      </c>
      <c r="C6769" s="1" t="n">
        <v>46185</v>
      </c>
      <c r="D6769" t="inlineStr">
        <is>
          <t>VÄSTERNORRLANDS LÄN</t>
        </is>
      </c>
      <c r="E6769" t="inlineStr">
        <is>
          <t>TIMRÅ</t>
        </is>
      </c>
      <c r="F6769" t="inlineStr">
        <is>
          <t>SCA</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12978-2026</t>
        </is>
      </c>
      <c r="B6770" s="1" t="n">
        <v>46092.65759259259</v>
      </c>
      <c r="C6770" s="1" t="n">
        <v>46185</v>
      </c>
      <c r="D6770" t="inlineStr">
        <is>
          <t>VÄSTERNORRLANDS LÄN</t>
        </is>
      </c>
      <c r="E6770" t="inlineStr">
        <is>
          <t>TIMRÅ</t>
        </is>
      </c>
      <c r="F6770" t="inlineStr">
        <is>
          <t>SCA</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62494-2025</t>
        </is>
      </c>
      <c r="B6771" s="1" t="n">
        <v>46007.5735300926</v>
      </c>
      <c r="C6771" s="1" t="n">
        <v>46185</v>
      </c>
      <c r="D6771" t="inlineStr">
        <is>
          <t>VÄSTERNORRLANDS LÄN</t>
        </is>
      </c>
      <c r="E6771" t="inlineStr">
        <is>
          <t>SOLLEFTEÅ</t>
        </is>
      </c>
      <c r="F6771" t="inlineStr">
        <is>
          <t>SCA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46166-2023</t>
        </is>
      </c>
      <c r="B6772" s="1" t="n">
        <v>45190</v>
      </c>
      <c r="C6772" s="1" t="n">
        <v>46185</v>
      </c>
      <c r="D6772" t="inlineStr">
        <is>
          <t>VÄSTERNORRLANDS LÄN</t>
        </is>
      </c>
      <c r="E6772" t="inlineStr">
        <is>
          <t>KRAMFORS</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13266-2026</t>
        </is>
      </c>
      <c r="B6773" s="1" t="n">
        <v>46093.68486111111</v>
      </c>
      <c r="C6773" s="1" t="n">
        <v>46185</v>
      </c>
      <c r="D6773" t="inlineStr">
        <is>
          <t>VÄSTERNORRLANDS LÄN</t>
        </is>
      </c>
      <c r="E6773" t="inlineStr">
        <is>
          <t>SUNDSVALL</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62649-2025</t>
        </is>
      </c>
      <c r="B6774" s="1" t="n">
        <v>46008</v>
      </c>
      <c r="C6774" s="1" t="n">
        <v>46185</v>
      </c>
      <c r="D6774" t="inlineStr">
        <is>
          <t>VÄSTERNORRLANDS LÄN</t>
        </is>
      </c>
      <c r="E6774" t="inlineStr">
        <is>
          <t>ÖRNSKÖLDSVIK</t>
        </is>
      </c>
      <c r="F6774" t="inlineStr">
        <is>
          <t>Holmen skog AB</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62650-2025</t>
        </is>
      </c>
      <c r="B6775" s="1" t="n">
        <v>46008.40663194445</v>
      </c>
      <c r="C6775" s="1" t="n">
        <v>46185</v>
      </c>
      <c r="D6775" t="inlineStr">
        <is>
          <t>VÄSTERNORRLANDS LÄN</t>
        </is>
      </c>
      <c r="E6775" t="inlineStr">
        <is>
          <t>KRAMFORS</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47667-2023</t>
        </is>
      </c>
      <c r="B6776" s="1" t="n">
        <v>45203</v>
      </c>
      <c r="C6776" s="1" t="n">
        <v>46185</v>
      </c>
      <c r="D6776" t="inlineStr">
        <is>
          <t>VÄSTERNORRLANDS LÄN</t>
        </is>
      </c>
      <c r="E6776" t="inlineStr">
        <is>
          <t>ÖRNSKÖLDSVIK</t>
        </is>
      </c>
      <c r="F6776" t="inlineStr">
        <is>
          <t>Holmen skog AB</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62371-2025</t>
        </is>
      </c>
      <c r="B6777" s="1" t="n">
        <v>46007.34425925926</v>
      </c>
      <c r="C6777" s="1" t="n">
        <v>46185</v>
      </c>
      <c r="D6777" t="inlineStr">
        <is>
          <t>VÄSTERNORRLANDS LÄN</t>
        </is>
      </c>
      <c r="E6777" t="inlineStr">
        <is>
          <t>SOLLEFTEÅ</t>
        </is>
      </c>
      <c r="F6777" t="inlineStr">
        <is>
          <t>SCA</t>
        </is>
      </c>
      <c r="G6777" t="n">
        <v>8.199999999999999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13230-2026</t>
        </is>
      </c>
      <c r="B6778" s="1" t="n">
        <v>46093.63377314815</v>
      </c>
      <c r="C6778" s="1" t="n">
        <v>46185</v>
      </c>
      <c r="D6778" t="inlineStr">
        <is>
          <t>VÄSTERNORRLANDS LÄN</t>
        </is>
      </c>
      <c r="E6778" t="inlineStr">
        <is>
          <t>KRAMFORS</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31606-2022</t>
        </is>
      </c>
      <c r="B6779" s="1" t="n">
        <v>44775</v>
      </c>
      <c r="C6779" s="1" t="n">
        <v>46185</v>
      </c>
      <c r="D6779" t="inlineStr">
        <is>
          <t>VÄSTERNORRLANDS LÄN</t>
        </is>
      </c>
      <c r="E6779" t="inlineStr">
        <is>
          <t>KRAMFORS</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62428-2025</t>
        </is>
      </c>
      <c r="B6780" s="1" t="n">
        <v>46007.45199074074</v>
      </c>
      <c r="C6780" s="1" t="n">
        <v>46185</v>
      </c>
      <c r="D6780" t="inlineStr">
        <is>
          <t>VÄSTERNORRLANDS LÄN</t>
        </is>
      </c>
      <c r="E6780" t="inlineStr">
        <is>
          <t>TIMRÅ</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52685-2024</t>
        </is>
      </c>
      <c r="B6781" s="1" t="n">
        <v>45610</v>
      </c>
      <c r="C6781" s="1" t="n">
        <v>46185</v>
      </c>
      <c r="D6781" t="inlineStr">
        <is>
          <t>VÄSTERNORRLANDS LÄN</t>
        </is>
      </c>
      <c r="E6781" t="inlineStr">
        <is>
          <t>ÅNGE</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62527-2025</t>
        </is>
      </c>
      <c r="B6782" s="1" t="n">
        <v>46007.63597222222</v>
      </c>
      <c r="C6782" s="1" t="n">
        <v>46185</v>
      </c>
      <c r="D6782" t="inlineStr">
        <is>
          <t>VÄSTERNORRLANDS LÄN</t>
        </is>
      </c>
      <c r="E6782" t="inlineStr">
        <is>
          <t>SUNDSVALL</t>
        </is>
      </c>
      <c r="G6782" t="n">
        <v>16.3</v>
      </c>
      <c r="H6782" t="n">
        <v>0</v>
      </c>
      <c r="I6782" t="n">
        <v>0</v>
      </c>
      <c r="J6782" t="n">
        <v>0</v>
      </c>
      <c r="K6782" t="n">
        <v>0</v>
      </c>
      <c r="L6782" t="n">
        <v>0</v>
      </c>
      <c r="M6782" t="n">
        <v>0</v>
      </c>
      <c r="N6782" t="n">
        <v>0</v>
      </c>
      <c r="O6782" t="n">
        <v>0</v>
      </c>
      <c r="P6782" t="n">
        <v>0</v>
      </c>
      <c r="Q6782" t="n">
        <v>0</v>
      </c>
      <c r="R6782" s="2" t="inlineStr"/>
    </row>
    <row r="6783" ht="15" customHeight="1">
      <c r="A6783" t="inlineStr">
        <is>
          <t>A 55664-2023</t>
        </is>
      </c>
      <c r="B6783" s="1" t="n">
        <v>45238.96748842593</v>
      </c>
      <c r="C6783" s="1" t="n">
        <v>46185</v>
      </c>
      <c r="D6783" t="inlineStr">
        <is>
          <t>VÄSTERNORRLANDS LÄN</t>
        </is>
      </c>
      <c r="E6783" t="inlineStr">
        <is>
          <t>ÅNGE</t>
        </is>
      </c>
      <c r="F6783" t="inlineStr">
        <is>
          <t>SCA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62379-2025</t>
        </is>
      </c>
      <c r="B6784" s="1" t="n">
        <v>46007.36493055556</v>
      </c>
      <c r="C6784" s="1" t="n">
        <v>46185</v>
      </c>
      <c r="D6784" t="inlineStr">
        <is>
          <t>VÄSTERNORRLANDS LÄN</t>
        </is>
      </c>
      <c r="E6784" t="inlineStr">
        <is>
          <t>SUNDSVALL</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25259-2023</t>
        </is>
      </c>
      <c r="B6785" s="1" t="n">
        <v>45079</v>
      </c>
      <c r="C6785" s="1" t="n">
        <v>46185</v>
      </c>
      <c r="D6785" t="inlineStr">
        <is>
          <t>VÄSTERNORRLANDS LÄN</t>
        </is>
      </c>
      <c r="E6785" t="inlineStr">
        <is>
          <t>SOLLEFTEÅ</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12918-2026</t>
        </is>
      </c>
      <c r="B6786" s="1" t="n">
        <v>46092.59415509259</v>
      </c>
      <c r="C6786" s="1" t="n">
        <v>46185</v>
      </c>
      <c r="D6786" t="inlineStr">
        <is>
          <t>VÄSTERNORRLANDS LÄN</t>
        </is>
      </c>
      <c r="E6786" t="inlineStr">
        <is>
          <t>SUNDSVALL</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62502-2025</t>
        </is>
      </c>
      <c r="B6787" s="1" t="n">
        <v>46007</v>
      </c>
      <c r="C6787" s="1" t="n">
        <v>46185</v>
      </c>
      <c r="D6787" t="inlineStr">
        <is>
          <t>VÄSTERNORRLANDS LÄN</t>
        </is>
      </c>
      <c r="E6787" t="inlineStr">
        <is>
          <t>KRAMFORS</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21144-2023</t>
        </is>
      </c>
      <c r="B6788" s="1" t="n">
        <v>45057</v>
      </c>
      <c r="C6788" s="1" t="n">
        <v>46185</v>
      </c>
      <c r="D6788" t="inlineStr">
        <is>
          <t>VÄSTERNORRLANDS LÄN</t>
        </is>
      </c>
      <c r="E6788" t="inlineStr">
        <is>
          <t>SUNDSVALL</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62381-2025</t>
        </is>
      </c>
      <c r="B6789" s="1" t="n">
        <v>46007.36673611111</v>
      </c>
      <c r="C6789" s="1" t="n">
        <v>46185</v>
      </c>
      <c r="D6789" t="inlineStr">
        <is>
          <t>VÄSTERNORRLANDS LÄN</t>
        </is>
      </c>
      <c r="E6789" t="inlineStr">
        <is>
          <t>KRAMFORS</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17490-2025</t>
        </is>
      </c>
      <c r="B6790" s="1" t="n">
        <v>45757.51084490741</v>
      </c>
      <c r="C6790" s="1" t="n">
        <v>46185</v>
      </c>
      <c r="D6790" t="inlineStr">
        <is>
          <t>VÄSTERNORRLANDS LÄN</t>
        </is>
      </c>
      <c r="E6790" t="inlineStr">
        <is>
          <t>SUNDSVALL</t>
        </is>
      </c>
      <c r="F6790" t="inlineStr">
        <is>
          <t>SCA</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7764-2022</t>
        </is>
      </c>
      <c r="B6791" s="1" t="n">
        <v>44608</v>
      </c>
      <c r="C6791" s="1" t="n">
        <v>46185</v>
      </c>
      <c r="D6791" t="inlineStr">
        <is>
          <t>VÄSTERNORRLANDS LÄN</t>
        </is>
      </c>
      <c r="E6791" t="inlineStr">
        <is>
          <t>KRAMFORS</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12976-2026</t>
        </is>
      </c>
      <c r="B6792" s="1" t="n">
        <v>46092.65748842592</v>
      </c>
      <c r="C6792" s="1" t="n">
        <v>46185</v>
      </c>
      <c r="D6792" t="inlineStr">
        <is>
          <t>VÄSTERNORRLANDS LÄN</t>
        </is>
      </c>
      <c r="E6792" t="inlineStr">
        <is>
          <t>TIMRÅ</t>
        </is>
      </c>
      <c r="F6792" t="inlineStr">
        <is>
          <t>SCA</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62866-2025</t>
        </is>
      </c>
      <c r="B6793" s="1" t="n">
        <v>46008</v>
      </c>
      <c r="C6793" s="1" t="n">
        <v>46185</v>
      </c>
      <c r="D6793" t="inlineStr">
        <is>
          <t>VÄSTERNORRLANDS LÄN</t>
        </is>
      </c>
      <c r="E6793" t="inlineStr">
        <is>
          <t>ÖRNSKÖLDSVIK</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62822-2025</t>
        </is>
      </c>
      <c r="B6794" s="1" t="n">
        <v>46008.65664351852</v>
      </c>
      <c r="C6794" s="1" t="n">
        <v>46185</v>
      </c>
      <c r="D6794" t="inlineStr">
        <is>
          <t>VÄSTERNORRLANDS LÄN</t>
        </is>
      </c>
      <c r="E6794" t="inlineStr">
        <is>
          <t>KRAMFORS</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62823-2025</t>
        </is>
      </c>
      <c r="B6795" s="1" t="n">
        <v>46008.65671296296</v>
      </c>
      <c r="C6795" s="1" t="n">
        <v>46185</v>
      </c>
      <c r="D6795" t="inlineStr">
        <is>
          <t>VÄSTERNORRLANDS LÄN</t>
        </is>
      </c>
      <c r="E6795" t="inlineStr">
        <is>
          <t>KRAMFORS</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57309-2023</t>
        </is>
      </c>
      <c r="B6796" s="1" t="n">
        <v>45240</v>
      </c>
      <c r="C6796" s="1" t="n">
        <v>46185</v>
      </c>
      <c r="D6796" t="inlineStr">
        <is>
          <t>VÄSTERNORRLANDS LÄN</t>
        </is>
      </c>
      <c r="E6796" t="inlineStr">
        <is>
          <t>ÖRNSKÖLDSVIK</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62711-2025</t>
        </is>
      </c>
      <c r="B6797" s="1" t="n">
        <v>46008.51105324074</v>
      </c>
      <c r="C6797" s="1" t="n">
        <v>46185</v>
      </c>
      <c r="D6797" t="inlineStr">
        <is>
          <t>VÄSTERNORRLANDS LÄN</t>
        </is>
      </c>
      <c r="E6797" t="inlineStr">
        <is>
          <t>KRAMFORS</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59473-2024</t>
        </is>
      </c>
      <c r="B6798" s="1" t="n">
        <v>45638.50436342593</v>
      </c>
      <c r="C6798" s="1" t="n">
        <v>46185</v>
      </c>
      <c r="D6798" t="inlineStr">
        <is>
          <t>VÄSTERNORRLANDS LÄN</t>
        </is>
      </c>
      <c r="E6798" t="inlineStr">
        <is>
          <t>SOLLEFTEÅ</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12874-2026</t>
        </is>
      </c>
      <c r="B6799" s="1" t="n">
        <v>46092.51175925926</v>
      </c>
      <c r="C6799" s="1" t="n">
        <v>46185</v>
      </c>
      <c r="D6799" t="inlineStr">
        <is>
          <t>VÄSTERNORRLANDS LÄN</t>
        </is>
      </c>
      <c r="E6799" t="inlineStr">
        <is>
          <t>ÅNGE</t>
        </is>
      </c>
      <c r="F6799" t="inlineStr">
        <is>
          <t>SCA</t>
        </is>
      </c>
      <c r="G6799" t="n">
        <v>8.6</v>
      </c>
      <c r="H6799" t="n">
        <v>0</v>
      </c>
      <c r="I6799" t="n">
        <v>0</v>
      </c>
      <c r="J6799" t="n">
        <v>0</v>
      </c>
      <c r="K6799" t="n">
        <v>0</v>
      </c>
      <c r="L6799" t="n">
        <v>0</v>
      </c>
      <c r="M6799" t="n">
        <v>0</v>
      </c>
      <c r="N6799" t="n">
        <v>0</v>
      </c>
      <c r="O6799" t="n">
        <v>0</v>
      </c>
      <c r="P6799" t="n">
        <v>0</v>
      </c>
      <c r="Q6799" t="n">
        <v>0</v>
      </c>
      <c r="R6799" s="2" t="inlineStr"/>
    </row>
    <row r="6800" ht="15" customHeight="1">
      <c r="A6800" t="inlineStr">
        <is>
          <t>A 62651-2025</t>
        </is>
      </c>
      <c r="B6800" s="1" t="n">
        <v>46008</v>
      </c>
      <c r="C6800" s="1" t="n">
        <v>46185</v>
      </c>
      <c r="D6800" t="inlineStr">
        <is>
          <t>VÄSTERNORRLANDS LÄN</t>
        </is>
      </c>
      <c r="E6800" t="inlineStr">
        <is>
          <t>ÖRNSKÖLDSVIK</t>
        </is>
      </c>
      <c r="G6800" t="n">
        <v>31.8</v>
      </c>
      <c r="H6800" t="n">
        <v>0</v>
      </c>
      <c r="I6800" t="n">
        <v>0</v>
      </c>
      <c r="J6800" t="n">
        <v>0</v>
      </c>
      <c r="K6800" t="n">
        <v>0</v>
      </c>
      <c r="L6800" t="n">
        <v>0</v>
      </c>
      <c r="M6800" t="n">
        <v>0</v>
      </c>
      <c r="N6800" t="n">
        <v>0</v>
      </c>
      <c r="O6800" t="n">
        <v>0</v>
      </c>
      <c r="P6800" t="n">
        <v>0</v>
      </c>
      <c r="Q6800" t="n">
        <v>0</v>
      </c>
      <c r="R6800" s="2" t="inlineStr"/>
    </row>
    <row r="6801" ht="15" customHeight="1">
      <c r="A6801" t="inlineStr">
        <is>
          <t>A 57007-2022</t>
        </is>
      </c>
      <c r="B6801" s="1" t="n">
        <v>44894.9578125</v>
      </c>
      <c r="C6801" s="1" t="n">
        <v>46185</v>
      </c>
      <c r="D6801" t="inlineStr">
        <is>
          <t>VÄSTERNORRLANDS LÄN</t>
        </is>
      </c>
      <c r="E6801" t="inlineStr">
        <is>
          <t>SUNDSVALL</t>
        </is>
      </c>
      <c r="F6801" t="inlineStr">
        <is>
          <t>SCA</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13742-2026</t>
        </is>
      </c>
      <c r="B6802" s="1" t="n">
        <v>46097.63606481482</v>
      </c>
      <c r="C6802" s="1" t="n">
        <v>46185</v>
      </c>
      <c r="D6802" t="inlineStr">
        <is>
          <t>VÄSTERNORRLANDS LÄN</t>
        </is>
      </c>
      <c r="E6802" t="inlineStr">
        <is>
          <t>SUNDSVALL</t>
        </is>
      </c>
      <c r="F6802" t="inlineStr">
        <is>
          <t>SCA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13749-2026</t>
        </is>
      </c>
      <c r="B6803" s="1" t="n">
        <v>46097.63704861111</v>
      </c>
      <c r="C6803" s="1" t="n">
        <v>46185</v>
      </c>
      <c r="D6803" t="inlineStr">
        <is>
          <t>VÄSTERNORRLANDS LÄN</t>
        </is>
      </c>
      <c r="E6803" t="inlineStr">
        <is>
          <t>SUNDSVALL</t>
        </is>
      </c>
      <c r="F6803" t="inlineStr">
        <is>
          <t>SCA</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13754-2026</t>
        </is>
      </c>
      <c r="B6804" s="1" t="n">
        <v>46097.63789351852</v>
      </c>
      <c r="C6804" s="1" t="n">
        <v>46185</v>
      </c>
      <c r="D6804" t="inlineStr">
        <is>
          <t>VÄSTERNORRLANDS LÄN</t>
        </is>
      </c>
      <c r="E6804" t="inlineStr">
        <is>
          <t>SUNDSVALL</t>
        </is>
      </c>
      <c r="F6804" t="inlineStr">
        <is>
          <t>SCA</t>
        </is>
      </c>
      <c r="G6804" t="n">
        <v>7.4</v>
      </c>
      <c r="H6804" t="n">
        <v>0</v>
      </c>
      <c r="I6804" t="n">
        <v>0</v>
      </c>
      <c r="J6804" t="n">
        <v>0</v>
      </c>
      <c r="K6804" t="n">
        <v>0</v>
      </c>
      <c r="L6804" t="n">
        <v>0</v>
      </c>
      <c r="M6804" t="n">
        <v>0</v>
      </c>
      <c r="N6804" t="n">
        <v>0</v>
      </c>
      <c r="O6804" t="n">
        <v>0</v>
      </c>
      <c r="P6804" t="n">
        <v>0</v>
      </c>
      <c r="Q6804" t="n">
        <v>0</v>
      </c>
      <c r="R6804" s="2" t="inlineStr"/>
    </row>
    <row r="6805" ht="15" customHeight="1">
      <c r="A6805" t="inlineStr">
        <is>
          <t>A 46911-2021</t>
        </is>
      </c>
      <c r="B6805" s="1" t="n">
        <v>44446</v>
      </c>
      <c r="C6805" s="1" t="n">
        <v>46185</v>
      </c>
      <c r="D6805" t="inlineStr">
        <is>
          <t>VÄSTERNORRLANDS LÄN</t>
        </is>
      </c>
      <c r="E6805" t="inlineStr">
        <is>
          <t>ÖRNSKÖLDSVIK</t>
        </is>
      </c>
      <c r="G6805" t="n">
        <v>14.9</v>
      </c>
      <c r="H6805" t="n">
        <v>0</v>
      </c>
      <c r="I6805" t="n">
        <v>0</v>
      </c>
      <c r="J6805" t="n">
        <v>0</v>
      </c>
      <c r="K6805" t="n">
        <v>0</v>
      </c>
      <c r="L6805" t="n">
        <v>0</v>
      </c>
      <c r="M6805" t="n">
        <v>0</v>
      </c>
      <c r="N6805" t="n">
        <v>0</v>
      </c>
      <c r="O6805" t="n">
        <v>0</v>
      </c>
      <c r="P6805" t="n">
        <v>0</v>
      </c>
      <c r="Q6805" t="n">
        <v>0</v>
      </c>
      <c r="R6805" s="2" t="inlineStr"/>
    </row>
    <row r="6806" ht="15" customHeight="1">
      <c r="A6806" t="inlineStr">
        <is>
          <t>A 13762-2026</t>
        </is>
      </c>
      <c r="B6806" s="1" t="n">
        <v>46097</v>
      </c>
      <c r="C6806" s="1" t="n">
        <v>46185</v>
      </c>
      <c r="D6806" t="inlineStr">
        <is>
          <t>VÄSTERNORRLANDS LÄN</t>
        </is>
      </c>
      <c r="E6806" t="inlineStr">
        <is>
          <t>TIMRÅ</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13438-2026</t>
        </is>
      </c>
      <c r="B6807" s="1" t="n">
        <v>46094.49040509259</v>
      </c>
      <c r="C6807" s="1" t="n">
        <v>46185</v>
      </c>
      <c r="D6807" t="inlineStr">
        <is>
          <t>VÄSTERNORRLANDS LÄN</t>
        </is>
      </c>
      <c r="E6807" t="inlineStr">
        <is>
          <t>ÅNGE</t>
        </is>
      </c>
      <c r="F6807" t="inlineStr">
        <is>
          <t>SCA</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58275-2022</t>
        </is>
      </c>
      <c r="B6808" s="1" t="n">
        <v>44901.47865740741</v>
      </c>
      <c r="C6808" s="1" t="n">
        <v>46185</v>
      </c>
      <c r="D6808" t="inlineStr">
        <is>
          <t>VÄSTERNORRLANDS LÄN</t>
        </is>
      </c>
      <c r="E6808" t="inlineStr">
        <is>
          <t>ÅNGE</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62982-2025</t>
        </is>
      </c>
      <c r="B6809" s="1" t="n">
        <v>46009.49017361111</v>
      </c>
      <c r="C6809" s="1" t="n">
        <v>46185</v>
      </c>
      <c r="D6809" t="inlineStr">
        <is>
          <t>VÄSTERNORRLANDS LÄN</t>
        </is>
      </c>
      <c r="E6809" t="inlineStr">
        <is>
          <t>SOLLEFTEÅ</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831-2024</t>
        </is>
      </c>
      <c r="B6810" s="1" t="n">
        <v>45301</v>
      </c>
      <c r="C6810" s="1" t="n">
        <v>46185</v>
      </c>
      <c r="D6810" t="inlineStr">
        <is>
          <t>VÄSTERNORRLANDS LÄN</t>
        </is>
      </c>
      <c r="E6810" t="inlineStr">
        <is>
          <t>ÖRNSKÖLDSVIK</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28368-2023</t>
        </is>
      </c>
      <c r="B6811" s="1" t="n">
        <v>45099</v>
      </c>
      <c r="C6811" s="1" t="n">
        <v>46185</v>
      </c>
      <c r="D6811" t="inlineStr">
        <is>
          <t>VÄSTERNORRLANDS LÄN</t>
        </is>
      </c>
      <c r="E6811" t="inlineStr">
        <is>
          <t>HÄRNÖSAND</t>
        </is>
      </c>
      <c r="F6811" t="inlineStr">
        <is>
          <t>SCA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63091-2025</t>
        </is>
      </c>
      <c r="B6812" s="1" t="n">
        <v>46009.67791666667</v>
      </c>
      <c r="C6812" s="1" t="n">
        <v>46185</v>
      </c>
      <c r="D6812" t="inlineStr">
        <is>
          <t>VÄSTERNORRLANDS LÄN</t>
        </is>
      </c>
      <c r="E6812" t="inlineStr">
        <is>
          <t>KRAMFORS</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63092-2025</t>
        </is>
      </c>
      <c r="B6813" s="1" t="n">
        <v>46009.67795138889</v>
      </c>
      <c r="C6813" s="1" t="n">
        <v>46185</v>
      </c>
      <c r="D6813" t="inlineStr">
        <is>
          <t>VÄSTERNORRLANDS LÄN</t>
        </is>
      </c>
      <c r="E6813" t="inlineStr">
        <is>
          <t>ÅNGE</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13524-2026</t>
        </is>
      </c>
      <c r="B6814" s="1" t="n">
        <v>46094.63592592593</v>
      </c>
      <c r="C6814" s="1" t="n">
        <v>46185</v>
      </c>
      <c r="D6814" t="inlineStr">
        <is>
          <t>VÄSTERNORRLANDS LÄN</t>
        </is>
      </c>
      <c r="E6814" t="inlineStr">
        <is>
          <t>SUNDSVALL</t>
        </is>
      </c>
      <c r="F6814" t="inlineStr">
        <is>
          <t>SCA</t>
        </is>
      </c>
      <c r="G6814" t="n">
        <v>25.6</v>
      </c>
      <c r="H6814" t="n">
        <v>0</v>
      </c>
      <c r="I6814" t="n">
        <v>0</v>
      </c>
      <c r="J6814" t="n">
        <v>0</v>
      </c>
      <c r="K6814" t="n">
        <v>0</v>
      </c>
      <c r="L6814" t="n">
        <v>0</v>
      </c>
      <c r="M6814" t="n">
        <v>0</v>
      </c>
      <c r="N6814" t="n">
        <v>0</v>
      </c>
      <c r="O6814" t="n">
        <v>0</v>
      </c>
      <c r="P6814" t="n">
        <v>0</v>
      </c>
      <c r="Q6814" t="n">
        <v>0</v>
      </c>
      <c r="R6814" s="2" t="inlineStr"/>
    </row>
    <row r="6815" ht="15" customHeight="1">
      <c r="A6815" t="inlineStr">
        <is>
          <t>A 50355-2023</t>
        </is>
      </c>
      <c r="B6815" s="1" t="n">
        <v>45209</v>
      </c>
      <c r="C6815" s="1" t="n">
        <v>46185</v>
      </c>
      <c r="D6815" t="inlineStr">
        <is>
          <t>VÄSTERNORRLANDS LÄN</t>
        </is>
      </c>
      <c r="E6815" t="inlineStr">
        <is>
          <t>TIMRÅ</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50367-2023</t>
        </is>
      </c>
      <c r="B6816" s="1" t="n">
        <v>45216.60682870371</v>
      </c>
      <c r="C6816" s="1" t="n">
        <v>46185</v>
      </c>
      <c r="D6816" t="inlineStr">
        <is>
          <t>VÄSTERNORRLANDS LÄN</t>
        </is>
      </c>
      <c r="E6816" t="inlineStr">
        <is>
          <t>ÖRNSKÖLDSVIK</t>
        </is>
      </c>
      <c r="F6816" t="inlineStr">
        <is>
          <t>Holmen skog AB</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50205-2024</t>
        </is>
      </c>
      <c r="B6817" s="1" t="n">
        <v>45600.49386574074</v>
      </c>
      <c r="C6817" s="1" t="n">
        <v>46185</v>
      </c>
      <c r="D6817" t="inlineStr">
        <is>
          <t>VÄSTERNORRLANDS LÄN</t>
        </is>
      </c>
      <c r="E6817" t="inlineStr">
        <is>
          <t>SUNDSVALL</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63274-2025</t>
        </is>
      </c>
      <c r="B6818" s="1" t="n">
        <v>46010.57355324074</v>
      </c>
      <c r="C6818" s="1" t="n">
        <v>46185</v>
      </c>
      <c r="D6818" t="inlineStr">
        <is>
          <t>VÄSTERNORRLANDS LÄN</t>
        </is>
      </c>
      <c r="E6818" t="inlineStr">
        <is>
          <t>ÖRNSKÖLDSVIK</t>
        </is>
      </c>
      <c r="F6818" t="inlineStr">
        <is>
          <t>Holmen skog AB</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54052-2023</t>
        </is>
      </c>
      <c r="B6819" s="1" t="n">
        <v>45231.96819444445</v>
      </c>
      <c r="C6819" s="1" t="n">
        <v>46185</v>
      </c>
      <c r="D6819" t="inlineStr">
        <is>
          <t>VÄSTERNORRLANDS LÄN</t>
        </is>
      </c>
      <c r="E6819" t="inlineStr">
        <is>
          <t>SUNDSVALL</t>
        </is>
      </c>
      <c r="F6819" t="inlineStr">
        <is>
          <t>SCA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54059-2023</t>
        </is>
      </c>
      <c r="B6820" s="1" t="n">
        <v>45231.96899305555</v>
      </c>
      <c r="C6820" s="1" t="n">
        <v>46185</v>
      </c>
      <c r="D6820" t="inlineStr">
        <is>
          <t>VÄSTERNORRLANDS LÄN</t>
        </is>
      </c>
      <c r="E6820" t="inlineStr">
        <is>
          <t>SUNDSVALL</t>
        </is>
      </c>
      <c r="F6820" t="inlineStr">
        <is>
          <t>SCA</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63296-2025</t>
        </is>
      </c>
      <c r="B6821" s="1" t="n">
        <v>46010.5952662037</v>
      </c>
      <c r="C6821" s="1" t="n">
        <v>46185</v>
      </c>
      <c r="D6821" t="inlineStr">
        <is>
          <t>VÄSTERNORRLANDS LÄN</t>
        </is>
      </c>
      <c r="E6821" t="inlineStr">
        <is>
          <t>SOLLEFTEÅ</t>
        </is>
      </c>
      <c r="F6821" t="inlineStr">
        <is>
          <t>Holmen skog AB</t>
        </is>
      </c>
      <c r="G6821" t="n">
        <v>6.9</v>
      </c>
      <c r="H6821" t="n">
        <v>0</v>
      </c>
      <c r="I6821" t="n">
        <v>0</v>
      </c>
      <c r="J6821" t="n">
        <v>0</v>
      </c>
      <c r="K6821" t="n">
        <v>0</v>
      </c>
      <c r="L6821" t="n">
        <v>0</v>
      </c>
      <c r="M6821" t="n">
        <v>0</v>
      </c>
      <c r="N6821" t="n">
        <v>0</v>
      </c>
      <c r="O6821" t="n">
        <v>0</v>
      </c>
      <c r="P6821" t="n">
        <v>0</v>
      </c>
      <c r="Q6821" t="n">
        <v>0</v>
      </c>
      <c r="R6821" s="2" t="inlineStr"/>
    </row>
    <row r="6822" ht="15" customHeight="1">
      <c r="A6822" t="inlineStr">
        <is>
          <t>A 63300-2025</t>
        </is>
      </c>
      <c r="B6822" s="1" t="n">
        <v>46010.60402777778</v>
      </c>
      <c r="C6822" s="1" t="n">
        <v>46185</v>
      </c>
      <c r="D6822" t="inlineStr">
        <is>
          <t>VÄSTERNORRLANDS LÄN</t>
        </is>
      </c>
      <c r="E6822" t="inlineStr">
        <is>
          <t>ÖRNSKÖLDSVIK</t>
        </is>
      </c>
      <c r="F6822" t="inlineStr">
        <is>
          <t>Holmen skog AB</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63328-2025</t>
        </is>
      </c>
      <c r="B6823" s="1" t="n">
        <v>46010.63916666667</v>
      </c>
      <c r="C6823" s="1" t="n">
        <v>46185</v>
      </c>
      <c r="D6823" t="inlineStr">
        <is>
          <t>VÄSTERNORRLANDS LÄN</t>
        </is>
      </c>
      <c r="E6823" t="inlineStr">
        <is>
          <t>SUNDSVALL</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62981-2025</t>
        </is>
      </c>
      <c r="B6824" s="1" t="n">
        <v>46009.49001157407</v>
      </c>
      <c r="C6824" s="1" t="n">
        <v>46185</v>
      </c>
      <c r="D6824" t="inlineStr">
        <is>
          <t>VÄSTERNORRLANDS LÄN</t>
        </is>
      </c>
      <c r="E6824" t="inlineStr">
        <is>
          <t>SOLLEFTEÅ</t>
        </is>
      </c>
      <c r="F6824" t="inlineStr">
        <is>
          <t>SCA</t>
        </is>
      </c>
      <c r="G6824" t="n">
        <v>6.4</v>
      </c>
      <c r="H6824" t="n">
        <v>0</v>
      </c>
      <c r="I6824" t="n">
        <v>0</v>
      </c>
      <c r="J6824" t="n">
        <v>0</v>
      </c>
      <c r="K6824" t="n">
        <v>0</v>
      </c>
      <c r="L6824" t="n">
        <v>0</v>
      </c>
      <c r="M6824" t="n">
        <v>0</v>
      </c>
      <c r="N6824" t="n">
        <v>0</v>
      </c>
      <c r="O6824" t="n">
        <v>0</v>
      </c>
      <c r="P6824" t="n">
        <v>0</v>
      </c>
      <c r="Q6824" t="n">
        <v>0</v>
      </c>
      <c r="R6824" s="2" t="inlineStr"/>
    </row>
    <row r="6825" ht="15" customHeight="1">
      <c r="A6825" t="inlineStr">
        <is>
          <t>A 62902-2025</t>
        </is>
      </c>
      <c r="B6825" s="1" t="n">
        <v>46009.34462962963</v>
      </c>
      <c r="C6825" s="1" t="n">
        <v>46185</v>
      </c>
      <c r="D6825" t="inlineStr">
        <is>
          <t>VÄSTERNORRLANDS LÄN</t>
        </is>
      </c>
      <c r="E6825" t="inlineStr">
        <is>
          <t>SOLLEFTEÅ</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63090-2025</t>
        </is>
      </c>
      <c r="B6826" s="1" t="n">
        <v>46009.67790509259</v>
      </c>
      <c r="C6826" s="1" t="n">
        <v>46185</v>
      </c>
      <c r="D6826" t="inlineStr">
        <is>
          <t>VÄSTERNORRLANDS LÄN</t>
        </is>
      </c>
      <c r="E6826" t="inlineStr">
        <is>
          <t>KRAMFORS</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63097-2025</t>
        </is>
      </c>
      <c r="B6827" s="1" t="n">
        <v>46009.69244212963</v>
      </c>
      <c r="C6827" s="1" t="n">
        <v>46185</v>
      </c>
      <c r="D6827" t="inlineStr">
        <is>
          <t>VÄSTERNORRLANDS LÄN</t>
        </is>
      </c>
      <c r="E6827" t="inlineStr">
        <is>
          <t>ÖRNSKÖLDSVIK</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59335-2022</t>
        </is>
      </c>
      <c r="B6828" s="1" t="n">
        <v>44904.658125</v>
      </c>
      <c r="C6828" s="1" t="n">
        <v>46185</v>
      </c>
      <c r="D6828" t="inlineStr">
        <is>
          <t>VÄSTERNORRLANDS LÄN</t>
        </is>
      </c>
      <c r="E6828" t="inlineStr">
        <is>
          <t>SUNDSVALL</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61828-2024</t>
        </is>
      </c>
      <c r="B6829" s="1" t="n">
        <v>45649.62344907408</v>
      </c>
      <c r="C6829" s="1" t="n">
        <v>46185</v>
      </c>
      <c r="D6829" t="inlineStr">
        <is>
          <t>VÄSTERNORRLANDS LÄN</t>
        </is>
      </c>
      <c r="E6829" t="inlineStr">
        <is>
          <t>HÄRNÖSAND</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63273-2025</t>
        </is>
      </c>
      <c r="B6830" s="1" t="n">
        <v>46010.57322916666</v>
      </c>
      <c r="C6830" s="1" t="n">
        <v>46185</v>
      </c>
      <c r="D6830" t="inlineStr">
        <is>
          <t>VÄSTERNORRLANDS LÄN</t>
        </is>
      </c>
      <c r="E6830" t="inlineStr">
        <is>
          <t>SOLLEFTEÅ</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63728-2025</t>
        </is>
      </c>
      <c r="B6831" s="1" t="n">
        <v>46010</v>
      </c>
      <c r="C6831" s="1" t="n">
        <v>46185</v>
      </c>
      <c r="D6831" t="inlineStr">
        <is>
          <t>VÄSTERNORRLANDS LÄN</t>
        </is>
      </c>
      <c r="E6831" t="inlineStr">
        <is>
          <t>SOLLEFTEÅ</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26229-2024</t>
        </is>
      </c>
      <c r="B6832" s="1" t="n">
        <v>45468.6143287037</v>
      </c>
      <c r="C6832" s="1" t="n">
        <v>46185</v>
      </c>
      <c r="D6832" t="inlineStr">
        <is>
          <t>VÄSTERNORRLANDS LÄN</t>
        </is>
      </c>
      <c r="E6832" t="inlineStr">
        <is>
          <t>SUNDSVALL</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63304-2025</t>
        </is>
      </c>
      <c r="B6833" s="1" t="n">
        <v>46010.61121527778</v>
      </c>
      <c r="C6833" s="1" t="n">
        <v>46185</v>
      </c>
      <c r="D6833" t="inlineStr">
        <is>
          <t>VÄSTERNORRLANDS LÄN</t>
        </is>
      </c>
      <c r="E6833" t="inlineStr">
        <is>
          <t>ÖRNSKÖLDSVIK</t>
        </is>
      </c>
      <c r="F6833" t="inlineStr">
        <is>
          <t>Holmen skog AB</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63308-2025</t>
        </is>
      </c>
      <c r="B6834" s="1" t="n">
        <v>46010.61702546296</v>
      </c>
      <c r="C6834" s="1" t="n">
        <v>46185</v>
      </c>
      <c r="D6834" t="inlineStr">
        <is>
          <t>VÄSTERNORRLANDS LÄN</t>
        </is>
      </c>
      <c r="E6834" t="inlineStr">
        <is>
          <t>ÖRNSKÖLDSVIK</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63099-2025</t>
        </is>
      </c>
      <c r="B6835" s="1" t="n">
        <v>46009.69833333333</v>
      </c>
      <c r="C6835" s="1" t="n">
        <v>46185</v>
      </c>
      <c r="D6835" t="inlineStr">
        <is>
          <t>VÄSTERNORRLANDS LÄN</t>
        </is>
      </c>
      <c r="E6835" t="inlineStr">
        <is>
          <t>KRAMFORS</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62926-2025</t>
        </is>
      </c>
      <c r="B6836" s="1" t="n">
        <v>46009.38605324074</v>
      </c>
      <c r="C6836" s="1" t="n">
        <v>46185</v>
      </c>
      <c r="D6836" t="inlineStr">
        <is>
          <t>VÄSTERNORRLANDS LÄN</t>
        </is>
      </c>
      <c r="E6836" t="inlineStr">
        <is>
          <t>KRAMFORS</t>
        </is>
      </c>
      <c r="G6836" t="n">
        <v>4.9</v>
      </c>
      <c r="H6836" t="n">
        <v>0</v>
      </c>
      <c r="I6836" t="n">
        <v>0</v>
      </c>
      <c r="J6836" t="n">
        <v>0</v>
      </c>
      <c r="K6836" t="n">
        <v>0</v>
      </c>
      <c r="L6836" t="n">
        <v>0</v>
      </c>
      <c r="M6836" t="n">
        <v>0</v>
      </c>
      <c r="N6836" t="n">
        <v>0</v>
      </c>
      <c r="O6836" t="n">
        <v>0</v>
      </c>
      <c r="P6836" t="n">
        <v>0</v>
      </c>
      <c r="Q6836" t="n">
        <v>0</v>
      </c>
      <c r="R6836" s="2" t="inlineStr"/>
    </row>
    <row r="6837" ht="15" customHeight="1">
      <c r="A6837" t="inlineStr">
        <is>
          <t>A 63311-2025</t>
        </is>
      </c>
      <c r="B6837" s="1" t="n">
        <v>46010.62244212963</v>
      </c>
      <c r="C6837" s="1" t="n">
        <v>46185</v>
      </c>
      <c r="D6837" t="inlineStr">
        <is>
          <t>VÄSTERNORRLANDS LÄN</t>
        </is>
      </c>
      <c r="E6837" t="inlineStr">
        <is>
          <t>ÖRNSKÖLDSVIK</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34800-2024</t>
        </is>
      </c>
      <c r="B6838" s="1" t="n">
        <v>45526.68189814815</v>
      </c>
      <c r="C6838" s="1" t="n">
        <v>46185</v>
      </c>
      <c r="D6838" t="inlineStr">
        <is>
          <t>VÄSTERNORRLANDS LÄN</t>
        </is>
      </c>
      <c r="E6838" t="inlineStr">
        <is>
          <t>ÖRNSKÖLDSVIK</t>
        </is>
      </c>
      <c r="F6838" t="inlineStr">
        <is>
          <t>Holmen skog AB</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63316-2025</t>
        </is>
      </c>
      <c r="B6839" s="1" t="n">
        <v>46010.63252314815</v>
      </c>
      <c r="C6839" s="1" t="n">
        <v>46185</v>
      </c>
      <c r="D6839" t="inlineStr">
        <is>
          <t>VÄSTERNORRLANDS LÄN</t>
        </is>
      </c>
      <c r="E6839" t="inlineStr">
        <is>
          <t>SUNDSVALL</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63278-2025</t>
        </is>
      </c>
      <c r="B6840" s="1" t="n">
        <v>46010.58253472222</v>
      </c>
      <c r="C6840" s="1" t="n">
        <v>46185</v>
      </c>
      <c r="D6840" t="inlineStr">
        <is>
          <t>VÄSTERNORRLANDS LÄN</t>
        </is>
      </c>
      <c r="E6840" t="inlineStr">
        <is>
          <t>ÖRNSKÖLDSVIK</t>
        </is>
      </c>
      <c r="G6840" t="n">
        <v>9.4</v>
      </c>
      <c r="H6840" t="n">
        <v>0</v>
      </c>
      <c r="I6840" t="n">
        <v>0</v>
      </c>
      <c r="J6840" t="n">
        <v>0</v>
      </c>
      <c r="K6840" t="n">
        <v>0</v>
      </c>
      <c r="L6840" t="n">
        <v>0</v>
      </c>
      <c r="M6840" t="n">
        <v>0</v>
      </c>
      <c r="N6840" t="n">
        <v>0</v>
      </c>
      <c r="O6840" t="n">
        <v>0</v>
      </c>
      <c r="P6840" t="n">
        <v>0</v>
      </c>
      <c r="Q6840" t="n">
        <v>0</v>
      </c>
      <c r="R6840" s="2" t="inlineStr"/>
    </row>
    <row r="6841" ht="15" customHeight="1">
      <c r="A6841" t="inlineStr">
        <is>
          <t>A 63282-2025</t>
        </is>
      </c>
      <c r="B6841" s="1" t="n">
        <v>46010.58715277778</v>
      </c>
      <c r="C6841" s="1" t="n">
        <v>46185</v>
      </c>
      <c r="D6841" t="inlineStr">
        <is>
          <t>VÄSTERNORRLANDS LÄN</t>
        </is>
      </c>
      <c r="E6841" t="inlineStr">
        <is>
          <t>ÖRNSKÖLDSVIK</t>
        </is>
      </c>
      <c r="F6841" t="inlineStr">
        <is>
          <t>Holmen skog AB</t>
        </is>
      </c>
      <c r="G6841" t="n">
        <v>6.7</v>
      </c>
      <c r="H6841" t="n">
        <v>0</v>
      </c>
      <c r="I6841" t="n">
        <v>0</v>
      </c>
      <c r="J6841" t="n">
        <v>0</v>
      </c>
      <c r="K6841" t="n">
        <v>0</v>
      </c>
      <c r="L6841" t="n">
        <v>0</v>
      </c>
      <c r="M6841" t="n">
        <v>0</v>
      </c>
      <c r="N6841" t="n">
        <v>0</v>
      </c>
      <c r="O6841" t="n">
        <v>0</v>
      </c>
      <c r="P6841" t="n">
        <v>0</v>
      </c>
      <c r="Q6841" t="n">
        <v>0</v>
      </c>
      <c r="R6841" s="2" t="inlineStr"/>
    </row>
    <row r="6842" ht="15" customHeight="1">
      <c r="A6842" t="inlineStr">
        <is>
          <t>A 29197-2023</t>
        </is>
      </c>
      <c r="B6842" s="1" t="n">
        <v>45097</v>
      </c>
      <c r="C6842" s="1" t="n">
        <v>46185</v>
      </c>
      <c r="D6842" t="inlineStr">
        <is>
          <t>VÄSTERNORRLANDS LÄN</t>
        </is>
      </c>
      <c r="E6842" t="inlineStr">
        <is>
          <t>SOLLEFTEÅ</t>
        </is>
      </c>
      <c r="G6842" t="n">
        <v>6.7</v>
      </c>
      <c r="H6842" t="n">
        <v>0</v>
      </c>
      <c r="I6842" t="n">
        <v>0</v>
      </c>
      <c r="J6842" t="n">
        <v>0</v>
      </c>
      <c r="K6842" t="n">
        <v>0</v>
      </c>
      <c r="L6842" t="n">
        <v>0</v>
      </c>
      <c r="M6842" t="n">
        <v>0</v>
      </c>
      <c r="N6842" t="n">
        <v>0</v>
      </c>
      <c r="O6842" t="n">
        <v>0</v>
      </c>
      <c r="P6842" t="n">
        <v>0</v>
      </c>
      <c r="Q6842" t="n">
        <v>0</v>
      </c>
      <c r="R6842" s="2" t="inlineStr"/>
    </row>
    <row r="6843" ht="15" customHeight="1">
      <c r="A6843" t="inlineStr">
        <is>
          <t>A 29210-2023</t>
        </is>
      </c>
      <c r="B6843" s="1" t="n">
        <v>45097</v>
      </c>
      <c r="C6843" s="1" t="n">
        <v>46185</v>
      </c>
      <c r="D6843" t="inlineStr">
        <is>
          <t>VÄSTERNORRLANDS LÄN</t>
        </is>
      </c>
      <c r="E6843" t="inlineStr">
        <is>
          <t>SOLLEFTEÅ</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17902-2024</t>
        </is>
      </c>
      <c r="B6844" s="1" t="n">
        <v>45419</v>
      </c>
      <c r="C6844" s="1" t="n">
        <v>46185</v>
      </c>
      <c r="D6844" t="inlineStr">
        <is>
          <t>VÄSTERNORRLANDS LÄN</t>
        </is>
      </c>
      <c r="E6844" t="inlineStr">
        <is>
          <t>SUNDSVALL</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59402-2025</t>
        </is>
      </c>
      <c r="B6845" s="1" t="n">
        <v>45989</v>
      </c>
      <c r="C6845" s="1" t="n">
        <v>46185</v>
      </c>
      <c r="D6845" t="inlineStr">
        <is>
          <t>VÄSTERNORRLANDS LÄN</t>
        </is>
      </c>
      <c r="E6845" t="inlineStr">
        <is>
          <t>SOLLEFTEÅ</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62972-2025</t>
        </is>
      </c>
      <c r="B6846" s="1" t="n">
        <v>46009.46590277777</v>
      </c>
      <c r="C6846" s="1" t="n">
        <v>46185</v>
      </c>
      <c r="D6846" t="inlineStr">
        <is>
          <t>VÄSTERNORRLANDS LÄN</t>
        </is>
      </c>
      <c r="E6846" t="inlineStr">
        <is>
          <t>SUNDSVALL</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62903-2025</t>
        </is>
      </c>
      <c r="B6847" s="1" t="n">
        <v>46009.34466435185</v>
      </c>
      <c r="C6847" s="1" t="n">
        <v>46185</v>
      </c>
      <c r="D6847" t="inlineStr">
        <is>
          <t>VÄSTERNORRLANDS LÄN</t>
        </is>
      </c>
      <c r="E6847" t="inlineStr">
        <is>
          <t>SOLLEFTEÅ</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62911-2025</t>
        </is>
      </c>
      <c r="B6848" s="1" t="n">
        <v>46009</v>
      </c>
      <c r="C6848" s="1" t="n">
        <v>46185</v>
      </c>
      <c r="D6848" t="inlineStr">
        <is>
          <t>VÄSTERNORRLANDS LÄN</t>
        </is>
      </c>
      <c r="E6848" t="inlineStr">
        <is>
          <t>KRAMFORS</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63216-2025</t>
        </is>
      </c>
      <c r="B6849" s="1" t="n">
        <v>46010</v>
      </c>
      <c r="C6849" s="1" t="n">
        <v>46185</v>
      </c>
      <c r="D6849" t="inlineStr">
        <is>
          <t>VÄSTERNORRLANDS LÄN</t>
        </is>
      </c>
      <c r="E6849" t="inlineStr">
        <is>
          <t>ÖRNSKÖLDSVIK</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23944-2023</t>
        </is>
      </c>
      <c r="B6850" s="1" t="n">
        <v>45078</v>
      </c>
      <c r="C6850" s="1" t="n">
        <v>46185</v>
      </c>
      <c r="D6850" t="inlineStr">
        <is>
          <t>VÄSTERNORRLANDS LÄN</t>
        </is>
      </c>
      <c r="E6850" t="inlineStr">
        <is>
          <t>ÖRNSKÖLDSVIK</t>
        </is>
      </c>
      <c r="F6850" t="inlineStr">
        <is>
          <t>Holmen skog AB</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21630-2023</t>
        </is>
      </c>
      <c r="B6851" s="1" t="n">
        <v>45063</v>
      </c>
      <c r="C6851" s="1" t="n">
        <v>46185</v>
      </c>
      <c r="D6851" t="inlineStr">
        <is>
          <t>VÄSTERNORRLANDS LÄN</t>
        </is>
      </c>
      <c r="E6851" t="inlineStr">
        <is>
          <t>SUNDSVALL</t>
        </is>
      </c>
      <c r="G6851" t="n">
        <v>9</v>
      </c>
      <c r="H6851" t="n">
        <v>0</v>
      </c>
      <c r="I6851" t="n">
        <v>0</v>
      </c>
      <c r="J6851" t="n">
        <v>0</v>
      </c>
      <c r="K6851" t="n">
        <v>0</v>
      </c>
      <c r="L6851" t="n">
        <v>0</v>
      </c>
      <c r="M6851" t="n">
        <v>0</v>
      </c>
      <c r="N6851" t="n">
        <v>0</v>
      </c>
      <c r="O6851" t="n">
        <v>0</v>
      </c>
      <c r="P6851" t="n">
        <v>0</v>
      </c>
      <c r="Q6851" t="n">
        <v>0</v>
      </c>
      <c r="R6851" s="2" t="inlineStr"/>
    </row>
    <row r="6852" ht="15" customHeight="1">
      <c r="A6852" t="inlineStr">
        <is>
          <t>A 53074-2025</t>
        </is>
      </c>
      <c r="B6852" s="1" t="n">
        <v>45958</v>
      </c>
      <c r="C6852" s="1" t="n">
        <v>46185</v>
      </c>
      <c r="D6852" t="inlineStr">
        <is>
          <t>VÄSTERNORRLANDS LÄN</t>
        </is>
      </c>
      <c r="E6852" t="inlineStr">
        <is>
          <t>ÖRNSKÖLDSVIK</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40207-2024</t>
        </is>
      </c>
      <c r="B6853" s="1" t="n">
        <v>45554.5925462963</v>
      </c>
      <c r="C6853" s="1" t="n">
        <v>46185</v>
      </c>
      <c r="D6853" t="inlineStr">
        <is>
          <t>VÄSTERNORRLANDS LÄN</t>
        </is>
      </c>
      <c r="E6853" t="inlineStr">
        <is>
          <t>ÖRNSKÖLDSVIK</t>
        </is>
      </c>
      <c r="F6853" t="inlineStr">
        <is>
          <t>Holmen skog AB</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62937-2025</t>
        </is>
      </c>
      <c r="B6854" s="1" t="n">
        <v>46009.41844907407</v>
      </c>
      <c r="C6854" s="1" t="n">
        <v>46185</v>
      </c>
      <c r="D6854" t="inlineStr">
        <is>
          <t>VÄSTERNORRLANDS LÄN</t>
        </is>
      </c>
      <c r="E6854" t="inlineStr">
        <is>
          <t>SUNDSVALL</t>
        </is>
      </c>
      <c r="G6854" t="n">
        <v>5.6</v>
      </c>
      <c r="H6854" t="n">
        <v>0</v>
      </c>
      <c r="I6854" t="n">
        <v>0</v>
      </c>
      <c r="J6854" t="n">
        <v>0</v>
      </c>
      <c r="K6854" t="n">
        <v>0</v>
      </c>
      <c r="L6854" t="n">
        <v>0</v>
      </c>
      <c r="M6854" t="n">
        <v>0</v>
      </c>
      <c r="N6854" t="n">
        <v>0</v>
      </c>
      <c r="O6854" t="n">
        <v>0</v>
      </c>
      <c r="P6854" t="n">
        <v>0</v>
      </c>
      <c r="Q6854" t="n">
        <v>0</v>
      </c>
      <c r="R6854" s="2" t="inlineStr"/>
    </row>
    <row r="6855" ht="15" customHeight="1">
      <c r="A6855" t="inlineStr">
        <is>
          <t>A 62904-2025</t>
        </is>
      </c>
      <c r="B6855" s="1" t="n">
        <v>46009.34849537037</v>
      </c>
      <c r="C6855" s="1" t="n">
        <v>46185</v>
      </c>
      <c r="D6855" t="inlineStr">
        <is>
          <t>VÄSTERNORRLANDS LÄN</t>
        </is>
      </c>
      <c r="E6855" t="inlineStr">
        <is>
          <t>HÄRNÖSAND</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4095-2023</t>
        </is>
      </c>
      <c r="B6856" s="1" t="n">
        <v>44952</v>
      </c>
      <c r="C6856" s="1" t="n">
        <v>46185</v>
      </c>
      <c r="D6856" t="inlineStr">
        <is>
          <t>VÄSTERNORRLANDS LÄN</t>
        </is>
      </c>
      <c r="E6856" t="inlineStr">
        <is>
          <t>ÅNGE</t>
        </is>
      </c>
      <c r="G6856" t="n">
        <v>13.4</v>
      </c>
      <c r="H6856" t="n">
        <v>0</v>
      </c>
      <c r="I6856" t="n">
        <v>0</v>
      </c>
      <c r="J6856" t="n">
        <v>0</v>
      </c>
      <c r="K6856" t="n">
        <v>0</v>
      </c>
      <c r="L6856" t="n">
        <v>0</v>
      </c>
      <c r="M6856" t="n">
        <v>0</v>
      </c>
      <c r="N6856" t="n">
        <v>0</v>
      </c>
      <c r="O6856" t="n">
        <v>0</v>
      </c>
      <c r="P6856" t="n">
        <v>0</v>
      </c>
      <c r="Q6856" t="n">
        <v>0</v>
      </c>
      <c r="R6856" s="2" t="inlineStr"/>
    </row>
    <row r="6857" ht="15" customHeight="1">
      <c r="A6857" t="inlineStr">
        <is>
          <t>A 63652-2023</t>
        </is>
      </c>
      <c r="B6857" s="1" t="n">
        <v>45275</v>
      </c>
      <c r="C6857" s="1" t="n">
        <v>46185</v>
      </c>
      <c r="D6857" t="inlineStr">
        <is>
          <t>VÄSTERNORRLANDS LÄN</t>
        </is>
      </c>
      <c r="E6857" t="inlineStr">
        <is>
          <t>SOLLEFTEÅ</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63109-2025</t>
        </is>
      </c>
      <c r="B6858" s="1" t="n">
        <v>46009.74861111111</v>
      </c>
      <c r="C6858" s="1" t="n">
        <v>46185</v>
      </c>
      <c r="D6858" t="inlineStr">
        <is>
          <t>VÄSTERNORRLANDS LÄN</t>
        </is>
      </c>
      <c r="E6858" t="inlineStr">
        <is>
          <t>ÖRNSKÖLDSVIK</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52220-2022</t>
        </is>
      </c>
      <c r="B6859" s="1" t="n">
        <v>44869</v>
      </c>
      <c r="C6859" s="1" t="n">
        <v>46185</v>
      </c>
      <c r="D6859" t="inlineStr">
        <is>
          <t>VÄSTERNORRLANDS LÄN</t>
        </is>
      </c>
      <c r="E6859" t="inlineStr">
        <is>
          <t>TIMRÅ</t>
        </is>
      </c>
      <c r="G6859" t="n">
        <v>5.5</v>
      </c>
      <c r="H6859" t="n">
        <v>0</v>
      </c>
      <c r="I6859" t="n">
        <v>0</v>
      </c>
      <c r="J6859" t="n">
        <v>0</v>
      </c>
      <c r="K6859" t="n">
        <v>0</v>
      </c>
      <c r="L6859" t="n">
        <v>0</v>
      </c>
      <c r="M6859" t="n">
        <v>0</v>
      </c>
      <c r="N6859" t="n">
        <v>0</v>
      </c>
      <c r="O6859" t="n">
        <v>0</v>
      </c>
      <c r="P6859" t="n">
        <v>0</v>
      </c>
      <c r="Q6859" t="n">
        <v>0</v>
      </c>
      <c r="R6859" s="2" t="inlineStr"/>
    </row>
    <row r="6860" ht="15" customHeight="1">
      <c r="A6860" t="inlineStr">
        <is>
          <t>A 13740-2026</t>
        </is>
      </c>
      <c r="B6860" s="1" t="n">
        <v>46097.63398148148</v>
      </c>
      <c r="C6860" s="1" t="n">
        <v>46185</v>
      </c>
      <c r="D6860" t="inlineStr">
        <is>
          <t>VÄSTERNORRLANDS LÄN</t>
        </is>
      </c>
      <c r="E6860" t="inlineStr">
        <is>
          <t>TIMRÅ</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63257-2025</t>
        </is>
      </c>
      <c r="B6861" s="1" t="n">
        <v>46010.55528935185</v>
      </c>
      <c r="C6861" s="1" t="n">
        <v>46185</v>
      </c>
      <c r="D6861" t="inlineStr">
        <is>
          <t>VÄSTERNORRLANDS LÄN</t>
        </is>
      </c>
      <c r="E6861" t="inlineStr">
        <is>
          <t>ÖRNSKÖLDSVIK</t>
        </is>
      </c>
      <c r="G6861" t="n">
        <v>8.300000000000001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63317-2025</t>
        </is>
      </c>
      <c r="B6862" s="1" t="n">
        <v>46010.63416666666</v>
      </c>
      <c r="C6862" s="1" t="n">
        <v>46185</v>
      </c>
      <c r="D6862" t="inlineStr">
        <is>
          <t>VÄSTERNORRLANDS LÄN</t>
        </is>
      </c>
      <c r="E6862" t="inlineStr">
        <is>
          <t>ÖRNSKÖLDSVIK</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63281-2025</t>
        </is>
      </c>
      <c r="B6863" s="1" t="n">
        <v>46010.58609953704</v>
      </c>
      <c r="C6863" s="1" t="n">
        <v>46185</v>
      </c>
      <c r="D6863" t="inlineStr">
        <is>
          <t>VÄSTERNORRLANDS LÄN</t>
        </is>
      </c>
      <c r="E6863" t="inlineStr">
        <is>
          <t>ÖRNSKÖLDSVIK</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13348-2026</t>
        </is>
      </c>
      <c r="B6864" s="1" t="n">
        <v>46094.38215277778</v>
      </c>
      <c r="C6864" s="1" t="n">
        <v>46185</v>
      </c>
      <c r="D6864" t="inlineStr">
        <is>
          <t>VÄSTERNORRLANDS LÄN</t>
        </is>
      </c>
      <c r="E6864" t="inlineStr">
        <is>
          <t>TIMRÅ</t>
        </is>
      </c>
      <c r="G6864" t="n">
        <v>6.5</v>
      </c>
      <c r="H6864" t="n">
        <v>0</v>
      </c>
      <c r="I6864" t="n">
        <v>0</v>
      </c>
      <c r="J6864" t="n">
        <v>0</v>
      </c>
      <c r="K6864" t="n">
        <v>0</v>
      </c>
      <c r="L6864" t="n">
        <v>0</v>
      </c>
      <c r="M6864" t="n">
        <v>0</v>
      </c>
      <c r="N6864" t="n">
        <v>0</v>
      </c>
      <c r="O6864" t="n">
        <v>0</v>
      </c>
      <c r="P6864" t="n">
        <v>0</v>
      </c>
      <c r="Q6864" t="n">
        <v>0</v>
      </c>
      <c r="R6864" s="2" t="inlineStr"/>
    </row>
    <row r="6865" ht="15" customHeight="1">
      <c r="A6865" t="inlineStr">
        <is>
          <t>A 13352-2026</t>
        </is>
      </c>
      <c r="B6865" s="1" t="n">
        <v>46094.38611111111</v>
      </c>
      <c r="C6865" s="1" t="n">
        <v>46185</v>
      </c>
      <c r="D6865" t="inlineStr">
        <is>
          <t>VÄSTERNORRLANDS LÄN</t>
        </is>
      </c>
      <c r="E6865" t="inlineStr">
        <is>
          <t>ÅNGE</t>
        </is>
      </c>
      <c r="F6865" t="inlineStr">
        <is>
          <t>SCA</t>
        </is>
      </c>
      <c r="G6865" t="n">
        <v>7.1</v>
      </c>
      <c r="H6865" t="n">
        <v>0</v>
      </c>
      <c r="I6865" t="n">
        <v>0</v>
      </c>
      <c r="J6865" t="n">
        <v>0</v>
      </c>
      <c r="K6865" t="n">
        <v>0</v>
      </c>
      <c r="L6865" t="n">
        <v>0</v>
      </c>
      <c r="M6865" t="n">
        <v>0</v>
      </c>
      <c r="N6865" t="n">
        <v>0</v>
      </c>
      <c r="O6865" t="n">
        <v>0</v>
      </c>
      <c r="P6865" t="n">
        <v>0</v>
      </c>
      <c r="Q6865" t="n">
        <v>0</v>
      </c>
      <c r="R6865" s="2" t="inlineStr"/>
    </row>
    <row r="6866" ht="15" customHeight="1">
      <c r="A6866" t="inlineStr">
        <is>
          <t>A 60786-2021</t>
        </is>
      </c>
      <c r="B6866" s="1" t="n">
        <v>44496</v>
      </c>
      <c r="C6866" s="1" t="n">
        <v>46185</v>
      </c>
      <c r="D6866" t="inlineStr">
        <is>
          <t>VÄSTERNORRLANDS LÄN</t>
        </is>
      </c>
      <c r="E6866" t="inlineStr">
        <is>
          <t>ÖRNSKÖLDSVIK</t>
        </is>
      </c>
      <c r="F6866" t="inlineStr">
        <is>
          <t>SCA</t>
        </is>
      </c>
      <c r="G6866" t="n">
        <v>7.2</v>
      </c>
      <c r="H6866" t="n">
        <v>0</v>
      </c>
      <c r="I6866" t="n">
        <v>0</v>
      </c>
      <c r="J6866" t="n">
        <v>0</v>
      </c>
      <c r="K6866" t="n">
        <v>0</v>
      </c>
      <c r="L6866" t="n">
        <v>0</v>
      </c>
      <c r="M6866" t="n">
        <v>0</v>
      </c>
      <c r="N6866" t="n">
        <v>0</v>
      </c>
      <c r="O6866" t="n">
        <v>0</v>
      </c>
      <c r="P6866" t="n">
        <v>0</v>
      </c>
      <c r="Q6866" t="n">
        <v>0</v>
      </c>
      <c r="R6866" s="2" t="inlineStr"/>
    </row>
    <row r="6867" ht="15" customHeight="1">
      <c r="A6867" t="inlineStr">
        <is>
          <t>A 62901-2025</t>
        </is>
      </c>
      <c r="B6867" s="1" t="n">
        <v>46009.34457175926</v>
      </c>
      <c r="C6867" s="1" t="n">
        <v>46185</v>
      </c>
      <c r="D6867" t="inlineStr">
        <is>
          <t>VÄSTERNORRLANDS LÄN</t>
        </is>
      </c>
      <c r="E6867" t="inlineStr">
        <is>
          <t>SOLLEFTEÅ</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58702-2025</t>
        </is>
      </c>
      <c r="B6868" s="1" t="n">
        <v>45986</v>
      </c>
      <c r="C6868" s="1" t="n">
        <v>46185</v>
      </c>
      <c r="D6868" t="inlineStr">
        <is>
          <t>VÄSTERNORRLANDS LÄN</t>
        </is>
      </c>
      <c r="E6868" t="inlineStr">
        <is>
          <t>ÖRNSKÖLDSVIK</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7005-2023</t>
        </is>
      </c>
      <c r="B6869" s="1" t="n">
        <v>44967.92928240741</v>
      </c>
      <c r="C6869" s="1" t="n">
        <v>46185</v>
      </c>
      <c r="D6869" t="inlineStr">
        <is>
          <t>VÄSTERNORRLANDS LÄN</t>
        </is>
      </c>
      <c r="E6869" t="inlineStr">
        <is>
          <t>SUNDSVALL</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62336-2025</t>
        </is>
      </c>
      <c r="B6870" s="1" t="n">
        <v>46006</v>
      </c>
      <c r="C6870" s="1" t="n">
        <v>46185</v>
      </c>
      <c r="D6870" t="inlineStr">
        <is>
          <t>VÄSTERNORRLANDS LÄN</t>
        </is>
      </c>
      <c r="E6870" t="inlineStr">
        <is>
          <t>ÅNGE</t>
        </is>
      </c>
      <c r="G6870" t="n">
        <v>13.4</v>
      </c>
      <c r="H6870" t="n">
        <v>0</v>
      </c>
      <c r="I6870" t="n">
        <v>0</v>
      </c>
      <c r="J6870" t="n">
        <v>0</v>
      </c>
      <c r="K6870" t="n">
        <v>0</v>
      </c>
      <c r="L6870" t="n">
        <v>0</v>
      </c>
      <c r="M6870" t="n">
        <v>0</v>
      </c>
      <c r="N6870" t="n">
        <v>0</v>
      </c>
      <c r="O6870" t="n">
        <v>0</v>
      </c>
      <c r="P6870" t="n">
        <v>0</v>
      </c>
      <c r="Q6870" t="n">
        <v>0</v>
      </c>
      <c r="R6870" s="2" t="inlineStr"/>
    </row>
    <row r="6871" ht="15" customHeight="1">
      <c r="A6871" t="inlineStr">
        <is>
          <t>A 62900-2025</t>
        </is>
      </c>
      <c r="B6871" s="1" t="n">
        <v>46009.34457175926</v>
      </c>
      <c r="C6871" s="1" t="n">
        <v>46185</v>
      </c>
      <c r="D6871" t="inlineStr">
        <is>
          <t>VÄSTERNORRLANDS LÄN</t>
        </is>
      </c>
      <c r="E6871" t="inlineStr">
        <is>
          <t>SOLLEFTEÅ</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16763-2025</t>
        </is>
      </c>
      <c r="B6872" s="1" t="n">
        <v>45754</v>
      </c>
      <c r="C6872" s="1" t="n">
        <v>46185</v>
      </c>
      <c r="D6872" t="inlineStr">
        <is>
          <t>VÄSTERNORRLANDS LÄN</t>
        </is>
      </c>
      <c r="E6872" t="inlineStr">
        <is>
          <t>KRAMFORS</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63594-2025</t>
        </is>
      </c>
      <c r="B6873" s="1" t="n">
        <v>46013</v>
      </c>
      <c r="C6873" s="1" t="n">
        <v>46185</v>
      </c>
      <c r="D6873" t="inlineStr">
        <is>
          <t>VÄSTERNORRLANDS LÄN</t>
        </is>
      </c>
      <c r="E6873" t="inlineStr">
        <is>
          <t>SUNDSVALL</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36034-2023</t>
        </is>
      </c>
      <c r="B6874" s="1" t="n">
        <v>45148</v>
      </c>
      <c r="C6874" s="1" t="n">
        <v>46185</v>
      </c>
      <c r="D6874" t="inlineStr">
        <is>
          <t>VÄSTERNORRLANDS LÄN</t>
        </is>
      </c>
      <c r="E6874" t="inlineStr">
        <is>
          <t>KRAMFORS</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63446-2025</t>
        </is>
      </c>
      <c r="B6875" s="1" t="n">
        <v>46013.40040509259</v>
      </c>
      <c r="C6875" s="1" t="n">
        <v>46185</v>
      </c>
      <c r="D6875" t="inlineStr">
        <is>
          <t>VÄSTERNORRLANDS LÄN</t>
        </is>
      </c>
      <c r="E6875" t="inlineStr">
        <is>
          <t>SUNDSVALL</t>
        </is>
      </c>
      <c r="G6875" t="n">
        <v>6.1</v>
      </c>
      <c r="H6875" t="n">
        <v>0</v>
      </c>
      <c r="I6875" t="n">
        <v>0</v>
      </c>
      <c r="J6875" t="n">
        <v>0</v>
      </c>
      <c r="K6875" t="n">
        <v>0</v>
      </c>
      <c r="L6875" t="n">
        <v>0</v>
      </c>
      <c r="M6875" t="n">
        <v>0</v>
      </c>
      <c r="N6875" t="n">
        <v>0</v>
      </c>
      <c r="O6875" t="n">
        <v>0</v>
      </c>
      <c r="P6875" t="n">
        <v>0</v>
      </c>
      <c r="Q6875" t="n">
        <v>0</v>
      </c>
      <c r="R6875" s="2" t="inlineStr"/>
    </row>
    <row r="6876" ht="15" customHeight="1">
      <c r="A6876" t="inlineStr">
        <is>
          <t>A 13606-2026</t>
        </is>
      </c>
      <c r="B6876" s="1" t="n">
        <v>46094</v>
      </c>
      <c r="C6876" s="1" t="n">
        <v>46185</v>
      </c>
      <c r="D6876" t="inlineStr">
        <is>
          <t>VÄSTERNORRLANDS LÄN</t>
        </is>
      </c>
      <c r="E6876" t="inlineStr">
        <is>
          <t>KRAMFORS</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13635-2026</t>
        </is>
      </c>
      <c r="B6877" s="1" t="n">
        <v>46097</v>
      </c>
      <c r="C6877" s="1" t="n">
        <v>46185</v>
      </c>
      <c r="D6877" t="inlineStr">
        <is>
          <t>VÄSTERNORRLANDS LÄN</t>
        </is>
      </c>
      <c r="E6877" t="inlineStr">
        <is>
          <t>SOLLEFTEÅ</t>
        </is>
      </c>
      <c r="F6877" t="inlineStr">
        <is>
          <t>SCA</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63470-2025</t>
        </is>
      </c>
      <c r="B6878" s="1" t="n">
        <v>46013.4347337963</v>
      </c>
      <c r="C6878" s="1" t="n">
        <v>46185</v>
      </c>
      <c r="D6878" t="inlineStr">
        <is>
          <t>VÄSTERNORRLANDS LÄN</t>
        </is>
      </c>
      <c r="E6878" t="inlineStr">
        <is>
          <t>SOLLEFTEÅ</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63579-2025</t>
        </is>
      </c>
      <c r="B6879" s="1" t="n">
        <v>46013.67748842593</v>
      </c>
      <c r="C6879" s="1" t="n">
        <v>46185</v>
      </c>
      <c r="D6879" t="inlineStr">
        <is>
          <t>VÄSTERNORRLANDS LÄN</t>
        </is>
      </c>
      <c r="E6879" t="inlineStr">
        <is>
          <t>SOLLEFTEÅ</t>
        </is>
      </c>
      <c r="F6879" t="inlineStr">
        <is>
          <t>SCA</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41435-2024</t>
        </is>
      </c>
      <c r="B6880" s="1" t="n">
        <v>45560</v>
      </c>
      <c r="C6880" s="1" t="n">
        <v>46185</v>
      </c>
      <c r="D6880" t="inlineStr">
        <is>
          <t>VÄSTERNORRLANDS LÄN</t>
        </is>
      </c>
      <c r="E6880" t="inlineStr">
        <is>
          <t>ÖRNSKÖLDSVIK</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20102-2025</t>
        </is>
      </c>
      <c r="B6881" s="1" t="n">
        <v>45772.46934027778</v>
      </c>
      <c r="C6881" s="1" t="n">
        <v>46185</v>
      </c>
      <c r="D6881" t="inlineStr">
        <is>
          <t>VÄSTERNORRLANDS LÄN</t>
        </is>
      </c>
      <c r="E6881" t="inlineStr">
        <is>
          <t>SUNDSVALL</t>
        </is>
      </c>
      <c r="F6881" t="inlineStr">
        <is>
          <t>Naturvårdsverket</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29063-2023</t>
        </is>
      </c>
      <c r="B6882" s="1" t="n">
        <v>45104.94068287037</v>
      </c>
      <c r="C6882" s="1" t="n">
        <v>46185</v>
      </c>
      <c r="D6882" t="inlineStr">
        <is>
          <t>VÄSTERNORRLANDS LÄN</t>
        </is>
      </c>
      <c r="E6882" t="inlineStr">
        <is>
          <t>ÅNGE</t>
        </is>
      </c>
      <c r="F6882" t="inlineStr">
        <is>
          <t>SCA</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29070-2023</t>
        </is>
      </c>
      <c r="B6883" s="1" t="n">
        <v>45104.94119212963</v>
      </c>
      <c r="C6883" s="1" t="n">
        <v>46185</v>
      </c>
      <c r="D6883" t="inlineStr">
        <is>
          <t>VÄSTERNORRLANDS LÄN</t>
        </is>
      </c>
      <c r="E6883" t="inlineStr">
        <is>
          <t>SOLLEFTEÅ</t>
        </is>
      </c>
      <c r="F6883" t="inlineStr">
        <is>
          <t>SCA</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13312-2026</t>
        </is>
      </c>
      <c r="B6884" s="1" t="n">
        <v>46094.34451388889</v>
      </c>
      <c r="C6884" s="1" t="n">
        <v>46185</v>
      </c>
      <c r="D6884" t="inlineStr">
        <is>
          <t>VÄSTERNORRLANDS LÄN</t>
        </is>
      </c>
      <c r="E6884" t="inlineStr">
        <is>
          <t>SOLLEFTEÅ</t>
        </is>
      </c>
      <c r="F6884" t="inlineStr">
        <is>
          <t>SCA</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13313-2026</t>
        </is>
      </c>
      <c r="B6885" s="1" t="n">
        <v>46094.34469907408</v>
      </c>
      <c r="C6885" s="1" t="n">
        <v>46185</v>
      </c>
      <c r="D6885" t="inlineStr">
        <is>
          <t>VÄSTERNORRLANDS LÄN</t>
        </is>
      </c>
      <c r="E6885" t="inlineStr">
        <is>
          <t>SOLLEFTEÅ</t>
        </is>
      </c>
      <c r="F6885" t="inlineStr">
        <is>
          <t>SCA</t>
        </is>
      </c>
      <c r="G6885" t="n">
        <v>9.800000000000001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63680-2025</t>
        </is>
      </c>
      <c r="B6886" s="1" t="n">
        <v>46014.51070601852</v>
      </c>
      <c r="C6886" s="1" t="n">
        <v>46185</v>
      </c>
      <c r="D6886" t="inlineStr">
        <is>
          <t>VÄSTERNORRLANDS LÄN</t>
        </is>
      </c>
      <c r="E6886" t="inlineStr">
        <is>
          <t>SUNDSVALL</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63683-2025</t>
        </is>
      </c>
      <c r="B6887" s="1" t="n">
        <v>46014.51087962963</v>
      </c>
      <c r="C6887" s="1" t="n">
        <v>46185</v>
      </c>
      <c r="D6887" t="inlineStr">
        <is>
          <t>VÄSTERNORRLANDS LÄN</t>
        </is>
      </c>
      <c r="E6887" t="inlineStr">
        <is>
          <t>KRAMFORS</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63686-2025</t>
        </is>
      </c>
      <c r="B6888" s="1" t="n">
        <v>46014.53172453704</v>
      </c>
      <c r="C6888" s="1" t="n">
        <v>46185</v>
      </c>
      <c r="D6888" t="inlineStr">
        <is>
          <t>VÄSTERNORRLANDS LÄN</t>
        </is>
      </c>
      <c r="E6888" t="inlineStr">
        <is>
          <t>ÅNGE</t>
        </is>
      </c>
      <c r="F6888" t="inlineStr">
        <is>
          <t>SCA</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55878-2022</t>
        </is>
      </c>
      <c r="B6889" s="1" t="n">
        <v>44888</v>
      </c>
      <c r="C6889" s="1" t="n">
        <v>46185</v>
      </c>
      <c r="D6889" t="inlineStr">
        <is>
          <t>VÄSTERNORRLANDS LÄN</t>
        </is>
      </c>
      <c r="E6889" t="inlineStr">
        <is>
          <t>SUNDSVALL</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55890-2022</t>
        </is>
      </c>
      <c r="B6890" s="1" t="n">
        <v>44888</v>
      </c>
      <c r="C6890" s="1" t="n">
        <v>46185</v>
      </c>
      <c r="D6890" t="inlineStr">
        <is>
          <t>VÄSTERNORRLANDS LÄN</t>
        </is>
      </c>
      <c r="E6890" t="inlineStr">
        <is>
          <t>SUNDSVALL</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29184-2023</t>
        </is>
      </c>
      <c r="B6891" s="1" t="n">
        <v>45105.53993055555</v>
      </c>
      <c r="C6891" s="1" t="n">
        <v>46185</v>
      </c>
      <c r="D6891" t="inlineStr">
        <is>
          <t>VÄSTERNORRLANDS LÄN</t>
        </is>
      </c>
      <c r="E6891" t="inlineStr">
        <is>
          <t>ÖRNSKÖLDSVIK</t>
        </is>
      </c>
      <c r="F6891" t="inlineStr">
        <is>
          <t>Holmen skog AB</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35-2026</t>
        </is>
      </c>
      <c r="B6892" s="1" t="n">
        <v>46014</v>
      </c>
      <c r="C6892" s="1" t="n">
        <v>46185</v>
      </c>
      <c r="D6892" t="inlineStr">
        <is>
          <t>VÄSTERNORRLANDS LÄN</t>
        </is>
      </c>
      <c r="E6892" t="inlineStr">
        <is>
          <t>ÖRNSKÖLDSVIK</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13744-2026</t>
        </is>
      </c>
      <c r="B6893" s="1" t="n">
        <v>46097.63645833333</v>
      </c>
      <c r="C6893" s="1" t="n">
        <v>46185</v>
      </c>
      <c r="D6893" t="inlineStr">
        <is>
          <t>VÄSTERNORRLANDS LÄN</t>
        </is>
      </c>
      <c r="E6893" t="inlineStr">
        <is>
          <t>SUNDSVALL</t>
        </is>
      </c>
      <c r="F6893" t="inlineStr">
        <is>
          <t>SCA</t>
        </is>
      </c>
      <c r="G6893" t="n">
        <v>7.2</v>
      </c>
      <c r="H6893" t="n">
        <v>0</v>
      </c>
      <c r="I6893" t="n">
        <v>0</v>
      </c>
      <c r="J6893" t="n">
        <v>0</v>
      </c>
      <c r="K6893" t="n">
        <v>0</v>
      </c>
      <c r="L6893" t="n">
        <v>0</v>
      </c>
      <c r="M6893" t="n">
        <v>0</v>
      </c>
      <c r="N6893" t="n">
        <v>0</v>
      </c>
      <c r="O6893" t="n">
        <v>0</v>
      </c>
      <c r="P6893" t="n">
        <v>0</v>
      </c>
      <c r="Q6893" t="n">
        <v>0</v>
      </c>
      <c r="R6893" s="2" t="inlineStr"/>
    </row>
    <row r="6894" ht="15" customHeight="1">
      <c r="A6894" t="inlineStr">
        <is>
          <t>A 13745-2026</t>
        </is>
      </c>
      <c r="B6894" s="1" t="n">
        <v>46097.63662037037</v>
      </c>
      <c r="C6894" s="1" t="n">
        <v>46185</v>
      </c>
      <c r="D6894" t="inlineStr">
        <is>
          <t>VÄSTERNORRLANDS LÄN</t>
        </is>
      </c>
      <c r="E6894" t="inlineStr">
        <is>
          <t>SUNDSVALL</t>
        </is>
      </c>
      <c r="F6894" t="inlineStr">
        <is>
          <t>SCA</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13756-2026</t>
        </is>
      </c>
      <c r="B6895" s="1" t="n">
        <v>46097</v>
      </c>
      <c r="C6895" s="1" t="n">
        <v>46185</v>
      </c>
      <c r="D6895" t="inlineStr">
        <is>
          <t>VÄSTERNORRLANDS LÄN</t>
        </is>
      </c>
      <c r="E6895" t="inlineStr">
        <is>
          <t>TIMRÅ</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13743-2026</t>
        </is>
      </c>
      <c r="B6896" s="1" t="n">
        <v>46097.63630787037</v>
      </c>
      <c r="C6896" s="1" t="n">
        <v>46185</v>
      </c>
      <c r="D6896" t="inlineStr">
        <is>
          <t>VÄSTERNORRLANDS LÄN</t>
        </is>
      </c>
      <c r="E6896" t="inlineStr">
        <is>
          <t>SUNDSVALL</t>
        </is>
      </c>
      <c r="F6896" t="inlineStr">
        <is>
          <t>SCA</t>
        </is>
      </c>
      <c r="G6896" t="n">
        <v>7.3</v>
      </c>
      <c r="H6896" t="n">
        <v>0</v>
      </c>
      <c r="I6896" t="n">
        <v>0</v>
      </c>
      <c r="J6896" t="n">
        <v>0</v>
      </c>
      <c r="K6896" t="n">
        <v>0</v>
      </c>
      <c r="L6896" t="n">
        <v>0</v>
      </c>
      <c r="M6896" t="n">
        <v>0</v>
      </c>
      <c r="N6896" t="n">
        <v>0</v>
      </c>
      <c r="O6896" t="n">
        <v>0</v>
      </c>
      <c r="P6896" t="n">
        <v>0</v>
      </c>
      <c r="Q6896" t="n">
        <v>0</v>
      </c>
      <c r="R6896" s="2" t="inlineStr"/>
    </row>
    <row r="6897" ht="15" customHeight="1">
      <c r="A6897" t="inlineStr">
        <is>
          <t>A 63652-2025</t>
        </is>
      </c>
      <c r="B6897" s="1" t="n">
        <v>46014.43987268519</v>
      </c>
      <c r="C6897" s="1" t="n">
        <v>46185</v>
      </c>
      <c r="D6897" t="inlineStr">
        <is>
          <t>VÄSTERNORRLANDS LÄN</t>
        </is>
      </c>
      <c r="E6897" t="inlineStr">
        <is>
          <t>ÅNGE</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63682-2025</t>
        </is>
      </c>
      <c r="B6898" s="1" t="n">
        <v>46014.51082175926</v>
      </c>
      <c r="C6898" s="1" t="n">
        <v>46185</v>
      </c>
      <c r="D6898" t="inlineStr">
        <is>
          <t>VÄSTERNORRLANDS LÄN</t>
        </is>
      </c>
      <c r="E6898" t="inlineStr">
        <is>
          <t>SUNDSVALL</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51609-2023</t>
        </is>
      </c>
      <c r="B6899" s="1" t="n">
        <v>45215</v>
      </c>
      <c r="C6899" s="1" t="n">
        <v>46185</v>
      </c>
      <c r="D6899" t="inlineStr">
        <is>
          <t>VÄSTERNORRLANDS LÄN</t>
        </is>
      </c>
      <c r="E6899" t="inlineStr">
        <is>
          <t>ÅNGE</t>
        </is>
      </c>
      <c r="F6899" t="inlineStr">
        <is>
          <t>SCA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13750-2026</t>
        </is>
      </c>
      <c r="B6900" s="1" t="n">
        <v>46097.6372337963</v>
      </c>
      <c r="C6900" s="1" t="n">
        <v>46185</v>
      </c>
      <c r="D6900" t="inlineStr">
        <is>
          <t>VÄSTERNORRLANDS LÄN</t>
        </is>
      </c>
      <c r="E6900" t="inlineStr">
        <is>
          <t>SUNDSVALL</t>
        </is>
      </c>
      <c r="F6900" t="inlineStr">
        <is>
          <t>SCA</t>
        </is>
      </c>
      <c r="G6900" t="n">
        <v>7.5</v>
      </c>
      <c r="H6900" t="n">
        <v>0</v>
      </c>
      <c r="I6900" t="n">
        <v>0</v>
      </c>
      <c r="J6900" t="n">
        <v>0</v>
      </c>
      <c r="K6900" t="n">
        <v>0</v>
      </c>
      <c r="L6900" t="n">
        <v>0</v>
      </c>
      <c r="M6900" t="n">
        <v>0</v>
      </c>
      <c r="N6900" t="n">
        <v>0</v>
      </c>
      <c r="O6900" t="n">
        <v>0</v>
      </c>
      <c r="P6900" t="n">
        <v>0</v>
      </c>
      <c r="Q6900" t="n">
        <v>0</v>
      </c>
      <c r="R6900" s="2" t="inlineStr"/>
    </row>
    <row r="6901" ht="15" customHeight="1">
      <c r="A6901" t="inlineStr">
        <is>
          <t>A 13766-2026</t>
        </is>
      </c>
      <c r="B6901" s="1" t="n">
        <v>46097</v>
      </c>
      <c r="C6901" s="1" t="n">
        <v>46185</v>
      </c>
      <c r="D6901" t="inlineStr">
        <is>
          <t>VÄSTERNORRLANDS LÄN</t>
        </is>
      </c>
      <c r="E6901" t="inlineStr">
        <is>
          <t>TIMRÅ</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53970-2021</t>
        </is>
      </c>
      <c r="B6902" s="1" t="n">
        <v>44469</v>
      </c>
      <c r="C6902" s="1" t="n">
        <v>46185</v>
      </c>
      <c r="D6902" t="inlineStr">
        <is>
          <t>VÄSTERNORRLANDS LÄN</t>
        </is>
      </c>
      <c r="E6902" t="inlineStr">
        <is>
          <t>ÅNGE</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2415-2024</t>
        </is>
      </c>
      <c r="B6903" s="1" t="n">
        <v>45310</v>
      </c>
      <c r="C6903" s="1" t="n">
        <v>46185</v>
      </c>
      <c r="D6903" t="inlineStr">
        <is>
          <t>VÄSTERNORRLANDS LÄN</t>
        </is>
      </c>
      <c r="E6903" t="inlineStr">
        <is>
          <t>ÅNGE</t>
        </is>
      </c>
      <c r="F6903" t="inlineStr">
        <is>
          <t>Kyrkan</t>
        </is>
      </c>
      <c r="G6903" t="n">
        <v>0.2</v>
      </c>
      <c r="H6903" t="n">
        <v>0</v>
      </c>
      <c r="I6903" t="n">
        <v>0</v>
      </c>
      <c r="J6903" t="n">
        <v>0</v>
      </c>
      <c r="K6903" t="n">
        <v>0</v>
      </c>
      <c r="L6903" t="n">
        <v>0</v>
      </c>
      <c r="M6903" t="n">
        <v>0</v>
      </c>
      <c r="N6903" t="n">
        <v>0</v>
      </c>
      <c r="O6903" t="n">
        <v>0</v>
      </c>
      <c r="P6903" t="n">
        <v>0</v>
      </c>
      <c r="Q6903" t="n">
        <v>0</v>
      </c>
      <c r="R6903" s="2" t="inlineStr"/>
    </row>
    <row r="6904" ht="15" customHeight="1">
      <c r="A6904" t="inlineStr">
        <is>
          <t>A 64107-2025</t>
        </is>
      </c>
      <c r="B6904" s="1" t="n">
        <v>46013</v>
      </c>
      <c r="C6904" s="1" t="n">
        <v>46185</v>
      </c>
      <c r="D6904" t="inlineStr">
        <is>
          <t>VÄSTERNORRLANDS LÄN</t>
        </is>
      </c>
      <c r="E6904" t="inlineStr">
        <is>
          <t>HÄRNÖSAND</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63456-2025</t>
        </is>
      </c>
      <c r="B6905" s="1" t="n">
        <v>46013.42209490741</v>
      </c>
      <c r="C6905" s="1" t="n">
        <v>46185</v>
      </c>
      <c r="D6905" t="inlineStr">
        <is>
          <t>VÄSTERNORRLANDS LÄN</t>
        </is>
      </c>
      <c r="E6905" t="inlineStr">
        <is>
          <t>SOLLEFTEÅ</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63477-2025</t>
        </is>
      </c>
      <c r="B6906" s="1" t="n">
        <v>46013.44822916666</v>
      </c>
      <c r="C6906" s="1" t="n">
        <v>46185</v>
      </c>
      <c r="D6906" t="inlineStr">
        <is>
          <t>VÄSTERNORRLANDS LÄN</t>
        </is>
      </c>
      <c r="E6906" t="inlineStr">
        <is>
          <t>TIMRÅ</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6686-2024</t>
        </is>
      </c>
      <c r="B6907" s="1" t="n">
        <v>45341</v>
      </c>
      <c r="C6907" s="1" t="n">
        <v>46185</v>
      </c>
      <c r="D6907" t="inlineStr">
        <is>
          <t>VÄSTERNORRLANDS LÄN</t>
        </is>
      </c>
      <c r="E6907" t="inlineStr">
        <is>
          <t>ÅNGE</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63681-2025</t>
        </is>
      </c>
      <c r="B6908" s="1" t="n">
        <v>46014.51079861111</v>
      </c>
      <c r="C6908" s="1" t="n">
        <v>46185</v>
      </c>
      <c r="D6908" t="inlineStr">
        <is>
          <t>VÄSTERNORRLANDS LÄN</t>
        </is>
      </c>
      <c r="E6908" t="inlineStr">
        <is>
          <t>SUNDSVALL</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43469-2022</t>
        </is>
      </c>
      <c r="B6909" s="1" t="n">
        <v>44836.80145833334</v>
      </c>
      <c r="C6909" s="1" t="n">
        <v>46185</v>
      </c>
      <c r="D6909" t="inlineStr">
        <is>
          <t>VÄSTERNORRLANDS LÄN</t>
        </is>
      </c>
      <c r="E6909" t="inlineStr">
        <is>
          <t>SOLLEFTEÅ</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30686-2024</t>
        </is>
      </c>
      <c r="B6910" s="1" t="n">
        <v>45495</v>
      </c>
      <c r="C6910" s="1" t="n">
        <v>46185</v>
      </c>
      <c r="D6910" t="inlineStr">
        <is>
          <t>VÄSTERNORRLANDS LÄN</t>
        </is>
      </c>
      <c r="E6910" t="inlineStr">
        <is>
          <t>SUNDSVALL</t>
        </is>
      </c>
      <c r="F6910" t="inlineStr">
        <is>
          <t>SCA</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13562-2026</t>
        </is>
      </c>
      <c r="B6911" s="1" t="n">
        <v>46094.79349537037</v>
      </c>
      <c r="C6911" s="1" t="n">
        <v>46185</v>
      </c>
      <c r="D6911" t="inlineStr">
        <is>
          <t>VÄSTERNORRLANDS LÄN</t>
        </is>
      </c>
      <c r="E6911" t="inlineStr">
        <is>
          <t>KRAMFORS</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30753-2024</t>
        </is>
      </c>
      <c r="B6912" s="1" t="n">
        <v>45496</v>
      </c>
      <c r="C6912" s="1" t="n">
        <v>46185</v>
      </c>
      <c r="D6912" t="inlineStr">
        <is>
          <t>VÄSTERNORRLANDS LÄN</t>
        </is>
      </c>
      <c r="E6912" t="inlineStr">
        <is>
          <t>ÅNGE</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30754-2024</t>
        </is>
      </c>
      <c r="B6913" s="1" t="n">
        <v>45496</v>
      </c>
      <c r="C6913" s="1" t="n">
        <v>46185</v>
      </c>
      <c r="D6913" t="inlineStr">
        <is>
          <t>VÄSTERNORRLANDS LÄN</t>
        </is>
      </c>
      <c r="E6913" t="inlineStr">
        <is>
          <t>ÅNGE</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38960-2021</t>
        </is>
      </c>
      <c r="B6914" s="1" t="n">
        <v>44411</v>
      </c>
      <c r="C6914" s="1" t="n">
        <v>46185</v>
      </c>
      <c r="D6914" t="inlineStr">
        <is>
          <t>VÄSTERNORRLANDS LÄN</t>
        </is>
      </c>
      <c r="E6914" t="inlineStr">
        <is>
          <t>ÅNGE</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8227-2024</t>
        </is>
      </c>
      <c r="B6915" s="1" t="n">
        <v>45351.92822916667</v>
      </c>
      <c r="C6915" s="1" t="n">
        <v>46185</v>
      </c>
      <c r="D6915" t="inlineStr">
        <is>
          <t>VÄSTERNORRLANDS LÄN</t>
        </is>
      </c>
      <c r="E6915" t="inlineStr">
        <is>
          <t>KRAMFORS</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13449-2026</t>
        </is>
      </c>
      <c r="B6916" s="1" t="n">
        <v>46094.51108796296</v>
      </c>
      <c r="C6916" s="1" t="n">
        <v>46185</v>
      </c>
      <c r="D6916" t="inlineStr">
        <is>
          <t>VÄSTERNORRLANDS LÄN</t>
        </is>
      </c>
      <c r="E6916" t="inlineStr">
        <is>
          <t>ÅNGE</t>
        </is>
      </c>
      <c r="F6916" t="inlineStr">
        <is>
          <t>SCA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63091-2023</t>
        </is>
      </c>
      <c r="B6917" s="1" t="n">
        <v>45273</v>
      </c>
      <c r="C6917" s="1" t="n">
        <v>46185</v>
      </c>
      <c r="D6917" t="inlineStr">
        <is>
          <t>VÄSTERNORRLANDS LÄN</t>
        </is>
      </c>
      <c r="E6917" t="inlineStr">
        <is>
          <t>ÖRNSKÖLDSVIK</t>
        </is>
      </c>
      <c r="F6917" t="inlineStr">
        <is>
          <t>Holmen skog AB</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63582-2025</t>
        </is>
      </c>
      <c r="B6918" s="1" t="n">
        <v>46013.75100694445</v>
      </c>
      <c r="C6918" s="1" t="n">
        <v>46185</v>
      </c>
      <c r="D6918" t="inlineStr">
        <is>
          <t>VÄSTERNORRLANDS LÄN</t>
        </is>
      </c>
      <c r="E6918" t="inlineStr">
        <is>
          <t>SUNDSVALL</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63497-2025</t>
        </is>
      </c>
      <c r="B6919" s="1" t="n">
        <v>46013.48436342592</v>
      </c>
      <c r="C6919" s="1" t="n">
        <v>46185</v>
      </c>
      <c r="D6919" t="inlineStr">
        <is>
          <t>VÄSTERNORRLANDS LÄN</t>
        </is>
      </c>
      <c r="E6919" t="inlineStr">
        <is>
          <t>ÖRNSKÖLDSVIK</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1048-2024</t>
        </is>
      </c>
      <c r="B6920" s="1" t="n">
        <v>45301</v>
      </c>
      <c r="C6920" s="1" t="n">
        <v>46185</v>
      </c>
      <c r="D6920" t="inlineStr">
        <is>
          <t>VÄSTERNORRLANDS LÄN</t>
        </is>
      </c>
      <c r="E6920" t="inlineStr">
        <is>
          <t>SUNDSVALL</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63513-2025</t>
        </is>
      </c>
      <c r="B6921" s="1" t="n">
        <v>46013.49686342593</v>
      </c>
      <c r="C6921" s="1" t="n">
        <v>46185</v>
      </c>
      <c r="D6921" t="inlineStr">
        <is>
          <t>VÄSTERNORRLANDS LÄN</t>
        </is>
      </c>
      <c r="E6921" t="inlineStr">
        <is>
          <t>ÖRNSKÖLDSVIK</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5895-2026</t>
        </is>
      </c>
      <c r="B6922" s="1" t="n">
        <v>46052</v>
      </c>
      <c r="C6922" s="1" t="n">
        <v>46185</v>
      </c>
      <c r="D6922" t="inlineStr">
        <is>
          <t>VÄSTERNORRLANDS LÄN</t>
        </is>
      </c>
      <c r="E6922" t="inlineStr">
        <is>
          <t>KRAMFORS</t>
        </is>
      </c>
      <c r="G6922" t="n">
        <v>8.199999999999999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63580-2025</t>
        </is>
      </c>
      <c r="B6923" s="1" t="n">
        <v>46013.69832175926</v>
      </c>
      <c r="C6923" s="1" t="n">
        <v>46185</v>
      </c>
      <c r="D6923" t="inlineStr">
        <is>
          <t>VÄSTERNORRLANDS LÄN</t>
        </is>
      </c>
      <c r="E6923" t="inlineStr">
        <is>
          <t>SUNDSVALL</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63581-2025</t>
        </is>
      </c>
      <c r="B6924" s="1" t="n">
        <v>46013.74611111111</v>
      </c>
      <c r="C6924" s="1" t="n">
        <v>46185</v>
      </c>
      <c r="D6924" t="inlineStr">
        <is>
          <t>VÄSTERNORRLANDS LÄN</t>
        </is>
      </c>
      <c r="E6924" t="inlineStr">
        <is>
          <t>SUNDSVALL</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63471-2025</t>
        </is>
      </c>
      <c r="B6925" s="1" t="n">
        <v>46013.43973379629</v>
      </c>
      <c r="C6925" s="1" t="n">
        <v>46185</v>
      </c>
      <c r="D6925" t="inlineStr">
        <is>
          <t>VÄSTERNORRLANDS LÄN</t>
        </is>
      </c>
      <c r="E6925" t="inlineStr">
        <is>
          <t>SOLLEFTEÅ</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63485-2025</t>
        </is>
      </c>
      <c r="B6926" s="1" t="n">
        <v>46013.46825231481</v>
      </c>
      <c r="C6926" s="1" t="n">
        <v>46185</v>
      </c>
      <c r="D6926" t="inlineStr">
        <is>
          <t>VÄSTERNORRLANDS LÄN</t>
        </is>
      </c>
      <c r="E6926" t="inlineStr">
        <is>
          <t>SUNDSVALL</t>
        </is>
      </c>
      <c r="G6926" t="n">
        <v>6</v>
      </c>
      <c r="H6926" t="n">
        <v>0</v>
      </c>
      <c r="I6926" t="n">
        <v>0</v>
      </c>
      <c r="J6926" t="n">
        <v>0</v>
      </c>
      <c r="K6926" t="n">
        <v>0</v>
      </c>
      <c r="L6926" t="n">
        <v>0</v>
      </c>
      <c r="M6926" t="n">
        <v>0</v>
      </c>
      <c r="N6926" t="n">
        <v>0</v>
      </c>
      <c r="O6926" t="n">
        <v>0</v>
      </c>
      <c r="P6926" t="n">
        <v>0</v>
      </c>
      <c r="Q6926" t="n">
        <v>0</v>
      </c>
      <c r="R6926" s="2" t="inlineStr"/>
    </row>
    <row r="6927" ht="15" customHeight="1">
      <c r="A6927" t="inlineStr">
        <is>
          <t>A 63489-2025</t>
        </is>
      </c>
      <c r="B6927" s="1" t="n">
        <v>46013.469375</v>
      </c>
      <c r="C6927" s="1" t="n">
        <v>46185</v>
      </c>
      <c r="D6927" t="inlineStr">
        <is>
          <t>VÄSTERNORRLANDS LÄN</t>
        </is>
      </c>
      <c r="E6927" t="inlineStr">
        <is>
          <t>SUNDSVALL</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60960-2025</t>
        </is>
      </c>
      <c r="B6928" s="1" t="n">
        <v>45999</v>
      </c>
      <c r="C6928" s="1" t="n">
        <v>46185</v>
      </c>
      <c r="D6928" t="inlineStr">
        <is>
          <t>VÄSTERNORRLANDS LÄN</t>
        </is>
      </c>
      <c r="E6928" t="inlineStr">
        <is>
          <t>ÅNGE</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52183-2025</t>
        </is>
      </c>
      <c r="B6929" s="1" t="n">
        <v>45953</v>
      </c>
      <c r="C6929" s="1" t="n">
        <v>46185</v>
      </c>
      <c r="D6929" t="inlineStr">
        <is>
          <t>VÄSTERNORRLANDS LÄN</t>
        </is>
      </c>
      <c r="E6929" t="inlineStr">
        <is>
          <t>ÖRNSKÖLDSVIK</t>
        </is>
      </c>
      <c r="G6929" t="n">
        <v>11.3</v>
      </c>
      <c r="H6929" t="n">
        <v>0</v>
      </c>
      <c r="I6929" t="n">
        <v>0</v>
      </c>
      <c r="J6929" t="n">
        <v>0</v>
      </c>
      <c r="K6929" t="n">
        <v>0</v>
      </c>
      <c r="L6929" t="n">
        <v>0</v>
      </c>
      <c r="M6929" t="n">
        <v>0</v>
      </c>
      <c r="N6929" t="n">
        <v>0</v>
      </c>
      <c r="O6929" t="n">
        <v>0</v>
      </c>
      <c r="P6929" t="n">
        <v>0</v>
      </c>
      <c r="Q6929" t="n">
        <v>0</v>
      </c>
      <c r="R6929" s="2" t="inlineStr"/>
    </row>
    <row r="6930" ht="15" customHeight="1">
      <c r="A6930" t="inlineStr">
        <is>
          <t>A 40473-2024</t>
        </is>
      </c>
      <c r="B6930" s="1" t="n">
        <v>45555.53165509259</v>
      </c>
      <c r="C6930" s="1" t="n">
        <v>46185</v>
      </c>
      <c r="D6930" t="inlineStr">
        <is>
          <t>VÄSTERNORRLANDS LÄN</t>
        </is>
      </c>
      <c r="E6930" t="inlineStr">
        <is>
          <t>SUNDSVALL</t>
        </is>
      </c>
      <c r="F6930" t="inlineStr">
        <is>
          <t>SCA</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65633-2021</t>
        </is>
      </c>
      <c r="B6931" s="1" t="n">
        <v>44516.56181712963</v>
      </c>
      <c r="C6931" s="1" t="n">
        <v>46185</v>
      </c>
      <c r="D6931" t="inlineStr">
        <is>
          <t>VÄSTERNORRLANDS LÄN</t>
        </is>
      </c>
      <c r="E6931" t="inlineStr">
        <is>
          <t>ÅNGE</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49669-2025</t>
        </is>
      </c>
      <c r="B6932" s="1" t="n">
        <v>45939.63710648148</v>
      </c>
      <c r="C6932" s="1" t="n">
        <v>46185</v>
      </c>
      <c r="D6932" t="inlineStr">
        <is>
          <t>VÄSTERNORRLANDS LÄN</t>
        </is>
      </c>
      <c r="E6932" t="inlineStr">
        <is>
          <t>ÅNGE</t>
        </is>
      </c>
      <c r="F6932" t="inlineStr">
        <is>
          <t>SCA</t>
        </is>
      </c>
      <c r="G6932" t="n">
        <v>7.1</v>
      </c>
      <c r="H6932" t="n">
        <v>0</v>
      </c>
      <c r="I6932" t="n">
        <v>0</v>
      </c>
      <c r="J6932" t="n">
        <v>0</v>
      </c>
      <c r="K6932" t="n">
        <v>0</v>
      </c>
      <c r="L6932" t="n">
        <v>0</v>
      </c>
      <c r="M6932" t="n">
        <v>0</v>
      </c>
      <c r="N6932" t="n">
        <v>0</v>
      </c>
      <c r="O6932" t="n">
        <v>0</v>
      </c>
      <c r="P6932" t="n">
        <v>0</v>
      </c>
      <c r="Q6932" t="n">
        <v>0</v>
      </c>
      <c r="R6932" s="2" t="inlineStr"/>
    </row>
    <row r="6933" ht="15" customHeight="1">
      <c r="A6933" t="inlineStr">
        <is>
          <t>A 13668-2026</t>
        </is>
      </c>
      <c r="B6933" s="1" t="n">
        <v>46094</v>
      </c>
      <c r="C6933" s="1" t="n">
        <v>46185</v>
      </c>
      <c r="D6933" t="inlineStr">
        <is>
          <t>VÄSTERNORRLANDS LÄN</t>
        </is>
      </c>
      <c r="E6933" t="inlineStr">
        <is>
          <t>ÖRNSKÖLDSVIK</t>
        </is>
      </c>
      <c r="G6933" t="n">
        <v>26.6</v>
      </c>
      <c r="H6933" t="n">
        <v>0</v>
      </c>
      <c r="I6933" t="n">
        <v>0</v>
      </c>
      <c r="J6933" t="n">
        <v>0</v>
      </c>
      <c r="K6933" t="n">
        <v>0</v>
      </c>
      <c r="L6933" t="n">
        <v>0</v>
      </c>
      <c r="M6933" t="n">
        <v>0</v>
      </c>
      <c r="N6933" t="n">
        <v>0</v>
      </c>
      <c r="O6933" t="n">
        <v>0</v>
      </c>
      <c r="P6933" t="n">
        <v>0</v>
      </c>
      <c r="Q6933" t="n">
        <v>0</v>
      </c>
      <c r="R6933" s="2" t="inlineStr"/>
    </row>
    <row r="6934" ht="15" customHeight="1">
      <c r="A6934" t="inlineStr">
        <is>
          <t>A 13672-2026</t>
        </is>
      </c>
      <c r="B6934" s="1" t="n">
        <v>46097.49179398148</v>
      </c>
      <c r="C6934" s="1" t="n">
        <v>46185</v>
      </c>
      <c r="D6934" t="inlineStr">
        <is>
          <t>VÄSTERNORRLANDS LÄN</t>
        </is>
      </c>
      <c r="E6934" t="inlineStr">
        <is>
          <t>ÖRNSKÖLDSVIK</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14149-2024</t>
        </is>
      </c>
      <c r="B6935" s="1" t="n">
        <v>45392.92831018518</v>
      </c>
      <c r="C6935" s="1" t="n">
        <v>46185</v>
      </c>
      <c r="D6935" t="inlineStr">
        <is>
          <t>VÄSTERNORRLANDS LÄN</t>
        </is>
      </c>
      <c r="E6935" t="inlineStr">
        <is>
          <t>KRAMFORS</t>
        </is>
      </c>
      <c r="G6935" t="n">
        <v>7.6</v>
      </c>
      <c r="H6935" t="n">
        <v>0</v>
      </c>
      <c r="I6935" t="n">
        <v>0</v>
      </c>
      <c r="J6935" t="n">
        <v>0</v>
      </c>
      <c r="K6935" t="n">
        <v>0</v>
      </c>
      <c r="L6935" t="n">
        <v>0</v>
      </c>
      <c r="M6935" t="n">
        <v>0</v>
      </c>
      <c r="N6935" t="n">
        <v>0</v>
      </c>
      <c r="O6935" t="n">
        <v>0</v>
      </c>
      <c r="P6935" t="n">
        <v>0</v>
      </c>
      <c r="Q6935" t="n">
        <v>0</v>
      </c>
      <c r="R6935" s="2" t="inlineStr"/>
    </row>
    <row r="6936" ht="15" customHeight="1">
      <c r="A6936" t="inlineStr">
        <is>
          <t>A 14153-2024</t>
        </is>
      </c>
      <c r="B6936" s="1" t="n">
        <v>45392</v>
      </c>
      <c r="C6936" s="1" t="n">
        <v>46185</v>
      </c>
      <c r="D6936" t="inlineStr">
        <is>
          <t>VÄSTERNORRLANDS LÄN</t>
        </is>
      </c>
      <c r="E6936" t="inlineStr">
        <is>
          <t>SUNDSVALL</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63642-2025</t>
        </is>
      </c>
      <c r="B6937" s="1" t="n">
        <v>46014.41258101852</v>
      </c>
      <c r="C6937" s="1" t="n">
        <v>46185</v>
      </c>
      <c r="D6937" t="inlineStr">
        <is>
          <t>VÄSTERNORRLANDS LÄN</t>
        </is>
      </c>
      <c r="E6937" t="inlineStr">
        <is>
          <t>ÅNGE</t>
        </is>
      </c>
      <c r="G6937" t="n">
        <v>9.699999999999999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63646-2025</t>
        </is>
      </c>
      <c r="B6938" s="1" t="n">
        <v>46014.42746527777</v>
      </c>
      <c r="C6938" s="1" t="n">
        <v>46185</v>
      </c>
      <c r="D6938" t="inlineStr">
        <is>
          <t>VÄSTERNORRLANDS LÄN</t>
        </is>
      </c>
      <c r="E6938" t="inlineStr">
        <is>
          <t>SOLLEFTEÅ</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13747-2026</t>
        </is>
      </c>
      <c r="B6939" s="1" t="n">
        <v>46097.63690972222</v>
      </c>
      <c r="C6939" s="1" t="n">
        <v>46185</v>
      </c>
      <c r="D6939" t="inlineStr">
        <is>
          <t>VÄSTERNORRLANDS LÄN</t>
        </is>
      </c>
      <c r="E6939" t="inlineStr">
        <is>
          <t>SUNDSVALL</t>
        </is>
      </c>
      <c r="F6939" t="inlineStr">
        <is>
          <t>SCA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13753-2026</t>
        </is>
      </c>
      <c r="B6940" s="1" t="n">
        <v>46097.63773148148</v>
      </c>
      <c r="C6940" s="1" t="n">
        <v>46185</v>
      </c>
      <c r="D6940" t="inlineStr">
        <is>
          <t>VÄSTERNORRLANDS LÄN</t>
        </is>
      </c>
      <c r="E6940" t="inlineStr">
        <is>
          <t>SUNDSVALL</t>
        </is>
      </c>
      <c r="F6940" t="inlineStr">
        <is>
          <t>SCA</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13417-2026</t>
        </is>
      </c>
      <c r="B6941" s="1" t="n">
        <v>46094.47252314815</v>
      </c>
      <c r="C6941" s="1" t="n">
        <v>46185</v>
      </c>
      <c r="D6941" t="inlineStr">
        <is>
          <t>VÄSTERNORRLANDS LÄN</t>
        </is>
      </c>
      <c r="E6941" t="inlineStr">
        <is>
          <t>HÄRNÖSAND</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11774-2025</t>
        </is>
      </c>
      <c r="B6942" s="1" t="n">
        <v>45727</v>
      </c>
      <c r="C6942" s="1" t="n">
        <v>46185</v>
      </c>
      <c r="D6942" t="inlineStr">
        <is>
          <t>VÄSTERNORRLANDS LÄN</t>
        </is>
      </c>
      <c r="E6942" t="inlineStr">
        <is>
          <t>ÖRNSKÖLDSVIK</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63673-2025</t>
        </is>
      </c>
      <c r="B6943" s="1" t="n">
        <v>46014.47594907408</v>
      </c>
      <c r="C6943" s="1" t="n">
        <v>46185</v>
      </c>
      <c r="D6943" t="inlineStr">
        <is>
          <t>VÄSTERNORRLANDS LÄN</t>
        </is>
      </c>
      <c r="E6943" t="inlineStr">
        <is>
          <t>ÅNGE</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40127-2024</t>
        </is>
      </c>
      <c r="B6944" s="1" t="n">
        <v>45554</v>
      </c>
      <c r="C6944" s="1" t="n">
        <v>46185</v>
      </c>
      <c r="D6944" t="inlineStr">
        <is>
          <t>VÄSTERNORRLANDS LÄN</t>
        </is>
      </c>
      <c r="E6944" t="inlineStr">
        <is>
          <t>KRAMFORS</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19586-2024</t>
        </is>
      </c>
      <c r="B6945" s="1" t="n">
        <v>45429</v>
      </c>
      <c r="C6945" s="1" t="n">
        <v>46185</v>
      </c>
      <c r="D6945" t="inlineStr">
        <is>
          <t>VÄSTERNORRLANDS LÄN</t>
        </is>
      </c>
      <c r="E6945" t="inlineStr">
        <is>
          <t>SUNDSVALL</t>
        </is>
      </c>
      <c r="F6945" t="inlineStr">
        <is>
          <t>SCA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13770-2026</t>
        </is>
      </c>
      <c r="B6946" s="1" t="n">
        <v>46097</v>
      </c>
      <c r="C6946" s="1" t="n">
        <v>46185</v>
      </c>
      <c r="D6946" t="inlineStr">
        <is>
          <t>VÄSTERNORRLANDS LÄN</t>
        </is>
      </c>
      <c r="E6946" t="inlineStr">
        <is>
          <t>TIMRÅ</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13395-2026</t>
        </is>
      </c>
      <c r="B6947" s="1" t="n">
        <v>46094.44270833334</v>
      </c>
      <c r="C6947" s="1" t="n">
        <v>46185</v>
      </c>
      <c r="D6947" t="inlineStr">
        <is>
          <t>VÄSTERNORRLANDS LÄN</t>
        </is>
      </c>
      <c r="E6947" t="inlineStr">
        <is>
          <t>TIMRÅ</t>
        </is>
      </c>
      <c r="G6947" t="n">
        <v>11.5</v>
      </c>
      <c r="H6947" t="n">
        <v>0</v>
      </c>
      <c r="I6947" t="n">
        <v>0</v>
      </c>
      <c r="J6947" t="n">
        <v>0</v>
      </c>
      <c r="K6947" t="n">
        <v>0</v>
      </c>
      <c r="L6947" t="n">
        <v>0</v>
      </c>
      <c r="M6947" t="n">
        <v>0</v>
      </c>
      <c r="N6947" t="n">
        <v>0</v>
      </c>
      <c r="O6947" t="n">
        <v>0</v>
      </c>
      <c r="P6947" t="n">
        <v>0</v>
      </c>
      <c r="Q6947" t="n">
        <v>0</v>
      </c>
      <c r="R6947" s="2" t="inlineStr"/>
    </row>
    <row r="6948" ht="15" customHeight="1">
      <c r="A6948" t="inlineStr">
        <is>
          <t>A 13400-2026</t>
        </is>
      </c>
      <c r="B6948" s="1" t="n">
        <v>46094.4465162037</v>
      </c>
      <c r="C6948" s="1" t="n">
        <v>46185</v>
      </c>
      <c r="D6948" t="inlineStr">
        <is>
          <t>VÄSTERNORRLANDS LÄN</t>
        </is>
      </c>
      <c r="E6948" t="inlineStr">
        <is>
          <t>ÖRNSKÖLDSVIK</t>
        </is>
      </c>
      <c r="G6948" t="n">
        <v>10.4</v>
      </c>
      <c r="H6948" t="n">
        <v>0</v>
      </c>
      <c r="I6948" t="n">
        <v>0</v>
      </c>
      <c r="J6948" t="n">
        <v>0</v>
      </c>
      <c r="K6948" t="n">
        <v>0</v>
      </c>
      <c r="L6948" t="n">
        <v>0</v>
      </c>
      <c r="M6948" t="n">
        <v>0</v>
      </c>
      <c r="N6948" t="n">
        <v>0</v>
      </c>
      <c r="O6948" t="n">
        <v>0</v>
      </c>
      <c r="P6948" t="n">
        <v>0</v>
      </c>
      <c r="Q6948" t="n">
        <v>0</v>
      </c>
      <c r="R6948" s="2" t="inlineStr"/>
    </row>
    <row r="6949" ht="15" customHeight="1">
      <c r="A6949" t="inlineStr">
        <is>
          <t>A 13459-2026</t>
        </is>
      </c>
      <c r="B6949" s="1" t="n">
        <v>46094.53178240741</v>
      </c>
      <c r="C6949" s="1" t="n">
        <v>46185</v>
      </c>
      <c r="D6949" t="inlineStr">
        <is>
          <t>VÄSTERNORRLANDS LÄN</t>
        </is>
      </c>
      <c r="E6949" t="inlineStr">
        <is>
          <t>HÄRNÖSAND</t>
        </is>
      </c>
      <c r="F6949" t="inlineStr">
        <is>
          <t>SCA</t>
        </is>
      </c>
      <c r="G6949" t="n">
        <v>7.1</v>
      </c>
      <c r="H6949" t="n">
        <v>0</v>
      </c>
      <c r="I6949" t="n">
        <v>0</v>
      </c>
      <c r="J6949" t="n">
        <v>0</v>
      </c>
      <c r="K6949" t="n">
        <v>0</v>
      </c>
      <c r="L6949" t="n">
        <v>0</v>
      </c>
      <c r="M6949" t="n">
        <v>0</v>
      </c>
      <c r="N6949" t="n">
        <v>0</v>
      </c>
      <c r="O6949" t="n">
        <v>0</v>
      </c>
      <c r="P6949" t="n">
        <v>0</v>
      </c>
      <c r="Q6949" t="n">
        <v>0</v>
      </c>
      <c r="R6949" s="2" t="inlineStr"/>
    </row>
    <row r="6950" ht="15" customHeight="1">
      <c r="A6950" t="inlineStr">
        <is>
          <t>A 13488-2026</t>
        </is>
      </c>
      <c r="B6950" s="1" t="n">
        <v>46094.58575231482</v>
      </c>
      <c r="C6950" s="1" t="n">
        <v>46185</v>
      </c>
      <c r="D6950" t="inlineStr">
        <is>
          <t>VÄSTERNORRLANDS LÄN</t>
        </is>
      </c>
      <c r="E6950" t="inlineStr">
        <is>
          <t>HÄRNÖSAND</t>
        </is>
      </c>
      <c r="G6950" t="n">
        <v>5.4</v>
      </c>
      <c r="H6950" t="n">
        <v>0</v>
      </c>
      <c r="I6950" t="n">
        <v>0</v>
      </c>
      <c r="J6950" t="n">
        <v>0</v>
      </c>
      <c r="K6950" t="n">
        <v>0</v>
      </c>
      <c r="L6950" t="n">
        <v>0</v>
      </c>
      <c r="M6950" t="n">
        <v>0</v>
      </c>
      <c r="N6950" t="n">
        <v>0</v>
      </c>
      <c r="O6950" t="n">
        <v>0</v>
      </c>
      <c r="P6950" t="n">
        <v>0</v>
      </c>
      <c r="Q6950" t="n">
        <v>0</v>
      </c>
      <c r="R6950" s="2" t="inlineStr"/>
    </row>
    <row r="6951" ht="15" customHeight="1">
      <c r="A6951" t="inlineStr">
        <is>
          <t>A 20364-2023</t>
        </is>
      </c>
      <c r="B6951" s="1" t="n">
        <v>45054</v>
      </c>
      <c r="C6951" s="1" t="n">
        <v>46185</v>
      </c>
      <c r="D6951" t="inlineStr">
        <is>
          <t>VÄSTERNORRLANDS LÄN</t>
        </is>
      </c>
      <c r="E6951" t="inlineStr">
        <is>
          <t>SUNDSVALL</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63627-2025</t>
        </is>
      </c>
      <c r="B6952" s="1" t="n">
        <v>46014.36487268518</v>
      </c>
      <c r="C6952" s="1" t="n">
        <v>46185</v>
      </c>
      <c r="D6952" t="inlineStr">
        <is>
          <t>VÄSTERNORRLANDS LÄN</t>
        </is>
      </c>
      <c r="E6952" t="inlineStr">
        <is>
          <t>KRAMFORS</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27690-2025</t>
        </is>
      </c>
      <c r="B6953" s="1" t="n">
        <v>45813.65657407408</v>
      </c>
      <c r="C6953" s="1" t="n">
        <v>46185</v>
      </c>
      <c r="D6953" t="inlineStr">
        <is>
          <t>VÄSTERNORRLANDS LÄN</t>
        </is>
      </c>
      <c r="E6953" t="inlineStr">
        <is>
          <t>SUNDSVALL</t>
        </is>
      </c>
      <c r="F6953" t="inlineStr">
        <is>
          <t>SCA</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41507-2024</t>
        </is>
      </c>
      <c r="B6954" s="1" t="n">
        <v>45560</v>
      </c>
      <c r="C6954" s="1" t="n">
        <v>46185</v>
      </c>
      <c r="D6954" t="inlineStr">
        <is>
          <t>VÄSTERNORRLANDS LÄN</t>
        </is>
      </c>
      <c r="E6954" t="inlineStr">
        <is>
          <t>ÅNGE</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41520-2024</t>
        </is>
      </c>
      <c r="B6955" s="1" t="n">
        <v>45560.47858796296</v>
      </c>
      <c r="C6955" s="1" t="n">
        <v>46185</v>
      </c>
      <c r="D6955" t="inlineStr">
        <is>
          <t>VÄSTERNORRLANDS LÄN</t>
        </is>
      </c>
      <c r="E6955" t="inlineStr">
        <is>
          <t>ÖRNSKÖLDSVIK</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63849-2025</t>
        </is>
      </c>
      <c r="B6956" s="1" t="n">
        <v>46020.45061342593</v>
      </c>
      <c r="C6956" s="1" t="n">
        <v>46185</v>
      </c>
      <c r="D6956" t="inlineStr">
        <is>
          <t>VÄSTERNORRLANDS LÄN</t>
        </is>
      </c>
      <c r="E6956" t="inlineStr">
        <is>
          <t>ÖRNSKÖLDSVIK</t>
        </is>
      </c>
      <c r="G6956" t="n">
        <v>6.9</v>
      </c>
      <c r="H6956" t="n">
        <v>0</v>
      </c>
      <c r="I6956" t="n">
        <v>0</v>
      </c>
      <c r="J6956" t="n">
        <v>0</v>
      </c>
      <c r="K6956" t="n">
        <v>0</v>
      </c>
      <c r="L6956" t="n">
        <v>0</v>
      </c>
      <c r="M6956" t="n">
        <v>0</v>
      </c>
      <c r="N6956" t="n">
        <v>0</v>
      </c>
      <c r="O6956" t="n">
        <v>0</v>
      </c>
      <c r="P6956" t="n">
        <v>0</v>
      </c>
      <c r="Q6956" t="n">
        <v>0</v>
      </c>
      <c r="R6956" s="2" t="inlineStr"/>
    </row>
    <row r="6957" ht="15" customHeight="1">
      <c r="A6957" t="inlineStr">
        <is>
          <t>A 41532-2024</t>
        </is>
      </c>
      <c r="B6957" s="1" t="n">
        <v>45560.49050925926</v>
      </c>
      <c r="C6957" s="1" t="n">
        <v>46185</v>
      </c>
      <c r="D6957" t="inlineStr">
        <is>
          <t>VÄSTERNORRLANDS LÄN</t>
        </is>
      </c>
      <c r="E6957" t="inlineStr">
        <is>
          <t>SOLLEFTEÅ</t>
        </is>
      </c>
      <c r="F6957" t="inlineStr">
        <is>
          <t>SCA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11042-2025</t>
        </is>
      </c>
      <c r="B6958" s="1" t="n">
        <v>45723.48438657408</v>
      </c>
      <c r="C6958" s="1" t="n">
        <v>46185</v>
      </c>
      <c r="D6958" t="inlineStr">
        <is>
          <t>VÄSTERNORRLANDS LÄN</t>
        </is>
      </c>
      <c r="E6958" t="inlineStr">
        <is>
          <t>HÄRNÖSAND</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63799-2025</t>
        </is>
      </c>
      <c r="B6959" s="1" t="n">
        <v>46019</v>
      </c>
      <c r="C6959" s="1" t="n">
        <v>46185</v>
      </c>
      <c r="D6959" t="inlineStr">
        <is>
          <t>VÄSTERNORRLANDS LÄN</t>
        </is>
      </c>
      <c r="E6959" t="inlineStr">
        <is>
          <t>SUNDSVALL</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63805-2025</t>
        </is>
      </c>
      <c r="B6960" s="1" t="n">
        <v>46019.92979166667</v>
      </c>
      <c r="C6960" s="1" t="n">
        <v>46185</v>
      </c>
      <c r="D6960" t="inlineStr">
        <is>
          <t>VÄSTERNORRLANDS LÄN</t>
        </is>
      </c>
      <c r="E6960" t="inlineStr">
        <is>
          <t>TIMRÅ</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45874-2021</t>
        </is>
      </c>
      <c r="B6961" s="1" t="n">
        <v>44441</v>
      </c>
      <c r="C6961" s="1" t="n">
        <v>46185</v>
      </c>
      <c r="D6961" t="inlineStr">
        <is>
          <t>VÄSTERNORRLANDS LÄN</t>
        </is>
      </c>
      <c r="E6961" t="inlineStr">
        <is>
          <t>ÖRNSKÖLDSVIK</t>
        </is>
      </c>
      <c r="F6961" t="inlineStr">
        <is>
          <t>Holmen skog AB</t>
        </is>
      </c>
      <c r="G6961" t="n">
        <v>8.6</v>
      </c>
      <c r="H6961" t="n">
        <v>0</v>
      </c>
      <c r="I6961" t="n">
        <v>0</v>
      </c>
      <c r="J6961" t="n">
        <v>0</v>
      </c>
      <c r="K6961" t="n">
        <v>0</v>
      </c>
      <c r="L6961" t="n">
        <v>0</v>
      </c>
      <c r="M6961" t="n">
        <v>0</v>
      </c>
      <c r="N6961" t="n">
        <v>0</v>
      </c>
      <c r="O6961" t="n">
        <v>0</v>
      </c>
      <c r="P6961" t="n">
        <v>0</v>
      </c>
      <c r="Q6961" t="n">
        <v>0</v>
      </c>
      <c r="R6961" s="2" t="inlineStr"/>
    </row>
    <row r="6962" ht="15" customHeight="1">
      <c r="A6962" t="inlineStr">
        <is>
          <t>A 44278-2025</t>
        </is>
      </c>
      <c r="B6962" s="1" t="n">
        <v>45916.34482638889</v>
      </c>
      <c r="C6962" s="1" t="n">
        <v>46185</v>
      </c>
      <c r="D6962" t="inlineStr">
        <is>
          <t>VÄSTERNORRLANDS LÄN</t>
        </is>
      </c>
      <c r="E6962" t="inlineStr">
        <is>
          <t>SUNDSVALL</t>
        </is>
      </c>
      <c r="F6962" t="inlineStr">
        <is>
          <t>SCA</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44283-2025</t>
        </is>
      </c>
      <c r="B6963" s="1" t="n">
        <v>45916.34541666666</v>
      </c>
      <c r="C6963" s="1" t="n">
        <v>46185</v>
      </c>
      <c r="D6963" t="inlineStr">
        <is>
          <t>VÄSTERNORRLANDS LÄN</t>
        </is>
      </c>
      <c r="E6963" t="inlineStr">
        <is>
          <t>SUNDSVALL</t>
        </is>
      </c>
      <c r="F6963" t="inlineStr">
        <is>
          <t>SCA</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55638-2025</t>
        </is>
      </c>
      <c r="B6964" s="1" t="n">
        <v>45972.34515046296</v>
      </c>
      <c r="C6964" s="1" t="n">
        <v>46185</v>
      </c>
      <c r="D6964" t="inlineStr">
        <is>
          <t>VÄSTERNORRLANDS LÄN</t>
        </is>
      </c>
      <c r="E6964" t="inlineStr">
        <is>
          <t>TIMRÅ</t>
        </is>
      </c>
      <c r="F6964" t="inlineStr">
        <is>
          <t>SCA</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58311-2025</t>
        </is>
      </c>
      <c r="B6965" s="1" t="n">
        <v>45985.46954861111</v>
      </c>
      <c r="C6965" s="1" t="n">
        <v>46185</v>
      </c>
      <c r="D6965" t="inlineStr">
        <is>
          <t>VÄSTERNORRLANDS LÄN</t>
        </is>
      </c>
      <c r="E6965" t="inlineStr">
        <is>
          <t>TIMRÅ</t>
        </is>
      </c>
      <c r="F6965" t="inlineStr">
        <is>
          <t>SCA</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14177-2025</t>
        </is>
      </c>
      <c r="B6966" s="1" t="n">
        <v>45740.53023148148</v>
      </c>
      <c r="C6966" s="1" t="n">
        <v>46185</v>
      </c>
      <c r="D6966" t="inlineStr">
        <is>
          <t>VÄSTERNORRLANDS LÄN</t>
        </is>
      </c>
      <c r="E6966" t="inlineStr">
        <is>
          <t>KRAMFORS</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13776-2026</t>
        </is>
      </c>
      <c r="B6967" s="1" t="n">
        <v>46097.67322916666</v>
      </c>
      <c r="C6967" s="1" t="n">
        <v>46185</v>
      </c>
      <c r="D6967" t="inlineStr">
        <is>
          <t>VÄSTERNORRLANDS LÄN</t>
        </is>
      </c>
      <c r="E6967" t="inlineStr">
        <is>
          <t>ÖRNSKÖLDSVIK</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27495-2023</t>
        </is>
      </c>
      <c r="B6968" s="1" t="n">
        <v>45092</v>
      </c>
      <c r="C6968" s="1" t="n">
        <v>46185</v>
      </c>
      <c r="D6968" t="inlineStr">
        <is>
          <t>VÄSTERNORRLANDS LÄN</t>
        </is>
      </c>
      <c r="E6968" t="inlineStr">
        <is>
          <t>TIMRÅ</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55745-2025</t>
        </is>
      </c>
      <c r="B6969" s="1" t="n">
        <v>45972.57354166666</v>
      </c>
      <c r="C6969" s="1" t="n">
        <v>46185</v>
      </c>
      <c r="D6969" t="inlineStr">
        <is>
          <t>VÄSTERNORRLANDS LÄN</t>
        </is>
      </c>
      <c r="E6969" t="inlineStr">
        <is>
          <t>TIMRÅ</t>
        </is>
      </c>
      <c r="F6969" t="inlineStr">
        <is>
          <t>SCA</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61304-2022</t>
        </is>
      </c>
      <c r="B6970" s="1" t="n">
        <v>44915</v>
      </c>
      <c r="C6970" s="1" t="n">
        <v>46185</v>
      </c>
      <c r="D6970" t="inlineStr">
        <is>
          <t>VÄSTERNORRLANDS LÄN</t>
        </is>
      </c>
      <c r="E6970" t="inlineStr">
        <is>
          <t>KRAMFORS</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38830-2024</t>
        </is>
      </c>
      <c r="B6971" s="1" t="n">
        <v>45547</v>
      </c>
      <c r="C6971" s="1" t="n">
        <v>46185</v>
      </c>
      <c r="D6971" t="inlineStr">
        <is>
          <t>VÄSTERNORRLANDS LÄN</t>
        </is>
      </c>
      <c r="E6971" t="inlineStr">
        <is>
          <t>KRAMFORS</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127-2026</t>
        </is>
      </c>
      <c r="B6972" s="1" t="n">
        <v>46020</v>
      </c>
      <c r="C6972" s="1" t="n">
        <v>46185</v>
      </c>
      <c r="D6972" t="inlineStr">
        <is>
          <t>VÄSTERNORRLANDS LÄN</t>
        </is>
      </c>
      <c r="E6972" t="inlineStr">
        <is>
          <t>SOLLEFTEÅ</t>
        </is>
      </c>
      <c r="G6972" t="n">
        <v>8.300000000000001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42044-2024</t>
        </is>
      </c>
      <c r="B6973" s="1" t="n">
        <v>45561</v>
      </c>
      <c r="C6973" s="1" t="n">
        <v>46185</v>
      </c>
      <c r="D6973" t="inlineStr">
        <is>
          <t>VÄSTERNORRLANDS LÄN</t>
        </is>
      </c>
      <c r="E6973" t="inlineStr">
        <is>
          <t>ÅNGE</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63808-2025</t>
        </is>
      </c>
      <c r="B6974" s="1" t="n">
        <v>46019.94665509259</v>
      </c>
      <c r="C6974" s="1" t="n">
        <v>46185</v>
      </c>
      <c r="D6974" t="inlineStr">
        <is>
          <t>VÄSTERNORRLANDS LÄN</t>
        </is>
      </c>
      <c r="E6974" t="inlineStr">
        <is>
          <t>TIMRÅ</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27759-2023</t>
        </is>
      </c>
      <c r="B6975" s="1" t="n">
        <v>45093</v>
      </c>
      <c r="C6975" s="1" t="n">
        <v>46185</v>
      </c>
      <c r="D6975" t="inlineStr">
        <is>
          <t>VÄSTERNORRLANDS LÄN</t>
        </is>
      </c>
      <c r="E6975" t="inlineStr">
        <is>
          <t>SUNDSVALL</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13779-2026</t>
        </is>
      </c>
      <c r="B6976" s="1" t="n">
        <v>46097.67768518518</v>
      </c>
      <c r="C6976" s="1" t="n">
        <v>46185</v>
      </c>
      <c r="D6976" t="inlineStr">
        <is>
          <t>VÄSTERNORRLANDS LÄN</t>
        </is>
      </c>
      <c r="E6976" t="inlineStr">
        <is>
          <t>SUNDSVALL</t>
        </is>
      </c>
      <c r="F6976" t="inlineStr">
        <is>
          <t>SCA</t>
        </is>
      </c>
      <c r="G6976" t="n">
        <v>9.199999999999999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13687-2026</t>
        </is>
      </c>
      <c r="B6977" s="1" t="n">
        <v>46097.53208333333</v>
      </c>
      <c r="C6977" s="1" t="n">
        <v>46185</v>
      </c>
      <c r="D6977" t="inlineStr">
        <is>
          <t>VÄSTERNORRLANDS LÄN</t>
        </is>
      </c>
      <c r="E6977" t="inlineStr">
        <is>
          <t>ÅNGE</t>
        </is>
      </c>
      <c r="F6977" t="inlineStr">
        <is>
          <t>SCA</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71580-2021</t>
        </is>
      </c>
      <c r="B6978" s="1" t="n">
        <v>44540</v>
      </c>
      <c r="C6978" s="1" t="n">
        <v>46185</v>
      </c>
      <c r="D6978" t="inlineStr">
        <is>
          <t>VÄSTERNORRLANDS LÄN</t>
        </is>
      </c>
      <c r="E6978" t="inlineStr">
        <is>
          <t>SOLLEFTEÅ</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58312-2025</t>
        </is>
      </c>
      <c r="B6979" s="1" t="n">
        <v>45985.47010416666</v>
      </c>
      <c r="C6979" s="1" t="n">
        <v>46185</v>
      </c>
      <c r="D6979" t="inlineStr">
        <is>
          <t>VÄSTERNORRLANDS LÄN</t>
        </is>
      </c>
      <c r="E6979" t="inlineStr">
        <is>
          <t>TIMRÅ</t>
        </is>
      </c>
      <c r="F6979" t="inlineStr">
        <is>
          <t>SCA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40134-2023</t>
        </is>
      </c>
      <c r="B6980" s="1" t="n">
        <v>45169.33306712963</v>
      </c>
      <c r="C6980" s="1" t="n">
        <v>46185</v>
      </c>
      <c r="D6980" t="inlineStr">
        <is>
          <t>VÄSTERNORRLANDS LÄN</t>
        </is>
      </c>
      <c r="E6980" t="inlineStr">
        <is>
          <t>ÖRNSKÖLDSVIK</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57185-2025</t>
        </is>
      </c>
      <c r="B6981" s="1" t="n">
        <v>45979.57387731481</v>
      </c>
      <c r="C6981" s="1" t="n">
        <v>46185</v>
      </c>
      <c r="D6981" t="inlineStr">
        <is>
          <t>VÄSTERNORRLANDS LÄN</t>
        </is>
      </c>
      <c r="E6981" t="inlineStr">
        <is>
          <t>SUNDSVALL</t>
        </is>
      </c>
      <c r="F6981" t="inlineStr">
        <is>
          <t>SCA</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55008-2025</t>
        </is>
      </c>
      <c r="B6982" s="1" t="n">
        <v>45967.61501157407</v>
      </c>
      <c r="C6982" s="1" t="n">
        <v>46185</v>
      </c>
      <c r="D6982" t="inlineStr">
        <is>
          <t>VÄSTERNORRLANDS LÄN</t>
        </is>
      </c>
      <c r="E6982" t="inlineStr">
        <is>
          <t>TIMRÅ</t>
        </is>
      </c>
      <c r="F6982" t="inlineStr">
        <is>
          <t>SCA</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55011-2025</t>
        </is>
      </c>
      <c r="B6983" s="1" t="n">
        <v>45967.61542824074</v>
      </c>
      <c r="C6983" s="1" t="n">
        <v>46185</v>
      </c>
      <c r="D6983" t="inlineStr">
        <is>
          <t>VÄSTERNORRLANDS LÄN</t>
        </is>
      </c>
      <c r="E6983" t="inlineStr">
        <is>
          <t>SUNDSVALL</t>
        </is>
      </c>
      <c r="F6983" t="inlineStr">
        <is>
          <t>SCA</t>
        </is>
      </c>
      <c r="G6983" t="n">
        <v>6.8</v>
      </c>
      <c r="H6983" t="n">
        <v>0</v>
      </c>
      <c r="I6983" t="n">
        <v>0</v>
      </c>
      <c r="J6983" t="n">
        <v>0</v>
      </c>
      <c r="K6983" t="n">
        <v>0</v>
      </c>
      <c r="L6983" t="n">
        <v>0</v>
      </c>
      <c r="M6983" t="n">
        <v>0</v>
      </c>
      <c r="N6983" t="n">
        <v>0</v>
      </c>
      <c r="O6983" t="n">
        <v>0</v>
      </c>
      <c r="P6983" t="n">
        <v>0</v>
      </c>
      <c r="Q6983" t="n">
        <v>0</v>
      </c>
      <c r="R6983" s="2" t="inlineStr"/>
    </row>
    <row r="6984" ht="15" customHeight="1">
      <c r="A6984" t="inlineStr">
        <is>
          <t>A 55639-2025</t>
        </is>
      </c>
      <c r="B6984" s="1" t="n">
        <v>45972.34539351852</v>
      </c>
      <c r="C6984" s="1" t="n">
        <v>46185</v>
      </c>
      <c r="D6984" t="inlineStr">
        <is>
          <t>VÄSTERNORRLANDS LÄN</t>
        </is>
      </c>
      <c r="E6984" t="inlineStr">
        <is>
          <t>TIMRÅ</t>
        </is>
      </c>
      <c r="F6984" t="inlineStr">
        <is>
          <t>SCA</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3256-2024</t>
        </is>
      </c>
      <c r="B6985" s="1" t="n">
        <v>45316</v>
      </c>
      <c r="C6985" s="1" t="n">
        <v>46185</v>
      </c>
      <c r="D6985" t="inlineStr">
        <is>
          <t>VÄSTERNORRLANDS LÄN</t>
        </is>
      </c>
      <c r="E6985" t="inlineStr">
        <is>
          <t>ÅNGE</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44421-2025</t>
        </is>
      </c>
      <c r="B6986" s="1" t="n">
        <v>45916.55245370371</v>
      </c>
      <c r="C6986" s="1" t="n">
        <v>46185</v>
      </c>
      <c r="D6986" t="inlineStr">
        <is>
          <t>VÄSTERNORRLANDS LÄN</t>
        </is>
      </c>
      <c r="E6986" t="inlineStr">
        <is>
          <t>TIMRÅ</t>
        </is>
      </c>
      <c r="F6986" t="inlineStr">
        <is>
          <t>SCA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53924-2023</t>
        </is>
      </c>
      <c r="B6987" s="1" t="n">
        <v>45231.57295138889</v>
      </c>
      <c r="C6987" s="1" t="n">
        <v>46185</v>
      </c>
      <c r="D6987" t="inlineStr">
        <is>
          <t>VÄSTERNORRLANDS LÄN</t>
        </is>
      </c>
      <c r="E6987" t="inlineStr">
        <is>
          <t>ÖRNSKÖLDSVIK</t>
        </is>
      </c>
      <c r="F6987" t="inlineStr">
        <is>
          <t>Holmen skog AB</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44281-2025</t>
        </is>
      </c>
      <c r="B6988" s="1" t="n">
        <v>45916.34513888889</v>
      </c>
      <c r="C6988" s="1" t="n">
        <v>46185</v>
      </c>
      <c r="D6988" t="inlineStr">
        <is>
          <t>VÄSTERNORRLANDS LÄN</t>
        </is>
      </c>
      <c r="E6988" t="inlineStr">
        <is>
          <t>TIMRÅ</t>
        </is>
      </c>
      <c r="F6988" t="inlineStr">
        <is>
          <t>SCA</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25131-2024</t>
        </is>
      </c>
      <c r="B6989" s="1" t="n">
        <v>45462.46725694444</v>
      </c>
      <c r="C6989" s="1" t="n">
        <v>46185</v>
      </c>
      <c r="D6989" t="inlineStr">
        <is>
          <t>VÄSTERNORRLANDS LÄN</t>
        </is>
      </c>
      <c r="E6989" t="inlineStr">
        <is>
          <t>SOLLEFTEÅ</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42838-2024</t>
        </is>
      </c>
      <c r="B6990" s="1" t="n">
        <v>45566.62291666667</v>
      </c>
      <c r="C6990" s="1" t="n">
        <v>46185</v>
      </c>
      <c r="D6990" t="inlineStr">
        <is>
          <t>VÄSTERNORRLANDS LÄN</t>
        </is>
      </c>
      <c r="E6990" t="inlineStr">
        <is>
          <t>ÖRNSKÖLDSVIK</t>
        </is>
      </c>
      <c r="F6990" t="inlineStr">
        <is>
          <t>Holmen skog AB</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63846-2025</t>
        </is>
      </c>
      <c r="B6991" s="1" t="n">
        <v>46020.43887731482</v>
      </c>
      <c r="C6991" s="1" t="n">
        <v>46185</v>
      </c>
      <c r="D6991" t="inlineStr">
        <is>
          <t>VÄSTERNORRLANDS LÄN</t>
        </is>
      </c>
      <c r="E6991" t="inlineStr">
        <is>
          <t>ÖRNSKÖLDSVIK</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64140-2025</t>
        </is>
      </c>
      <c r="B6992" s="1" t="n">
        <v>46022.40658564815</v>
      </c>
      <c r="C6992" s="1" t="n">
        <v>46185</v>
      </c>
      <c r="D6992" t="inlineStr">
        <is>
          <t>VÄSTERNORRLANDS LÄN</t>
        </is>
      </c>
      <c r="E6992" t="inlineStr">
        <is>
          <t>SUNDSVALL</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2499-2024</t>
        </is>
      </c>
      <c r="B6993" s="1" t="n">
        <v>45313</v>
      </c>
      <c r="C6993" s="1" t="n">
        <v>46185</v>
      </c>
      <c r="D6993" t="inlineStr">
        <is>
          <t>VÄSTERNORRLANDS LÄN</t>
        </is>
      </c>
      <c r="E6993" t="inlineStr">
        <is>
          <t>ÖRNSKÖLDSVIK</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2541-2024</t>
        </is>
      </c>
      <c r="B6994" s="1" t="n">
        <v>45313.56436342592</v>
      </c>
      <c r="C6994" s="1" t="n">
        <v>46185</v>
      </c>
      <c r="D6994" t="inlineStr">
        <is>
          <t>VÄSTERNORRLANDS LÄN</t>
        </is>
      </c>
      <c r="E6994" t="inlineStr">
        <is>
          <t>ÖRNSKÖLDSVIK</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63983-2025</t>
        </is>
      </c>
      <c r="B6995" s="1" t="n">
        <v>46021.34506944445</v>
      </c>
      <c r="C6995" s="1" t="n">
        <v>46185</v>
      </c>
      <c r="D6995" t="inlineStr">
        <is>
          <t>VÄSTERNORRLANDS LÄN</t>
        </is>
      </c>
      <c r="E6995" t="inlineStr">
        <is>
          <t>KRAMFORS</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22462-2024</t>
        </is>
      </c>
      <c r="B6996" s="1" t="n">
        <v>45446</v>
      </c>
      <c r="C6996" s="1" t="n">
        <v>46185</v>
      </c>
      <c r="D6996" t="inlineStr">
        <is>
          <t>VÄSTERNORRLANDS LÄN</t>
        </is>
      </c>
      <c r="E6996" t="inlineStr">
        <is>
          <t>SOLLEFTEÅ</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64080-2025</t>
        </is>
      </c>
      <c r="B6997" s="1" t="n">
        <v>46021.67752314815</v>
      </c>
      <c r="C6997" s="1" t="n">
        <v>46185</v>
      </c>
      <c r="D6997" t="inlineStr">
        <is>
          <t>VÄSTERNORRLANDS LÄN</t>
        </is>
      </c>
      <c r="E6997" t="inlineStr">
        <is>
          <t>ÅNGE</t>
        </is>
      </c>
      <c r="F6997" t="inlineStr">
        <is>
          <t>SCA</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63965-2025</t>
        </is>
      </c>
      <c r="B6998" s="1" t="n">
        <v>46020.93445601852</v>
      </c>
      <c r="C6998" s="1" t="n">
        <v>46185</v>
      </c>
      <c r="D6998" t="inlineStr">
        <is>
          <t>VÄSTERNORRLANDS LÄN</t>
        </is>
      </c>
      <c r="E6998" t="inlineStr">
        <is>
          <t>ÅNGE</t>
        </is>
      </c>
      <c r="G6998" t="n">
        <v>11.1</v>
      </c>
      <c r="H6998" t="n">
        <v>0</v>
      </c>
      <c r="I6998" t="n">
        <v>0</v>
      </c>
      <c r="J6998" t="n">
        <v>0</v>
      </c>
      <c r="K6998" t="n">
        <v>0</v>
      </c>
      <c r="L6998" t="n">
        <v>0</v>
      </c>
      <c r="M6998" t="n">
        <v>0</v>
      </c>
      <c r="N6998" t="n">
        <v>0</v>
      </c>
      <c r="O6998" t="n">
        <v>0</v>
      </c>
      <c r="P6998" t="n">
        <v>0</v>
      </c>
      <c r="Q6998" t="n">
        <v>0</v>
      </c>
      <c r="R6998" s="2" t="inlineStr"/>
    </row>
    <row r="6999" ht="15" customHeight="1">
      <c r="A6999" t="inlineStr">
        <is>
          <t>A 3323-2025</t>
        </is>
      </c>
      <c r="B6999" s="1" t="n">
        <v>45679.69921296297</v>
      </c>
      <c r="C6999" s="1" t="n">
        <v>46185</v>
      </c>
      <c r="D6999" t="inlineStr">
        <is>
          <t>VÄSTERNORRLANDS LÄN</t>
        </is>
      </c>
      <c r="E6999" t="inlineStr">
        <is>
          <t>SOLLEFTEÅ</t>
        </is>
      </c>
      <c r="F6999" t="inlineStr">
        <is>
          <t>SCA</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22496-2024</t>
        </is>
      </c>
      <c r="B7000" s="1" t="n">
        <v>45447</v>
      </c>
      <c r="C7000" s="1" t="n">
        <v>46185</v>
      </c>
      <c r="D7000" t="inlineStr">
        <is>
          <t>VÄSTERNORRLANDS LÄN</t>
        </is>
      </c>
      <c r="E7000" t="inlineStr">
        <is>
          <t>KRAMFORS</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13868-2026</t>
        </is>
      </c>
      <c r="B7001" s="1" t="n">
        <v>46098.42165509259</v>
      </c>
      <c r="C7001" s="1" t="n">
        <v>46185</v>
      </c>
      <c r="D7001" t="inlineStr">
        <is>
          <t>VÄSTERNORRLANDS LÄN</t>
        </is>
      </c>
      <c r="E7001" t="inlineStr">
        <is>
          <t>ÖRNSKÖLDSVIK</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13876-2026</t>
        </is>
      </c>
      <c r="B7002" s="1" t="n">
        <v>46098.43914351852</v>
      </c>
      <c r="C7002" s="1" t="n">
        <v>46185</v>
      </c>
      <c r="D7002" t="inlineStr">
        <is>
          <t>VÄSTERNORRLANDS LÄN</t>
        </is>
      </c>
      <c r="E7002" t="inlineStr">
        <is>
          <t>ÖRNSKÖLDSVIK</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19977-2023</t>
        </is>
      </c>
      <c r="B7003" s="1" t="n">
        <v>45054.58861111111</v>
      </c>
      <c r="C7003" s="1" t="n">
        <v>46185</v>
      </c>
      <c r="D7003" t="inlineStr">
        <is>
          <t>VÄSTERNORRLANDS LÄN</t>
        </is>
      </c>
      <c r="E7003" t="inlineStr">
        <is>
          <t>ÖRNSKÖLDSVIK</t>
        </is>
      </c>
      <c r="F7003" t="inlineStr">
        <is>
          <t>Holmen skog AB</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152-2026</t>
        </is>
      </c>
      <c r="B7004" s="1" t="n">
        <v>46021</v>
      </c>
      <c r="C7004" s="1" t="n">
        <v>46185</v>
      </c>
      <c r="D7004" t="inlineStr">
        <is>
          <t>VÄSTERNORRLANDS LÄN</t>
        </is>
      </c>
      <c r="E7004" t="inlineStr">
        <is>
          <t>SUNDSVALL</t>
        </is>
      </c>
      <c r="G7004" t="n">
        <v>6.4</v>
      </c>
      <c r="H7004" t="n">
        <v>0</v>
      </c>
      <c r="I7004" t="n">
        <v>0</v>
      </c>
      <c r="J7004" t="n">
        <v>0</v>
      </c>
      <c r="K7004" t="n">
        <v>0</v>
      </c>
      <c r="L7004" t="n">
        <v>0</v>
      </c>
      <c r="M7004" t="n">
        <v>0</v>
      </c>
      <c r="N7004" t="n">
        <v>0</v>
      </c>
      <c r="O7004" t="n">
        <v>0</v>
      </c>
      <c r="P7004" t="n">
        <v>0</v>
      </c>
      <c r="Q7004" t="n">
        <v>0</v>
      </c>
      <c r="R7004" s="2" t="inlineStr"/>
    </row>
    <row r="7005" ht="15" customHeight="1">
      <c r="A7005" t="inlineStr">
        <is>
          <t>A 2853-2025</t>
        </is>
      </c>
      <c r="B7005" s="1" t="n">
        <v>45677.65922453703</v>
      </c>
      <c r="C7005" s="1" t="n">
        <v>46185</v>
      </c>
      <c r="D7005" t="inlineStr">
        <is>
          <t>VÄSTERNORRLANDS LÄN</t>
        </is>
      </c>
      <c r="E7005" t="inlineStr">
        <is>
          <t>ÖRNSKÖLDSVIK</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64046-2025</t>
        </is>
      </c>
      <c r="B7006" s="1" t="n">
        <v>46021.57615740741</v>
      </c>
      <c r="C7006" s="1" t="n">
        <v>46185</v>
      </c>
      <c r="D7006" t="inlineStr">
        <is>
          <t>VÄSTERNORRLANDS LÄN</t>
        </is>
      </c>
      <c r="E7006" t="inlineStr">
        <is>
          <t>SUNDSVALL</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64153-2025</t>
        </is>
      </c>
      <c r="B7007" s="1" t="n">
        <v>46022</v>
      </c>
      <c r="C7007" s="1" t="n">
        <v>46185</v>
      </c>
      <c r="D7007" t="inlineStr">
        <is>
          <t>VÄSTERNORRLANDS LÄN</t>
        </is>
      </c>
      <c r="E7007" t="inlineStr">
        <is>
          <t>KRAMFORS</t>
        </is>
      </c>
      <c r="G7007" t="n">
        <v>4.6</v>
      </c>
      <c r="H7007" t="n">
        <v>0</v>
      </c>
      <c r="I7007" t="n">
        <v>0</v>
      </c>
      <c r="J7007" t="n">
        <v>0</v>
      </c>
      <c r="K7007" t="n">
        <v>0</v>
      </c>
      <c r="L7007" t="n">
        <v>0</v>
      </c>
      <c r="M7007" t="n">
        <v>0</v>
      </c>
      <c r="N7007" t="n">
        <v>0</v>
      </c>
      <c r="O7007" t="n">
        <v>0</v>
      </c>
      <c r="P7007" t="n">
        <v>0</v>
      </c>
      <c r="Q7007" t="n">
        <v>0</v>
      </c>
      <c r="R7007" s="2" t="inlineStr"/>
    </row>
    <row r="7008" ht="15" customHeight="1">
      <c r="A7008" t="inlineStr">
        <is>
          <t>A 79-2026</t>
        </is>
      </c>
      <c r="B7008" s="1" t="n">
        <v>46024.46909722222</v>
      </c>
      <c r="C7008" s="1" t="n">
        <v>46185</v>
      </c>
      <c r="D7008" t="inlineStr">
        <is>
          <t>VÄSTERNORRLANDS LÄN</t>
        </is>
      </c>
      <c r="E7008" t="inlineStr">
        <is>
          <t>HÄRNÖSAND</t>
        </is>
      </c>
      <c r="G7008" t="n">
        <v>5.4</v>
      </c>
      <c r="H7008" t="n">
        <v>0</v>
      </c>
      <c r="I7008" t="n">
        <v>0</v>
      </c>
      <c r="J7008" t="n">
        <v>0</v>
      </c>
      <c r="K7008" t="n">
        <v>0</v>
      </c>
      <c r="L7008" t="n">
        <v>0</v>
      </c>
      <c r="M7008" t="n">
        <v>0</v>
      </c>
      <c r="N7008" t="n">
        <v>0</v>
      </c>
      <c r="O7008" t="n">
        <v>0</v>
      </c>
      <c r="P7008" t="n">
        <v>0</v>
      </c>
      <c r="Q7008" t="n">
        <v>0</v>
      </c>
      <c r="R7008" s="2" t="inlineStr"/>
    </row>
    <row r="7009" ht="15" customHeight="1">
      <c r="A7009" t="inlineStr">
        <is>
          <t>A 16511-2025</t>
        </is>
      </c>
      <c r="B7009" s="1" t="n">
        <v>45751</v>
      </c>
      <c r="C7009" s="1" t="n">
        <v>46185</v>
      </c>
      <c r="D7009" t="inlineStr">
        <is>
          <t>VÄSTERNORRLANDS LÄN</t>
        </is>
      </c>
      <c r="E7009" t="inlineStr">
        <is>
          <t>SOLLEFTEÅ</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655-2026</t>
        </is>
      </c>
      <c r="B7010" s="1" t="n">
        <v>46024</v>
      </c>
      <c r="C7010" s="1" t="n">
        <v>46185</v>
      </c>
      <c r="D7010" t="inlineStr">
        <is>
          <t>VÄSTERNORRLANDS LÄN</t>
        </is>
      </c>
      <c r="E7010" t="inlineStr">
        <is>
          <t>HÄRNÖSAND</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14751-2025</t>
        </is>
      </c>
      <c r="B7011" s="1" t="n">
        <v>45742.65863425926</v>
      </c>
      <c r="C7011" s="1" t="n">
        <v>46185</v>
      </c>
      <c r="D7011" t="inlineStr">
        <is>
          <t>VÄSTERNORRLANDS LÄN</t>
        </is>
      </c>
      <c r="E7011" t="inlineStr">
        <is>
          <t>ÅNGE</t>
        </is>
      </c>
      <c r="G7011" t="n">
        <v>8.699999999999999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64-2026</t>
        </is>
      </c>
      <c r="B7012" s="1" t="n">
        <v>46024.44824074074</v>
      </c>
      <c r="C7012" s="1" t="n">
        <v>46185</v>
      </c>
      <c r="D7012" t="inlineStr">
        <is>
          <t>VÄSTERNORRLANDS LÄN</t>
        </is>
      </c>
      <c r="E7012" t="inlineStr">
        <is>
          <t>HÄRNÖSAND</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13-2026</t>
        </is>
      </c>
      <c r="B7013" s="1" t="n">
        <v>46023.63582175926</v>
      </c>
      <c r="C7013" s="1" t="n">
        <v>46185</v>
      </c>
      <c r="D7013" t="inlineStr">
        <is>
          <t>VÄSTERNORRLANDS LÄN</t>
        </is>
      </c>
      <c r="E7013" t="inlineStr">
        <is>
          <t>HÄRNÖSAND</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10-2026</t>
        </is>
      </c>
      <c r="B7014" s="1" t="n">
        <v>46023</v>
      </c>
      <c r="C7014" s="1" t="n">
        <v>46185</v>
      </c>
      <c r="D7014" t="inlineStr">
        <is>
          <t>VÄSTERNORRLANDS LÄN</t>
        </is>
      </c>
      <c r="E7014" t="inlineStr">
        <is>
          <t>TIMRÅ</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54-2026</t>
        </is>
      </c>
      <c r="B7015" s="1" t="n">
        <v>46024.43549768518</v>
      </c>
      <c r="C7015" s="1" t="n">
        <v>46185</v>
      </c>
      <c r="D7015" t="inlineStr">
        <is>
          <t>VÄSTERNORRLANDS LÄN</t>
        </is>
      </c>
      <c r="E7015" t="inlineStr">
        <is>
          <t>HÄRNÖSAND</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10339-2025</t>
        </is>
      </c>
      <c r="B7016" s="1" t="n">
        <v>45720</v>
      </c>
      <c r="C7016" s="1" t="n">
        <v>46185</v>
      </c>
      <c r="D7016" t="inlineStr">
        <is>
          <t>VÄSTERNORRLANDS LÄN</t>
        </is>
      </c>
      <c r="E7016" t="inlineStr">
        <is>
          <t>ÅNGE</t>
        </is>
      </c>
      <c r="F7016" t="inlineStr">
        <is>
          <t>SCA</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14236-2026</t>
        </is>
      </c>
      <c r="B7017" s="1" t="n">
        <v>46099.59628472223</v>
      </c>
      <c r="C7017" s="1" t="n">
        <v>46185</v>
      </c>
      <c r="D7017" t="inlineStr">
        <is>
          <t>VÄSTERNORRLANDS LÄN</t>
        </is>
      </c>
      <c r="E7017" t="inlineStr">
        <is>
          <t>ÅNGE</t>
        </is>
      </c>
      <c r="F7017" t="inlineStr">
        <is>
          <t>Holmen skog AB</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164-2026</t>
        </is>
      </c>
      <c r="B7018" s="1" t="n">
        <v>46024</v>
      </c>
      <c r="C7018" s="1" t="n">
        <v>46185</v>
      </c>
      <c r="D7018" t="inlineStr">
        <is>
          <t>VÄSTERNORRLANDS LÄN</t>
        </is>
      </c>
      <c r="E7018" t="inlineStr">
        <is>
          <t>TIMRÅ</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162-2026</t>
        </is>
      </c>
      <c r="B7019" s="1" t="n">
        <v>46024</v>
      </c>
      <c r="C7019" s="1" t="n">
        <v>46185</v>
      </c>
      <c r="D7019" t="inlineStr">
        <is>
          <t>VÄSTERNORRLANDS LÄN</t>
        </is>
      </c>
      <c r="E7019" t="inlineStr">
        <is>
          <t>TIMRÅ</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41083-2024</t>
        </is>
      </c>
      <c r="B7020" s="1" t="n">
        <v>45559.40684027778</v>
      </c>
      <c r="C7020" s="1" t="n">
        <v>46185</v>
      </c>
      <c r="D7020" t="inlineStr">
        <is>
          <t>VÄSTERNORRLANDS LÄN</t>
        </is>
      </c>
      <c r="E7020" t="inlineStr">
        <is>
          <t>ÅNGE</t>
        </is>
      </c>
      <c r="F7020" t="inlineStr">
        <is>
          <t>SCA</t>
        </is>
      </c>
      <c r="G7020" t="n">
        <v>8.4</v>
      </c>
      <c r="H7020" t="n">
        <v>0</v>
      </c>
      <c r="I7020" t="n">
        <v>0</v>
      </c>
      <c r="J7020" t="n">
        <v>0</v>
      </c>
      <c r="K7020" t="n">
        <v>0</v>
      </c>
      <c r="L7020" t="n">
        <v>0</v>
      </c>
      <c r="M7020" t="n">
        <v>0</v>
      </c>
      <c r="N7020" t="n">
        <v>0</v>
      </c>
      <c r="O7020" t="n">
        <v>0</v>
      </c>
      <c r="P7020" t="n">
        <v>0</v>
      </c>
      <c r="Q7020" t="n">
        <v>0</v>
      </c>
      <c r="R7020" s="2" t="inlineStr"/>
    </row>
    <row r="7021" ht="15" customHeight="1">
      <c r="A7021" t="inlineStr">
        <is>
          <t>A 15-2026</t>
        </is>
      </c>
      <c r="B7021" s="1" t="n">
        <v>46023.65657407408</v>
      </c>
      <c r="C7021" s="1" t="n">
        <v>46185</v>
      </c>
      <c r="D7021" t="inlineStr">
        <is>
          <t>VÄSTERNORRLANDS LÄN</t>
        </is>
      </c>
      <c r="E7021" t="inlineStr">
        <is>
          <t>HÄRNÖSAND</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81-2026</t>
        </is>
      </c>
      <c r="B7022" s="1" t="n">
        <v>46024.46921296296</v>
      </c>
      <c r="C7022" s="1" t="n">
        <v>46185</v>
      </c>
      <c r="D7022" t="inlineStr">
        <is>
          <t>VÄSTERNORRLANDS LÄN</t>
        </is>
      </c>
      <c r="E7022" t="inlineStr">
        <is>
          <t>KRAMFORS</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42197-2024</t>
        </is>
      </c>
      <c r="B7023" s="1" t="n">
        <v>45562</v>
      </c>
      <c r="C7023" s="1" t="n">
        <v>46185</v>
      </c>
      <c r="D7023" t="inlineStr">
        <is>
          <t>VÄSTERNORRLANDS LÄN</t>
        </is>
      </c>
      <c r="E7023" t="inlineStr">
        <is>
          <t>HÄRNÖSAND</t>
        </is>
      </c>
      <c r="F7023" t="inlineStr">
        <is>
          <t>SCA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41766-2024</t>
        </is>
      </c>
      <c r="B7024" s="1" t="n">
        <v>45561.34594907407</v>
      </c>
      <c r="C7024" s="1" t="n">
        <v>46185</v>
      </c>
      <c r="D7024" t="inlineStr">
        <is>
          <t>VÄSTERNORRLANDS LÄN</t>
        </is>
      </c>
      <c r="E7024" t="inlineStr">
        <is>
          <t>ÅNGE</t>
        </is>
      </c>
      <c r="F7024" t="inlineStr">
        <is>
          <t>SCA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14572-2024</t>
        </is>
      </c>
      <c r="B7025" s="1" t="n">
        <v>45394.94991898148</v>
      </c>
      <c r="C7025" s="1" t="n">
        <v>46185</v>
      </c>
      <c r="D7025" t="inlineStr">
        <is>
          <t>VÄSTERNORRLANDS LÄN</t>
        </is>
      </c>
      <c r="E7025" t="inlineStr">
        <is>
          <t>TIMRÅ</t>
        </is>
      </c>
      <c r="F7025" t="inlineStr">
        <is>
          <t>SCA</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13989-2026</t>
        </is>
      </c>
      <c r="B7026" s="1" t="n">
        <v>46098.61503472222</v>
      </c>
      <c r="C7026" s="1" t="n">
        <v>46185</v>
      </c>
      <c r="D7026" t="inlineStr">
        <is>
          <t>VÄSTERNORRLANDS LÄN</t>
        </is>
      </c>
      <c r="E7026" t="inlineStr">
        <is>
          <t>SUNDSVALL</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14005-2026</t>
        </is>
      </c>
      <c r="B7027" s="1" t="n">
        <v>46098.6512962963</v>
      </c>
      <c r="C7027" s="1" t="n">
        <v>46185</v>
      </c>
      <c r="D7027" t="inlineStr">
        <is>
          <t>VÄSTERNORRLANDS LÄN</t>
        </is>
      </c>
      <c r="E7027" t="inlineStr">
        <is>
          <t>ÖRNSKÖLDSVIK</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48235-2024</t>
        </is>
      </c>
      <c r="B7028" s="1" t="n">
        <v>45590</v>
      </c>
      <c r="C7028" s="1" t="n">
        <v>46185</v>
      </c>
      <c r="D7028" t="inlineStr">
        <is>
          <t>VÄSTERNORRLANDS LÄN</t>
        </is>
      </c>
      <c r="E7028" t="inlineStr">
        <is>
          <t>SOLLEFTEÅ</t>
        </is>
      </c>
      <c r="F7028" t="inlineStr">
        <is>
          <t>SCA</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31150-2023</t>
        </is>
      </c>
      <c r="B7029" s="1" t="n">
        <v>45103</v>
      </c>
      <c r="C7029" s="1" t="n">
        <v>46185</v>
      </c>
      <c r="D7029" t="inlineStr">
        <is>
          <t>VÄSTERNORRLANDS LÄN</t>
        </is>
      </c>
      <c r="E7029" t="inlineStr">
        <is>
          <t>TIMRÅ</t>
        </is>
      </c>
      <c r="G7029" t="n">
        <v>0.3</v>
      </c>
      <c r="H7029" t="n">
        <v>0</v>
      </c>
      <c r="I7029" t="n">
        <v>0</v>
      </c>
      <c r="J7029" t="n">
        <v>0</v>
      </c>
      <c r="K7029" t="n">
        <v>0</v>
      </c>
      <c r="L7029" t="n">
        <v>0</v>
      </c>
      <c r="M7029" t="n">
        <v>0</v>
      </c>
      <c r="N7029" t="n">
        <v>0</v>
      </c>
      <c r="O7029" t="n">
        <v>0</v>
      </c>
      <c r="P7029" t="n">
        <v>0</v>
      </c>
      <c r="Q7029" t="n">
        <v>0</v>
      </c>
      <c r="R7029" s="2" t="inlineStr"/>
    </row>
    <row r="7030" ht="15" customHeight="1">
      <c r="A7030" t="inlineStr">
        <is>
          <t>A 18067-2025</t>
        </is>
      </c>
      <c r="B7030" s="1" t="n">
        <v>45761.49016203704</v>
      </c>
      <c r="C7030" s="1" t="n">
        <v>46185</v>
      </c>
      <c r="D7030" t="inlineStr">
        <is>
          <t>VÄSTERNORRLANDS LÄN</t>
        </is>
      </c>
      <c r="E7030" t="inlineStr">
        <is>
          <t>ÅNGE</t>
        </is>
      </c>
      <c r="F7030" t="inlineStr">
        <is>
          <t>SCA</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1428-2024</t>
        </is>
      </c>
      <c r="B7031" s="1" t="n">
        <v>45303</v>
      </c>
      <c r="C7031" s="1" t="n">
        <v>46185</v>
      </c>
      <c r="D7031" t="inlineStr">
        <is>
          <t>VÄSTERNORRLANDS LÄN</t>
        </is>
      </c>
      <c r="E7031" t="inlineStr">
        <is>
          <t>SUNDSVALL</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13919-2026</t>
        </is>
      </c>
      <c r="B7032" s="1" t="n">
        <v>46098.49012731481</v>
      </c>
      <c r="C7032" s="1" t="n">
        <v>46185</v>
      </c>
      <c r="D7032" t="inlineStr">
        <is>
          <t>VÄSTERNORRLANDS LÄN</t>
        </is>
      </c>
      <c r="E7032" t="inlineStr">
        <is>
          <t>SUNDSVALL</t>
        </is>
      </c>
      <c r="F7032" t="inlineStr">
        <is>
          <t>SCA</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13932-2026</t>
        </is>
      </c>
      <c r="B7033" s="1" t="n">
        <v>46098.51322916667</v>
      </c>
      <c r="C7033" s="1" t="n">
        <v>46185</v>
      </c>
      <c r="D7033" t="inlineStr">
        <is>
          <t>VÄSTERNORRLANDS LÄN</t>
        </is>
      </c>
      <c r="E7033" t="inlineStr">
        <is>
          <t>KRAMFORS</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14025-2026</t>
        </is>
      </c>
      <c r="B7034" s="1" t="n">
        <v>46098.7227662037</v>
      </c>
      <c r="C7034" s="1" t="n">
        <v>46185</v>
      </c>
      <c r="D7034" t="inlineStr">
        <is>
          <t>VÄSTERNORRLANDS LÄN</t>
        </is>
      </c>
      <c r="E7034" t="inlineStr">
        <is>
          <t>KRAMFORS</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14045-2026</t>
        </is>
      </c>
      <c r="B7035" s="1" t="n">
        <v>46098.9978587963</v>
      </c>
      <c r="C7035" s="1" t="n">
        <v>46185</v>
      </c>
      <c r="D7035" t="inlineStr">
        <is>
          <t>VÄSTERNORRLANDS LÄN</t>
        </is>
      </c>
      <c r="E7035" t="inlineStr">
        <is>
          <t>TIMRÅ</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14101-2026</t>
        </is>
      </c>
      <c r="B7036" s="1" t="n">
        <v>46099.40693287037</v>
      </c>
      <c r="C7036" s="1" t="n">
        <v>46185</v>
      </c>
      <c r="D7036" t="inlineStr">
        <is>
          <t>VÄSTERNORRLANDS LÄN</t>
        </is>
      </c>
      <c r="E7036" t="inlineStr">
        <is>
          <t>ÅNGE</t>
        </is>
      </c>
      <c r="F7036" t="inlineStr">
        <is>
          <t>SCA</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14137-2026</t>
        </is>
      </c>
      <c r="B7037" s="1" t="n">
        <v>46099.45681712963</v>
      </c>
      <c r="C7037" s="1" t="n">
        <v>46185</v>
      </c>
      <c r="D7037" t="inlineStr">
        <is>
          <t>VÄSTERNORRLANDS LÄN</t>
        </is>
      </c>
      <c r="E7037" t="inlineStr">
        <is>
          <t>ÅNGE</t>
        </is>
      </c>
      <c r="F7037" t="inlineStr">
        <is>
          <t>Holmen skog AB</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11043-2023</t>
        </is>
      </c>
      <c r="B7038" s="1" t="n">
        <v>44991</v>
      </c>
      <c r="C7038" s="1" t="n">
        <v>46185</v>
      </c>
      <c r="D7038" t="inlineStr">
        <is>
          <t>VÄSTERNORRLANDS LÄN</t>
        </is>
      </c>
      <c r="E7038" t="inlineStr">
        <is>
          <t>HÄRNÖSAND</t>
        </is>
      </c>
      <c r="F7038" t="inlineStr">
        <is>
          <t>SCA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14291-2026</t>
        </is>
      </c>
      <c r="B7039" s="1" t="n">
        <v>46099.69642361111</v>
      </c>
      <c r="C7039" s="1" t="n">
        <v>46185</v>
      </c>
      <c r="D7039" t="inlineStr">
        <is>
          <t>VÄSTERNORRLANDS LÄN</t>
        </is>
      </c>
      <c r="E7039" t="inlineStr">
        <is>
          <t>ÅNGE</t>
        </is>
      </c>
      <c r="G7039" t="n">
        <v>4.4</v>
      </c>
      <c r="H7039" t="n">
        <v>0</v>
      </c>
      <c r="I7039" t="n">
        <v>0</v>
      </c>
      <c r="J7039" t="n">
        <v>0</v>
      </c>
      <c r="K7039" t="n">
        <v>0</v>
      </c>
      <c r="L7039" t="n">
        <v>0</v>
      </c>
      <c r="M7039" t="n">
        <v>0</v>
      </c>
      <c r="N7039" t="n">
        <v>0</v>
      </c>
      <c r="O7039" t="n">
        <v>0</v>
      </c>
      <c r="P7039" t="n">
        <v>0</v>
      </c>
      <c r="Q7039" t="n">
        <v>0</v>
      </c>
      <c r="R7039" s="2" t="inlineStr"/>
    </row>
    <row r="7040" ht="15" customHeight="1">
      <c r="A7040" t="inlineStr">
        <is>
          <t>A 14265-2026</t>
        </is>
      </c>
      <c r="B7040" s="1" t="n">
        <v>46099</v>
      </c>
      <c r="C7040" s="1" t="n">
        <v>46185</v>
      </c>
      <c r="D7040" t="inlineStr">
        <is>
          <t>VÄSTERNORRLANDS LÄN</t>
        </is>
      </c>
      <c r="E7040" t="inlineStr">
        <is>
          <t>ÖRNSKÖLDSVIK</t>
        </is>
      </c>
      <c r="G7040" t="n">
        <v>9.300000000000001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20217-2023</t>
        </is>
      </c>
      <c r="B7041" s="1" t="n">
        <v>45054</v>
      </c>
      <c r="C7041" s="1" t="n">
        <v>46185</v>
      </c>
      <c r="D7041" t="inlineStr">
        <is>
          <t>VÄSTERNORRLANDS LÄN</t>
        </is>
      </c>
      <c r="E7041" t="inlineStr">
        <is>
          <t>ÖRNSKÖLDSVIK</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13922-2026</t>
        </is>
      </c>
      <c r="B7042" s="1" t="n">
        <v>46098.49060185185</v>
      </c>
      <c r="C7042" s="1" t="n">
        <v>46185</v>
      </c>
      <c r="D7042" t="inlineStr">
        <is>
          <t>VÄSTERNORRLANDS LÄN</t>
        </is>
      </c>
      <c r="E7042" t="inlineStr">
        <is>
          <t>SUNDSVALL</t>
        </is>
      </c>
      <c r="F7042" t="inlineStr">
        <is>
          <t>SCA</t>
        </is>
      </c>
      <c r="G7042" t="n">
        <v>0.2</v>
      </c>
      <c r="H7042" t="n">
        <v>0</v>
      </c>
      <c r="I7042" t="n">
        <v>0</v>
      </c>
      <c r="J7042" t="n">
        <v>0</v>
      </c>
      <c r="K7042" t="n">
        <v>0</v>
      </c>
      <c r="L7042" t="n">
        <v>0</v>
      </c>
      <c r="M7042" t="n">
        <v>0</v>
      </c>
      <c r="N7042" t="n">
        <v>0</v>
      </c>
      <c r="O7042" t="n">
        <v>0</v>
      </c>
      <c r="P7042" t="n">
        <v>0</v>
      </c>
      <c r="Q7042" t="n">
        <v>0</v>
      </c>
      <c r="R7042" s="2" t="inlineStr"/>
    </row>
    <row r="7043" ht="15" customHeight="1">
      <c r="A7043" t="inlineStr">
        <is>
          <t>A 14220-2026</t>
        </is>
      </c>
      <c r="B7043" s="1" t="n">
        <v>46099.57112268519</v>
      </c>
      <c r="C7043" s="1" t="n">
        <v>46185</v>
      </c>
      <c r="D7043" t="inlineStr">
        <is>
          <t>VÄSTERNORRLANDS LÄN</t>
        </is>
      </c>
      <c r="E7043" t="inlineStr">
        <is>
          <t>ÅNGE</t>
        </is>
      </c>
      <c r="F7043" t="inlineStr">
        <is>
          <t>Holmen skog AB</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13936-2026</t>
        </is>
      </c>
      <c r="B7044" s="1" t="n">
        <v>46098.51935185185</v>
      </c>
      <c r="C7044" s="1" t="n">
        <v>46185</v>
      </c>
      <c r="D7044" t="inlineStr">
        <is>
          <t>VÄSTERNORRLANDS LÄN</t>
        </is>
      </c>
      <c r="E7044" t="inlineStr">
        <is>
          <t>SOLLEFTEÅ</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12682-2024</t>
        </is>
      </c>
      <c r="B7045" s="1" t="n">
        <v>45384</v>
      </c>
      <c r="C7045" s="1" t="n">
        <v>46185</v>
      </c>
      <c r="D7045" t="inlineStr">
        <is>
          <t>VÄSTERNORRLANDS LÄN</t>
        </is>
      </c>
      <c r="E7045" t="inlineStr">
        <is>
          <t>ÖRNSKÖLDSVIK</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1095-2023</t>
        </is>
      </c>
      <c r="B7046" s="1" t="n">
        <v>44929</v>
      </c>
      <c r="C7046" s="1" t="n">
        <v>46185</v>
      </c>
      <c r="D7046" t="inlineStr">
        <is>
          <t>VÄSTERNORRLANDS LÄN</t>
        </is>
      </c>
      <c r="E7046" t="inlineStr">
        <is>
          <t>ÅNGE</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64121-2021</t>
        </is>
      </c>
      <c r="B7047" s="1" t="n">
        <v>44510.4730787037</v>
      </c>
      <c r="C7047" s="1" t="n">
        <v>46185</v>
      </c>
      <c r="D7047" t="inlineStr">
        <is>
          <t>VÄSTERNORRLANDS LÄN</t>
        </is>
      </c>
      <c r="E7047" t="inlineStr">
        <is>
          <t>ÅNGE</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13874-2026</t>
        </is>
      </c>
      <c r="B7048" s="1" t="n">
        <v>46098.43045138889</v>
      </c>
      <c r="C7048" s="1" t="n">
        <v>46185</v>
      </c>
      <c r="D7048" t="inlineStr">
        <is>
          <t>VÄSTERNORRLANDS LÄN</t>
        </is>
      </c>
      <c r="E7048" t="inlineStr">
        <is>
          <t>ÖRNSKÖLDSVIK</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13904-2026</t>
        </is>
      </c>
      <c r="B7049" s="1" t="n">
        <v>46098.46965277778</v>
      </c>
      <c r="C7049" s="1" t="n">
        <v>46185</v>
      </c>
      <c r="D7049" t="inlineStr">
        <is>
          <t>VÄSTERNORRLANDS LÄN</t>
        </is>
      </c>
      <c r="E7049" t="inlineStr">
        <is>
          <t>ÅNGE</t>
        </is>
      </c>
      <c r="F7049" t="inlineStr">
        <is>
          <t>SCA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14273-2026</t>
        </is>
      </c>
      <c r="B7050" s="1" t="n">
        <v>46099.65693287037</v>
      </c>
      <c r="C7050" s="1" t="n">
        <v>46185</v>
      </c>
      <c r="D7050" t="inlineStr">
        <is>
          <t>VÄSTERNORRLANDS LÄN</t>
        </is>
      </c>
      <c r="E7050" t="inlineStr">
        <is>
          <t>SUNDSVALL</t>
        </is>
      </c>
      <c r="F7050" t="inlineStr">
        <is>
          <t>SCA</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60650-2022</t>
        </is>
      </c>
      <c r="B7051" s="1" t="n">
        <v>44911</v>
      </c>
      <c r="C7051" s="1" t="n">
        <v>46185</v>
      </c>
      <c r="D7051" t="inlineStr">
        <is>
          <t>VÄSTERNORRLANDS LÄN</t>
        </is>
      </c>
      <c r="E7051" t="inlineStr">
        <is>
          <t>SUNDSVALL</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6067-2024</t>
        </is>
      </c>
      <c r="B7052" s="1" t="n">
        <v>45336.89018518518</v>
      </c>
      <c r="C7052" s="1" t="n">
        <v>46185</v>
      </c>
      <c r="D7052" t="inlineStr">
        <is>
          <t>VÄSTERNORRLANDS LÄN</t>
        </is>
      </c>
      <c r="E7052" t="inlineStr">
        <is>
          <t>SOLLEFTEÅ</t>
        </is>
      </c>
      <c r="F7052" t="inlineStr">
        <is>
          <t>Övriga Aktiebolag</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13828-2026</t>
        </is>
      </c>
      <c r="B7053" s="1" t="n">
        <v>46098.34797453704</v>
      </c>
      <c r="C7053" s="1" t="n">
        <v>46185</v>
      </c>
      <c r="D7053" t="inlineStr">
        <is>
          <t>VÄSTERNORRLANDS LÄN</t>
        </is>
      </c>
      <c r="E7053" t="inlineStr">
        <is>
          <t>ÖRNSKÖLDSVIK</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13846-2026</t>
        </is>
      </c>
      <c r="B7054" s="1" t="n">
        <v>46098.38611111111</v>
      </c>
      <c r="C7054" s="1" t="n">
        <v>46185</v>
      </c>
      <c r="D7054" t="inlineStr">
        <is>
          <t>VÄSTERNORRLANDS LÄN</t>
        </is>
      </c>
      <c r="E7054" t="inlineStr">
        <is>
          <t>SUNDSVALL</t>
        </is>
      </c>
      <c r="F7054" t="inlineStr">
        <is>
          <t>SCA</t>
        </is>
      </c>
      <c r="G7054" t="n">
        <v>10.2</v>
      </c>
      <c r="H7054" t="n">
        <v>0</v>
      </c>
      <c r="I7054" t="n">
        <v>0</v>
      </c>
      <c r="J7054" t="n">
        <v>0</v>
      </c>
      <c r="K7054" t="n">
        <v>0</v>
      </c>
      <c r="L7054" t="n">
        <v>0</v>
      </c>
      <c r="M7054" t="n">
        <v>0</v>
      </c>
      <c r="N7054" t="n">
        <v>0</v>
      </c>
      <c r="O7054" t="n">
        <v>0</v>
      </c>
      <c r="P7054" t="n">
        <v>0</v>
      </c>
      <c r="Q7054" t="n">
        <v>0</v>
      </c>
      <c r="R7054" s="2" t="inlineStr"/>
    </row>
    <row r="7055" ht="15" customHeight="1">
      <c r="A7055" t="inlineStr">
        <is>
          <t>A 13923-2026</t>
        </is>
      </c>
      <c r="B7055" s="1" t="n">
        <v>46098.49076388889</v>
      </c>
      <c r="C7055" s="1" t="n">
        <v>46185</v>
      </c>
      <c r="D7055" t="inlineStr">
        <is>
          <t>VÄSTERNORRLANDS LÄN</t>
        </is>
      </c>
      <c r="E7055" t="inlineStr">
        <is>
          <t>SUNDSVALL</t>
        </is>
      </c>
      <c r="F7055" t="inlineStr">
        <is>
          <t>SCA</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13920-2026</t>
        </is>
      </c>
      <c r="B7056" s="1" t="n">
        <v>46098.4903125</v>
      </c>
      <c r="C7056" s="1" t="n">
        <v>46185</v>
      </c>
      <c r="D7056" t="inlineStr">
        <is>
          <t>VÄSTERNORRLANDS LÄN</t>
        </is>
      </c>
      <c r="E7056" t="inlineStr">
        <is>
          <t>SUNDSVALL</t>
        </is>
      </c>
      <c r="F7056" t="inlineStr">
        <is>
          <t>SCA</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38303-2024</t>
        </is>
      </c>
      <c r="B7057" s="1" t="n">
        <v>45545.63769675926</v>
      </c>
      <c r="C7057" s="1" t="n">
        <v>46185</v>
      </c>
      <c r="D7057" t="inlineStr">
        <is>
          <t>VÄSTERNORRLANDS LÄN</t>
        </is>
      </c>
      <c r="E7057" t="inlineStr">
        <is>
          <t>SUNDSVALL</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11250-2025</t>
        </is>
      </c>
      <c r="B7058" s="1" t="n">
        <v>45726</v>
      </c>
      <c r="C7058" s="1" t="n">
        <v>46185</v>
      </c>
      <c r="D7058" t="inlineStr">
        <is>
          <t>VÄSTERNORRLANDS LÄN</t>
        </is>
      </c>
      <c r="E7058" t="inlineStr">
        <is>
          <t>KRAMFORS</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11251-2025</t>
        </is>
      </c>
      <c r="B7059" s="1" t="n">
        <v>45726.38609953703</v>
      </c>
      <c r="C7059" s="1" t="n">
        <v>46185</v>
      </c>
      <c r="D7059" t="inlineStr">
        <is>
          <t>VÄSTERNORRLANDS LÄN</t>
        </is>
      </c>
      <c r="E7059" t="inlineStr">
        <is>
          <t>KRAMFORS</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13850-2026</t>
        </is>
      </c>
      <c r="B7060" s="1" t="n">
        <v>46098.3872337963</v>
      </c>
      <c r="C7060" s="1" t="n">
        <v>46185</v>
      </c>
      <c r="D7060" t="inlineStr">
        <is>
          <t>VÄSTERNORRLANDS LÄN</t>
        </is>
      </c>
      <c r="E7060" t="inlineStr">
        <is>
          <t>ÅNGE</t>
        </is>
      </c>
      <c r="F7060" t="inlineStr">
        <is>
          <t>SCA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13870-2026</t>
        </is>
      </c>
      <c r="B7061" s="1" t="n">
        <v>46098.42510416666</v>
      </c>
      <c r="C7061" s="1" t="n">
        <v>46185</v>
      </c>
      <c r="D7061" t="inlineStr">
        <is>
          <t>VÄSTERNORRLANDS LÄN</t>
        </is>
      </c>
      <c r="E7061" t="inlineStr">
        <is>
          <t>SUNDSVALL</t>
        </is>
      </c>
      <c r="F7061" t="inlineStr">
        <is>
          <t>Holmen skog AB</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13871-2026</t>
        </is>
      </c>
      <c r="B7062" s="1" t="n">
        <v>46098.4253125</v>
      </c>
      <c r="C7062" s="1" t="n">
        <v>46185</v>
      </c>
      <c r="D7062" t="inlineStr">
        <is>
          <t>VÄSTERNORRLANDS LÄN</t>
        </is>
      </c>
      <c r="E7062" t="inlineStr">
        <is>
          <t>ÖRNSKÖLDSVIK</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13901-2026</t>
        </is>
      </c>
      <c r="B7063" s="1" t="n">
        <v>46098.46793981481</v>
      </c>
      <c r="C7063" s="1" t="n">
        <v>46185</v>
      </c>
      <c r="D7063" t="inlineStr">
        <is>
          <t>VÄSTERNORRLANDS LÄN</t>
        </is>
      </c>
      <c r="E7063" t="inlineStr">
        <is>
          <t>KRAMFORS</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30492-2023</t>
        </is>
      </c>
      <c r="B7064" s="1" t="n">
        <v>45111</v>
      </c>
      <c r="C7064" s="1" t="n">
        <v>46185</v>
      </c>
      <c r="D7064" t="inlineStr">
        <is>
          <t>VÄSTERNORRLANDS LÄN</t>
        </is>
      </c>
      <c r="E7064" t="inlineStr">
        <is>
          <t>ÖRNSKÖLDSVIK</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13872-2026</t>
        </is>
      </c>
      <c r="B7065" s="1" t="n">
        <v>46098.42618055556</v>
      </c>
      <c r="C7065" s="1" t="n">
        <v>46185</v>
      </c>
      <c r="D7065" t="inlineStr">
        <is>
          <t>VÄSTERNORRLANDS LÄN</t>
        </is>
      </c>
      <c r="E7065" t="inlineStr">
        <is>
          <t>ÖRNSKÖLDSVIK</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14001-2026</t>
        </is>
      </c>
      <c r="B7066" s="1" t="n">
        <v>46098.64320601852</v>
      </c>
      <c r="C7066" s="1" t="n">
        <v>46185</v>
      </c>
      <c r="D7066" t="inlineStr">
        <is>
          <t>VÄSTERNORRLANDS LÄN</t>
        </is>
      </c>
      <c r="E7066" t="inlineStr">
        <is>
          <t>ÖRNSKÖLDSVIK</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33906-2023</t>
        </is>
      </c>
      <c r="B7067" s="1" t="n">
        <v>45134.40055555556</v>
      </c>
      <c r="C7067" s="1" t="n">
        <v>46185</v>
      </c>
      <c r="D7067" t="inlineStr">
        <is>
          <t>VÄSTERNORRLANDS LÄN</t>
        </is>
      </c>
      <c r="E7067" t="inlineStr">
        <is>
          <t>ÖRNSKÖLDSVIK</t>
        </is>
      </c>
      <c r="F7067" t="inlineStr">
        <is>
          <t>Holmen skog AB</t>
        </is>
      </c>
      <c r="G7067" t="n">
        <v>4.3</v>
      </c>
      <c r="H7067" t="n">
        <v>0</v>
      </c>
      <c r="I7067" t="n">
        <v>0</v>
      </c>
      <c r="J7067" t="n">
        <v>0</v>
      </c>
      <c r="K7067" t="n">
        <v>0</v>
      </c>
      <c r="L7067" t="n">
        <v>0</v>
      </c>
      <c r="M7067" t="n">
        <v>0</v>
      </c>
      <c r="N7067" t="n">
        <v>0</v>
      </c>
      <c r="O7067" t="n">
        <v>0</v>
      </c>
      <c r="P7067" t="n">
        <v>0</v>
      </c>
      <c r="Q7067" t="n">
        <v>0</v>
      </c>
      <c r="R7067" s="2" t="inlineStr"/>
    </row>
    <row r="7068" ht="15" customHeight="1">
      <c r="A7068" t="inlineStr">
        <is>
          <t>A 14075-2026</t>
        </is>
      </c>
      <c r="B7068" s="1" t="n">
        <v>46099.35835648148</v>
      </c>
      <c r="C7068" s="1" t="n">
        <v>46185</v>
      </c>
      <c r="D7068" t="inlineStr">
        <is>
          <t>VÄSTERNORRLANDS LÄN</t>
        </is>
      </c>
      <c r="E7068" t="inlineStr">
        <is>
          <t>ÖRNSKÖLDSVIK</t>
        </is>
      </c>
      <c r="F7068" t="inlineStr">
        <is>
          <t>Holmen skog AB</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33041-2023</t>
        </is>
      </c>
      <c r="B7069" s="1" t="n">
        <v>45125</v>
      </c>
      <c r="C7069" s="1" t="n">
        <v>46185</v>
      </c>
      <c r="D7069" t="inlineStr">
        <is>
          <t>VÄSTERNORRLANDS LÄN</t>
        </is>
      </c>
      <c r="E7069" t="inlineStr">
        <is>
          <t>SUNDSVALL</t>
        </is>
      </c>
      <c r="F7069" t="inlineStr">
        <is>
          <t>SCA</t>
        </is>
      </c>
      <c r="G7069" t="n">
        <v>7.2</v>
      </c>
      <c r="H7069" t="n">
        <v>0</v>
      </c>
      <c r="I7069" t="n">
        <v>0</v>
      </c>
      <c r="J7069" t="n">
        <v>0</v>
      </c>
      <c r="K7069" t="n">
        <v>0</v>
      </c>
      <c r="L7069" t="n">
        <v>0</v>
      </c>
      <c r="M7069" t="n">
        <v>0</v>
      </c>
      <c r="N7069" t="n">
        <v>0</v>
      </c>
      <c r="O7069" t="n">
        <v>0</v>
      </c>
      <c r="P7069" t="n">
        <v>0</v>
      </c>
      <c r="Q7069" t="n">
        <v>0</v>
      </c>
      <c r="R7069" s="2" t="inlineStr"/>
    </row>
    <row r="7070" ht="15" customHeight="1">
      <c r="A7070" t="inlineStr">
        <is>
          <t>A 33044-2023</t>
        </is>
      </c>
      <c r="B7070" s="1" t="n">
        <v>45125</v>
      </c>
      <c r="C7070" s="1" t="n">
        <v>46185</v>
      </c>
      <c r="D7070" t="inlineStr">
        <is>
          <t>VÄSTERNORRLANDS LÄN</t>
        </is>
      </c>
      <c r="E7070" t="inlineStr">
        <is>
          <t>SUNDSVALL</t>
        </is>
      </c>
      <c r="F7070" t="inlineStr">
        <is>
          <t>SCA</t>
        </is>
      </c>
      <c r="G7070" t="n">
        <v>7.3</v>
      </c>
      <c r="H7070" t="n">
        <v>0</v>
      </c>
      <c r="I7070" t="n">
        <v>0</v>
      </c>
      <c r="J7070" t="n">
        <v>0</v>
      </c>
      <c r="K7070" t="n">
        <v>0</v>
      </c>
      <c r="L7070" t="n">
        <v>0</v>
      </c>
      <c r="M7070" t="n">
        <v>0</v>
      </c>
      <c r="N7070" t="n">
        <v>0</v>
      </c>
      <c r="O7070" t="n">
        <v>0</v>
      </c>
      <c r="P7070" t="n">
        <v>0</v>
      </c>
      <c r="Q7070" t="n">
        <v>0</v>
      </c>
      <c r="R7070" s="2" t="inlineStr"/>
    </row>
    <row r="7071" ht="15" customHeight="1">
      <c r="A7071" t="inlineStr">
        <is>
          <t>A 62507-2022</t>
        </is>
      </c>
      <c r="B7071" s="1" t="n">
        <v>44924</v>
      </c>
      <c r="C7071" s="1" t="n">
        <v>46185</v>
      </c>
      <c r="D7071" t="inlineStr">
        <is>
          <t>VÄSTERNORRLANDS LÄN</t>
        </is>
      </c>
      <c r="E7071" t="inlineStr">
        <is>
          <t>SOLLEFTEÅ</t>
        </is>
      </c>
      <c r="F7071" t="inlineStr">
        <is>
          <t>Holmen skog AB</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44727-2023</t>
        </is>
      </c>
      <c r="B7072" s="1" t="n">
        <v>45190</v>
      </c>
      <c r="C7072" s="1" t="n">
        <v>46185</v>
      </c>
      <c r="D7072" t="inlineStr">
        <is>
          <t>VÄSTERNORRLANDS LÄN</t>
        </is>
      </c>
      <c r="E7072" t="inlineStr">
        <is>
          <t>ÖRNSKÖLDSVIK</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14113-2026</t>
        </is>
      </c>
      <c r="B7073" s="1" t="n">
        <v>46099.4284837963</v>
      </c>
      <c r="C7073" s="1" t="n">
        <v>46185</v>
      </c>
      <c r="D7073" t="inlineStr">
        <is>
          <t>VÄSTERNORRLANDS LÄN</t>
        </is>
      </c>
      <c r="E7073" t="inlineStr">
        <is>
          <t>SUNDSVALL</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13939-2026</t>
        </is>
      </c>
      <c r="B7074" s="1" t="n">
        <v>46098.52487268519</v>
      </c>
      <c r="C7074" s="1" t="n">
        <v>46185</v>
      </c>
      <c r="D7074" t="inlineStr">
        <is>
          <t>VÄSTERNORRLANDS LÄN</t>
        </is>
      </c>
      <c r="E7074" t="inlineStr">
        <is>
          <t>KRAMFORS</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22752-2023</t>
        </is>
      </c>
      <c r="B7075" s="1" t="n">
        <v>45071.94104166667</v>
      </c>
      <c r="C7075" s="1" t="n">
        <v>46185</v>
      </c>
      <c r="D7075" t="inlineStr">
        <is>
          <t>VÄSTERNORRLANDS LÄN</t>
        </is>
      </c>
      <c r="E7075" t="inlineStr">
        <is>
          <t>ÅNGE</t>
        </is>
      </c>
      <c r="F7075" t="inlineStr">
        <is>
          <t>SCA</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47671-2022</t>
        </is>
      </c>
      <c r="B7076" s="1" t="n">
        <v>44854</v>
      </c>
      <c r="C7076" s="1" t="n">
        <v>46185</v>
      </c>
      <c r="D7076" t="inlineStr">
        <is>
          <t>VÄSTERNORRLANDS LÄN</t>
        </is>
      </c>
      <c r="E7076" t="inlineStr">
        <is>
          <t>ÖRNSKÖLDSVIK</t>
        </is>
      </c>
      <c r="F7076" t="inlineStr">
        <is>
          <t>Holmen skog AB</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14024-2026</t>
        </is>
      </c>
      <c r="B7077" s="1" t="n">
        <v>46098.71935185185</v>
      </c>
      <c r="C7077" s="1" t="n">
        <v>46185</v>
      </c>
      <c r="D7077" t="inlineStr">
        <is>
          <t>VÄSTERNORRLANDS LÄN</t>
        </is>
      </c>
      <c r="E7077" t="inlineStr">
        <is>
          <t>ÅNGE</t>
        </is>
      </c>
      <c r="F7077" t="inlineStr">
        <is>
          <t>SCA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14082-2026</t>
        </is>
      </c>
      <c r="B7078" s="1" t="n">
        <v>46099.37322916667</v>
      </c>
      <c r="C7078" s="1" t="n">
        <v>46185</v>
      </c>
      <c r="D7078" t="inlineStr">
        <is>
          <t>VÄSTERNORRLANDS LÄN</t>
        </is>
      </c>
      <c r="E7078" t="inlineStr">
        <is>
          <t>KRAMFORS</t>
        </is>
      </c>
      <c r="F7078" t="inlineStr">
        <is>
          <t>Kommuner</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14090-2026</t>
        </is>
      </c>
      <c r="B7079" s="1" t="n">
        <v>46099</v>
      </c>
      <c r="C7079" s="1" t="n">
        <v>46185</v>
      </c>
      <c r="D7079" t="inlineStr">
        <is>
          <t>VÄSTERNORRLANDS LÄN</t>
        </is>
      </c>
      <c r="E7079" t="inlineStr">
        <is>
          <t>SUNDSVALL</t>
        </is>
      </c>
      <c r="G7079" t="n">
        <v>4.9</v>
      </c>
      <c r="H7079" t="n">
        <v>0</v>
      </c>
      <c r="I7079" t="n">
        <v>0</v>
      </c>
      <c r="J7079" t="n">
        <v>0</v>
      </c>
      <c r="K7079" t="n">
        <v>0</v>
      </c>
      <c r="L7079" t="n">
        <v>0</v>
      </c>
      <c r="M7079" t="n">
        <v>0</v>
      </c>
      <c r="N7079" t="n">
        <v>0</v>
      </c>
      <c r="O7079" t="n">
        <v>0</v>
      </c>
      <c r="P7079" t="n">
        <v>0</v>
      </c>
      <c r="Q7079" t="n">
        <v>0</v>
      </c>
      <c r="R7079" s="2" t="inlineStr"/>
    </row>
    <row r="7080" ht="15" customHeight="1">
      <c r="A7080" t="inlineStr">
        <is>
          <t>A 14159-2026</t>
        </is>
      </c>
      <c r="B7080" s="1" t="n">
        <v>46099.46949074074</v>
      </c>
      <c r="C7080" s="1" t="n">
        <v>46185</v>
      </c>
      <c r="D7080" t="inlineStr">
        <is>
          <t>VÄSTERNORRLANDS LÄN</t>
        </is>
      </c>
      <c r="E7080" t="inlineStr">
        <is>
          <t>KRAMFORS</t>
        </is>
      </c>
      <c r="G7080" t="n">
        <v>12.3</v>
      </c>
      <c r="H7080" t="n">
        <v>0</v>
      </c>
      <c r="I7080" t="n">
        <v>0</v>
      </c>
      <c r="J7080" t="n">
        <v>0</v>
      </c>
      <c r="K7080" t="n">
        <v>0</v>
      </c>
      <c r="L7080" t="n">
        <v>0</v>
      </c>
      <c r="M7080" t="n">
        <v>0</v>
      </c>
      <c r="N7080" t="n">
        <v>0</v>
      </c>
      <c r="O7080" t="n">
        <v>0</v>
      </c>
      <c r="P7080" t="n">
        <v>0</v>
      </c>
      <c r="Q7080" t="n">
        <v>0</v>
      </c>
      <c r="R7080" s="2" t="inlineStr"/>
    </row>
    <row r="7081" ht="15" customHeight="1">
      <c r="A7081" t="inlineStr">
        <is>
          <t>A 12739-2025</t>
        </is>
      </c>
      <c r="B7081" s="1" t="n">
        <v>45733.54219907407</v>
      </c>
      <c r="C7081" s="1" t="n">
        <v>46185</v>
      </c>
      <c r="D7081" t="inlineStr">
        <is>
          <t>VÄSTERNORRLANDS LÄN</t>
        </is>
      </c>
      <c r="E7081" t="inlineStr">
        <is>
          <t>ÖRNSKÖLDSVIK</t>
        </is>
      </c>
      <c r="G7081" t="n">
        <v>8.300000000000001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20134-2025</t>
        </is>
      </c>
      <c r="B7082" s="1" t="n">
        <v>45772.51105324074</v>
      </c>
      <c r="C7082" s="1" t="n">
        <v>46185</v>
      </c>
      <c r="D7082" t="inlineStr">
        <is>
          <t>VÄSTERNORRLANDS LÄN</t>
        </is>
      </c>
      <c r="E7082" t="inlineStr">
        <is>
          <t>SUNDSVALL</t>
        </is>
      </c>
      <c r="F7082" t="inlineStr">
        <is>
          <t>Naturvårdsverket</t>
        </is>
      </c>
      <c r="G7082" t="n">
        <v>9.5</v>
      </c>
      <c r="H7082" t="n">
        <v>0</v>
      </c>
      <c r="I7082" t="n">
        <v>0</v>
      </c>
      <c r="J7082" t="n">
        <v>0</v>
      </c>
      <c r="K7082" t="n">
        <v>0</v>
      </c>
      <c r="L7082" t="n">
        <v>0</v>
      </c>
      <c r="M7082" t="n">
        <v>0</v>
      </c>
      <c r="N7082" t="n">
        <v>0</v>
      </c>
      <c r="O7082" t="n">
        <v>0</v>
      </c>
      <c r="P7082" t="n">
        <v>0</v>
      </c>
      <c r="Q7082" t="n">
        <v>0</v>
      </c>
      <c r="R7082" s="2" t="inlineStr"/>
    </row>
    <row r="7083" ht="15" customHeight="1">
      <c r="A7083" t="inlineStr">
        <is>
          <t>A 49842-2024</t>
        </is>
      </c>
      <c r="B7083" s="1" t="n">
        <v>45597.44688657407</v>
      </c>
      <c r="C7083" s="1" t="n">
        <v>46185</v>
      </c>
      <c r="D7083" t="inlineStr">
        <is>
          <t>VÄSTERNORRLANDS LÄN</t>
        </is>
      </c>
      <c r="E7083" t="inlineStr">
        <is>
          <t>ÖRNSKÖLDSVIK</t>
        </is>
      </c>
      <c r="F7083" t="inlineStr">
        <is>
          <t>Holmen skog AB</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14610-2026</t>
        </is>
      </c>
      <c r="B7084" s="1" t="n">
        <v>46101.36523148148</v>
      </c>
      <c r="C7084" s="1" t="n">
        <v>46185</v>
      </c>
      <c r="D7084" t="inlineStr">
        <is>
          <t>VÄSTERNORRLANDS LÄN</t>
        </is>
      </c>
      <c r="E7084" t="inlineStr">
        <is>
          <t>SUNDSVALL</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14637-2026</t>
        </is>
      </c>
      <c r="B7085" s="1" t="n">
        <v>46101.40712962963</v>
      </c>
      <c r="C7085" s="1" t="n">
        <v>46185</v>
      </c>
      <c r="D7085" t="inlineStr">
        <is>
          <t>VÄSTERNORRLANDS LÄN</t>
        </is>
      </c>
      <c r="E7085" t="inlineStr">
        <is>
          <t>ÖRNSKÖLDSVIK</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60779-2024</t>
        </is>
      </c>
      <c r="B7086" s="1" t="n">
        <v>45644</v>
      </c>
      <c r="C7086" s="1" t="n">
        <v>46185</v>
      </c>
      <c r="D7086" t="inlineStr">
        <is>
          <t>VÄSTERNORRLANDS LÄN</t>
        </is>
      </c>
      <c r="E7086" t="inlineStr">
        <is>
          <t>ÅNGE</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19814-2022</t>
        </is>
      </c>
      <c r="B7087" s="1" t="n">
        <v>44694.93945601852</v>
      </c>
      <c r="C7087" s="1" t="n">
        <v>46185</v>
      </c>
      <c r="D7087" t="inlineStr">
        <is>
          <t>VÄSTERNORRLANDS LÄN</t>
        </is>
      </c>
      <c r="E7087" t="inlineStr">
        <is>
          <t>SOLLEFTEÅ</t>
        </is>
      </c>
      <c r="F7087" t="inlineStr">
        <is>
          <t>SCA</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44022-2023</t>
        </is>
      </c>
      <c r="B7088" s="1" t="n">
        <v>45188.34800925926</v>
      </c>
      <c r="C7088" s="1" t="n">
        <v>46185</v>
      </c>
      <c r="D7088" t="inlineStr">
        <is>
          <t>VÄSTERNORRLANDS LÄN</t>
        </is>
      </c>
      <c r="E7088" t="inlineStr">
        <is>
          <t>SUNDSVALL</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14623-2026</t>
        </is>
      </c>
      <c r="B7089" s="1" t="n">
        <v>46101.39001157408</v>
      </c>
      <c r="C7089" s="1" t="n">
        <v>46185</v>
      </c>
      <c r="D7089" t="inlineStr">
        <is>
          <t>VÄSTERNORRLANDS LÄN</t>
        </is>
      </c>
      <c r="E7089" t="inlineStr">
        <is>
          <t>ÖRNSKÖLDSVIK</t>
        </is>
      </c>
      <c r="G7089" t="n">
        <v>10.5</v>
      </c>
      <c r="H7089" t="n">
        <v>0</v>
      </c>
      <c r="I7089" t="n">
        <v>0</v>
      </c>
      <c r="J7089" t="n">
        <v>0</v>
      </c>
      <c r="K7089" t="n">
        <v>0</v>
      </c>
      <c r="L7089" t="n">
        <v>0</v>
      </c>
      <c r="M7089" t="n">
        <v>0</v>
      </c>
      <c r="N7089" t="n">
        <v>0</v>
      </c>
      <c r="O7089" t="n">
        <v>0</v>
      </c>
      <c r="P7089" t="n">
        <v>0</v>
      </c>
      <c r="Q7089" t="n">
        <v>0</v>
      </c>
      <c r="R7089" s="2" t="inlineStr"/>
    </row>
    <row r="7090" ht="15" customHeight="1">
      <c r="A7090" t="inlineStr">
        <is>
          <t>A 68391-2021</t>
        </is>
      </c>
      <c r="B7090" s="1" t="n">
        <v>44526</v>
      </c>
      <c r="C7090" s="1" t="n">
        <v>46185</v>
      </c>
      <c r="D7090" t="inlineStr">
        <is>
          <t>VÄSTERNORRLANDS LÄN</t>
        </is>
      </c>
      <c r="E7090" t="inlineStr">
        <is>
          <t>TIMRÅ</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14424-2026</t>
        </is>
      </c>
      <c r="B7091" s="1" t="n">
        <v>46100.46927083333</v>
      </c>
      <c r="C7091" s="1" t="n">
        <v>46185</v>
      </c>
      <c r="D7091" t="inlineStr">
        <is>
          <t>VÄSTERNORRLANDS LÄN</t>
        </is>
      </c>
      <c r="E7091" t="inlineStr">
        <is>
          <t>SUNDSVALL</t>
        </is>
      </c>
      <c r="F7091" t="inlineStr">
        <is>
          <t>SCA</t>
        </is>
      </c>
      <c r="G7091" t="n">
        <v>5.7</v>
      </c>
      <c r="H7091" t="n">
        <v>0</v>
      </c>
      <c r="I7091" t="n">
        <v>0</v>
      </c>
      <c r="J7091" t="n">
        <v>0</v>
      </c>
      <c r="K7091" t="n">
        <v>0</v>
      </c>
      <c r="L7091" t="n">
        <v>0</v>
      </c>
      <c r="M7091" t="n">
        <v>0</v>
      </c>
      <c r="N7091" t="n">
        <v>0</v>
      </c>
      <c r="O7091" t="n">
        <v>0</v>
      </c>
      <c r="P7091" t="n">
        <v>0</v>
      </c>
      <c r="Q7091" t="n">
        <v>0</v>
      </c>
      <c r="R7091" s="2" t="inlineStr"/>
    </row>
    <row r="7092" ht="15" customHeight="1">
      <c r="A7092" t="inlineStr">
        <is>
          <t>A 28428-2023</t>
        </is>
      </c>
      <c r="B7092" s="1" t="n">
        <v>45102</v>
      </c>
      <c r="C7092" s="1" t="n">
        <v>46185</v>
      </c>
      <c r="D7092" t="inlineStr">
        <is>
          <t>VÄSTERNORRLANDS LÄN</t>
        </is>
      </c>
      <c r="E7092" t="inlineStr">
        <is>
          <t>ÅNGE</t>
        </is>
      </c>
      <c r="F7092" t="inlineStr">
        <is>
          <t>Kyrkan</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28467-2023</t>
        </is>
      </c>
      <c r="B7093" s="1" t="n">
        <v>45103</v>
      </c>
      <c r="C7093" s="1" t="n">
        <v>46185</v>
      </c>
      <c r="D7093" t="inlineStr">
        <is>
          <t>VÄSTERNORRLANDS LÄN</t>
        </is>
      </c>
      <c r="E7093" t="inlineStr">
        <is>
          <t>ÖRNSKÖLDSVIK</t>
        </is>
      </c>
      <c r="G7093" t="n">
        <v>8.1</v>
      </c>
      <c r="H7093" t="n">
        <v>0</v>
      </c>
      <c r="I7093" t="n">
        <v>0</v>
      </c>
      <c r="J7093" t="n">
        <v>0</v>
      </c>
      <c r="K7093" t="n">
        <v>0</v>
      </c>
      <c r="L7093" t="n">
        <v>0</v>
      </c>
      <c r="M7093" t="n">
        <v>0</v>
      </c>
      <c r="N7093" t="n">
        <v>0</v>
      </c>
      <c r="O7093" t="n">
        <v>0</v>
      </c>
      <c r="P7093" t="n">
        <v>0</v>
      </c>
      <c r="Q7093" t="n">
        <v>0</v>
      </c>
      <c r="R7093" s="2" t="inlineStr"/>
    </row>
    <row r="7094" ht="15" customHeight="1">
      <c r="A7094" t="inlineStr">
        <is>
          <t>A 43366-2024</t>
        </is>
      </c>
      <c r="B7094" s="1" t="n">
        <v>45568</v>
      </c>
      <c r="C7094" s="1" t="n">
        <v>46185</v>
      </c>
      <c r="D7094" t="inlineStr">
        <is>
          <t>VÄSTERNORRLANDS LÄN</t>
        </is>
      </c>
      <c r="E7094" t="inlineStr">
        <is>
          <t>ÅNGE</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14683-2026</t>
        </is>
      </c>
      <c r="B7095" s="1" t="n">
        <v>46101.49011574074</v>
      </c>
      <c r="C7095" s="1" t="n">
        <v>46185</v>
      </c>
      <c r="D7095" t="inlineStr">
        <is>
          <t>VÄSTERNORRLANDS LÄN</t>
        </is>
      </c>
      <c r="E7095" t="inlineStr">
        <is>
          <t>SOLLEFTEÅ</t>
        </is>
      </c>
      <c r="F7095" t="inlineStr">
        <is>
          <t>SCA</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22139-2023</t>
        </is>
      </c>
      <c r="B7096" s="1" t="n">
        <v>45068</v>
      </c>
      <c r="C7096" s="1" t="n">
        <v>46185</v>
      </c>
      <c r="D7096" t="inlineStr">
        <is>
          <t>VÄSTERNORRLANDS LÄN</t>
        </is>
      </c>
      <c r="E7096" t="inlineStr">
        <is>
          <t>SUNDSVALL</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62089-2022</t>
        </is>
      </c>
      <c r="B7097" s="1" t="n">
        <v>44919</v>
      </c>
      <c r="C7097" s="1" t="n">
        <v>46185</v>
      </c>
      <c r="D7097" t="inlineStr">
        <is>
          <t>VÄSTERNORRLANDS LÄN</t>
        </is>
      </c>
      <c r="E7097" t="inlineStr">
        <is>
          <t>ÖRNSKÖLDSVIK</t>
        </is>
      </c>
      <c r="G7097" t="n">
        <v>24.7</v>
      </c>
      <c r="H7097" t="n">
        <v>0</v>
      </c>
      <c r="I7097" t="n">
        <v>0</v>
      </c>
      <c r="J7097" t="n">
        <v>0</v>
      </c>
      <c r="K7097" t="n">
        <v>0</v>
      </c>
      <c r="L7097" t="n">
        <v>0</v>
      </c>
      <c r="M7097" t="n">
        <v>0</v>
      </c>
      <c r="N7097" t="n">
        <v>0</v>
      </c>
      <c r="O7097" t="n">
        <v>0</v>
      </c>
      <c r="P7097" t="n">
        <v>0</v>
      </c>
      <c r="Q7097" t="n">
        <v>0</v>
      </c>
      <c r="R7097" s="2" t="inlineStr"/>
    </row>
    <row r="7098" ht="15" customHeight="1">
      <c r="A7098" t="inlineStr">
        <is>
          <t>A 5001-2023</t>
        </is>
      </c>
      <c r="B7098" s="1" t="n">
        <v>44956</v>
      </c>
      <c r="C7098" s="1" t="n">
        <v>46185</v>
      </c>
      <c r="D7098" t="inlineStr">
        <is>
          <t>VÄSTERNORRLANDS LÄN</t>
        </is>
      </c>
      <c r="E7098" t="inlineStr">
        <is>
          <t>SOLLEFTEÅ</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58290-2022</t>
        </is>
      </c>
      <c r="B7099" s="1" t="n">
        <v>44901.50284722223</v>
      </c>
      <c r="C7099" s="1" t="n">
        <v>46185</v>
      </c>
      <c r="D7099" t="inlineStr">
        <is>
          <t>VÄSTERNORRLANDS LÄN</t>
        </is>
      </c>
      <c r="E7099" t="inlineStr">
        <is>
          <t>SUNDSVALL</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14425-2026</t>
        </is>
      </c>
      <c r="B7100" s="1" t="n">
        <v>46100.46949074074</v>
      </c>
      <c r="C7100" s="1" t="n">
        <v>46185</v>
      </c>
      <c r="D7100" t="inlineStr">
        <is>
          <t>VÄSTERNORRLANDS LÄN</t>
        </is>
      </c>
      <c r="E7100" t="inlineStr">
        <is>
          <t>ÅNGE</t>
        </is>
      </c>
      <c r="F7100" t="inlineStr">
        <is>
          <t>SCA</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62636-2021</t>
        </is>
      </c>
      <c r="B7101" s="1" t="n">
        <v>44503</v>
      </c>
      <c r="C7101" s="1" t="n">
        <v>46185</v>
      </c>
      <c r="D7101" t="inlineStr">
        <is>
          <t>VÄSTERNORRLANDS LÄN</t>
        </is>
      </c>
      <c r="E7101" t="inlineStr">
        <is>
          <t>ÖRNSKÖLDSVIK</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14352-2026</t>
        </is>
      </c>
      <c r="B7102" s="1" t="n">
        <v>46100.34490740741</v>
      </c>
      <c r="C7102" s="1" t="n">
        <v>46185</v>
      </c>
      <c r="D7102" t="inlineStr">
        <is>
          <t>VÄSTERNORRLANDS LÄN</t>
        </is>
      </c>
      <c r="E7102" t="inlineStr">
        <is>
          <t>SUNDSVALL</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14364-2026</t>
        </is>
      </c>
      <c r="B7103" s="1" t="n">
        <v>46100.36547453704</v>
      </c>
      <c r="C7103" s="1" t="n">
        <v>46185</v>
      </c>
      <c r="D7103" t="inlineStr">
        <is>
          <t>VÄSTERNORRLANDS LÄN</t>
        </is>
      </c>
      <c r="E7103" t="inlineStr">
        <is>
          <t>SOLLEFTEÅ</t>
        </is>
      </c>
      <c r="F7103" t="inlineStr">
        <is>
          <t>SCA</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14705-2026</t>
        </is>
      </c>
      <c r="B7104" s="1" t="n">
        <v>46101.54594907408</v>
      </c>
      <c r="C7104" s="1" t="n">
        <v>46185</v>
      </c>
      <c r="D7104" t="inlineStr">
        <is>
          <t>VÄSTERNORRLANDS LÄN</t>
        </is>
      </c>
      <c r="E7104" t="inlineStr">
        <is>
          <t>ÖRNSKÖLDSVIK</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25407-2023</t>
        </is>
      </c>
      <c r="B7105" s="1" t="n">
        <v>45089.37394675926</v>
      </c>
      <c r="C7105" s="1" t="n">
        <v>46185</v>
      </c>
      <c r="D7105" t="inlineStr">
        <is>
          <t>VÄSTERNORRLANDS LÄN</t>
        </is>
      </c>
      <c r="E7105" t="inlineStr">
        <is>
          <t>SUNDSVALL</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14506-2026</t>
        </is>
      </c>
      <c r="B7106" s="1" t="n">
        <v>46100.61523148148</v>
      </c>
      <c r="C7106" s="1" t="n">
        <v>46185</v>
      </c>
      <c r="D7106" t="inlineStr">
        <is>
          <t>VÄSTERNORRLANDS LÄN</t>
        </is>
      </c>
      <c r="E7106" t="inlineStr">
        <is>
          <t>ÅNGE</t>
        </is>
      </c>
      <c r="F7106" t="inlineStr">
        <is>
          <t>SCA</t>
        </is>
      </c>
      <c r="G7106" t="n">
        <v>8.800000000000001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214-2024</t>
        </is>
      </c>
      <c r="B7107" s="1" t="n">
        <v>45293</v>
      </c>
      <c r="C7107" s="1" t="n">
        <v>46185</v>
      </c>
      <c r="D7107" t="inlineStr">
        <is>
          <t>VÄSTERNORRLANDS LÄN</t>
        </is>
      </c>
      <c r="E7107" t="inlineStr">
        <is>
          <t>HÄRNÖSAND</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62083-2021</t>
        </is>
      </c>
      <c r="B7108" s="1" t="n">
        <v>44502.60898148148</v>
      </c>
      <c r="C7108" s="1" t="n">
        <v>46185</v>
      </c>
      <c r="D7108" t="inlineStr">
        <is>
          <t>VÄSTERNORRLANDS LÄN</t>
        </is>
      </c>
      <c r="E7108" t="inlineStr">
        <is>
          <t>SUNDSVALL</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61574-2021</t>
        </is>
      </c>
      <c r="B7109" s="1" t="n">
        <v>44497</v>
      </c>
      <c r="C7109" s="1" t="n">
        <v>46185</v>
      </c>
      <c r="D7109" t="inlineStr">
        <is>
          <t>VÄSTERNORRLANDS LÄN</t>
        </is>
      </c>
      <c r="E7109" t="inlineStr">
        <is>
          <t>HÄRNÖSAND</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14372-2026</t>
        </is>
      </c>
      <c r="B7110" s="1" t="n">
        <v>46100.36810185185</v>
      </c>
      <c r="C7110" s="1" t="n">
        <v>46185</v>
      </c>
      <c r="D7110" t="inlineStr">
        <is>
          <t>VÄSTERNORRLANDS LÄN</t>
        </is>
      </c>
      <c r="E7110" t="inlineStr">
        <is>
          <t>ÅNGE</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14392-2026</t>
        </is>
      </c>
      <c r="B7111" s="1" t="n">
        <v>46100.38825231481</v>
      </c>
      <c r="C7111" s="1" t="n">
        <v>46185</v>
      </c>
      <c r="D7111" t="inlineStr">
        <is>
          <t>VÄSTERNORRLANDS LÄN</t>
        </is>
      </c>
      <c r="E7111" t="inlineStr">
        <is>
          <t>ÅNGE</t>
        </is>
      </c>
      <c r="G7111" t="n">
        <v>7.4</v>
      </c>
      <c r="H7111" t="n">
        <v>0</v>
      </c>
      <c r="I7111" t="n">
        <v>0</v>
      </c>
      <c r="J7111" t="n">
        <v>0</v>
      </c>
      <c r="K7111" t="n">
        <v>0</v>
      </c>
      <c r="L7111" t="n">
        <v>0</v>
      </c>
      <c r="M7111" t="n">
        <v>0</v>
      </c>
      <c r="N7111" t="n">
        <v>0</v>
      </c>
      <c r="O7111" t="n">
        <v>0</v>
      </c>
      <c r="P7111" t="n">
        <v>0</v>
      </c>
      <c r="Q7111" t="n">
        <v>0</v>
      </c>
      <c r="R7111" s="2" t="inlineStr"/>
    </row>
    <row r="7112" ht="15" customHeight="1">
      <c r="A7112" t="inlineStr">
        <is>
          <t>A 14631-2026</t>
        </is>
      </c>
      <c r="B7112" s="1" t="n">
        <v>46101.40017361111</v>
      </c>
      <c r="C7112" s="1" t="n">
        <v>46185</v>
      </c>
      <c r="D7112" t="inlineStr">
        <is>
          <t>VÄSTERNORRLANDS LÄN</t>
        </is>
      </c>
      <c r="E7112" t="inlineStr">
        <is>
          <t>ÖRNSKÖLDSVIK</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14390-2026</t>
        </is>
      </c>
      <c r="B7113" s="1" t="n">
        <v>46100.38671296297</v>
      </c>
      <c r="C7113" s="1" t="n">
        <v>46185</v>
      </c>
      <c r="D7113" t="inlineStr">
        <is>
          <t>VÄSTERNORRLANDS LÄN</t>
        </is>
      </c>
      <c r="E7113" t="inlineStr">
        <is>
          <t>SUNDSVALL</t>
        </is>
      </c>
      <c r="F7113" t="inlineStr">
        <is>
          <t>SCA</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17211-2023</t>
        </is>
      </c>
      <c r="B7114" s="1" t="n">
        <v>45034.92625</v>
      </c>
      <c r="C7114" s="1" t="n">
        <v>46185</v>
      </c>
      <c r="D7114" t="inlineStr">
        <is>
          <t>VÄSTERNORRLANDS LÄN</t>
        </is>
      </c>
      <c r="E7114" t="inlineStr">
        <is>
          <t>KRAMFORS</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14369-2026</t>
        </is>
      </c>
      <c r="B7115" s="1" t="n">
        <v>46100.36651620371</v>
      </c>
      <c r="C7115" s="1" t="n">
        <v>46185</v>
      </c>
      <c r="D7115" t="inlineStr">
        <is>
          <t>VÄSTERNORRLANDS LÄN</t>
        </is>
      </c>
      <c r="E7115" t="inlineStr">
        <is>
          <t>SOLLEFTEÅ</t>
        </is>
      </c>
      <c r="F7115" t="inlineStr">
        <is>
          <t>SCA</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63069-2023</t>
        </is>
      </c>
      <c r="B7116" s="1" t="n">
        <v>45272.97162037037</v>
      </c>
      <c r="C7116" s="1" t="n">
        <v>46185</v>
      </c>
      <c r="D7116" t="inlineStr">
        <is>
          <t>VÄSTERNORRLANDS LÄN</t>
        </is>
      </c>
      <c r="E7116" t="inlineStr">
        <is>
          <t>ÖRNSKÖLDSVIK</t>
        </is>
      </c>
      <c r="F7116" t="inlineStr">
        <is>
          <t>Övriga Aktiebolag</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34491-2023</t>
        </is>
      </c>
      <c r="B7117" s="1" t="n">
        <v>45139.94775462963</v>
      </c>
      <c r="C7117" s="1" t="n">
        <v>46185</v>
      </c>
      <c r="D7117" t="inlineStr">
        <is>
          <t>VÄSTERNORRLANDS LÄN</t>
        </is>
      </c>
      <c r="E7117" t="inlineStr">
        <is>
          <t>ÅNGE</t>
        </is>
      </c>
      <c r="F7117" t="inlineStr">
        <is>
          <t>SCA</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14523-2026</t>
        </is>
      </c>
      <c r="B7118" s="1" t="n">
        <v>46100</v>
      </c>
      <c r="C7118" s="1" t="n">
        <v>46185</v>
      </c>
      <c r="D7118" t="inlineStr">
        <is>
          <t>VÄSTERNORRLANDS LÄN</t>
        </is>
      </c>
      <c r="E7118" t="inlineStr">
        <is>
          <t>SUNDSVALL</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14524-2026</t>
        </is>
      </c>
      <c r="B7119" s="1" t="n">
        <v>46100.65710648148</v>
      </c>
      <c r="C7119" s="1" t="n">
        <v>46185</v>
      </c>
      <c r="D7119" t="inlineStr">
        <is>
          <t>VÄSTERNORRLANDS LÄN</t>
        </is>
      </c>
      <c r="E7119" t="inlineStr">
        <is>
          <t>ÖRNSKÖLDSVIK</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14537-2026</t>
        </is>
      </c>
      <c r="B7120" s="1" t="n">
        <v>46100</v>
      </c>
      <c r="C7120" s="1" t="n">
        <v>46185</v>
      </c>
      <c r="D7120" t="inlineStr">
        <is>
          <t>VÄSTERNORRLANDS LÄN</t>
        </is>
      </c>
      <c r="E7120" t="inlineStr">
        <is>
          <t>KRAMFORS</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14673-2026</t>
        </is>
      </c>
      <c r="B7121" s="1" t="n">
        <v>46101.4640625</v>
      </c>
      <c r="C7121" s="1" t="n">
        <v>46185</v>
      </c>
      <c r="D7121" t="inlineStr">
        <is>
          <t>VÄSTERNORRLANDS LÄN</t>
        </is>
      </c>
      <c r="E7121" t="inlineStr">
        <is>
          <t>SOLLEFTEÅ</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58037-2021</t>
        </is>
      </c>
      <c r="B7122" s="1" t="n">
        <v>44487</v>
      </c>
      <c r="C7122" s="1" t="n">
        <v>46185</v>
      </c>
      <c r="D7122" t="inlineStr">
        <is>
          <t>VÄSTERNORRLANDS LÄN</t>
        </is>
      </c>
      <c r="E7122" t="inlineStr">
        <is>
          <t>SUNDSVALL</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4852-2024</t>
        </is>
      </c>
      <c r="B7123" s="1" t="n">
        <v>45329.36856481482</v>
      </c>
      <c r="C7123" s="1" t="n">
        <v>46185</v>
      </c>
      <c r="D7123" t="inlineStr">
        <is>
          <t>VÄSTERNORRLANDS LÄN</t>
        </is>
      </c>
      <c r="E7123" t="inlineStr">
        <is>
          <t>HÄRNÖSAND</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13816-2024</t>
        </is>
      </c>
      <c r="B7124" s="1" t="n">
        <v>45390</v>
      </c>
      <c r="C7124" s="1" t="n">
        <v>46185</v>
      </c>
      <c r="D7124" t="inlineStr">
        <is>
          <t>VÄSTERNORRLANDS LÄN</t>
        </is>
      </c>
      <c r="E7124" t="inlineStr">
        <is>
          <t>ÖRNSKÖLDSVIK</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7151-2024</t>
        </is>
      </c>
      <c r="B7125" s="1" t="n">
        <v>45344</v>
      </c>
      <c r="C7125" s="1" t="n">
        <v>46185</v>
      </c>
      <c r="D7125" t="inlineStr">
        <is>
          <t>VÄSTERNORRLANDS LÄN</t>
        </is>
      </c>
      <c r="E7125" t="inlineStr">
        <is>
          <t>TIMRÅ</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10089-2023</t>
        </is>
      </c>
      <c r="B7126" s="1" t="n">
        <v>44985</v>
      </c>
      <c r="C7126" s="1" t="n">
        <v>46185</v>
      </c>
      <c r="D7126" t="inlineStr">
        <is>
          <t>VÄSTERNORRLANDS LÄN</t>
        </is>
      </c>
      <c r="E7126" t="inlineStr">
        <is>
          <t>ÅNGE</t>
        </is>
      </c>
      <c r="F7126" t="inlineStr">
        <is>
          <t>SCA</t>
        </is>
      </c>
      <c r="G7126" t="n">
        <v>6.7</v>
      </c>
      <c r="H7126" t="n">
        <v>0</v>
      </c>
      <c r="I7126" t="n">
        <v>0</v>
      </c>
      <c r="J7126" t="n">
        <v>0</v>
      </c>
      <c r="K7126" t="n">
        <v>0</v>
      </c>
      <c r="L7126" t="n">
        <v>0</v>
      </c>
      <c r="M7126" t="n">
        <v>0</v>
      </c>
      <c r="N7126" t="n">
        <v>0</v>
      </c>
      <c r="O7126" t="n">
        <v>0</v>
      </c>
      <c r="P7126" t="n">
        <v>0</v>
      </c>
      <c r="Q7126" t="n">
        <v>0</v>
      </c>
      <c r="R7126" s="2" t="inlineStr"/>
    </row>
    <row r="7127" ht="15" customHeight="1">
      <c r="A7127" t="inlineStr">
        <is>
          <t>A 10090-2023</t>
        </is>
      </c>
      <c r="B7127" s="1" t="n">
        <v>44985.94511574074</v>
      </c>
      <c r="C7127" s="1" t="n">
        <v>46185</v>
      </c>
      <c r="D7127" t="inlineStr">
        <is>
          <t>VÄSTERNORRLANDS LÄN</t>
        </is>
      </c>
      <c r="E7127" t="inlineStr">
        <is>
          <t>ÅNGE</t>
        </is>
      </c>
      <c r="F7127" t="inlineStr">
        <is>
          <t>SCA</t>
        </is>
      </c>
      <c r="G7127" t="n">
        <v>8.4</v>
      </c>
      <c r="H7127" t="n">
        <v>0</v>
      </c>
      <c r="I7127" t="n">
        <v>0</v>
      </c>
      <c r="J7127" t="n">
        <v>0</v>
      </c>
      <c r="K7127" t="n">
        <v>0</v>
      </c>
      <c r="L7127" t="n">
        <v>0</v>
      </c>
      <c r="M7127" t="n">
        <v>0</v>
      </c>
      <c r="N7127" t="n">
        <v>0</v>
      </c>
      <c r="O7127" t="n">
        <v>0</v>
      </c>
      <c r="P7127" t="n">
        <v>0</v>
      </c>
      <c r="Q7127" t="n">
        <v>0</v>
      </c>
      <c r="R7127" s="2" t="inlineStr"/>
    </row>
    <row r="7128" ht="15" customHeight="1">
      <c r="A7128" t="inlineStr">
        <is>
          <t>A 10100-2023</t>
        </is>
      </c>
      <c r="B7128" s="1" t="n">
        <v>44985.94587962963</v>
      </c>
      <c r="C7128" s="1" t="n">
        <v>46185</v>
      </c>
      <c r="D7128" t="inlineStr">
        <is>
          <t>VÄSTERNORRLANDS LÄN</t>
        </is>
      </c>
      <c r="E7128" t="inlineStr">
        <is>
          <t>ÖRNSKÖLDSVIK</t>
        </is>
      </c>
      <c r="F7128" t="inlineStr">
        <is>
          <t>SCA</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14483-2026</t>
        </is>
      </c>
      <c r="B7129" s="1" t="n">
        <v>46100.58876157407</v>
      </c>
      <c r="C7129" s="1" t="n">
        <v>46185</v>
      </c>
      <c r="D7129" t="inlineStr">
        <is>
          <t>VÄSTERNORRLANDS LÄN</t>
        </is>
      </c>
      <c r="E7129" t="inlineStr">
        <is>
          <t>ÖRNSKÖLDSVIK</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14665-2026</t>
        </is>
      </c>
      <c r="B7130" s="1" t="n">
        <v>46101.44842592593</v>
      </c>
      <c r="C7130" s="1" t="n">
        <v>46185</v>
      </c>
      <c r="D7130" t="inlineStr">
        <is>
          <t>VÄSTERNORRLANDS LÄN</t>
        </is>
      </c>
      <c r="E7130" t="inlineStr">
        <is>
          <t>HÄRNÖSAND</t>
        </is>
      </c>
      <c r="F7130" t="inlineStr">
        <is>
          <t>SCA</t>
        </is>
      </c>
      <c r="G7130" t="n">
        <v>16.2</v>
      </c>
      <c r="H7130" t="n">
        <v>0</v>
      </c>
      <c r="I7130" t="n">
        <v>0</v>
      </c>
      <c r="J7130" t="n">
        <v>0</v>
      </c>
      <c r="K7130" t="n">
        <v>0</v>
      </c>
      <c r="L7130" t="n">
        <v>0</v>
      </c>
      <c r="M7130" t="n">
        <v>0</v>
      </c>
      <c r="N7130" t="n">
        <v>0</v>
      </c>
      <c r="O7130" t="n">
        <v>0</v>
      </c>
      <c r="P7130" t="n">
        <v>0</v>
      </c>
      <c r="Q7130" t="n">
        <v>0</v>
      </c>
      <c r="R7130" s="2" t="inlineStr"/>
    </row>
    <row r="7131" ht="15" customHeight="1">
      <c r="A7131" t="inlineStr">
        <is>
          <t>A 17281-2025</t>
        </is>
      </c>
      <c r="B7131" s="1" t="n">
        <v>45756</v>
      </c>
      <c r="C7131" s="1" t="n">
        <v>46185</v>
      </c>
      <c r="D7131" t="inlineStr">
        <is>
          <t>VÄSTERNORRLANDS LÄN</t>
        </is>
      </c>
      <c r="E7131" t="inlineStr">
        <is>
          <t>HÄRNÖSAND</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14640-2026</t>
        </is>
      </c>
      <c r="B7132" s="1" t="n">
        <v>46101.40840277778</v>
      </c>
      <c r="C7132" s="1" t="n">
        <v>46185</v>
      </c>
      <c r="D7132" t="inlineStr">
        <is>
          <t>VÄSTERNORRLANDS LÄN</t>
        </is>
      </c>
      <c r="E7132" t="inlineStr">
        <is>
          <t>ÖRNSKÖLDSVIK</t>
        </is>
      </c>
      <c r="G7132" t="n">
        <v>5.5</v>
      </c>
      <c r="H7132" t="n">
        <v>0</v>
      </c>
      <c r="I7132" t="n">
        <v>0</v>
      </c>
      <c r="J7132" t="n">
        <v>0</v>
      </c>
      <c r="K7132" t="n">
        <v>0</v>
      </c>
      <c r="L7132" t="n">
        <v>0</v>
      </c>
      <c r="M7132" t="n">
        <v>0</v>
      </c>
      <c r="N7132" t="n">
        <v>0</v>
      </c>
      <c r="O7132" t="n">
        <v>0</v>
      </c>
      <c r="P7132" t="n">
        <v>0</v>
      </c>
      <c r="Q7132" t="n">
        <v>0</v>
      </c>
      <c r="R7132" s="2" t="inlineStr"/>
    </row>
    <row r="7133" ht="15" customHeight="1">
      <c r="A7133" t="inlineStr">
        <is>
          <t>A 39005-2024</t>
        </is>
      </c>
      <c r="B7133" s="1" t="n">
        <v>45548.42743055556</v>
      </c>
      <c r="C7133" s="1" t="n">
        <v>46185</v>
      </c>
      <c r="D7133" t="inlineStr">
        <is>
          <t>VÄSTERNORRLANDS LÄN</t>
        </is>
      </c>
      <c r="E7133" t="inlineStr">
        <is>
          <t>ÅNGE</t>
        </is>
      </c>
      <c r="F7133" t="inlineStr">
        <is>
          <t>SCA</t>
        </is>
      </c>
      <c r="G7133" t="n">
        <v>2.6</v>
      </c>
      <c r="H7133" t="n">
        <v>0</v>
      </c>
      <c r="I7133" t="n">
        <v>0</v>
      </c>
      <c r="J7133" t="n">
        <v>0</v>
      </c>
      <c r="K7133" t="n">
        <v>0</v>
      </c>
      <c r="L7133" t="n">
        <v>0</v>
      </c>
      <c r="M7133" t="n">
        <v>0</v>
      </c>
      <c r="N7133" t="n">
        <v>0</v>
      </c>
      <c r="O7133" t="n">
        <v>0</v>
      </c>
      <c r="P7133" t="n">
        <v>0</v>
      </c>
      <c r="Q7133" t="n">
        <v>0</v>
      </c>
      <c r="R7133" s="2" t="inlineStr"/>
      <c r="U7133">
        <f>HYPERLINK("https://klasma.github.io/Logging_2260/knärot/A 39005-2024 karta knärot.png", "A 39005-2024")</f>
        <v/>
      </c>
      <c r="V7133">
        <f>HYPERLINK("https://klasma.github.io/Logging_2260/klagomål/A 39005-2024 FSC-klagomål.docx", "A 39005-2024")</f>
        <v/>
      </c>
      <c r="W7133">
        <f>HYPERLINK("https://klasma.github.io/Logging_2260/klagomålsmail/A 39005-2024 FSC-klagomål mail.docx", "A 39005-2024")</f>
        <v/>
      </c>
      <c r="X7133">
        <f>HYPERLINK("https://klasma.github.io/Logging_2260/tillsyn/A 39005-2024 tillsynsbegäran.docx", "A 39005-2024")</f>
        <v/>
      </c>
      <c r="Y7133">
        <f>HYPERLINK("https://klasma.github.io/Logging_2260/tillsynsmail/A 39005-2024 tillsynsbegäran mail.docx", "A 39005-2024")</f>
        <v/>
      </c>
    </row>
    <row r="7134" ht="15" customHeight="1">
      <c r="A7134" t="inlineStr">
        <is>
          <t>A 14677-2026</t>
        </is>
      </c>
      <c r="B7134" s="1" t="n">
        <v>46101.47174768519</v>
      </c>
      <c r="C7134" s="1" t="n">
        <v>46185</v>
      </c>
      <c r="D7134" t="inlineStr">
        <is>
          <t>VÄSTERNORRLANDS LÄN</t>
        </is>
      </c>
      <c r="E7134" t="inlineStr">
        <is>
          <t>ÖRNSKÖLDSVIK</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6448-2023</t>
        </is>
      </c>
      <c r="B7135" s="1" t="n">
        <v>44965</v>
      </c>
      <c r="C7135" s="1" t="n">
        <v>46185</v>
      </c>
      <c r="D7135" t="inlineStr">
        <is>
          <t>VÄSTERNORRLANDS LÄN</t>
        </is>
      </c>
      <c r="E7135" t="inlineStr">
        <is>
          <t>KRAMFORS</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14408-2026</t>
        </is>
      </c>
      <c r="B7136" s="1" t="n">
        <v>46100.43482638889</v>
      </c>
      <c r="C7136" s="1" t="n">
        <v>46185</v>
      </c>
      <c r="D7136" t="inlineStr">
        <is>
          <t>VÄSTERNORRLANDS LÄN</t>
        </is>
      </c>
      <c r="E7136" t="inlineStr">
        <is>
          <t>ÅNGE</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61872-2021</t>
        </is>
      </c>
      <c r="B7137" s="1" t="n">
        <v>44502.06923611111</v>
      </c>
      <c r="C7137" s="1" t="n">
        <v>46185</v>
      </c>
      <c r="D7137" t="inlineStr">
        <is>
          <t>VÄSTERNORRLANDS LÄN</t>
        </is>
      </c>
      <c r="E7137" t="inlineStr">
        <is>
          <t>ÖRNSKÖLDSVIK</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59440-2021</t>
        </is>
      </c>
      <c r="B7138" s="1" t="n">
        <v>44491</v>
      </c>
      <c r="C7138" s="1" t="n">
        <v>46185</v>
      </c>
      <c r="D7138" t="inlineStr">
        <is>
          <t>VÄSTERNORRLANDS LÄN</t>
        </is>
      </c>
      <c r="E7138" t="inlineStr">
        <is>
          <t>SUNDSVALL</t>
        </is>
      </c>
      <c r="G7138" t="n">
        <v>4.9</v>
      </c>
      <c r="H7138" t="n">
        <v>0</v>
      </c>
      <c r="I7138" t="n">
        <v>0</v>
      </c>
      <c r="J7138" t="n">
        <v>0</v>
      </c>
      <c r="K7138" t="n">
        <v>0</v>
      </c>
      <c r="L7138" t="n">
        <v>0</v>
      </c>
      <c r="M7138" t="n">
        <v>0</v>
      </c>
      <c r="N7138" t="n">
        <v>0</v>
      </c>
      <c r="O7138" t="n">
        <v>0</v>
      </c>
      <c r="P7138" t="n">
        <v>0</v>
      </c>
      <c r="Q7138" t="n">
        <v>0</v>
      </c>
      <c r="R7138" s="2" t="inlineStr"/>
    </row>
    <row r="7139" ht="15" customHeight="1">
      <c r="A7139" t="inlineStr">
        <is>
          <t>A 62133-2024</t>
        </is>
      </c>
      <c r="B7139" s="1" t="n">
        <v>45656.63576388889</v>
      </c>
      <c r="C7139" s="1" t="n">
        <v>46185</v>
      </c>
      <c r="D7139" t="inlineStr">
        <is>
          <t>VÄSTERNORRLANDS LÄN</t>
        </is>
      </c>
      <c r="E7139" t="inlineStr">
        <is>
          <t>TIMRÅ</t>
        </is>
      </c>
      <c r="F7139" t="inlineStr">
        <is>
          <t>SCA</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14367-2026</t>
        </is>
      </c>
      <c r="B7140" s="1" t="n">
        <v>46100.36608796296</v>
      </c>
      <c r="C7140" s="1" t="n">
        <v>46185</v>
      </c>
      <c r="D7140" t="inlineStr">
        <is>
          <t>VÄSTERNORRLANDS LÄN</t>
        </is>
      </c>
      <c r="E7140" t="inlineStr">
        <is>
          <t>SOLLEFTEÅ</t>
        </is>
      </c>
      <c r="F7140" t="inlineStr">
        <is>
          <t>SCA</t>
        </is>
      </c>
      <c r="G7140" t="n">
        <v>20.9</v>
      </c>
      <c r="H7140" t="n">
        <v>0</v>
      </c>
      <c r="I7140" t="n">
        <v>0</v>
      </c>
      <c r="J7140" t="n">
        <v>0</v>
      </c>
      <c r="K7140" t="n">
        <v>0</v>
      </c>
      <c r="L7140" t="n">
        <v>0</v>
      </c>
      <c r="M7140" t="n">
        <v>0</v>
      </c>
      <c r="N7140" t="n">
        <v>0</v>
      </c>
      <c r="O7140" t="n">
        <v>0</v>
      </c>
      <c r="P7140" t="n">
        <v>0</v>
      </c>
      <c r="Q7140" t="n">
        <v>0</v>
      </c>
      <c r="R7140" s="2" t="inlineStr"/>
    </row>
    <row r="7141" ht="15" customHeight="1">
      <c r="A7141" t="inlineStr">
        <is>
          <t>A 14368-2026</t>
        </is>
      </c>
      <c r="B7141" s="1" t="n">
        <v>46100.3662962963</v>
      </c>
      <c r="C7141" s="1" t="n">
        <v>46185</v>
      </c>
      <c r="D7141" t="inlineStr">
        <is>
          <t>VÄSTERNORRLANDS LÄN</t>
        </is>
      </c>
      <c r="E7141" t="inlineStr">
        <is>
          <t>SUNDSVALL</t>
        </is>
      </c>
      <c r="F7141" t="inlineStr">
        <is>
          <t>SCA</t>
        </is>
      </c>
      <c r="G7141" t="n">
        <v>7.1</v>
      </c>
      <c r="H7141" t="n">
        <v>0</v>
      </c>
      <c r="I7141" t="n">
        <v>0</v>
      </c>
      <c r="J7141" t="n">
        <v>0</v>
      </c>
      <c r="K7141" t="n">
        <v>0</v>
      </c>
      <c r="L7141" t="n">
        <v>0</v>
      </c>
      <c r="M7141" t="n">
        <v>0</v>
      </c>
      <c r="N7141" t="n">
        <v>0</v>
      </c>
      <c r="O7141" t="n">
        <v>0</v>
      </c>
      <c r="P7141" t="n">
        <v>0</v>
      </c>
      <c r="Q7141" t="n">
        <v>0</v>
      </c>
      <c r="R7141" s="2" t="inlineStr"/>
    </row>
    <row r="7142" ht="15" customHeight="1">
      <c r="A7142" t="inlineStr">
        <is>
          <t>A 56128-2023</t>
        </is>
      </c>
      <c r="B7142" s="1" t="n">
        <v>45240</v>
      </c>
      <c r="C7142" s="1" t="n">
        <v>46185</v>
      </c>
      <c r="D7142" t="inlineStr">
        <is>
          <t>VÄSTERNORRLANDS LÄN</t>
        </is>
      </c>
      <c r="E7142" t="inlineStr">
        <is>
          <t>ÖRNSKÖLDSVIK</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56231-2023</t>
        </is>
      </c>
      <c r="B7143" s="1" t="n">
        <v>45240.92366898148</v>
      </c>
      <c r="C7143" s="1" t="n">
        <v>46185</v>
      </c>
      <c r="D7143" t="inlineStr">
        <is>
          <t>VÄSTERNORRLANDS LÄN</t>
        </is>
      </c>
      <c r="E7143" t="inlineStr">
        <is>
          <t>SUNDSVALL</t>
        </is>
      </c>
      <c r="G7143" t="n">
        <v>18.4</v>
      </c>
      <c r="H7143" t="n">
        <v>0</v>
      </c>
      <c r="I7143" t="n">
        <v>0</v>
      </c>
      <c r="J7143" t="n">
        <v>0</v>
      </c>
      <c r="K7143" t="n">
        <v>0</v>
      </c>
      <c r="L7143" t="n">
        <v>0</v>
      </c>
      <c r="M7143" t="n">
        <v>0</v>
      </c>
      <c r="N7143" t="n">
        <v>0</v>
      </c>
      <c r="O7143" t="n">
        <v>0</v>
      </c>
      <c r="P7143" t="n">
        <v>0</v>
      </c>
      <c r="Q7143" t="n">
        <v>0</v>
      </c>
      <c r="R7143" s="2" t="inlineStr"/>
    </row>
    <row r="7144" ht="15" customHeight="1">
      <c r="A7144" t="inlineStr">
        <is>
          <t>A 15299-2026</t>
        </is>
      </c>
      <c r="B7144" s="1" t="n">
        <v>46105.63422453704</v>
      </c>
      <c r="C7144" s="1" t="n">
        <v>46185</v>
      </c>
      <c r="D7144" t="inlineStr">
        <is>
          <t>VÄSTERNORRLANDS LÄN</t>
        </is>
      </c>
      <c r="E7144" t="inlineStr">
        <is>
          <t>ÖRNSKÖLDSVIK</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41045-2024</t>
        </is>
      </c>
      <c r="B7145" s="1" t="n">
        <v>45559.36673611111</v>
      </c>
      <c r="C7145" s="1" t="n">
        <v>46185</v>
      </c>
      <c r="D7145" t="inlineStr">
        <is>
          <t>VÄSTERNORRLANDS LÄN</t>
        </is>
      </c>
      <c r="E7145" t="inlineStr">
        <is>
          <t>ÖRNSKÖLDSVIK</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41434-2024</t>
        </is>
      </c>
      <c r="B7146" s="1" t="n">
        <v>45560</v>
      </c>
      <c r="C7146" s="1" t="n">
        <v>46185</v>
      </c>
      <c r="D7146" t="inlineStr">
        <is>
          <t>VÄSTERNORRLANDS LÄN</t>
        </is>
      </c>
      <c r="E7146" t="inlineStr">
        <is>
          <t>SOLLEFTEÅ</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16253-2024</t>
        </is>
      </c>
      <c r="B7147" s="1" t="n">
        <v>45407.0587962963</v>
      </c>
      <c r="C7147" s="1" t="n">
        <v>46185</v>
      </c>
      <c r="D7147" t="inlineStr">
        <is>
          <t>VÄSTERNORRLANDS LÄN</t>
        </is>
      </c>
      <c r="E7147" t="inlineStr">
        <is>
          <t>SOLLEFTEÅ</t>
        </is>
      </c>
      <c r="F7147" t="inlineStr">
        <is>
          <t>SCA</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6474-2023</t>
        </is>
      </c>
      <c r="B7148" s="1" t="n">
        <v>44965.94128472222</v>
      </c>
      <c r="C7148" s="1" t="n">
        <v>46185</v>
      </c>
      <c r="D7148" t="inlineStr">
        <is>
          <t>VÄSTERNORRLANDS LÄN</t>
        </is>
      </c>
      <c r="E7148" t="inlineStr">
        <is>
          <t>SOLLEFTEÅ</t>
        </is>
      </c>
      <c r="F7148" t="inlineStr">
        <is>
          <t>SCA</t>
        </is>
      </c>
      <c r="G7148" t="n">
        <v>47.3</v>
      </c>
      <c r="H7148" t="n">
        <v>0</v>
      </c>
      <c r="I7148" t="n">
        <v>0</v>
      </c>
      <c r="J7148" t="n">
        <v>0</v>
      </c>
      <c r="K7148" t="n">
        <v>0</v>
      </c>
      <c r="L7148" t="n">
        <v>0</v>
      </c>
      <c r="M7148" t="n">
        <v>0</v>
      </c>
      <c r="N7148" t="n">
        <v>0</v>
      </c>
      <c r="O7148" t="n">
        <v>0</v>
      </c>
      <c r="P7148" t="n">
        <v>0</v>
      </c>
      <c r="Q7148" t="n">
        <v>0</v>
      </c>
      <c r="R7148" s="2" t="inlineStr"/>
    </row>
    <row r="7149" ht="15" customHeight="1">
      <c r="A7149" t="inlineStr">
        <is>
          <t>A 57593-2022</t>
        </is>
      </c>
      <c r="B7149" s="1" t="n">
        <v>44896.97847222222</v>
      </c>
      <c r="C7149" s="1" t="n">
        <v>46185</v>
      </c>
      <c r="D7149" t="inlineStr">
        <is>
          <t>VÄSTERNORRLANDS LÄN</t>
        </is>
      </c>
      <c r="E7149" t="inlineStr">
        <is>
          <t>ÅNGE</t>
        </is>
      </c>
      <c r="F7149" t="inlineStr">
        <is>
          <t>SCA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57596-2022</t>
        </is>
      </c>
      <c r="B7150" s="1" t="n">
        <v>44896.97871527778</v>
      </c>
      <c r="C7150" s="1" t="n">
        <v>46185</v>
      </c>
      <c r="D7150" t="inlineStr">
        <is>
          <t>VÄSTERNORRLANDS LÄN</t>
        </is>
      </c>
      <c r="E7150" t="inlineStr">
        <is>
          <t>ÅNGE</t>
        </is>
      </c>
      <c r="F7150" t="inlineStr">
        <is>
          <t>SCA</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15185-2026</t>
        </is>
      </c>
      <c r="B7151" s="1" t="n">
        <v>46105</v>
      </c>
      <c r="C7151" s="1" t="n">
        <v>46185</v>
      </c>
      <c r="D7151" t="inlineStr">
        <is>
          <t>VÄSTERNORRLANDS LÄN</t>
        </is>
      </c>
      <c r="E7151" t="inlineStr">
        <is>
          <t>TIMRÅ</t>
        </is>
      </c>
      <c r="G7151" t="n">
        <v>19.6</v>
      </c>
      <c r="H7151" t="n">
        <v>0</v>
      </c>
      <c r="I7151" t="n">
        <v>0</v>
      </c>
      <c r="J7151" t="n">
        <v>0</v>
      </c>
      <c r="K7151" t="n">
        <v>0</v>
      </c>
      <c r="L7151" t="n">
        <v>0</v>
      </c>
      <c r="M7151" t="n">
        <v>0</v>
      </c>
      <c r="N7151" t="n">
        <v>0</v>
      </c>
      <c r="O7151" t="n">
        <v>0</v>
      </c>
      <c r="P7151" t="n">
        <v>0</v>
      </c>
      <c r="Q7151" t="n">
        <v>0</v>
      </c>
      <c r="R7151" s="2" t="inlineStr"/>
    </row>
    <row r="7152" ht="15" customHeight="1">
      <c r="A7152" t="inlineStr">
        <is>
          <t>A 15196-2026</t>
        </is>
      </c>
      <c r="B7152" s="1" t="n">
        <v>46105</v>
      </c>
      <c r="C7152" s="1" t="n">
        <v>46185</v>
      </c>
      <c r="D7152" t="inlineStr">
        <is>
          <t>VÄSTERNORRLANDS LÄN</t>
        </is>
      </c>
      <c r="E7152" t="inlineStr">
        <is>
          <t>SUNDSVALL</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15186-2026</t>
        </is>
      </c>
      <c r="B7153" s="1" t="n">
        <v>46105</v>
      </c>
      <c r="C7153" s="1" t="n">
        <v>46185</v>
      </c>
      <c r="D7153" t="inlineStr">
        <is>
          <t>VÄSTERNORRLANDS LÄN</t>
        </is>
      </c>
      <c r="E7153" t="inlineStr">
        <is>
          <t>SUNDSVALL</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58185-2022</t>
        </is>
      </c>
      <c r="B7154" s="1" t="n">
        <v>44900</v>
      </c>
      <c r="C7154" s="1" t="n">
        <v>46185</v>
      </c>
      <c r="D7154" t="inlineStr">
        <is>
          <t>VÄSTERNORRLANDS LÄN</t>
        </is>
      </c>
      <c r="E7154" t="inlineStr">
        <is>
          <t>SUNDSVALL</t>
        </is>
      </c>
      <c r="F7154" t="inlineStr">
        <is>
          <t>SCA</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8652-2024</t>
        </is>
      </c>
      <c r="B7155" s="1" t="n">
        <v>45356</v>
      </c>
      <c r="C7155" s="1" t="n">
        <v>46185</v>
      </c>
      <c r="D7155" t="inlineStr">
        <is>
          <t>VÄSTERNORRLANDS LÄN</t>
        </is>
      </c>
      <c r="E7155" t="inlineStr">
        <is>
          <t>SOLLEFTEÅ</t>
        </is>
      </c>
      <c r="F7155" t="inlineStr">
        <is>
          <t>SCA</t>
        </is>
      </c>
      <c r="G7155" t="n">
        <v>38.6</v>
      </c>
      <c r="H7155" t="n">
        <v>0</v>
      </c>
      <c r="I7155" t="n">
        <v>0</v>
      </c>
      <c r="J7155" t="n">
        <v>0</v>
      </c>
      <c r="K7155" t="n">
        <v>0</v>
      </c>
      <c r="L7155" t="n">
        <v>0</v>
      </c>
      <c r="M7155" t="n">
        <v>0</v>
      </c>
      <c r="N7155" t="n">
        <v>0</v>
      </c>
      <c r="O7155" t="n">
        <v>0</v>
      </c>
      <c r="P7155" t="n">
        <v>0</v>
      </c>
      <c r="Q7155" t="n">
        <v>0</v>
      </c>
      <c r="R7155" s="2" t="inlineStr"/>
    </row>
    <row r="7156" ht="15" customHeight="1">
      <c r="A7156" t="inlineStr">
        <is>
          <t>A 15348-2026</t>
        </is>
      </c>
      <c r="B7156" s="1" t="n">
        <v>46105.6984837963</v>
      </c>
      <c r="C7156" s="1" t="n">
        <v>46185</v>
      </c>
      <c r="D7156" t="inlineStr">
        <is>
          <t>VÄSTERNORRLANDS LÄN</t>
        </is>
      </c>
      <c r="E7156" t="inlineStr">
        <is>
          <t>SUNDSVALL</t>
        </is>
      </c>
      <c r="F7156" t="inlineStr">
        <is>
          <t>SCA</t>
        </is>
      </c>
      <c r="G7156" t="n">
        <v>6.7</v>
      </c>
      <c r="H7156" t="n">
        <v>0</v>
      </c>
      <c r="I7156" t="n">
        <v>0</v>
      </c>
      <c r="J7156" t="n">
        <v>0</v>
      </c>
      <c r="K7156" t="n">
        <v>0</v>
      </c>
      <c r="L7156" t="n">
        <v>0</v>
      </c>
      <c r="M7156" t="n">
        <v>0</v>
      </c>
      <c r="N7156" t="n">
        <v>0</v>
      </c>
      <c r="O7156" t="n">
        <v>0</v>
      </c>
      <c r="P7156" t="n">
        <v>0</v>
      </c>
      <c r="Q7156" t="n">
        <v>0</v>
      </c>
      <c r="R7156" s="2" t="inlineStr"/>
    </row>
    <row r="7157" ht="15" customHeight="1">
      <c r="A7157" t="inlineStr">
        <is>
          <t>A 14857-2026</t>
        </is>
      </c>
      <c r="B7157" s="1" t="n">
        <v>46104</v>
      </c>
      <c r="C7157" s="1" t="n">
        <v>46185</v>
      </c>
      <c r="D7157" t="inlineStr">
        <is>
          <t>VÄSTERNORRLANDS LÄN</t>
        </is>
      </c>
      <c r="E7157" t="inlineStr">
        <is>
          <t>SUNDSVALL</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61013-2024</t>
        </is>
      </c>
      <c r="B7158" s="1" t="n">
        <v>45645</v>
      </c>
      <c r="C7158" s="1" t="n">
        <v>46185</v>
      </c>
      <c r="D7158" t="inlineStr">
        <is>
          <t>VÄSTERNORRLANDS LÄN</t>
        </is>
      </c>
      <c r="E7158" t="inlineStr">
        <is>
          <t>ÖRNSKÖLDSVIK</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50615-2023</t>
        </is>
      </c>
      <c r="B7159" s="1" t="n">
        <v>45217</v>
      </c>
      <c r="C7159" s="1" t="n">
        <v>46185</v>
      </c>
      <c r="D7159" t="inlineStr">
        <is>
          <t>VÄSTERNORRLANDS LÄN</t>
        </is>
      </c>
      <c r="E7159" t="inlineStr">
        <is>
          <t>SOLLEFTEÅ</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14942-2026</t>
        </is>
      </c>
      <c r="B7160" s="1" t="n">
        <v>46104</v>
      </c>
      <c r="C7160" s="1" t="n">
        <v>46185</v>
      </c>
      <c r="D7160" t="inlineStr">
        <is>
          <t>VÄSTERNORRLANDS LÄN</t>
        </is>
      </c>
      <c r="E7160" t="inlineStr">
        <is>
          <t>SUNDSVALL</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15308-2026</t>
        </is>
      </c>
      <c r="B7161" s="1" t="n">
        <v>46105.63982638889</v>
      </c>
      <c r="C7161" s="1" t="n">
        <v>46185</v>
      </c>
      <c r="D7161" t="inlineStr">
        <is>
          <t>VÄSTERNORRLANDS LÄN</t>
        </is>
      </c>
      <c r="E7161" t="inlineStr">
        <is>
          <t>SOLLEFTEÅ</t>
        </is>
      </c>
      <c r="G7161" t="n">
        <v>12.8</v>
      </c>
      <c r="H7161" t="n">
        <v>0</v>
      </c>
      <c r="I7161" t="n">
        <v>0</v>
      </c>
      <c r="J7161" t="n">
        <v>0</v>
      </c>
      <c r="K7161" t="n">
        <v>0</v>
      </c>
      <c r="L7161" t="n">
        <v>0</v>
      </c>
      <c r="M7161" t="n">
        <v>0</v>
      </c>
      <c r="N7161" t="n">
        <v>0</v>
      </c>
      <c r="O7161" t="n">
        <v>0</v>
      </c>
      <c r="P7161" t="n">
        <v>0</v>
      </c>
      <c r="Q7161" t="n">
        <v>0</v>
      </c>
      <c r="R7161" s="2" t="inlineStr"/>
    </row>
    <row r="7162" ht="15" customHeight="1">
      <c r="A7162" t="inlineStr">
        <is>
          <t>A 21160-2026</t>
        </is>
      </c>
      <c r="B7162" s="1" t="n">
        <v>46146.58471064815</v>
      </c>
      <c r="C7162" s="1" t="n">
        <v>46185</v>
      </c>
      <c r="D7162" t="inlineStr">
        <is>
          <t>VÄSTERNORRLANDS LÄN</t>
        </is>
      </c>
      <c r="E7162" t="inlineStr">
        <is>
          <t>SOLLEFTEÅ</t>
        </is>
      </c>
      <c r="F7162" t="inlineStr">
        <is>
          <t>Holmen skog AB</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25308-2023</t>
        </is>
      </c>
      <c r="B7163" s="1" t="n">
        <v>45086.93850694445</v>
      </c>
      <c r="C7163" s="1" t="n">
        <v>46185</v>
      </c>
      <c r="D7163" t="inlineStr">
        <is>
          <t>VÄSTERNORRLANDS LÄN</t>
        </is>
      </c>
      <c r="E7163" t="inlineStr">
        <is>
          <t>ÖRNSKÖLDSVIK</t>
        </is>
      </c>
      <c r="F7163" t="inlineStr">
        <is>
          <t>SCA</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25314-2023</t>
        </is>
      </c>
      <c r="B7164" s="1" t="n">
        <v>45086</v>
      </c>
      <c r="C7164" s="1" t="n">
        <v>46185</v>
      </c>
      <c r="D7164" t="inlineStr">
        <is>
          <t>VÄSTERNORRLANDS LÄN</t>
        </is>
      </c>
      <c r="E7164" t="inlineStr">
        <is>
          <t>SOLLEFTEÅ</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15244-2026</t>
        </is>
      </c>
      <c r="B7165" s="1" t="n">
        <v>46105.56627314815</v>
      </c>
      <c r="C7165" s="1" t="n">
        <v>46185</v>
      </c>
      <c r="D7165" t="inlineStr">
        <is>
          <t>VÄSTERNORRLANDS LÄN</t>
        </is>
      </c>
      <c r="E7165" t="inlineStr">
        <is>
          <t>SOLLEFTEÅ</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21023-2026</t>
        </is>
      </c>
      <c r="B7166" s="1" t="n">
        <v>46145.52515046296</v>
      </c>
      <c r="C7166" s="1" t="n">
        <v>46185</v>
      </c>
      <c r="D7166" t="inlineStr">
        <is>
          <t>VÄSTERNORRLANDS LÄN</t>
        </is>
      </c>
      <c r="E7166" t="inlineStr">
        <is>
          <t>ÖRNSKÖLDSVIK</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15004-2026</t>
        </is>
      </c>
      <c r="B7167" s="1" t="n">
        <v>46104.60969907408</v>
      </c>
      <c r="C7167" s="1" t="n">
        <v>46185</v>
      </c>
      <c r="D7167" t="inlineStr">
        <is>
          <t>VÄSTERNORRLANDS LÄN</t>
        </is>
      </c>
      <c r="E7167" t="inlineStr">
        <is>
          <t>KRAMFORS</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21166-2026</t>
        </is>
      </c>
      <c r="B7168" s="1" t="n">
        <v>46146.59707175926</v>
      </c>
      <c r="C7168" s="1" t="n">
        <v>46185</v>
      </c>
      <c r="D7168" t="inlineStr">
        <is>
          <t>VÄSTERNORRLANDS LÄN</t>
        </is>
      </c>
      <c r="E7168" t="inlineStr">
        <is>
          <t>ÖRNSKÖLDSVIK</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10201-2024</t>
        </is>
      </c>
      <c r="B7169" s="1" t="n">
        <v>45364.92842592593</v>
      </c>
      <c r="C7169" s="1" t="n">
        <v>46185</v>
      </c>
      <c r="D7169" t="inlineStr">
        <is>
          <t>VÄSTERNORRLANDS LÄN</t>
        </is>
      </c>
      <c r="E7169" t="inlineStr">
        <is>
          <t>SUNDSVALL</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21358-2026</t>
        </is>
      </c>
      <c r="B7170" s="1" t="n">
        <v>46147.63601851852</v>
      </c>
      <c r="C7170" s="1" t="n">
        <v>46185</v>
      </c>
      <c r="D7170" t="inlineStr">
        <is>
          <t>VÄSTERNORRLANDS LÄN</t>
        </is>
      </c>
      <c r="E7170" t="inlineStr">
        <is>
          <t>SOLLEFTEÅ</t>
        </is>
      </c>
      <c r="F7170" t="inlineStr">
        <is>
          <t>SCA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56110-2023</t>
        </is>
      </c>
      <c r="B7171" s="1" t="n">
        <v>45240.55074074074</v>
      </c>
      <c r="C7171" s="1" t="n">
        <v>46185</v>
      </c>
      <c r="D7171" t="inlineStr">
        <is>
          <t>VÄSTERNORRLANDS LÄN</t>
        </is>
      </c>
      <c r="E7171" t="inlineStr">
        <is>
          <t>KRAMFORS</t>
        </is>
      </c>
      <c r="G7171" t="n">
        <v>9.9</v>
      </c>
      <c r="H7171" t="n">
        <v>0</v>
      </c>
      <c r="I7171" t="n">
        <v>0</v>
      </c>
      <c r="J7171" t="n">
        <v>0</v>
      </c>
      <c r="K7171" t="n">
        <v>0</v>
      </c>
      <c r="L7171" t="n">
        <v>0</v>
      </c>
      <c r="M7171" t="n">
        <v>0</v>
      </c>
      <c r="N7171" t="n">
        <v>0</v>
      </c>
      <c r="O7171" t="n">
        <v>0</v>
      </c>
      <c r="P7171" t="n">
        <v>0</v>
      </c>
      <c r="Q7171" t="n">
        <v>0</v>
      </c>
      <c r="R7171" s="2" t="inlineStr"/>
    </row>
    <row r="7172" ht="15" customHeight="1">
      <c r="A7172" t="inlineStr">
        <is>
          <t>A 45150-2023</t>
        </is>
      </c>
      <c r="B7172" s="1" t="n">
        <v>45191</v>
      </c>
      <c r="C7172" s="1" t="n">
        <v>46185</v>
      </c>
      <c r="D7172" t="inlineStr">
        <is>
          <t>VÄSTERNORRLANDS LÄN</t>
        </is>
      </c>
      <c r="E7172" t="inlineStr">
        <is>
          <t>SUNDSVALL</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21283-2026</t>
        </is>
      </c>
      <c r="B7173" s="1" t="n">
        <v>46147.44880787037</v>
      </c>
      <c r="C7173" s="1" t="n">
        <v>46185</v>
      </c>
      <c r="D7173" t="inlineStr">
        <is>
          <t>VÄSTERNORRLANDS LÄN</t>
        </is>
      </c>
      <c r="E7173" t="inlineStr">
        <is>
          <t>SUNDSVALL</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55760-2024</t>
        </is>
      </c>
      <c r="B7174" s="1" t="n">
        <v>45623.36486111111</v>
      </c>
      <c r="C7174" s="1" t="n">
        <v>46185</v>
      </c>
      <c r="D7174" t="inlineStr">
        <is>
          <t>VÄSTERNORRLANDS LÄN</t>
        </is>
      </c>
      <c r="E7174" t="inlineStr">
        <is>
          <t>KRAMFORS</t>
        </is>
      </c>
      <c r="F7174" t="inlineStr">
        <is>
          <t>SCA</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15271-2026</t>
        </is>
      </c>
      <c r="B7175" s="1" t="n">
        <v>46105.5997337963</v>
      </c>
      <c r="C7175" s="1" t="n">
        <v>46185</v>
      </c>
      <c r="D7175" t="inlineStr">
        <is>
          <t>VÄSTERNORRLANDS LÄN</t>
        </is>
      </c>
      <c r="E7175" t="inlineStr">
        <is>
          <t>SUNDSVALL</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15273-2026</t>
        </is>
      </c>
      <c r="B7176" s="1" t="n">
        <v>46105.60079861111</v>
      </c>
      <c r="C7176" s="1" t="n">
        <v>46185</v>
      </c>
      <c r="D7176" t="inlineStr">
        <is>
          <t>VÄSTERNORRLANDS LÄN</t>
        </is>
      </c>
      <c r="E7176" t="inlineStr">
        <is>
          <t>SUNDSVALL</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52939-2023</t>
        </is>
      </c>
      <c r="B7177" s="1" t="n">
        <v>45222</v>
      </c>
      <c r="C7177" s="1" t="n">
        <v>46185</v>
      </c>
      <c r="D7177" t="inlineStr">
        <is>
          <t>VÄSTERNORRLANDS LÄN</t>
        </is>
      </c>
      <c r="E7177" t="inlineStr">
        <is>
          <t>SUNDSVALL</t>
        </is>
      </c>
      <c r="G7177" t="n">
        <v>0.2</v>
      </c>
      <c r="H7177" t="n">
        <v>0</v>
      </c>
      <c r="I7177" t="n">
        <v>0</v>
      </c>
      <c r="J7177" t="n">
        <v>0</v>
      </c>
      <c r="K7177" t="n">
        <v>0</v>
      </c>
      <c r="L7177" t="n">
        <v>0</v>
      </c>
      <c r="M7177" t="n">
        <v>0</v>
      </c>
      <c r="N7177" t="n">
        <v>0</v>
      </c>
      <c r="O7177" t="n">
        <v>0</v>
      </c>
      <c r="P7177" t="n">
        <v>0</v>
      </c>
      <c r="Q7177" t="n">
        <v>0</v>
      </c>
      <c r="R7177" s="2" t="inlineStr"/>
    </row>
    <row r="7178" ht="15" customHeight="1">
      <c r="A7178" t="inlineStr">
        <is>
          <t>A 41222-2024</t>
        </is>
      </c>
      <c r="B7178" s="1" t="n">
        <v>45559.55306712963</v>
      </c>
      <c r="C7178" s="1" t="n">
        <v>46185</v>
      </c>
      <c r="D7178" t="inlineStr">
        <is>
          <t>VÄSTERNORRLANDS LÄN</t>
        </is>
      </c>
      <c r="E7178" t="inlineStr">
        <is>
          <t>ÅNGE</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53939-2023</t>
        </is>
      </c>
      <c r="B7179" s="1" t="n">
        <v>45224</v>
      </c>
      <c r="C7179" s="1" t="n">
        <v>46185</v>
      </c>
      <c r="D7179" t="inlineStr">
        <is>
          <t>VÄSTERNORRLANDS LÄN</t>
        </is>
      </c>
      <c r="E7179" t="inlineStr">
        <is>
          <t>SOLLEFTEÅ</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21053-2026</t>
        </is>
      </c>
      <c r="B7180" s="1" t="n">
        <v>46146</v>
      </c>
      <c r="C7180" s="1" t="n">
        <v>46185</v>
      </c>
      <c r="D7180" t="inlineStr">
        <is>
          <t>VÄSTERNORRLANDS LÄN</t>
        </is>
      </c>
      <c r="E7180" t="inlineStr">
        <is>
          <t>KRAMFORS</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21074-2026</t>
        </is>
      </c>
      <c r="B7181" s="1" t="n">
        <v>46146.41162037037</v>
      </c>
      <c r="C7181" s="1" t="n">
        <v>46185</v>
      </c>
      <c r="D7181" t="inlineStr">
        <is>
          <t>VÄSTERNORRLANDS LÄN</t>
        </is>
      </c>
      <c r="E7181" t="inlineStr">
        <is>
          <t>KRAMFORS</t>
        </is>
      </c>
      <c r="G7181" t="n">
        <v>8.199999999999999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52261-2024</t>
        </is>
      </c>
      <c r="B7182" s="1" t="n">
        <v>45608</v>
      </c>
      <c r="C7182" s="1" t="n">
        <v>46185</v>
      </c>
      <c r="D7182" t="inlineStr">
        <is>
          <t>VÄSTERNORRLANDS LÄN</t>
        </is>
      </c>
      <c r="E7182" t="inlineStr">
        <is>
          <t>ÖRNSKÖLDSVIK</t>
        </is>
      </c>
      <c r="G7182" t="n">
        <v>0.3</v>
      </c>
      <c r="H7182" t="n">
        <v>0</v>
      </c>
      <c r="I7182" t="n">
        <v>0</v>
      </c>
      <c r="J7182" t="n">
        <v>0</v>
      </c>
      <c r="K7182" t="n">
        <v>0</v>
      </c>
      <c r="L7182" t="n">
        <v>0</v>
      </c>
      <c r="M7182" t="n">
        <v>0</v>
      </c>
      <c r="N7182" t="n">
        <v>0</v>
      </c>
      <c r="O7182" t="n">
        <v>0</v>
      </c>
      <c r="P7182" t="n">
        <v>0</v>
      </c>
      <c r="Q7182" t="n">
        <v>0</v>
      </c>
      <c r="R7182" s="2" t="inlineStr"/>
    </row>
    <row r="7183" ht="15" customHeight="1">
      <c r="A7183" t="inlineStr">
        <is>
          <t>A 14995-2026</t>
        </is>
      </c>
      <c r="B7183" s="1" t="n">
        <v>46104.59383101852</v>
      </c>
      <c r="C7183" s="1" t="n">
        <v>46185</v>
      </c>
      <c r="D7183" t="inlineStr">
        <is>
          <t>VÄSTERNORRLANDS LÄN</t>
        </is>
      </c>
      <c r="E7183" t="inlineStr">
        <is>
          <t>KRAMFORS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52471-2024</t>
        </is>
      </c>
      <c r="B7184" s="1" t="n">
        <v>45609.53076388889</v>
      </c>
      <c r="C7184" s="1" t="n">
        <v>46185</v>
      </c>
      <c r="D7184" t="inlineStr">
        <is>
          <t>VÄSTERNORRLANDS LÄN</t>
        </is>
      </c>
      <c r="E7184" t="inlineStr">
        <is>
          <t>SOLLEFTEÅ</t>
        </is>
      </c>
      <c r="G7184" t="n">
        <v>6.6</v>
      </c>
      <c r="H7184" t="n">
        <v>0</v>
      </c>
      <c r="I7184" t="n">
        <v>0</v>
      </c>
      <c r="J7184" t="n">
        <v>0</v>
      </c>
      <c r="K7184" t="n">
        <v>0</v>
      </c>
      <c r="L7184" t="n">
        <v>0</v>
      </c>
      <c r="M7184" t="n">
        <v>0</v>
      </c>
      <c r="N7184" t="n">
        <v>0</v>
      </c>
      <c r="O7184" t="n">
        <v>0</v>
      </c>
      <c r="P7184" t="n">
        <v>0</v>
      </c>
      <c r="Q7184" t="n">
        <v>0</v>
      </c>
      <c r="R7184" s="2" t="inlineStr"/>
    </row>
    <row r="7185" ht="15" customHeight="1">
      <c r="A7185" t="inlineStr">
        <is>
          <t>A 9310-2024</t>
        </is>
      </c>
      <c r="B7185" s="1" t="n">
        <v>45358</v>
      </c>
      <c r="C7185" s="1" t="n">
        <v>46185</v>
      </c>
      <c r="D7185" t="inlineStr">
        <is>
          <t>VÄSTERNORRLANDS LÄN</t>
        </is>
      </c>
      <c r="E7185" t="inlineStr">
        <is>
          <t>SUNDSVALL</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15008-2026</t>
        </is>
      </c>
      <c r="B7186" s="1" t="n">
        <v>46104.61503472222</v>
      </c>
      <c r="C7186" s="1" t="n">
        <v>46185</v>
      </c>
      <c r="D7186" t="inlineStr">
        <is>
          <t>VÄSTERNORRLANDS LÄN</t>
        </is>
      </c>
      <c r="E7186" t="inlineStr">
        <is>
          <t>SUNDSVALL</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46319-2022</t>
        </is>
      </c>
      <c r="B7187" s="1" t="n">
        <v>44847</v>
      </c>
      <c r="C7187" s="1" t="n">
        <v>46185</v>
      </c>
      <c r="D7187" t="inlineStr">
        <is>
          <t>VÄSTERNORRLANDS LÄN</t>
        </is>
      </c>
      <c r="E7187" t="inlineStr">
        <is>
          <t>HÄRNÖSAND</t>
        </is>
      </c>
      <c r="F7187" t="inlineStr">
        <is>
          <t>Kyrkan</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44865-2024</t>
        </is>
      </c>
      <c r="B7188" s="1" t="n">
        <v>45575.32356481482</v>
      </c>
      <c r="C7188" s="1" t="n">
        <v>46185</v>
      </c>
      <c r="D7188" t="inlineStr">
        <is>
          <t>VÄSTERNORRLANDS LÄN</t>
        </is>
      </c>
      <c r="E7188" t="inlineStr">
        <is>
          <t>ÖRNSKÖLDSVIK</t>
        </is>
      </c>
      <c r="F7188" t="inlineStr">
        <is>
          <t>Holmen skog AB</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14936-2026</t>
        </is>
      </c>
      <c r="B7189" s="1" t="n">
        <v>46104</v>
      </c>
      <c r="C7189" s="1" t="n">
        <v>46185</v>
      </c>
      <c r="D7189" t="inlineStr">
        <is>
          <t>VÄSTERNORRLANDS LÄN</t>
        </is>
      </c>
      <c r="E7189" t="inlineStr">
        <is>
          <t>HÄRNÖSAND</t>
        </is>
      </c>
      <c r="G7189" t="n">
        <v>4.8</v>
      </c>
      <c r="H7189" t="n">
        <v>0</v>
      </c>
      <c r="I7189" t="n">
        <v>0</v>
      </c>
      <c r="J7189" t="n">
        <v>0</v>
      </c>
      <c r="K7189" t="n">
        <v>0</v>
      </c>
      <c r="L7189" t="n">
        <v>0</v>
      </c>
      <c r="M7189" t="n">
        <v>0</v>
      </c>
      <c r="N7189" t="n">
        <v>0</v>
      </c>
      <c r="O7189" t="n">
        <v>0</v>
      </c>
      <c r="P7189" t="n">
        <v>0</v>
      </c>
      <c r="Q7189" t="n">
        <v>0</v>
      </c>
      <c r="R7189" s="2" t="inlineStr"/>
    </row>
    <row r="7190" ht="15" customHeight="1">
      <c r="A7190" t="inlineStr">
        <is>
          <t>A 13091-2024</t>
        </is>
      </c>
      <c r="B7190" s="1" t="n">
        <v>45385</v>
      </c>
      <c r="C7190" s="1" t="n">
        <v>46185</v>
      </c>
      <c r="D7190" t="inlineStr">
        <is>
          <t>VÄSTERNORRLANDS LÄN</t>
        </is>
      </c>
      <c r="E7190" t="inlineStr">
        <is>
          <t>ÅNGE</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3425-2023</t>
        </is>
      </c>
      <c r="B7191" s="1" t="n">
        <v>44946</v>
      </c>
      <c r="C7191" s="1" t="n">
        <v>46185</v>
      </c>
      <c r="D7191" t="inlineStr">
        <is>
          <t>VÄSTERNORRLANDS LÄN</t>
        </is>
      </c>
      <c r="E7191" t="inlineStr">
        <is>
          <t>KRAMFORS</t>
        </is>
      </c>
      <c r="G7191" t="n">
        <v>6.9</v>
      </c>
      <c r="H7191" t="n">
        <v>0</v>
      </c>
      <c r="I7191" t="n">
        <v>0</v>
      </c>
      <c r="J7191" t="n">
        <v>0</v>
      </c>
      <c r="K7191" t="n">
        <v>0</v>
      </c>
      <c r="L7191" t="n">
        <v>0</v>
      </c>
      <c r="M7191" t="n">
        <v>0</v>
      </c>
      <c r="N7191" t="n">
        <v>0</v>
      </c>
      <c r="O7191" t="n">
        <v>0</v>
      </c>
      <c r="P7191" t="n">
        <v>0</v>
      </c>
      <c r="Q7191" t="n">
        <v>0</v>
      </c>
      <c r="R7191" s="2" t="inlineStr"/>
    </row>
    <row r="7192" ht="15" customHeight="1">
      <c r="A7192" t="inlineStr">
        <is>
          <t>A 21016-2026</t>
        </is>
      </c>
      <c r="B7192" s="1" t="n">
        <v>46143</v>
      </c>
      <c r="C7192" s="1" t="n">
        <v>46185</v>
      </c>
      <c r="D7192" t="inlineStr">
        <is>
          <t>VÄSTERNORRLANDS LÄN</t>
        </is>
      </c>
      <c r="E7192" t="inlineStr">
        <is>
          <t>SUNDSVALL</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14963-2023</t>
        </is>
      </c>
      <c r="B7193" s="1" t="n">
        <v>45015</v>
      </c>
      <c r="C7193" s="1" t="n">
        <v>46185</v>
      </c>
      <c r="D7193" t="inlineStr">
        <is>
          <t>VÄSTERNORRLANDS LÄN</t>
        </is>
      </c>
      <c r="E7193" t="inlineStr">
        <is>
          <t>ÖRNSKÖLDSVIK</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3624-2024</t>
        </is>
      </c>
      <c r="B7194" s="1" t="n">
        <v>45320.95305555555</v>
      </c>
      <c r="C7194" s="1" t="n">
        <v>46185</v>
      </c>
      <c r="D7194" t="inlineStr">
        <is>
          <t>VÄSTERNORRLANDS LÄN</t>
        </is>
      </c>
      <c r="E7194" t="inlineStr">
        <is>
          <t>ÅNGE</t>
        </is>
      </c>
      <c r="F7194" t="inlineStr">
        <is>
          <t>SCA</t>
        </is>
      </c>
      <c r="G7194" t="n">
        <v>5</v>
      </c>
      <c r="H7194" t="n">
        <v>0</v>
      </c>
      <c r="I7194" t="n">
        <v>0</v>
      </c>
      <c r="J7194" t="n">
        <v>0</v>
      </c>
      <c r="K7194" t="n">
        <v>0</v>
      </c>
      <c r="L7194" t="n">
        <v>0</v>
      </c>
      <c r="M7194" t="n">
        <v>0</v>
      </c>
      <c r="N7194" t="n">
        <v>0</v>
      </c>
      <c r="O7194" t="n">
        <v>0</v>
      </c>
      <c r="P7194" t="n">
        <v>0</v>
      </c>
      <c r="Q7194" t="n">
        <v>0</v>
      </c>
      <c r="R7194" s="2" t="inlineStr"/>
    </row>
    <row r="7195" ht="15" customHeight="1">
      <c r="A7195" t="inlineStr">
        <is>
          <t>A 14826-2026</t>
        </is>
      </c>
      <c r="B7195" s="1" t="n">
        <v>46104</v>
      </c>
      <c r="C7195" s="1" t="n">
        <v>46185</v>
      </c>
      <c r="D7195" t="inlineStr">
        <is>
          <t>VÄSTERNORRLANDS LÄN</t>
        </is>
      </c>
      <c r="E7195" t="inlineStr">
        <is>
          <t>SUNDSVALL</t>
        </is>
      </c>
      <c r="F7195" t="inlineStr">
        <is>
          <t>SCA</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14154-2024</t>
        </is>
      </c>
      <c r="B7196" s="1" t="n">
        <v>45392.92877314815</v>
      </c>
      <c r="C7196" s="1" t="n">
        <v>46185</v>
      </c>
      <c r="D7196" t="inlineStr">
        <is>
          <t>VÄSTERNORRLANDS LÄN</t>
        </is>
      </c>
      <c r="E7196" t="inlineStr">
        <is>
          <t>SUNDSVALL</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1127-2023</t>
        </is>
      </c>
      <c r="B7197" s="1" t="n">
        <v>44929</v>
      </c>
      <c r="C7197" s="1" t="n">
        <v>46185</v>
      </c>
      <c r="D7197" t="inlineStr">
        <is>
          <t>VÄSTERNORRLANDS LÄN</t>
        </is>
      </c>
      <c r="E7197" t="inlineStr">
        <is>
          <t>ÅNGE</t>
        </is>
      </c>
      <c r="G7197" t="n">
        <v>10.5</v>
      </c>
      <c r="H7197" t="n">
        <v>0</v>
      </c>
      <c r="I7197" t="n">
        <v>0</v>
      </c>
      <c r="J7197" t="n">
        <v>0</v>
      </c>
      <c r="K7197" t="n">
        <v>0</v>
      </c>
      <c r="L7197" t="n">
        <v>0</v>
      </c>
      <c r="M7197" t="n">
        <v>0</v>
      </c>
      <c r="N7197" t="n">
        <v>0</v>
      </c>
      <c r="O7197" t="n">
        <v>0</v>
      </c>
      <c r="P7197" t="n">
        <v>0</v>
      </c>
      <c r="Q7197" t="n">
        <v>0</v>
      </c>
      <c r="R7197" s="2" t="inlineStr"/>
    </row>
    <row r="7198" ht="15" customHeight="1">
      <c r="A7198" t="inlineStr">
        <is>
          <t>A 62544-2021</t>
        </is>
      </c>
      <c r="B7198" s="1" t="n">
        <v>44503.6136574074</v>
      </c>
      <c r="C7198" s="1" t="n">
        <v>46185</v>
      </c>
      <c r="D7198" t="inlineStr">
        <is>
          <t>VÄSTERNORRLANDS LÄN</t>
        </is>
      </c>
      <c r="E7198" t="inlineStr">
        <is>
          <t>ÖRNSKÖLDSVIK</t>
        </is>
      </c>
      <c r="F7198" t="inlineStr">
        <is>
          <t>Holmen skog AB</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15269-2026</t>
        </is>
      </c>
      <c r="B7199" s="1" t="n">
        <v>46105.59862268518</v>
      </c>
      <c r="C7199" s="1" t="n">
        <v>46185</v>
      </c>
      <c r="D7199" t="inlineStr">
        <is>
          <t>VÄSTERNORRLANDS LÄN</t>
        </is>
      </c>
      <c r="E7199" t="inlineStr">
        <is>
          <t>SUNDSVALL</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4601-2023</t>
        </is>
      </c>
      <c r="B7200" s="1" t="n">
        <v>44956</v>
      </c>
      <c r="C7200" s="1" t="n">
        <v>46185</v>
      </c>
      <c r="D7200" t="inlineStr">
        <is>
          <t>VÄSTERNORRLANDS LÄN</t>
        </is>
      </c>
      <c r="E7200" t="inlineStr">
        <is>
          <t>KRAMFORS</t>
        </is>
      </c>
      <c r="G7200" t="n">
        <v>8.4</v>
      </c>
      <c r="H7200" t="n">
        <v>0</v>
      </c>
      <c r="I7200" t="n">
        <v>0</v>
      </c>
      <c r="J7200" t="n">
        <v>0</v>
      </c>
      <c r="K7200" t="n">
        <v>0</v>
      </c>
      <c r="L7200" t="n">
        <v>0</v>
      </c>
      <c r="M7200" t="n">
        <v>0</v>
      </c>
      <c r="N7200" t="n">
        <v>0</v>
      </c>
      <c r="O7200" t="n">
        <v>0</v>
      </c>
      <c r="P7200" t="n">
        <v>0</v>
      </c>
      <c r="Q7200" t="n">
        <v>0</v>
      </c>
      <c r="R7200" s="2" t="inlineStr"/>
    </row>
    <row r="7201" ht="15" customHeight="1">
      <c r="A7201" t="inlineStr">
        <is>
          <t>A 4602-2023</t>
        </is>
      </c>
      <c r="B7201" s="1" t="n">
        <v>44956</v>
      </c>
      <c r="C7201" s="1" t="n">
        <v>46185</v>
      </c>
      <c r="D7201" t="inlineStr">
        <is>
          <t>VÄSTERNORRLANDS LÄN</t>
        </is>
      </c>
      <c r="E7201" t="inlineStr">
        <is>
          <t>KRAMFORS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60011-2023</t>
        </is>
      </c>
      <c r="B7202" s="1" t="n">
        <v>45257</v>
      </c>
      <c r="C7202" s="1" t="n">
        <v>46185</v>
      </c>
      <c r="D7202" t="inlineStr">
        <is>
          <t>VÄSTERNORRLANDS LÄN</t>
        </is>
      </c>
      <c r="E7202" t="inlineStr">
        <is>
          <t>TIMRÅ</t>
        </is>
      </c>
      <c r="F7202" t="inlineStr">
        <is>
          <t>SCA</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15352-2026</t>
        </is>
      </c>
      <c r="B7203" s="1" t="n">
        <v>46105.69912037037</v>
      </c>
      <c r="C7203" s="1" t="n">
        <v>46185</v>
      </c>
      <c r="D7203" t="inlineStr">
        <is>
          <t>VÄSTERNORRLANDS LÄN</t>
        </is>
      </c>
      <c r="E7203" t="inlineStr">
        <is>
          <t>SUNDSVALL</t>
        </is>
      </c>
      <c r="F7203" t="inlineStr">
        <is>
          <t>SCA</t>
        </is>
      </c>
      <c r="G7203" t="n">
        <v>9</v>
      </c>
      <c r="H7203" t="n">
        <v>0</v>
      </c>
      <c r="I7203" t="n">
        <v>0</v>
      </c>
      <c r="J7203" t="n">
        <v>0</v>
      </c>
      <c r="K7203" t="n">
        <v>0</v>
      </c>
      <c r="L7203" t="n">
        <v>0</v>
      </c>
      <c r="M7203" t="n">
        <v>0</v>
      </c>
      <c r="N7203" t="n">
        <v>0</v>
      </c>
      <c r="O7203" t="n">
        <v>0</v>
      </c>
      <c r="P7203" t="n">
        <v>0</v>
      </c>
      <c r="Q7203" t="n">
        <v>0</v>
      </c>
      <c r="R7203" s="2" t="inlineStr"/>
    </row>
    <row r="7204" ht="15" customHeight="1">
      <c r="A7204" t="inlineStr">
        <is>
          <t>A 8408-2024</t>
        </is>
      </c>
      <c r="B7204" s="1" t="n">
        <v>45352</v>
      </c>
      <c r="C7204" s="1" t="n">
        <v>46185</v>
      </c>
      <c r="D7204" t="inlineStr">
        <is>
          <t>VÄSTERNORRLANDS LÄN</t>
        </is>
      </c>
      <c r="E7204" t="inlineStr">
        <is>
          <t>HÄRNÖSAND</t>
        </is>
      </c>
      <c r="F7204" t="inlineStr">
        <is>
          <t>SCA</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8414-2024</t>
        </is>
      </c>
      <c r="B7205" s="1" t="n">
        <v>45352</v>
      </c>
      <c r="C7205" s="1" t="n">
        <v>46185</v>
      </c>
      <c r="D7205" t="inlineStr">
        <is>
          <t>VÄSTERNORRLANDS LÄN</t>
        </is>
      </c>
      <c r="E7205" t="inlineStr">
        <is>
          <t>SOLLEFTEÅ</t>
        </is>
      </c>
      <c r="F7205" t="inlineStr">
        <is>
          <t>SCA</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21024-2026</t>
        </is>
      </c>
      <c r="B7206" s="1" t="n">
        <v>46145.52741898148</v>
      </c>
      <c r="C7206" s="1" t="n">
        <v>46185</v>
      </c>
      <c r="D7206" t="inlineStr">
        <is>
          <t>VÄSTERNORRLANDS LÄN</t>
        </is>
      </c>
      <c r="E7206" t="inlineStr">
        <is>
          <t>ÖRNSKÖLDSVIK</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21037-2026</t>
        </is>
      </c>
      <c r="B7207" s="1" t="n">
        <v>46146.34826388889</v>
      </c>
      <c r="C7207" s="1" t="n">
        <v>46185</v>
      </c>
      <c r="D7207" t="inlineStr">
        <is>
          <t>VÄSTERNORRLANDS LÄN</t>
        </is>
      </c>
      <c r="E7207" t="inlineStr">
        <is>
          <t>KRAMFORS</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47966-2024</t>
        </is>
      </c>
      <c r="B7208" s="1" t="n">
        <v>45589.38642361111</v>
      </c>
      <c r="C7208" s="1" t="n">
        <v>46185</v>
      </c>
      <c r="D7208" t="inlineStr">
        <is>
          <t>VÄSTERNORRLANDS LÄN</t>
        </is>
      </c>
      <c r="E7208" t="inlineStr">
        <is>
          <t>KRAMFORS</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55528-2022</t>
        </is>
      </c>
      <c r="B7209" s="1" t="n">
        <v>44887</v>
      </c>
      <c r="C7209" s="1" t="n">
        <v>46185</v>
      </c>
      <c r="D7209" t="inlineStr">
        <is>
          <t>VÄSTERNORRLANDS LÄN</t>
        </is>
      </c>
      <c r="E7209" t="inlineStr">
        <is>
          <t>SUNDSVALL</t>
        </is>
      </c>
      <c r="F7209" t="inlineStr">
        <is>
          <t>SCA</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59928-2023</t>
        </is>
      </c>
      <c r="B7210" s="1" t="n">
        <v>45254</v>
      </c>
      <c r="C7210" s="1" t="n">
        <v>46185</v>
      </c>
      <c r="D7210" t="inlineStr">
        <is>
          <t>VÄSTERNORRLANDS LÄN</t>
        </is>
      </c>
      <c r="E7210" t="inlineStr">
        <is>
          <t>SUNDSVALL</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15160-2026</t>
        </is>
      </c>
      <c r="B7211" s="1" t="n">
        <v>46105</v>
      </c>
      <c r="C7211" s="1" t="n">
        <v>46185</v>
      </c>
      <c r="D7211" t="inlineStr">
        <is>
          <t>VÄSTERNORRLANDS LÄN</t>
        </is>
      </c>
      <c r="E7211" t="inlineStr">
        <is>
          <t>HÄRNÖSAND</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15192-2026</t>
        </is>
      </c>
      <c r="B7212" s="1" t="n">
        <v>46105.47292824074</v>
      </c>
      <c r="C7212" s="1" t="n">
        <v>46185</v>
      </c>
      <c r="D7212" t="inlineStr">
        <is>
          <t>VÄSTERNORRLANDS LÄN</t>
        </is>
      </c>
      <c r="E7212" t="inlineStr">
        <is>
          <t>HÄRNÖSAND</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15215-2026</t>
        </is>
      </c>
      <c r="B7213" s="1" t="n">
        <v>46105.51206018519</v>
      </c>
      <c r="C7213" s="1" t="n">
        <v>46185</v>
      </c>
      <c r="D7213" t="inlineStr">
        <is>
          <t>VÄSTERNORRLANDS LÄN</t>
        </is>
      </c>
      <c r="E7213" t="inlineStr">
        <is>
          <t>ÖRNSKÖLDSVIK</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15287-2026</t>
        </is>
      </c>
      <c r="B7214" s="1" t="n">
        <v>46105.62003472223</v>
      </c>
      <c r="C7214" s="1" t="n">
        <v>46185</v>
      </c>
      <c r="D7214" t="inlineStr">
        <is>
          <t>VÄSTERNORRLANDS LÄN</t>
        </is>
      </c>
      <c r="E7214" t="inlineStr">
        <is>
          <t>SUNDSVALL</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21181-2026</t>
        </is>
      </c>
      <c r="B7215" s="1" t="n">
        <v>46146.63381944445</v>
      </c>
      <c r="C7215" s="1" t="n">
        <v>46185</v>
      </c>
      <c r="D7215" t="inlineStr">
        <is>
          <t>VÄSTERNORRLANDS LÄN</t>
        </is>
      </c>
      <c r="E7215" t="inlineStr">
        <is>
          <t>SOLLEFTEÅ</t>
        </is>
      </c>
      <c r="G7215" t="n">
        <v>5</v>
      </c>
      <c r="H7215" t="n">
        <v>0</v>
      </c>
      <c r="I7215" t="n">
        <v>0</v>
      </c>
      <c r="J7215" t="n">
        <v>0</v>
      </c>
      <c r="K7215" t="n">
        <v>0</v>
      </c>
      <c r="L7215" t="n">
        <v>0</v>
      </c>
      <c r="M7215" t="n">
        <v>0</v>
      </c>
      <c r="N7215" t="n">
        <v>0</v>
      </c>
      <c r="O7215" t="n">
        <v>0</v>
      </c>
      <c r="P7215" t="n">
        <v>0</v>
      </c>
      <c r="Q7215" t="n">
        <v>0</v>
      </c>
      <c r="R7215" s="2" t="inlineStr"/>
    </row>
    <row r="7216" ht="15" customHeight="1">
      <c r="A7216" t="inlineStr">
        <is>
          <t>A 41781-2024</t>
        </is>
      </c>
      <c r="B7216" s="1" t="n">
        <v>45561.34938657407</v>
      </c>
      <c r="C7216" s="1" t="n">
        <v>46185</v>
      </c>
      <c r="D7216" t="inlineStr">
        <is>
          <t>VÄSTERNORRLANDS LÄN</t>
        </is>
      </c>
      <c r="E7216" t="inlineStr">
        <is>
          <t>ÅNGE</t>
        </is>
      </c>
      <c r="F7216" t="inlineStr">
        <is>
          <t>SCA</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15116-2026</t>
        </is>
      </c>
      <c r="B7217" s="1" t="n">
        <v>46105</v>
      </c>
      <c r="C7217" s="1" t="n">
        <v>46185</v>
      </c>
      <c r="D7217" t="inlineStr">
        <is>
          <t>VÄSTERNORRLANDS LÄN</t>
        </is>
      </c>
      <c r="E7217" t="inlineStr">
        <is>
          <t>SUNDSVALL</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15117-2026</t>
        </is>
      </c>
      <c r="B7218" s="1" t="n">
        <v>46105.3650462963</v>
      </c>
      <c r="C7218" s="1" t="n">
        <v>46185</v>
      </c>
      <c r="D7218" t="inlineStr">
        <is>
          <t>VÄSTERNORRLANDS LÄN</t>
        </is>
      </c>
      <c r="E7218" t="inlineStr">
        <is>
          <t>SUNDSVALL</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58469-2023</t>
        </is>
      </c>
      <c r="B7219" s="1" t="n">
        <v>45250</v>
      </c>
      <c r="C7219" s="1" t="n">
        <v>46185</v>
      </c>
      <c r="D7219" t="inlineStr">
        <is>
          <t>VÄSTERNORRLANDS LÄN</t>
        </is>
      </c>
      <c r="E7219" t="inlineStr">
        <is>
          <t>ÅNGE</t>
        </is>
      </c>
      <c r="F7219" t="inlineStr">
        <is>
          <t>SCA</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28356-2023</t>
        </is>
      </c>
      <c r="B7220" s="1" t="n">
        <v>45099</v>
      </c>
      <c r="C7220" s="1" t="n">
        <v>46185</v>
      </c>
      <c r="D7220" t="inlineStr">
        <is>
          <t>VÄSTERNORRLANDS LÄN</t>
        </is>
      </c>
      <c r="E7220" t="inlineStr">
        <is>
          <t>KRAMFORS</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21383-2026</t>
        </is>
      </c>
      <c r="B7221" s="1" t="n">
        <v>46147.70134259259</v>
      </c>
      <c r="C7221" s="1" t="n">
        <v>46185</v>
      </c>
      <c r="D7221" t="inlineStr">
        <is>
          <t>VÄSTERNORRLANDS LÄN</t>
        </is>
      </c>
      <c r="E7221" t="inlineStr">
        <is>
          <t>SUNDSVALL</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15354-2026</t>
        </is>
      </c>
      <c r="B7222" s="1" t="n">
        <v>46105.69952546297</v>
      </c>
      <c r="C7222" s="1" t="n">
        <v>46185</v>
      </c>
      <c r="D7222" t="inlineStr">
        <is>
          <t>VÄSTERNORRLANDS LÄN</t>
        </is>
      </c>
      <c r="E7222" t="inlineStr">
        <is>
          <t>SUNDSVALL</t>
        </is>
      </c>
      <c r="F7222" t="inlineStr">
        <is>
          <t>SCA</t>
        </is>
      </c>
      <c r="G7222" t="n">
        <v>15.2</v>
      </c>
      <c r="H7222" t="n">
        <v>0</v>
      </c>
      <c r="I7222" t="n">
        <v>0</v>
      </c>
      <c r="J7222" t="n">
        <v>0</v>
      </c>
      <c r="K7222" t="n">
        <v>0</v>
      </c>
      <c r="L7222" t="n">
        <v>0</v>
      </c>
      <c r="M7222" t="n">
        <v>0</v>
      </c>
      <c r="N7222" t="n">
        <v>0</v>
      </c>
      <c r="O7222" t="n">
        <v>0</v>
      </c>
      <c r="P7222" t="n">
        <v>0</v>
      </c>
      <c r="Q7222" t="n">
        <v>0</v>
      </c>
      <c r="R7222" s="2" t="inlineStr"/>
    </row>
    <row r="7223" ht="15" customHeight="1">
      <c r="A7223" t="inlineStr">
        <is>
          <t>A 19749-2025</t>
        </is>
      </c>
      <c r="B7223" s="1" t="n">
        <v>45771.38582175926</v>
      </c>
      <c r="C7223" s="1" t="n">
        <v>46185</v>
      </c>
      <c r="D7223" t="inlineStr">
        <is>
          <t>VÄSTERNORRLANDS LÄN</t>
        </is>
      </c>
      <c r="E7223" t="inlineStr">
        <is>
          <t>SOLLEFTEÅ</t>
        </is>
      </c>
      <c r="F7223" t="inlineStr">
        <is>
          <t>SCA</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21259-2026</t>
        </is>
      </c>
      <c r="B7224" s="1" t="n">
        <v>46147.39489583333</v>
      </c>
      <c r="C7224" s="1" t="n">
        <v>46185</v>
      </c>
      <c r="D7224" t="inlineStr">
        <is>
          <t>VÄSTERNORRLANDS LÄN</t>
        </is>
      </c>
      <c r="E7224" t="inlineStr">
        <is>
          <t>SUNDSVALL</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73988-2021</t>
        </is>
      </c>
      <c r="B7225" s="1" t="n">
        <v>44556</v>
      </c>
      <c r="C7225" s="1" t="n">
        <v>46185</v>
      </c>
      <c r="D7225" t="inlineStr">
        <is>
          <t>VÄSTERNORRLANDS LÄN</t>
        </is>
      </c>
      <c r="E7225" t="inlineStr">
        <is>
          <t>KRAMFORS</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21281-2026</t>
        </is>
      </c>
      <c r="B7226" s="1" t="n">
        <v>46147.44849537037</v>
      </c>
      <c r="C7226" s="1" t="n">
        <v>46185</v>
      </c>
      <c r="D7226" t="inlineStr">
        <is>
          <t>VÄSTERNORRLANDS LÄN</t>
        </is>
      </c>
      <c r="E7226" t="inlineStr">
        <is>
          <t>SOLLEFTEÅ</t>
        </is>
      </c>
      <c r="F7226" t="inlineStr">
        <is>
          <t>SCA</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21207-2026</t>
        </is>
      </c>
      <c r="B7227" s="1" t="n">
        <v>46146.66877314815</v>
      </c>
      <c r="C7227" s="1" t="n">
        <v>46185</v>
      </c>
      <c r="D7227" t="inlineStr">
        <is>
          <t>VÄSTERNORRLANDS LÄN</t>
        </is>
      </c>
      <c r="E7227" t="inlineStr">
        <is>
          <t>ÖRNSKÖLDSVIK</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21254-2026</t>
        </is>
      </c>
      <c r="B7228" s="1" t="n">
        <v>46147.38592592593</v>
      </c>
      <c r="C7228" s="1" t="n">
        <v>46185</v>
      </c>
      <c r="D7228" t="inlineStr">
        <is>
          <t>VÄSTERNORRLANDS LÄN</t>
        </is>
      </c>
      <c r="E7228" t="inlineStr">
        <is>
          <t>ÅNGE</t>
        </is>
      </c>
      <c r="F7228" t="inlineStr">
        <is>
          <t>SCA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42098-2024</t>
        </is>
      </c>
      <c r="B7229" s="1" t="n">
        <v>45562.34532407407</v>
      </c>
      <c r="C7229" s="1" t="n">
        <v>46185</v>
      </c>
      <c r="D7229" t="inlineStr">
        <is>
          <t>VÄSTERNORRLANDS LÄN</t>
        </is>
      </c>
      <c r="E7229" t="inlineStr">
        <is>
          <t>ÅNGE</t>
        </is>
      </c>
      <c r="F7229" t="inlineStr">
        <is>
          <t>SCA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11925-2024</t>
        </is>
      </c>
      <c r="B7230" s="1" t="n">
        <v>45376.64160879629</v>
      </c>
      <c r="C7230" s="1" t="n">
        <v>46185</v>
      </c>
      <c r="D7230" t="inlineStr">
        <is>
          <t>VÄSTERNORRLANDS LÄN</t>
        </is>
      </c>
      <c r="E7230" t="inlineStr">
        <is>
          <t>ÖRNSKÖLDSVIK</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28730-2023</t>
        </is>
      </c>
      <c r="B7231" s="1" t="n">
        <v>45103</v>
      </c>
      <c r="C7231" s="1" t="n">
        <v>46185</v>
      </c>
      <c r="D7231" t="inlineStr">
        <is>
          <t>VÄSTERNORRLANDS LÄN</t>
        </is>
      </c>
      <c r="E7231" t="inlineStr">
        <is>
          <t>ÖRNSKÖLDSVIK</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21282-2026</t>
        </is>
      </c>
      <c r="B7232" s="1" t="n">
        <v>46147.44866898148</v>
      </c>
      <c r="C7232" s="1" t="n">
        <v>46185</v>
      </c>
      <c r="D7232" t="inlineStr">
        <is>
          <t>VÄSTERNORRLANDS LÄN</t>
        </is>
      </c>
      <c r="E7232" t="inlineStr">
        <is>
          <t>SUNDSVALL</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14791-2026</t>
        </is>
      </c>
      <c r="B7233" s="1" t="n">
        <v>46101.76064814815</v>
      </c>
      <c r="C7233" s="1" t="n">
        <v>46185</v>
      </c>
      <c r="D7233" t="inlineStr">
        <is>
          <t>VÄSTERNORRLANDS LÄN</t>
        </is>
      </c>
      <c r="E7233" t="inlineStr">
        <is>
          <t>SUNDSVALL</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62827-2023</t>
        </is>
      </c>
      <c r="B7234" s="1" t="n">
        <v>45271.92690972222</v>
      </c>
      <c r="C7234" s="1" t="n">
        <v>46185</v>
      </c>
      <c r="D7234" t="inlineStr">
        <is>
          <t>VÄSTERNORRLANDS LÄN</t>
        </is>
      </c>
      <c r="E7234" t="inlineStr">
        <is>
          <t>SOLLEFTEÅ</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21239-2026</t>
        </is>
      </c>
      <c r="B7235" s="1" t="n">
        <v>46147.33868055556</v>
      </c>
      <c r="C7235" s="1" t="n">
        <v>46185</v>
      </c>
      <c r="D7235" t="inlineStr">
        <is>
          <t>VÄSTERNORRLANDS LÄN</t>
        </is>
      </c>
      <c r="E7235" t="inlineStr">
        <is>
          <t>ÖRNSKÖLDSVIK</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21244-2026</t>
        </is>
      </c>
      <c r="B7236" s="1" t="n">
        <v>46147.36518518518</v>
      </c>
      <c r="C7236" s="1" t="n">
        <v>46185</v>
      </c>
      <c r="D7236" t="inlineStr">
        <is>
          <t>VÄSTERNORRLANDS LÄN</t>
        </is>
      </c>
      <c r="E7236" t="inlineStr">
        <is>
          <t>SOLLEFTEÅ</t>
        </is>
      </c>
      <c r="F7236" t="inlineStr">
        <is>
          <t>SCA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5036-2024</t>
        </is>
      </c>
      <c r="B7237" s="1" t="n">
        <v>45329.87555555555</v>
      </c>
      <c r="C7237" s="1" t="n">
        <v>46185</v>
      </c>
      <c r="D7237" t="inlineStr">
        <is>
          <t>VÄSTERNORRLANDS LÄN</t>
        </is>
      </c>
      <c r="E7237" t="inlineStr">
        <is>
          <t>SOLLEFTEÅ</t>
        </is>
      </c>
      <c r="F7237" t="inlineStr">
        <is>
          <t>Övriga Aktiebolag</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15136-2026</t>
        </is>
      </c>
      <c r="B7238" s="1" t="n">
        <v>46105.38582175926</v>
      </c>
      <c r="C7238" s="1" t="n">
        <v>46185</v>
      </c>
      <c r="D7238" t="inlineStr">
        <is>
          <t>VÄSTERNORRLANDS LÄN</t>
        </is>
      </c>
      <c r="E7238" t="inlineStr">
        <is>
          <t>HÄRNÖSAND</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21258-2026</t>
        </is>
      </c>
      <c r="B7239" s="1" t="n">
        <v>46147.39310185185</v>
      </c>
      <c r="C7239" s="1" t="n">
        <v>46185</v>
      </c>
      <c r="D7239" t="inlineStr">
        <is>
          <t>VÄSTERNORRLANDS LÄN</t>
        </is>
      </c>
      <c r="E7239" t="inlineStr">
        <is>
          <t>SOLLEFTEÅ</t>
        </is>
      </c>
      <c r="F7239" t="inlineStr">
        <is>
          <t>Holmen skog AB</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59576-2023</t>
        </is>
      </c>
      <c r="B7240" s="1" t="n">
        <v>45253</v>
      </c>
      <c r="C7240" s="1" t="n">
        <v>46185</v>
      </c>
      <c r="D7240" t="inlineStr">
        <is>
          <t>VÄSTERNORRLANDS LÄN</t>
        </is>
      </c>
      <c r="E7240" t="inlineStr">
        <is>
          <t>SUNDSVALL</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59583-2023</t>
        </is>
      </c>
      <c r="B7241" s="1" t="n">
        <v>45254.60587962963</v>
      </c>
      <c r="C7241" s="1" t="n">
        <v>46185</v>
      </c>
      <c r="D7241" t="inlineStr">
        <is>
          <t>VÄSTERNORRLANDS LÄN</t>
        </is>
      </c>
      <c r="E7241" t="inlineStr">
        <is>
          <t>SOLLEFTEÅ</t>
        </is>
      </c>
      <c r="F7241" t="inlineStr">
        <is>
          <t>Holmen skog AB</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21296-2026</t>
        </is>
      </c>
      <c r="B7242" s="1" t="n">
        <v>46147.49017361111</v>
      </c>
      <c r="C7242" s="1" t="n">
        <v>46185</v>
      </c>
      <c r="D7242" t="inlineStr">
        <is>
          <t>VÄSTERNORRLANDS LÄN</t>
        </is>
      </c>
      <c r="E7242" t="inlineStr">
        <is>
          <t>TIMRÅ</t>
        </is>
      </c>
      <c r="F7242" t="inlineStr">
        <is>
          <t>SCA</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21297-2026</t>
        </is>
      </c>
      <c r="B7243" s="1" t="n">
        <v>46147.49040509259</v>
      </c>
      <c r="C7243" s="1" t="n">
        <v>46185</v>
      </c>
      <c r="D7243" t="inlineStr">
        <is>
          <t>VÄSTERNORRLANDS LÄN</t>
        </is>
      </c>
      <c r="E7243" t="inlineStr">
        <is>
          <t>SUNDSVALL</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60613-2022</t>
        </is>
      </c>
      <c r="B7244" s="1" t="n">
        <v>44911</v>
      </c>
      <c r="C7244" s="1" t="n">
        <v>46185</v>
      </c>
      <c r="D7244" t="inlineStr">
        <is>
          <t>VÄSTERNORRLANDS LÄN</t>
        </is>
      </c>
      <c r="E7244" t="inlineStr">
        <is>
          <t>SUNDSVALL</t>
        </is>
      </c>
      <c r="F7244" t="inlineStr">
        <is>
          <t>Kyrkan</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14040-2024</t>
        </is>
      </c>
      <c r="B7245" s="1" t="n">
        <v>45392.53799768518</v>
      </c>
      <c r="C7245" s="1" t="n">
        <v>46185</v>
      </c>
      <c r="D7245" t="inlineStr">
        <is>
          <t>VÄSTERNORRLANDS LÄN</t>
        </is>
      </c>
      <c r="E7245" t="inlineStr">
        <is>
          <t>SUNDSVALL</t>
        </is>
      </c>
      <c r="F7245" t="inlineStr">
        <is>
          <t>Holmen skog AB</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33628-2024</t>
        </is>
      </c>
      <c r="B7246" s="1" t="n">
        <v>45520.4302662037</v>
      </c>
      <c r="C7246" s="1" t="n">
        <v>46185</v>
      </c>
      <c r="D7246" t="inlineStr">
        <is>
          <t>VÄSTERNORRLANDS LÄN</t>
        </is>
      </c>
      <c r="E7246" t="inlineStr">
        <is>
          <t>SOLLEFTEÅ</t>
        </is>
      </c>
      <c r="F7246" t="inlineStr">
        <is>
          <t>Holmen skog AB</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21372-2026</t>
        </is>
      </c>
      <c r="B7247" s="1" t="n">
        <v>46147.65688657408</v>
      </c>
      <c r="C7247" s="1" t="n">
        <v>46185</v>
      </c>
      <c r="D7247" t="inlineStr">
        <is>
          <t>VÄSTERNORRLANDS LÄN</t>
        </is>
      </c>
      <c r="E7247" t="inlineStr">
        <is>
          <t>SOLLEFTEÅ</t>
        </is>
      </c>
      <c r="F7247" t="inlineStr">
        <is>
          <t>SCA</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15199-2026</t>
        </is>
      </c>
      <c r="B7248" s="1" t="n">
        <v>46105.47626157408</v>
      </c>
      <c r="C7248" s="1" t="n">
        <v>46185</v>
      </c>
      <c r="D7248" t="inlineStr">
        <is>
          <t>VÄSTERNORRLANDS LÄN</t>
        </is>
      </c>
      <c r="E7248" t="inlineStr">
        <is>
          <t>HÄRNÖSAND</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51760-2024</t>
        </is>
      </c>
      <c r="B7249" s="1" t="n">
        <v>45607.43979166666</v>
      </c>
      <c r="C7249" s="1" t="n">
        <v>46185</v>
      </c>
      <c r="D7249" t="inlineStr">
        <is>
          <t>VÄSTERNORRLANDS LÄN</t>
        </is>
      </c>
      <c r="E7249" t="inlineStr">
        <is>
          <t>ÖRNSKÖLDSVIK</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21304-2026</t>
        </is>
      </c>
      <c r="B7250" s="1" t="n">
        <v>46147.51857638889</v>
      </c>
      <c r="C7250" s="1" t="n">
        <v>46185</v>
      </c>
      <c r="D7250" t="inlineStr">
        <is>
          <t>VÄSTERNORRLANDS LÄN</t>
        </is>
      </c>
      <c r="E7250" t="inlineStr">
        <is>
          <t>TIMRÅ</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21305-2026</t>
        </is>
      </c>
      <c r="B7251" s="1" t="n">
        <v>46147.51979166667</v>
      </c>
      <c r="C7251" s="1" t="n">
        <v>46185</v>
      </c>
      <c r="D7251" t="inlineStr">
        <is>
          <t>VÄSTERNORRLANDS LÄN</t>
        </is>
      </c>
      <c r="E7251" t="inlineStr">
        <is>
          <t>TIMRÅ</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21327-2026</t>
        </is>
      </c>
      <c r="B7252" s="1" t="n">
        <v>46147.56814814815</v>
      </c>
      <c r="C7252" s="1" t="n">
        <v>46185</v>
      </c>
      <c r="D7252" t="inlineStr">
        <is>
          <t>VÄSTERNORRLANDS LÄN</t>
        </is>
      </c>
      <c r="E7252" t="inlineStr">
        <is>
          <t>ÖRNSKÖLDSVIK</t>
        </is>
      </c>
      <c r="F7252" t="inlineStr">
        <is>
          <t>Holmen skog AB</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21025-2026</t>
        </is>
      </c>
      <c r="B7253" s="1" t="n">
        <v>46145.52903935185</v>
      </c>
      <c r="C7253" s="1" t="n">
        <v>46185</v>
      </c>
      <c r="D7253" t="inlineStr">
        <is>
          <t>VÄSTERNORRLANDS LÄN</t>
        </is>
      </c>
      <c r="E7253" t="inlineStr">
        <is>
          <t>ÖRNSKÖLDSVIK</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21198-2026</t>
        </is>
      </c>
      <c r="B7254" s="1" t="n">
        <v>46146.65680555555</v>
      </c>
      <c r="C7254" s="1" t="n">
        <v>46185</v>
      </c>
      <c r="D7254" t="inlineStr">
        <is>
          <t>VÄSTERNORRLANDS LÄN</t>
        </is>
      </c>
      <c r="E7254" t="inlineStr">
        <is>
          <t>SOLLEFTEÅ</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21201-2026</t>
        </is>
      </c>
      <c r="B7255" s="1" t="n">
        <v>46146.65752314815</v>
      </c>
      <c r="C7255" s="1" t="n">
        <v>46185</v>
      </c>
      <c r="D7255" t="inlineStr">
        <is>
          <t>VÄSTERNORRLANDS LÄN</t>
        </is>
      </c>
      <c r="E7255" t="inlineStr">
        <is>
          <t>ÅNGE</t>
        </is>
      </c>
      <c r="F7255" t="inlineStr">
        <is>
          <t>SCA</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4857-2024</t>
        </is>
      </c>
      <c r="B7256" s="1" t="n">
        <v>45329</v>
      </c>
      <c r="C7256" s="1" t="n">
        <v>46185</v>
      </c>
      <c r="D7256" t="inlineStr">
        <is>
          <t>VÄSTERNORRLANDS LÄN</t>
        </is>
      </c>
      <c r="E7256" t="inlineStr">
        <is>
          <t>SOLLEFTEÅ</t>
        </is>
      </c>
      <c r="G7256" t="n">
        <v>8.699999999999999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21351-2026</t>
        </is>
      </c>
      <c r="B7257" s="1" t="n">
        <v>46147.63005787037</v>
      </c>
      <c r="C7257" s="1" t="n">
        <v>46185</v>
      </c>
      <c r="D7257" t="inlineStr">
        <is>
          <t>VÄSTERNORRLANDS LÄN</t>
        </is>
      </c>
      <c r="E7257" t="inlineStr">
        <is>
          <t>ÅNGE</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5070-2024</t>
        </is>
      </c>
      <c r="B7258" s="1" t="n">
        <v>45329</v>
      </c>
      <c r="C7258" s="1" t="n">
        <v>46185</v>
      </c>
      <c r="D7258" t="inlineStr">
        <is>
          <t>VÄSTERNORRLANDS LÄN</t>
        </is>
      </c>
      <c r="E7258" t="inlineStr">
        <is>
          <t>KRAMFORS</t>
        </is>
      </c>
      <c r="G7258" t="n">
        <v>14.4</v>
      </c>
      <c r="H7258" t="n">
        <v>0</v>
      </c>
      <c r="I7258" t="n">
        <v>0</v>
      </c>
      <c r="J7258" t="n">
        <v>0</v>
      </c>
      <c r="K7258" t="n">
        <v>0</v>
      </c>
      <c r="L7258" t="n">
        <v>0</v>
      </c>
      <c r="M7258" t="n">
        <v>0</v>
      </c>
      <c r="N7258" t="n">
        <v>0</v>
      </c>
      <c r="O7258" t="n">
        <v>0</v>
      </c>
      <c r="P7258" t="n">
        <v>0</v>
      </c>
      <c r="Q7258" t="n">
        <v>0</v>
      </c>
      <c r="R7258" s="2" t="inlineStr"/>
    </row>
    <row r="7259" ht="15" customHeight="1">
      <c r="A7259" t="inlineStr">
        <is>
          <t>A 65229-2021</t>
        </is>
      </c>
      <c r="B7259" s="1" t="n">
        <v>44515</v>
      </c>
      <c r="C7259" s="1" t="n">
        <v>46185</v>
      </c>
      <c r="D7259" t="inlineStr">
        <is>
          <t>VÄSTERNORRLANDS LÄN</t>
        </is>
      </c>
      <c r="E7259" t="inlineStr">
        <is>
          <t>ÅNGE</t>
        </is>
      </c>
      <c r="G7259" t="n">
        <v>12.1</v>
      </c>
      <c r="H7259" t="n">
        <v>0</v>
      </c>
      <c r="I7259" t="n">
        <v>0</v>
      </c>
      <c r="J7259" t="n">
        <v>0</v>
      </c>
      <c r="K7259" t="n">
        <v>0</v>
      </c>
      <c r="L7259" t="n">
        <v>0</v>
      </c>
      <c r="M7259" t="n">
        <v>0</v>
      </c>
      <c r="N7259" t="n">
        <v>0</v>
      </c>
      <c r="O7259" t="n">
        <v>0</v>
      </c>
      <c r="P7259" t="n">
        <v>0</v>
      </c>
      <c r="Q7259" t="n">
        <v>0</v>
      </c>
      <c r="R7259" s="2" t="inlineStr"/>
    </row>
    <row r="7260" ht="15" customHeight="1">
      <c r="A7260" t="inlineStr">
        <is>
          <t>A 21359-2026</t>
        </is>
      </c>
      <c r="B7260" s="1" t="n">
        <v>46147.63615740741</v>
      </c>
      <c r="C7260" s="1" t="n">
        <v>46185</v>
      </c>
      <c r="D7260" t="inlineStr">
        <is>
          <t>VÄSTERNORRLANDS LÄN</t>
        </is>
      </c>
      <c r="E7260" t="inlineStr">
        <is>
          <t>KRAMFORS</t>
        </is>
      </c>
      <c r="F7260" t="inlineStr">
        <is>
          <t>SCA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32069-2023</t>
        </is>
      </c>
      <c r="B7261" s="1" t="n">
        <v>45107</v>
      </c>
      <c r="C7261" s="1" t="n">
        <v>46185</v>
      </c>
      <c r="D7261" t="inlineStr">
        <is>
          <t>VÄSTERNORRLANDS LÄN</t>
        </is>
      </c>
      <c r="E7261" t="inlineStr">
        <is>
          <t>ÅNGE</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32070-2023</t>
        </is>
      </c>
      <c r="B7262" s="1" t="n">
        <v>45107</v>
      </c>
      <c r="C7262" s="1" t="n">
        <v>46185</v>
      </c>
      <c r="D7262" t="inlineStr">
        <is>
          <t>VÄSTERNORRLANDS LÄN</t>
        </is>
      </c>
      <c r="E7262" t="inlineStr">
        <is>
          <t>TIMRÅ</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14825-2026</t>
        </is>
      </c>
      <c r="B7263" s="1" t="n">
        <v>46104</v>
      </c>
      <c r="C7263" s="1" t="n">
        <v>46185</v>
      </c>
      <c r="D7263" t="inlineStr">
        <is>
          <t>VÄSTERNORRLANDS LÄN</t>
        </is>
      </c>
      <c r="E7263" t="inlineStr">
        <is>
          <t>SUNDSVALL</t>
        </is>
      </c>
      <c r="F7263" t="inlineStr">
        <is>
          <t>SCA</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14828-2026</t>
        </is>
      </c>
      <c r="B7264" s="1" t="n">
        <v>46104.3653587963</v>
      </c>
      <c r="C7264" s="1" t="n">
        <v>46185</v>
      </c>
      <c r="D7264" t="inlineStr">
        <is>
          <t>VÄSTERNORRLANDS LÄN</t>
        </is>
      </c>
      <c r="E7264" t="inlineStr">
        <is>
          <t>SOLLEFTEÅ</t>
        </is>
      </c>
      <c r="F7264" t="inlineStr">
        <is>
          <t>SCA</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61776-2023</t>
        </is>
      </c>
      <c r="B7265" s="1" t="n">
        <v>45265.95650462963</v>
      </c>
      <c r="C7265" s="1" t="n">
        <v>46185</v>
      </c>
      <c r="D7265" t="inlineStr">
        <is>
          <t>VÄSTERNORRLANDS LÄN</t>
        </is>
      </c>
      <c r="E7265" t="inlineStr">
        <is>
          <t>HÄRNÖSAND</t>
        </is>
      </c>
      <c r="F7265" t="inlineStr">
        <is>
          <t>SCA</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32128-2023</t>
        </is>
      </c>
      <c r="B7266" s="1" t="n">
        <v>45107</v>
      </c>
      <c r="C7266" s="1" t="n">
        <v>46185</v>
      </c>
      <c r="D7266" t="inlineStr">
        <is>
          <t>VÄSTERNORRLANDS LÄN</t>
        </is>
      </c>
      <c r="E7266" t="inlineStr">
        <is>
          <t>SUNDSVALL</t>
        </is>
      </c>
      <c r="G7266" t="n">
        <v>13.3</v>
      </c>
      <c r="H7266" t="n">
        <v>0</v>
      </c>
      <c r="I7266" t="n">
        <v>0</v>
      </c>
      <c r="J7266" t="n">
        <v>0</v>
      </c>
      <c r="K7266" t="n">
        <v>0</v>
      </c>
      <c r="L7266" t="n">
        <v>0</v>
      </c>
      <c r="M7266" t="n">
        <v>0</v>
      </c>
      <c r="N7266" t="n">
        <v>0</v>
      </c>
      <c r="O7266" t="n">
        <v>0</v>
      </c>
      <c r="P7266" t="n">
        <v>0</v>
      </c>
      <c r="Q7266" t="n">
        <v>0</v>
      </c>
      <c r="R7266" s="2" t="inlineStr"/>
    </row>
    <row r="7267" ht="15" customHeight="1">
      <c r="A7267" t="inlineStr">
        <is>
          <t>A 21224-2026</t>
        </is>
      </c>
      <c r="B7267" s="1" t="n">
        <v>46146.7146875</v>
      </c>
      <c r="C7267" s="1" t="n">
        <v>46185</v>
      </c>
      <c r="D7267" t="inlineStr">
        <is>
          <t>VÄSTERNORRLANDS LÄN</t>
        </is>
      </c>
      <c r="E7267" t="inlineStr">
        <is>
          <t>ÖRNSKÖLDSVIK</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15428-2026</t>
        </is>
      </c>
      <c r="B7268" s="1" t="n">
        <v>46105</v>
      </c>
      <c r="C7268" s="1" t="n">
        <v>46185</v>
      </c>
      <c r="D7268" t="inlineStr">
        <is>
          <t>VÄSTERNORRLANDS LÄN</t>
        </is>
      </c>
      <c r="E7268" t="inlineStr">
        <is>
          <t>TIMRÅ</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49002-2021</t>
        </is>
      </c>
      <c r="B7269" s="1" t="n">
        <v>44453</v>
      </c>
      <c r="C7269" s="1" t="n">
        <v>46185</v>
      </c>
      <c r="D7269" t="inlineStr">
        <is>
          <t>VÄSTERNORRLANDS LÄN</t>
        </is>
      </c>
      <c r="E7269" t="inlineStr">
        <is>
          <t>ÖRNSKÖLDSVIK</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15098-2026</t>
        </is>
      </c>
      <c r="B7270" s="1" t="n">
        <v>46105.34431712963</v>
      </c>
      <c r="C7270" s="1" t="n">
        <v>46185</v>
      </c>
      <c r="D7270" t="inlineStr">
        <is>
          <t>VÄSTERNORRLANDS LÄN</t>
        </is>
      </c>
      <c r="E7270" t="inlineStr">
        <is>
          <t>HÄRNÖSAND</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15181-2026</t>
        </is>
      </c>
      <c r="B7271" s="1" t="n">
        <v>46105.45363425926</v>
      </c>
      <c r="C7271" s="1" t="n">
        <v>46185</v>
      </c>
      <c r="D7271" t="inlineStr">
        <is>
          <t>VÄSTERNORRLANDS LÄN</t>
        </is>
      </c>
      <c r="E7271" t="inlineStr">
        <is>
          <t>HÄRNÖSAND</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15143-2026</t>
        </is>
      </c>
      <c r="B7272" s="1" t="n">
        <v>46105.39576388889</v>
      </c>
      <c r="C7272" s="1" t="n">
        <v>46185</v>
      </c>
      <c r="D7272" t="inlineStr">
        <is>
          <t>VÄSTERNORRLANDS LÄN</t>
        </is>
      </c>
      <c r="E7272" t="inlineStr">
        <is>
          <t>KRAMFORS</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19407-2025</t>
        </is>
      </c>
      <c r="B7273" s="1" t="n">
        <v>45769.67832175926</v>
      </c>
      <c r="C7273" s="1" t="n">
        <v>46185</v>
      </c>
      <c r="D7273" t="inlineStr">
        <is>
          <t>VÄSTERNORRLANDS LÄN</t>
        </is>
      </c>
      <c r="E7273" t="inlineStr">
        <is>
          <t>SOLLEFTEÅ</t>
        </is>
      </c>
      <c r="F7273" t="inlineStr">
        <is>
          <t>SCA</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20045-2025</t>
        </is>
      </c>
      <c r="B7274" s="1" t="n">
        <v>45772.3857175926</v>
      </c>
      <c r="C7274" s="1" t="n">
        <v>46185</v>
      </c>
      <c r="D7274" t="inlineStr">
        <is>
          <t>VÄSTERNORRLANDS LÄN</t>
        </is>
      </c>
      <c r="E7274" t="inlineStr">
        <is>
          <t>HÄRNÖSAND</t>
        </is>
      </c>
      <c r="F7274" t="inlineStr">
        <is>
          <t>SCA</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62818-2023</t>
        </is>
      </c>
      <c r="B7275" s="1" t="n">
        <v>45271</v>
      </c>
      <c r="C7275" s="1" t="n">
        <v>46185</v>
      </c>
      <c r="D7275" t="inlineStr">
        <is>
          <t>VÄSTERNORRLANDS LÄN</t>
        </is>
      </c>
      <c r="E7275" t="inlineStr">
        <is>
          <t>KRAMFORS</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63724-2023</t>
        </is>
      </c>
      <c r="B7276" s="1" t="n">
        <v>45276</v>
      </c>
      <c r="C7276" s="1" t="n">
        <v>46185</v>
      </c>
      <c r="D7276" t="inlineStr">
        <is>
          <t>VÄSTERNORRLANDS LÄN</t>
        </is>
      </c>
      <c r="E7276" t="inlineStr">
        <is>
          <t>HÄRNÖSAND</t>
        </is>
      </c>
      <c r="G7276" t="n">
        <v>10.1</v>
      </c>
      <c r="H7276" t="n">
        <v>0</v>
      </c>
      <c r="I7276" t="n">
        <v>0</v>
      </c>
      <c r="J7276" t="n">
        <v>0</v>
      </c>
      <c r="K7276" t="n">
        <v>0</v>
      </c>
      <c r="L7276" t="n">
        <v>0</v>
      </c>
      <c r="M7276" t="n">
        <v>0</v>
      </c>
      <c r="N7276" t="n">
        <v>0</v>
      </c>
      <c r="O7276" t="n">
        <v>0</v>
      </c>
      <c r="P7276" t="n">
        <v>0</v>
      </c>
      <c r="Q7276" t="n">
        <v>0</v>
      </c>
      <c r="R7276" s="2" t="inlineStr"/>
    </row>
    <row r="7277" ht="15" customHeight="1">
      <c r="A7277" t="inlineStr">
        <is>
          <t>A 36863-2023</t>
        </is>
      </c>
      <c r="B7277" s="1" t="n">
        <v>45154.55763888889</v>
      </c>
      <c r="C7277" s="1" t="n">
        <v>46185</v>
      </c>
      <c r="D7277" t="inlineStr">
        <is>
          <t>VÄSTERNORRLANDS LÄN</t>
        </is>
      </c>
      <c r="E7277" t="inlineStr">
        <is>
          <t>ÖRNSKÖLDSVIK</t>
        </is>
      </c>
      <c r="F7277" t="inlineStr">
        <is>
          <t>Holmen skog AB</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21031-2026</t>
        </is>
      </c>
      <c r="B7278" s="1" t="n">
        <v>46146.33652777778</v>
      </c>
      <c r="C7278" s="1" t="n">
        <v>46185</v>
      </c>
      <c r="D7278" t="inlineStr">
        <is>
          <t>VÄSTERNORRLANDS LÄN</t>
        </is>
      </c>
      <c r="E7278" t="inlineStr">
        <is>
          <t>KRAMFORS</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51006-2022</t>
        </is>
      </c>
      <c r="B7279" s="1" t="n">
        <v>44867</v>
      </c>
      <c r="C7279" s="1" t="n">
        <v>46185</v>
      </c>
      <c r="D7279" t="inlineStr">
        <is>
          <t>VÄSTERNORRLANDS LÄN</t>
        </is>
      </c>
      <c r="E7279" t="inlineStr">
        <is>
          <t>SOLLEFTEÅ</t>
        </is>
      </c>
      <c r="F7279" t="inlineStr">
        <is>
          <t>SCA</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34632-2023</t>
        </is>
      </c>
      <c r="B7280" s="1" t="n">
        <v>45140.63787037037</v>
      </c>
      <c r="C7280" s="1" t="n">
        <v>46185</v>
      </c>
      <c r="D7280" t="inlineStr">
        <is>
          <t>VÄSTERNORRLANDS LÄN</t>
        </is>
      </c>
      <c r="E7280" t="inlineStr">
        <is>
          <t>ÖRNSKÖLDSVIK</t>
        </is>
      </c>
      <c r="F7280" t="inlineStr">
        <is>
          <t>Holmen skog AB</t>
        </is>
      </c>
      <c r="G7280" t="n">
        <v>4.7</v>
      </c>
      <c r="H7280" t="n">
        <v>0</v>
      </c>
      <c r="I7280" t="n">
        <v>0</v>
      </c>
      <c r="J7280" t="n">
        <v>0</v>
      </c>
      <c r="K7280" t="n">
        <v>0</v>
      </c>
      <c r="L7280" t="n">
        <v>0</v>
      </c>
      <c r="M7280" t="n">
        <v>0</v>
      </c>
      <c r="N7280" t="n">
        <v>0</v>
      </c>
      <c r="O7280" t="n">
        <v>0</v>
      </c>
      <c r="P7280" t="n">
        <v>0</v>
      </c>
      <c r="Q7280" t="n">
        <v>0</v>
      </c>
      <c r="R7280" s="2" t="inlineStr"/>
    </row>
    <row r="7281" ht="15" customHeight="1">
      <c r="A7281" t="inlineStr">
        <is>
          <t>A 23558-2024</t>
        </is>
      </c>
      <c r="B7281" s="1" t="n">
        <v>45453.95451388889</v>
      </c>
      <c r="C7281" s="1" t="n">
        <v>46185</v>
      </c>
      <c r="D7281" t="inlineStr">
        <is>
          <t>VÄSTERNORRLANDS LÄN</t>
        </is>
      </c>
      <c r="E7281" t="inlineStr">
        <is>
          <t>SUNDSVALL</t>
        </is>
      </c>
      <c r="F7281" t="inlineStr">
        <is>
          <t>SCA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21165-2026</t>
        </is>
      </c>
      <c r="B7282" s="1" t="n">
        <v>46146.59354166667</v>
      </c>
      <c r="C7282" s="1" t="n">
        <v>46185</v>
      </c>
      <c r="D7282" t="inlineStr">
        <is>
          <t>VÄSTERNORRLANDS LÄN</t>
        </is>
      </c>
      <c r="E7282" t="inlineStr">
        <is>
          <t>ÖRNSKÖLDSVIK</t>
        </is>
      </c>
      <c r="G7282" t="n">
        <v>5.5</v>
      </c>
      <c r="H7282" t="n">
        <v>0</v>
      </c>
      <c r="I7282" t="n">
        <v>0</v>
      </c>
      <c r="J7282" t="n">
        <v>0</v>
      </c>
      <c r="K7282" t="n">
        <v>0</v>
      </c>
      <c r="L7282" t="n">
        <v>0</v>
      </c>
      <c r="M7282" t="n">
        <v>0</v>
      </c>
      <c r="N7282" t="n">
        <v>0</v>
      </c>
      <c r="O7282" t="n">
        <v>0</v>
      </c>
      <c r="P7282" t="n">
        <v>0</v>
      </c>
      <c r="Q7282" t="n">
        <v>0</v>
      </c>
      <c r="R7282" s="2" t="inlineStr"/>
    </row>
    <row r="7283" ht="15" customHeight="1">
      <c r="A7283" t="inlineStr">
        <is>
          <t>A 21078-2026</t>
        </is>
      </c>
      <c r="B7283" s="1" t="n">
        <v>46146.42079861111</v>
      </c>
      <c r="C7283" s="1" t="n">
        <v>46185</v>
      </c>
      <c r="D7283" t="inlineStr">
        <is>
          <t>VÄSTERNORRLANDS LÄN</t>
        </is>
      </c>
      <c r="E7283" t="inlineStr">
        <is>
          <t>KRAMFORS</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64749-2023</t>
        </is>
      </c>
      <c r="B7284" s="1" t="n">
        <v>45281.92850694444</v>
      </c>
      <c r="C7284" s="1" t="n">
        <v>46185</v>
      </c>
      <c r="D7284" t="inlineStr">
        <is>
          <t>VÄSTERNORRLANDS LÄN</t>
        </is>
      </c>
      <c r="E7284" t="inlineStr">
        <is>
          <t>HÄRNÖSAND</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15137-2026</t>
        </is>
      </c>
      <c r="B7285" s="1" t="n">
        <v>46105.38584490741</v>
      </c>
      <c r="C7285" s="1" t="n">
        <v>46185</v>
      </c>
      <c r="D7285" t="inlineStr">
        <is>
          <t>VÄSTERNORRLANDS LÄN</t>
        </is>
      </c>
      <c r="E7285" t="inlineStr">
        <is>
          <t>HÄRNÖSAND</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46015-2024</t>
        </is>
      </c>
      <c r="B7286" s="1" t="n">
        <v>45580.67760416667</v>
      </c>
      <c r="C7286" s="1" t="n">
        <v>46185</v>
      </c>
      <c r="D7286" t="inlineStr">
        <is>
          <t>VÄSTERNORRLANDS LÄN</t>
        </is>
      </c>
      <c r="E7286" t="inlineStr">
        <is>
          <t>ÅNGE</t>
        </is>
      </c>
      <c r="F7286" t="inlineStr">
        <is>
          <t>SCA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532-2025</t>
        </is>
      </c>
      <c r="B7287" s="1" t="n">
        <v>45664</v>
      </c>
      <c r="C7287" s="1" t="n">
        <v>46185</v>
      </c>
      <c r="D7287" t="inlineStr">
        <is>
          <t>VÄSTERNORRLANDS LÄN</t>
        </is>
      </c>
      <c r="E7287" t="inlineStr">
        <is>
          <t>SUNDSVALL</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21494-2026</t>
        </is>
      </c>
      <c r="B7288" s="1" t="n">
        <v>46148.56604166667</v>
      </c>
      <c r="C7288" s="1" t="n">
        <v>46185</v>
      </c>
      <c r="D7288" t="inlineStr">
        <is>
          <t>VÄSTERNORRLANDS LÄN</t>
        </is>
      </c>
      <c r="E7288" t="inlineStr">
        <is>
          <t>SOLLEFTEÅ</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21593-2026</t>
        </is>
      </c>
      <c r="B7289" s="1" t="n">
        <v>46149.34666666666</v>
      </c>
      <c r="C7289" s="1" t="n">
        <v>46185</v>
      </c>
      <c r="D7289" t="inlineStr">
        <is>
          <t>VÄSTERNORRLANDS LÄN</t>
        </is>
      </c>
      <c r="E7289" t="inlineStr">
        <is>
          <t>ÖRNSKÖLDSVIK</t>
        </is>
      </c>
      <c r="F7289" t="inlineStr">
        <is>
          <t>SCA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48698-2024</t>
        </is>
      </c>
      <c r="B7290" s="1" t="n">
        <v>45593.51137731481</v>
      </c>
      <c r="C7290" s="1" t="n">
        <v>46185</v>
      </c>
      <c r="D7290" t="inlineStr">
        <is>
          <t>VÄSTERNORRLANDS LÄN</t>
        </is>
      </c>
      <c r="E7290" t="inlineStr">
        <is>
          <t>ÖRNSKÖLDSVIK</t>
        </is>
      </c>
      <c r="F7290" t="inlineStr">
        <is>
          <t>Holmen skog AB</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41302-2024</t>
        </is>
      </c>
      <c r="B7291" s="1" t="n">
        <v>45559.62077546296</v>
      </c>
      <c r="C7291" s="1" t="n">
        <v>46185</v>
      </c>
      <c r="D7291" t="inlineStr">
        <is>
          <t>VÄSTERNORRLANDS LÄN</t>
        </is>
      </c>
      <c r="E7291" t="inlineStr">
        <is>
          <t>ÅNGE</t>
        </is>
      </c>
      <c r="F7291" t="inlineStr">
        <is>
          <t>Holmen skog AB</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15694-2026</t>
        </is>
      </c>
      <c r="B7292" s="1" t="n">
        <v>46107</v>
      </c>
      <c r="C7292" s="1" t="n">
        <v>46185</v>
      </c>
      <c r="D7292" t="inlineStr">
        <is>
          <t>VÄSTERNORRLANDS LÄN</t>
        </is>
      </c>
      <c r="E7292" t="inlineStr">
        <is>
          <t>HÄRNÖSAND</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15695-2026</t>
        </is>
      </c>
      <c r="B7293" s="1" t="n">
        <v>46107</v>
      </c>
      <c r="C7293" s="1" t="n">
        <v>46185</v>
      </c>
      <c r="D7293" t="inlineStr">
        <is>
          <t>VÄSTERNORRLANDS LÄN</t>
        </is>
      </c>
      <c r="E7293" t="inlineStr">
        <is>
          <t>HÄRNÖSAND</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15888-2026</t>
        </is>
      </c>
      <c r="B7294" s="1" t="n">
        <v>46107.61042824074</v>
      </c>
      <c r="C7294" s="1" t="n">
        <v>46185</v>
      </c>
      <c r="D7294" t="inlineStr">
        <is>
          <t>VÄSTERNORRLANDS LÄN</t>
        </is>
      </c>
      <c r="E7294" t="inlineStr">
        <is>
          <t>SOLLEFTEÅ</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16576-2023</t>
        </is>
      </c>
      <c r="B7295" s="1" t="n">
        <v>45029.94251157407</v>
      </c>
      <c r="C7295" s="1" t="n">
        <v>46185</v>
      </c>
      <c r="D7295" t="inlineStr">
        <is>
          <t>VÄSTERNORRLANDS LÄN</t>
        </is>
      </c>
      <c r="E7295" t="inlineStr">
        <is>
          <t>ÅNGE</t>
        </is>
      </c>
      <c r="F7295" t="inlineStr">
        <is>
          <t>SCA</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15934-2026</t>
        </is>
      </c>
      <c r="B7296" s="1" t="n">
        <v>46107.66949074074</v>
      </c>
      <c r="C7296" s="1" t="n">
        <v>46185</v>
      </c>
      <c r="D7296" t="inlineStr">
        <is>
          <t>VÄSTERNORRLANDS LÄN</t>
        </is>
      </c>
      <c r="E7296" t="inlineStr">
        <is>
          <t>ÖRNSKÖLDSVIK</t>
        </is>
      </c>
      <c r="G7296" t="n">
        <v>8.199999999999999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15936-2026</t>
        </is>
      </c>
      <c r="B7297" s="1" t="n">
        <v>46107.6740625</v>
      </c>
      <c r="C7297" s="1" t="n">
        <v>46185</v>
      </c>
      <c r="D7297" t="inlineStr">
        <is>
          <t>VÄSTERNORRLANDS LÄN</t>
        </is>
      </c>
      <c r="E7297" t="inlineStr">
        <is>
          <t>ÖRNSKÖLDSVIK</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15938-2026</t>
        </is>
      </c>
      <c r="B7298" s="1" t="n">
        <v>46107</v>
      </c>
      <c r="C7298" s="1" t="n">
        <v>46185</v>
      </c>
      <c r="D7298" t="inlineStr">
        <is>
          <t>VÄSTERNORRLANDS LÄN</t>
        </is>
      </c>
      <c r="E7298" t="inlineStr">
        <is>
          <t>ÅNGE</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15756-2026</t>
        </is>
      </c>
      <c r="B7299" s="1" t="n">
        <v>46107.43133101852</v>
      </c>
      <c r="C7299" s="1" t="n">
        <v>46185</v>
      </c>
      <c r="D7299" t="inlineStr">
        <is>
          <t>VÄSTERNORRLANDS LÄN</t>
        </is>
      </c>
      <c r="E7299" t="inlineStr">
        <is>
          <t>SUNDSVALL</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32133-2023</t>
        </is>
      </c>
      <c r="B7300" s="1" t="n">
        <v>45107</v>
      </c>
      <c r="C7300" s="1" t="n">
        <v>46185</v>
      </c>
      <c r="D7300" t="inlineStr">
        <is>
          <t>VÄSTERNORRLANDS LÄN</t>
        </is>
      </c>
      <c r="E7300" t="inlineStr">
        <is>
          <t>ÖRNSKÖLDSVIK</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15928-2026</t>
        </is>
      </c>
      <c r="B7301" s="1" t="n">
        <v>46107</v>
      </c>
      <c r="C7301" s="1" t="n">
        <v>46185</v>
      </c>
      <c r="D7301" t="inlineStr">
        <is>
          <t>VÄSTERNORRLANDS LÄN</t>
        </is>
      </c>
      <c r="E7301" t="inlineStr">
        <is>
          <t>HÄRNÖSAND</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15932-2026</t>
        </is>
      </c>
      <c r="B7302" s="1" t="n">
        <v>46107.66627314815</v>
      </c>
      <c r="C7302" s="1" t="n">
        <v>46185</v>
      </c>
      <c r="D7302" t="inlineStr">
        <is>
          <t>VÄSTERNORRLANDS LÄN</t>
        </is>
      </c>
      <c r="E7302" t="inlineStr">
        <is>
          <t>ÖRNSKÖLDSVIK</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30346-2023</t>
        </is>
      </c>
      <c r="B7303" s="1" t="n">
        <v>45111.39366898148</v>
      </c>
      <c r="C7303" s="1" t="n">
        <v>46185</v>
      </c>
      <c r="D7303" t="inlineStr">
        <is>
          <t>VÄSTERNORRLANDS LÄN</t>
        </is>
      </c>
      <c r="E7303" t="inlineStr">
        <is>
          <t>ÖRNSKÖLDSVIK</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15464-2026</t>
        </is>
      </c>
      <c r="B7304" s="1" t="n">
        <v>46106.42756944444</v>
      </c>
      <c r="C7304" s="1" t="n">
        <v>46185</v>
      </c>
      <c r="D7304" t="inlineStr">
        <is>
          <t>VÄSTERNORRLANDS LÄN</t>
        </is>
      </c>
      <c r="E7304" t="inlineStr">
        <is>
          <t>SUNDSVALL</t>
        </is>
      </c>
      <c r="F7304" t="inlineStr">
        <is>
          <t>SCA</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33676-2024</t>
        </is>
      </c>
      <c r="B7305" s="1" t="n">
        <v>45520</v>
      </c>
      <c r="C7305" s="1" t="n">
        <v>46185</v>
      </c>
      <c r="D7305" t="inlineStr">
        <is>
          <t>VÄSTERNORRLANDS LÄN</t>
        </is>
      </c>
      <c r="E7305" t="inlineStr">
        <is>
          <t>ÖRNSKÖLDSVIK</t>
        </is>
      </c>
      <c r="F7305" t="inlineStr">
        <is>
          <t>Holmen skog AB</t>
        </is>
      </c>
      <c r="G7305" t="n">
        <v>17.7</v>
      </c>
      <c r="H7305" t="n">
        <v>0</v>
      </c>
      <c r="I7305" t="n">
        <v>0</v>
      </c>
      <c r="J7305" t="n">
        <v>0</v>
      </c>
      <c r="K7305" t="n">
        <v>0</v>
      </c>
      <c r="L7305" t="n">
        <v>0</v>
      </c>
      <c r="M7305" t="n">
        <v>0</v>
      </c>
      <c r="N7305" t="n">
        <v>0</v>
      </c>
      <c r="O7305" t="n">
        <v>0</v>
      </c>
      <c r="P7305" t="n">
        <v>0</v>
      </c>
      <c r="Q7305" t="n">
        <v>0</v>
      </c>
      <c r="R7305" s="2" t="inlineStr"/>
    </row>
    <row r="7306" ht="15" customHeight="1">
      <c r="A7306" t="inlineStr">
        <is>
          <t>A 30118-2024</t>
        </is>
      </c>
      <c r="B7306" s="1" t="n">
        <v>45489.47517361111</v>
      </c>
      <c r="C7306" s="1" t="n">
        <v>46185</v>
      </c>
      <c r="D7306" t="inlineStr">
        <is>
          <t>VÄSTERNORRLANDS LÄN</t>
        </is>
      </c>
      <c r="E7306" t="inlineStr">
        <is>
          <t>ÖRNSKÖLDSVIK</t>
        </is>
      </c>
      <c r="F7306" t="inlineStr">
        <is>
          <t>Holmen skog AB</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21196-2023</t>
        </is>
      </c>
      <c r="B7307" s="1" t="n">
        <v>45062.48819444444</v>
      </c>
      <c r="C7307" s="1" t="n">
        <v>46185</v>
      </c>
      <c r="D7307" t="inlineStr">
        <is>
          <t>VÄSTERNORRLANDS LÄN</t>
        </is>
      </c>
      <c r="E7307" t="inlineStr">
        <is>
          <t>SUNDSVALL</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21421-2026</t>
        </is>
      </c>
      <c r="B7308" s="1" t="n">
        <v>46148.36518518518</v>
      </c>
      <c r="C7308" s="1" t="n">
        <v>46185</v>
      </c>
      <c r="D7308" t="inlineStr">
        <is>
          <t>VÄSTERNORRLANDS LÄN</t>
        </is>
      </c>
      <c r="E7308" t="inlineStr">
        <is>
          <t>SUNDSVALL</t>
        </is>
      </c>
      <c r="F7308" t="inlineStr">
        <is>
          <t>Naturvårdsverket</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21445-2026</t>
        </is>
      </c>
      <c r="B7309" s="1" t="n">
        <v>46148.42761574074</v>
      </c>
      <c r="C7309" s="1" t="n">
        <v>46185</v>
      </c>
      <c r="D7309" t="inlineStr">
        <is>
          <t>VÄSTERNORRLANDS LÄN</t>
        </is>
      </c>
      <c r="E7309" t="inlineStr">
        <is>
          <t>ÖRNSKÖLDSVIK</t>
        </is>
      </c>
      <c r="F7309" t="inlineStr">
        <is>
          <t>SCA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37503-2023</t>
        </is>
      </c>
      <c r="B7310" s="1" t="n">
        <v>45157.5796875</v>
      </c>
      <c r="C7310" s="1" t="n">
        <v>46185</v>
      </c>
      <c r="D7310" t="inlineStr">
        <is>
          <t>VÄSTERNORRLANDS LÄN</t>
        </is>
      </c>
      <c r="E7310" t="inlineStr">
        <is>
          <t>ÅNGE</t>
        </is>
      </c>
      <c r="F7310" t="inlineStr">
        <is>
          <t>Sveaskog</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21438-2026</t>
        </is>
      </c>
      <c r="B7311" s="1" t="n">
        <v>46148.40723379629</v>
      </c>
      <c r="C7311" s="1" t="n">
        <v>46185</v>
      </c>
      <c r="D7311" t="inlineStr">
        <is>
          <t>VÄSTERNORRLANDS LÄN</t>
        </is>
      </c>
      <c r="E7311" t="inlineStr">
        <is>
          <t>SOLLEFTEÅ</t>
        </is>
      </c>
      <c r="F7311" t="inlineStr">
        <is>
          <t>SCA</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21531-2026</t>
        </is>
      </c>
      <c r="B7312" s="1" t="n">
        <v>46148</v>
      </c>
      <c r="C7312" s="1" t="n">
        <v>46185</v>
      </c>
      <c r="D7312" t="inlineStr">
        <is>
          <t>VÄSTERNORRLANDS LÄN</t>
        </is>
      </c>
      <c r="E7312" t="inlineStr">
        <is>
          <t>SUNDSVALL</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21535-2026</t>
        </is>
      </c>
      <c r="B7313" s="1" t="n">
        <v>46148.6362962963</v>
      </c>
      <c r="C7313" s="1" t="n">
        <v>46185</v>
      </c>
      <c r="D7313" t="inlineStr">
        <is>
          <t>VÄSTERNORRLANDS LÄN</t>
        </is>
      </c>
      <c r="E7313" t="inlineStr">
        <is>
          <t>SOLLEFTEÅ</t>
        </is>
      </c>
      <c r="F7313" t="inlineStr">
        <is>
          <t>SCA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21587-2026</t>
        </is>
      </c>
      <c r="B7314" s="1" t="n">
        <v>46149.3449537037</v>
      </c>
      <c r="C7314" s="1" t="n">
        <v>46185</v>
      </c>
      <c r="D7314" t="inlineStr">
        <is>
          <t>VÄSTERNORRLANDS LÄN</t>
        </is>
      </c>
      <c r="E7314" t="inlineStr">
        <is>
          <t>SUNDSVALL</t>
        </is>
      </c>
      <c r="F7314" t="inlineStr">
        <is>
          <t>SCA</t>
        </is>
      </c>
      <c r="G7314" t="n">
        <v>12.1</v>
      </c>
      <c r="H7314" t="n">
        <v>0</v>
      </c>
      <c r="I7314" t="n">
        <v>0</v>
      </c>
      <c r="J7314" t="n">
        <v>0</v>
      </c>
      <c r="K7314" t="n">
        <v>0</v>
      </c>
      <c r="L7314" t="n">
        <v>0</v>
      </c>
      <c r="M7314" t="n">
        <v>0</v>
      </c>
      <c r="N7314" t="n">
        <v>0</v>
      </c>
      <c r="O7314" t="n">
        <v>0</v>
      </c>
      <c r="P7314" t="n">
        <v>0</v>
      </c>
      <c r="Q7314" t="n">
        <v>0</v>
      </c>
      <c r="R7314" s="2" t="inlineStr"/>
    </row>
    <row r="7315" ht="15" customHeight="1">
      <c r="A7315" t="inlineStr">
        <is>
          <t>A 3323-2023</t>
        </is>
      </c>
      <c r="B7315" s="1" t="n">
        <v>44945</v>
      </c>
      <c r="C7315" s="1" t="n">
        <v>46185</v>
      </c>
      <c r="D7315" t="inlineStr">
        <is>
          <t>VÄSTERNORRLANDS LÄN</t>
        </is>
      </c>
      <c r="E7315" t="inlineStr">
        <is>
          <t>ÅNGE</t>
        </is>
      </c>
      <c r="G7315" t="n">
        <v>9.699999999999999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15771-2026</t>
        </is>
      </c>
      <c r="B7316" s="1" t="n">
        <v>46107.44846064815</v>
      </c>
      <c r="C7316" s="1" t="n">
        <v>46185</v>
      </c>
      <c r="D7316" t="inlineStr">
        <is>
          <t>VÄSTERNORRLANDS LÄN</t>
        </is>
      </c>
      <c r="E7316" t="inlineStr">
        <is>
          <t>SUNDSVALL</t>
        </is>
      </c>
      <c r="F7316" t="inlineStr">
        <is>
          <t>SCA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13252-2023</t>
        </is>
      </c>
      <c r="B7317" s="1" t="n">
        <v>45002</v>
      </c>
      <c r="C7317" s="1" t="n">
        <v>46185</v>
      </c>
      <c r="D7317" t="inlineStr">
        <is>
          <t>VÄSTERNORRLANDS LÄN</t>
        </is>
      </c>
      <c r="E7317" t="inlineStr">
        <is>
          <t>SOLLEFTEÅ</t>
        </is>
      </c>
      <c r="F7317" t="inlineStr">
        <is>
          <t>SCA</t>
        </is>
      </c>
      <c r="G7317" t="n">
        <v>5.4</v>
      </c>
      <c r="H7317" t="n">
        <v>0</v>
      </c>
      <c r="I7317" t="n">
        <v>0</v>
      </c>
      <c r="J7317" t="n">
        <v>0</v>
      </c>
      <c r="K7317" t="n">
        <v>0</v>
      </c>
      <c r="L7317" t="n">
        <v>0</v>
      </c>
      <c r="M7317" t="n">
        <v>0</v>
      </c>
      <c r="N7317" t="n">
        <v>0</v>
      </c>
      <c r="O7317" t="n">
        <v>0</v>
      </c>
      <c r="P7317" t="n">
        <v>0</v>
      </c>
      <c r="Q7317" t="n">
        <v>0</v>
      </c>
      <c r="R7317" s="2" t="inlineStr"/>
    </row>
    <row r="7318" ht="15" customHeight="1">
      <c r="A7318" t="inlineStr">
        <is>
          <t>A 70795-2021</t>
        </is>
      </c>
      <c r="B7318" s="1" t="n">
        <v>44537</v>
      </c>
      <c r="C7318" s="1" t="n">
        <v>46185</v>
      </c>
      <c r="D7318" t="inlineStr">
        <is>
          <t>VÄSTERNORRLANDS LÄN</t>
        </is>
      </c>
      <c r="E7318" t="inlineStr">
        <is>
          <t>KRAMFORS</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21175-2026</t>
        </is>
      </c>
      <c r="B7319" s="1" t="n">
        <v>46146</v>
      </c>
      <c r="C7319" s="1" t="n">
        <v>46185</v>
      </c>
      <c r="D7319" t="inlineStr">
        <is>
          <t>VÄSTERNORRLANDS LÄN</t>
        </is>
      </c>
      <c r="E7319" t="inlineStr">
        <is>
          <t>ÖRNSKÖLDSVIK</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70879-2021</t>
        </is>
      </c>
      <c r="B7320" s="1" t="n">
        <v>44538</v>
      </c>
      <c r="C7320" s="1" t="n">
        <v>46185</v>
      </c>
      <c r="D7320" t="inlineStr">
        <is>
          <t>VÄSTERNORRLANDS LÄN</t>
        </is>
      </c>
      <c r="E7320" t="inlineStr">
        <is>
          <t>SUNDSVALL</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38601-2023</t>
        </is>
      </c>
      <c r="B7321" s="1" t="n">
        <v>45162.64715277778</v>
      </c>
      <c r="C7321" s="1" t="n">
        <v>46185</v>
      </c>
      <c r="D7321" t="inlineStr">
        <is>
          <t>VÄSTERNORRLANDS LÄN</t>
        </is>
      </c>
      <c r="E7321" t="inlineStr">
        <is>
          <t>ÖRNSKÖLDSVIK</t>
        </is>
      </c>
      <c r="F7321" t="inlineStr">
        <is>
          <t>Holmen skog AB</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60856-2022</t>
        </is>
      </c>
      <c r="B7322" s="1" t="n">
        <v>44907</v>
      </c>
      <c r="C7322" s="1" t="n">
        <v>46185</v>
      </c>
      <c r="D7322" t="inlineStr">
        <is>
          <t>VÄSTERNORRLANDS LÄN</t>
        </is>
      </c>
      <c r="E7322" t="inlineStr">
        <is>
          <t>SOLLEFTEÅ</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60865-2022</t>
        </is>
      </c>
      <c r="B7323" s="1" t="n">
        <v>44908</v>
      </c>
      <c r="C7323" s="1" t="n">
        <v>46185</v>
      </c>
      <c r="D7323" t="inlineStr">
        <is>
          <t>VÄSTERNORRLANDS LÄN</t>
        </is>
      </c>
      <c r="E7323" t="inlineStr">
        <is>
          <t>KRAMFORS</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21692-2026</t>
        </is>
      </c>
      <c r="B7324" s="1" t="n">
        <v>46149.53125</v>
      </c>
      <c r="C7324" s="1" t="n">
        <v>46185</v>
      </c>
      <c r="D7324" t="inlineStr">
        <is>
          <t>VÄSTERNORRLANDS LÄN</t>
        </is>
      </c>
      <c r="E7324" t="inlineStr">
        <is>
          <t>ÅNGE</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21708-2026</t>
        </is>
      </c>
      <c r="B7325" s="1" t="n">
        <v>46149.57540509259</v>
      </c>
      <c r="C7325" s="1" t="n">
        <v>46185</v>
      </c>
      <c r="D7325" t="inlineStr">
        <is>
          <t>VÄSTERNORRLANDS LÄN</t>
        </is>
      </c>
      <c r="E7325" t="inlineStr">
        <is>
          <t>ÖRNSKÖLDSVIK</t>
        </is>
      </c>
      <c r="F7325" t="inlineStr">
        <is>
          <t>Holmen skog AB</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2816-2024</t>
        </is>
      </c>
      <c r="B7326" s="1" t="n">
        <v>45314</v>
      </c>
      <c r="C7326" s="1" t="n">
        <v>46185</v>
      </c>
      <c r="D7326" t="inlineStr">
        <is>
          <t>VÄSTERNORRLANDS LÄN</t>
        </is>
      </c>
      <c r="E7326" t="inlineStr">
        <is>
          <t>SOLLEFTEÅ</t>
        </is>
      </c>
      <c r="F7326" t="inlineStr">
        <is>
          <t>Holmen skog AB</t>
        </is>
      </c>
      <c r="G7326" t="n">
        <v>5.2</v>
      </c>
      <c r="H7326" t="n">
        <v>0</v>
      </c>
      <c r="I7326" t="n">
        <v>0</v>
      </c>
      <c r="J7326" t="n">
        <v>0</v>
      </c>
      <c r="K7326" t="n">
        <v>0</v>
      </c>
      <c r="L7326" t="n">
        <v>0</v>
      </c>
      <c r="M7326" t="n">
        <v>0</v>
      </c>
      <c r="N7326" t="n">
        <v>0</v>
      </c>
      <c r="O7326" t="n">
        <v>0</v>
      </c>
      <c r="P7326" t="n">
        <v>0</v>
      </c>
      <c r="Q7326" t="n">
        <v>0</v>
      </c>
      <c r="R7326" s="2" t="inlineStr"/>
    </row>
    <row r="7327" ht="15" customHeight="1">
      <c r="A7327" t="inlineStr">
        <is>
          <t>A 28868-2023</t>
        </is>
      </c>
      <c r="B7327" s="1" t="n">
        <v>45104.46202546296</v>
      </c>
      <c r="C7327" s="1" t="n">
        <v>46185</v>
      </c>
      <c r="D7327" t="inlineStr">
        <is>
          <t>VÄSTERNORRLANDS LÄN</t>
        </is>
      </c>
      <c r="E7327" t="inlineStr">
        <is>
          <t>ÖRNSKÖLDSVIK</t>
        </is>
      </c>
      <c r="F7327" t="inlineStr">
        <is>
          <t>Holmen skog AB</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21513-2026</t>
        </is>
      </c>
      <c r="B7328" s="1" t="n">
        <v>46148.6034375</v>
      </c>
      <c r="C7328" s="1" t="n">
        <v>46185</v>
      </c>
      <c r="D7328" t="inlineStr">
        <is>
          <t>VÄSTERNORRLANDS LÄN</t>
        </is>
      </c>
      <c r="E7328" t="inlineStr">
        <is>
          <t>ÖRNSKÖLDSVIK</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67765-2021</t>
        </is>
      </c>
      <c r="B7329" s="1" t="n">
        <v>44525</v>
      </c>
      <c r="C7329" s="1" t="n">
        <v>46185</v>
      </c>
      <c r="D7329" t="inlineStr">
        <is>
          <t>VÄSTERNORRLANDS LÄN</t>
        </is>
      </c>
      <c r="E7329" t="inlineStr">
        <is>
          <t>ÖRNSKÖLDSVIK</t>
        </is>
      </c>
      <c r="G7329" t="n">
        <v>5.4</v>
      </c>
      <c r="H7329" t="n">
        <v>0</v>
      </c>
      <c r="I7329" t="n">
        <v>0</v>
      </c>
      <c r="J7329" t="n">
        <v>0</v>
      </c>
      <c r="K7329" t="n">
        <v>0</v>
      </c>
      <c r="L7329" t="n">
        <v>0</v>
      </c>
      <c r="M7329" t="n">
        <v>0</v>
      </c>
      <c r="N7329" t="n">
        <v>0</v>
      </c>
      <c r="O7329" t="n">
        <v>0</v>
      </c>
      <c r="P7329" t="n">
        <v>0</v>
      </c>
      <c r="Q7329" t="n">
        <v>0</v>
      </c>
      <c r="R7329" s="2" t="inlineStr"/>
    </row>
    <row r="7330" ht="15" customHeight="1">
      <c r="A7330" t="inlineStr">
        <is>
          <t>A 15518-2026</t>
        </is>
      </c>
      <c r="B7330" s="1" t="n">
        <v>46106.471875</v>
      </c>
      <c r="C7330" s="1" t="n">
        <v>46185</v>
      </c>
      <c r="D7330" t="inlineStr">
        <is>
          <t>VÄSTERNORRLANDS LÄN</t>
        </is>
      </c>
      <c r="E7330" t="inlineStr">
        <is>
          <t>ÅNGE</t>
        </is>
      </c>
      <c r="F7330" t="inlineStr">
        <is>
          <t>Holmen skog AB</t>
        </is>
      </c>
      <c r="G7330" t="n">
        <v>80.5</v>
      </c>
      <c r="H7330" t="n">
        <v>0</v>
      </c>
      <c r="I7330" t="n">
        <v>0</v>
      </c>
      <c r="J7330" t="n">
        <v>0</v>
      </c>
      <c r="K7330" t="n">
        <v>0</v>
      </c>
      <c r="L7330" t="n">
        <v>0</v>
      </c>
      <c r="M7330" t="n">
        <v>0</v>
      </c>
      <c r="N7330" t="n">
        <v>0</v>
      </c>
      <c r="O7330" t="n">
        <v>0</v>
      </c>
      <c r="P7330" t="n">
        <v>0</v>
      </c>
      <c r="Q7330" t="n">
        <v>0</v>
      </c>
      <c r="R7330" s="2" t="inlineStr"/>
    </row>
    <row r="7331" ht="15" customHeight="1">
      <c r="A7331" t="inlineStr">
        <is>
          <t>A 15544-2026</t>
        </is>
      </c>
      <c r="B7331" s="1" t="n">
        <v>46106.52372685185</v>
      </c>
      <c r="C7331" s="1" t="n">
        <v>46185</v>
      </c>
      <c r="D7331" t="inlineStr">
        <is>
          <t>VÄSTERNORRLANDS LÄN</t>
        </is>
      </c>
      <c r="E7331" t="inlineStr">
        <is>
          <t>SUNDSVALL</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15546-2026</t>
        </is>
      </c>
      <c r="B7332" s="1" t="n">
        <v>46106.52609953703</v>
      </c>
      <c r="C7332" s="1" t="n">
        <v>46185</v>
      </c>
      <c r="D7332" t="inlineStr">
        <is>
          <t>VÄSTERNORRLANDS LÄN</t>
        </is>
      </c>
      <c r="E7332" t="inlineStr">
        <is>
          <t>SUNDSVALL</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13567-2023</t>
        </is>
      </c>
      <c r="B7333" s="1" t="n">
        <v>45005</v>
      </c>
      <c r="C7333" s="1" t="n">
        <v>46185</v>
      </c>
      <c r="D7333" t="inlineStr">
        <is>
          <t>VÄSTERNORRLANDS LÄN</t>
        </is>
      </c>
      <c r="E7333" t="inlineStr">
        <is>
          <t>SOLLEFTEÅ</t>
        </is>
      </c>
      <c r="G7333" t="n">
        <v>6.9</v>
      </c>
      <c r="H7333" t="n">
        <v>0</v>
      </c>
      <c r="I7333" t="n">
        <v>0</v>
      </c>
      <c r="J7333" t="n">
        <v>0</v>
      </c>
      <c r="K7333" t="n">
        <v>0</v>
      </c>
      <c r="L7333" t="n">
        <v>0</v>
      </c>
      <c r="M7333" t="n">
        <v>0</v>
      </c>
      <c r="N7333" t="n">
        <v>0</v>
      </c>
      <c r="O7333" t="n">
        <v>0</v>
      </c>
      <c r="P7333" t="n">
        <v>0</v>
      </c>
      <c r="Q7333" t="n">
        <v>0</v>
      </c>
      <c r="R7333" s="2" t="inlineStr"/>
    </row>
    <row r="7334" ht="15" customHeight="1">
      <c r="A7334" t="inlineStr">
        <is>
          <t>A 13570-2023</t>
        </is>
      </c>
      <c r="B7334" s="1" t="n">
        <v>45005</v>
      </c>
      <c r="C7334" s="1" t="n">
        <v>46185</v>
      </c>
      <c r="D7334" t="inlineStr">
        <is>
          <t>VÄSTERNORRLANDS LÄN</t>
        </is>
      </c>
      <c r="E7334" t="inlineStr">
        <is>
          <t>SOLLEFTEÅ</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15445-2026</t>
        </is>
      </c>
      <c r="B7335" s="1" t="n">
        <v>46106.40689814815</v>
      </c>
      <c r="C7335" s="1" t="n">
        <v>46185</v>
      </c>
      <c r="D7335" t="inlineStr">
        <is>
          <t>VÄSTERNORRLANDS LÄN</t>
        </is>
      </c>
      <c r="E7335" t="inlineStr">
        <is>
          <t>SUNDSVALL</t>
        </is>
      </c>
      <c r="F7335" t="inlineStr">
        <is>
          <t>SCA</t>
        </is>
      </c>
      <c r="G7335" t="n">
        <v>8</v>
      </c>
      <c r="H7335" t="n">
        <v>0</v>
      </c>
      <c r="I7335" t="n">
        <v>0</v>
      </c>
      <c r="J7335" t="n">
        <v>0</v>
      </c>
      <c r="K7335" t="n">
        <v>0</v>
      </c>
      <c r="L7335" t="n">
        <v>0</v>
      </c>
      <c r="M7335" t="n">
        <v>0</v>
      </c>
      <c r="N7335" t="n">
        <v>0</v>
      </c>
      <c r="O7335" t="n">
        <v>0</v>
      </c>
      <c r="P7335" t="n">
        <v>0</v>
      </c>
      <c r="Q7335" t="n">
        <v>0</v>
      </c>
      <c r="R7335" s="2" t="inlineStr"/>
    </row>
    <row r="7336" ht="15" customHeight="1">
      <c r="A7336" t="inlineStr">
        <is>
          <t>A 15929-2026</t>
        </is>
      </c>
      <c r="B7336" s="1" t="n">
        <v>46107.66445601852</v>
      </c>
      <c r="C7336" s="1" t="n">
        <v>46185</v>
      </c>
      <c r="D7336" t="inlineStr">
        <is>
          <t>VÄSTERNORRLANDS LÄN</t>
        </is>
      </c>
      <c r="E7336" t="inlineStr">
        <is>
          <t>ÖRNSKÖLDSVIK</t>
        </is>
      </c>
      <c r="G7336" t="n">
        <v>8.9</v>
      </c>
      <c r="H7336" t="n">
        <v>0</v>
      </c>
      <c r="I7336" t="n">
        <v>0</v>
      </c>
      <c r="J7336" t="n">
        <v>0</v>
      </c>
      <c r="K7336" t="n">
        <v>0</v>
      </c>
      <c r="L7336" t="n">
        <v>0</v>
      </c>
      <c r="M7336" t="n">
        <v>0</v>
      </c>
      <c r="N7336" t="n">
        <v>0</v>
      </c>
      <c r="O7336" t="n">
        <v>0</v>
      </c>
      <c r="P7336" t="n">
        <v>0</v>
      </c>
      <c r="Q7336" t="n">
        <v>0</v>
      </c>
      <c r="R7336" s="2" t="inlineStr"/>
    </row>
    <row r="7337" ht="15" customHeight="1">
      <c r="A7337" t="inlineStr">
        <is>
          <t>A 15944-2026</t>
        </is>
      </c>
      <c r="B7337" s="1" t="n">
        <v>46107.71927083333</v>
      </c>
      <c r="C7337" s="1" t="n">
        <v>46185</v>
      </c>
      <c r="D7337" t="inlineStr">
        <is>
          <t>VÄSTERNORRLANDS LÄN</t>
        </is>
      </c>
      <c r="E7337" t="inlineStr">
        <is>
          <t>SOLLEFTEÅ</t>
        </is>
      </c>
      <c r="F7337" t="inlineStr">
        <is>
          <t>SCA</t>
        </is>
      </c>
      <c r="G7337" t="n">
        <v>4.7</v>
      </c>
      <c r="H7337" t="n">
        <v>0</v>
      </c>
      <c r="I7337" t="n">
        <v>0</v>
      </c>
      <c r="J7337" t="n">
        <v>0</v>
      </c>
      <c r="K7337" t="n">
        <v>0</v>
      </c>
      <c r="L7337" t="n">
        <v>0</v>
      </c>
      <c r="M7337" t="n">
        <v>0</v>
      </c>
      <c r="N7337" t="n">
        <v>0</v>
      </c>
      <c r="O7337" t="n">
        <v>0</v>
      </c>
      <c r="P7337" t="n">
        <v>0</v>
      </c>
      <c r="Q7337" t="n">
        <v>0</v>
      </c>
      <c r="R7337" s="2" t="inlineStr"/>
    </row>
    <row r="7338" ht="15" customHeight="1">
      <c r="A7338" t="inlineStr">
        <is>
          <t>A 70174-2021</t>
        </is>
      </c>
      <c r="B7338" s="1" t="n">
        <v>44533</v>
      </c>
      <c r="C7338" s="1" t="n">
        <v>46185</v>
      </c>
      <c r="D7338" t="inlineStr">
        <is>
          <t>VÄSTERNORRLANDS LÄN</t>
        </is>
      </c>
      <c r="E7338" t="inlineStr">
        <is>
          <t>SUNDSVALL</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15736-2026</t>
        </is>
      </c>
      <c r="B7339" s="1" t="n">
        <v>46107.40721064815</v>
      </c>
      <c r="C7339" s="1" t="n">
        <v>46185</v>
      </c>
      <c r="D7339" t="inlineStr">
        <is>
          <t>VÄSTERNORRLANDS LÄN</t>
        </is>
      </c>
      <c r="E7339" t="inlineStr">
        <is>
          <t>SUNDSVALL</t>
        </is>
      </c>
      <c r="F7339" t="inlineStr">
        <is>
          <t>SCA</t>
        </is>
      </c>
      <c r="G7339" t="n">
        <v>9.5</v>
      </c>
      <c r="H7339" t="n">
        <v>0</v>
      </c>
      <c r="I7339" t="n">
        <v>0</v>
      </c>
      <c r="J7339" t="n">
        <v>0</v>
      </c>
      <c r="K7339" t="n">
        <v>0</v>
      </c>
      <c r="L7339" t="n">
        <v>0</v>
      </c>
      <c r="M7339" t="n">
        <v>0</v>
      </c>
      <c r="N7339" t="n">
        <v>0</v>
      </c>
      <c r="O7339" t="n">
        <v>0</v>
      </c>
      <c r="P7339" t="n">
        <v>0</v>
      </c>
      <c r="Q7339" t="n">
        <v>0</v>
      </c>
      <c r="R7339" s="2" t="inlineStr"/>
    </row>
    <row r="7340" ht="15" customHeight="1">
      <c r="A7340" t="inlineStr">
        <is>
          <t>A 49318-2024</t>
        </is>
      </c>
      <c r="B7340" s="1" t="n">
        <v>45595.56582175926</v>
      </c>
      <c r="C7340" s="1" t="n">
        <v>46185</v>
      </c>
      <c r="D7340" t="inlineStr">
        <is>
          <t>VÄSTERNORRLANDS LÄN</t>
        </is>
      </c>
      <c r="E7340" t="inlineStr">
        <is>
          <t>ÖRNSKÖLDSVIK</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62380-2025</t>
        </is>
      </c>
      <c r="B7341" s="1" t="n">
        <v>46007.365</v>
      </c>
      <c r="C7341" s="1" t="n">
        <v>46185</v>
      </c>
      <c r="D7341" t="inlineStr">
        <is>
          <t>VÄSTERNORRLANDS LÄN</t>
        </is>
      </c>
      <c r="E7341" t="inlineStr">
        <is>
          <t>SUNDSVALL</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15780-2024</t>
        </is>
      </c>
      <c r="B7342" s="1" t="n">
        <v>45404</v>
      </c>
      <c r="C7342" s="1" t="n">
        <v>46185</v>
      </c>
      <c r="D7342" t="inlineStr">
        <is>
          <t>VÄSTERNORRLANDS LÄN</t>
        </is>
      </c>
      <c r="E7342" t="inlineStr">
        <is>
          <t>SUNDSVALL</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27640-2023</t>
        </is>
      </c>
      <c r="B7343" s="1" t="n">
        <v>45097</v>
      </c>
      <c r="C7343" s="1" t="n">
        <v>46185</v>
      </c>
      <c r="D7343" t="inlineStr">
        <is>
          <t>VÄSTERNORRLANDS LÄN</t>
        </is>
      </c>
      <c r="E7343" t="inlineStr">
        <is>
          <t>SUNDSVALL</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15785-2026</t>
        </is>
      </c>
      <c r="B7344" s="1" t="n">
        <v>46107.47005787037</v>
      </c>
      <c r="C7344" s="1" t="n">
        <v>46185</v>
      </c>
      <c r="D7344" t="inlineStr">
        <is>
          <t>VÄSTERNORRLANDS LÄN</t>
        </is>
      </c>
      <c r="E7344" t="inlineStr">
        <is>
          <t>SOLLEFTEÅ</t>
        </is>
      </c>
      <c r="F7344" t="inlineStr">
        <is>
          <t>SCA</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19777-2025</t>
        </is>
      </c>
      <c r="B7345" s="1" t="n">
        <v>45771.4259375</v>
      </c>
      <c r="C7345" s="1" t="n">
        <v>46185</v>
      </c>
      <c r="D7345" t="inlineStr">
        <is>
          <t>VÄSTERNORRLANDS LÄN</t>
        </is>
      </c>
      <c r="E7345" t="inlineStr">
        <is>
          <t>KRAMFORS</t>
        </is>
      </c>
      <c r="G7345" t="n">
        <v>5.3</v>
      </c>
      <c r="H7345" t="n">
        <v>0</v>
      </c>
      <c r="I7345" t="n">
        <v>0</v>
      </c>
      <c r="J7345" t="n">
        <v>0</v>
      </c>
      <c r="K7345" t="n">
        <v>0</v>
      </c>
      <c r="L7345" t="n">
        <v>0</v>
      </c>
      <c r="M7345" t="n">
        <v>0</v>
      </c>
      <c r="N7345" t="n">
        <v>0</v>
      </c>
      <c r="O7345" t="n">
        <v>0</v>
      </c>
      <c r="P7345" t="n">
        <v>0</v>
      </c>
      <c r="Q7345" t="n">
        <v>0</v>
      </c>
      <c r="R7345" s="2" t="inlineStr"/>
    </row>
    <row r="7346" ht="15" customHeight="1">
      <c r="A7346" t="inlineStr">
        <is>
          <t>A 124-2024</t>
        </is>
      </c>
      <c r="B7346" s="1" t="n">
        <v>45294</v>
      </c>
      <c r="C7346" s="1" t="n">
        <v>46185</v>
      </c>
      <c r="D7346" t="inlineStr">
        <is>
          <t>VÄSTERNORRLANDS LÄN</t>
        </is>
      </c>
      <c r="E7346" t="inlineStr">
        <is>
          <t>KRAMFORS</t>
        </is>
      </c>
      <c r="G7346" t="n">
        <v>0.3</v>
      </c>
      <c r="H7346" t="n">
        <v>0</v>
      </c>
      <c r="I7346" t="n">
        <v>0</v>
      </c>
      <c r="J7346" t="n">
        <v>0</v>
      </c>
      <c r="K7346" t="n">
        <v>0</v>
      </c>
      <c r="L7346" t="n">
        <v>0</v>
      </c>
      <c r="M7346" t="n">
        <v>0</v>
      </c>
      <c r="N7346" t="n">
        <v>0</v>
      </c>
      <c r="O7346" t="n">
        <v>0</v>
      </c>
      <c r="P7346" t="n">
        <v>0</v>
      </c>
      <c r="Q7346" t="n">
        <v>0</v>
      </c>
      <c r="R7346" s="2" t="inlineStr"/>
    </row>
    <row r="7347" ht="15" customHeight="1">
      <c r="A7347" t="inlineStr">
        <is>
          <t>A 21654-2026</t>
        </is>
      </c>
      <c r="B7347" s="1" t="n">
        <v>46149.45219907408</v>
      </c>
      <c r="C7347" s="1" t="n">
        <v>46185</v>
      </c>
      <c r="D7347" t="inlineStr">
        <is>
          <t>VÄSTERNORRLANDS LÄN</t>
        </is>
      </c>
      <c r="E7347" t="inlineStr">
        <is>
          <t>ÖRNSKÖLDSVIK</t>
        </is>
      </c>
      <c r="F7347" t="inlineStr">
        <is>
          <t>Holmen skog AB</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51377-2024</t>
        </is>
      </c>
      <c r="B7348" s="1" t="n">
        <v>45604.38142361111</v>
      </c>
      <c r="C7348" s="1" t="n">
        <v>46185</v>
      </c>
      <c r="D7348" t="inlineStr">
        <is>
          <t>VÄSTERNORRLANDS LÄN</t>
        </is>
      </c>
      <c r="E7348" t="inlineStr">
        <is>
          <t>ÅNGE</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13942-2024</t>
        </is>
      </c>
      <c r="B7349" s="1" t="n">
        <v>45391.9540162037</v>
      </c>
      <c r="C7349" s="1" t="n">
        <v>46185</v>
      </c>
      <c r="D7349" t="inlineStr">
        <is>
          <t>VÄSTERNORRLANDS LÄN</t>
        </is>
      </c>
      <c r="E7349" t="inlineStr">
        <is>
          <t>SOLLEFTEÅ</t>
        </is>
      </c>
      <c r="F7349" t="inlineStr">
        <is>
          <t>SCA</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7466-2024</t>
        </is>
      </c>
      <c r="B7350" s="1" t="n">
        <v>45345</v>
      </c>
      <c r="C7350" s="1" t="n">
        <v>46185</v>
      </c>
      <c r="D7350" t="inlineStr">
        <is>
          <t>VÄSTERNORRLANDS LÄN</t>
        </is>
      </c>
      <c r="E7350" t="inlineStr">
        <is>
          <t>KRAMFORS</t>
        </is>
      </c>
      <c r="F7350" t="inlineStr">
        <is>
          <t>SCA</t>
        </is>
      </c>
      <c r="G7350" t="n">
        <v>13.1</v>
      </c>
      <c r="H7350" t="n">
        <v>0</v>
      </c>
      <c r="I7350" t="n">
        <v>0</v>
      </c>
      <c r="J7350" t="n">
        <v>0</v>
      </c>
      <c r="K7350" t="n">
        <v>0</v>
      </c>
      <c r="L7350" t="n">
        <v>0</v>
      </c>
      <c r="M7350" t="n">
        <v>0</v>
      </c>
      <c r="N7350" t="n">
        <v>0</v>
      </c>
      <c r="O7350" t="n">
        <v>0</v>
      </c>
      <c r="P7350" t="n">
        <v>0</v>
      </c>
      <c r="Q7350" t="n">
        <v>0</v>
      </c>
      <c r="R7350" s="2" t="inlineStr"/>
    </row>
    <row r="7351" ht="15" customHeight="1">
      <c r="A7351" t="inlineStr">
        <is>
          <t>A 52898-2024</t>
        </is>
      </c>
      <c r="B7351" s="1" t="n">
        <v>45610.67748842593</v>
      </c>
      <c r="C7351" s="1" t="n">
        <v>46185</v>
      </c>
      <c r="D7351" t="inlineStr">
        <is>
          <t>VÄSTERNORRLANDS LÄN</t>
        </is>
      </c>
      <c r="E7351" t="inlineStr">
        <is>
          <t>SUNDSVALL</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60860-2022</t>
        </is>
      </c>
      <c r="B7352" s="1" t="n">
        <v>44914</v>
      </c>
      <c r="C7352" s="1" t="n">
        <v>46185</v>
      </c>
      <c r="D7352" t="inlineStr">
        <is>
          <t>VÄSTERNORRLANDS LÄN</t>
        </is>
      </c>
      <c r="E7352" t="inlineStr">
        <is>
          <t>ÅNGE</t>
        </is>
      </c>
      <c r="F7352" t="inlineStr">
        <is>
          <t>Holmen skog AB</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36211-2023</t>
        </is>
      </c>
      <c r="B7353" s="1" t="n">
        <v>45149.95234953704</v>
      </c>
      <c r="C7353" s="1" t="n">
        <v>46185</v>
      </c>
      <c r="D7353" t="inlineStr">
        <is>
          <t>VÄSTERNORRLANDS LÄN</t>
        </is>
      </c>
      <c r="E7353" t="inlineStr">
        <is>
          <t>SOLLEFTEÅ</t>
        </is>
      </c>
      <c r="F7353" t="inlineStr">
        <is>
          <t>SCA</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21536-2026</t>
        </is>
      </c>
      <c r="B7354" s="1" t="n">
        <v>46148.6364699074</v>
      </c>
      <c r="C7354" s="1" t="n">
        <v>46185</v>
      </c>
      <c r="D7354" t="inlineStr">
        <is>
          <t>VÄSTERNORRLANDS LÄN</t>
        </is>
      </c>
      <c r="E7354" t="inlineStr">
        <is>
          <t>ÅNGE</t>
        </is>
      </c>
      <c r="F7354" t="inlineStr">
        <is>
          <t>SCA</t>
        </is>
      </c>
      <c r="G7354" t="n">
        <v>10.6</v>
      </c>
      <c r="H7354" t="n">
        <v>0</v>
      </c>
      <c r="I7354" t="n">
        <v>0</v>
      </c>
      <c r="J7354" t="n">
        <v>0</v>
      </c>
      <c r="K7354" t="n">
        <v>0</v>
      </c>
      <c r="L7354" t="n">
        <v>0</v>
      </c>
      <c r="M7354" t="n">
        <v>0</v>
      </c>
      <c r="N7354" t="n">
        <v>0</v>
      </c>
      <c r="O7354" t="n">
        <v>0</v>
      </c>
      <c r="P7354" t="n">
        <v>0</v>
      </c>
      <c r="Q7354" t="n">
        <v>0</v>
      </c>
      <c r="R7354" s="2" t="inlineStr"/>
    </row>
    <row r="7355" ht="15" customHeight="1">
      <c r="A7355" t="inlineStr">
        <is>
          <t>A 21466-2026</t>
        </is>
      </c>
      <c r="B7355" s="1" t="n">
        <v>46148.46966435185</v>
      </c>
      <c r="C7355" s="1" t="n">
        <v>46185</v>
      </c>
      <c r="D7355" t="inlineStr">
        <is>
          <t>VÄSTERNORRLANDS LÄN</t>
        </is>
      </c>
      <c r="E7355" t="inlineStr">
        <is>
          <t>ÅNGE</t>
        </is>
      </c>
      <c r="F7355" t="inlineStr">
        <is>
          <t>SCA</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16096-2026</t>
        </is>
      </c>
      <c r="B7356" s="1" t="n">
        <v>46107</v>
      </c>
      <c r="C7356" s="1" t="n">
        <v>46185</v>
      </c>
      <c r="D7356" t="inlineStr">
        <is>
          <t>VÄSTERNORRLANDS LÄN</t>
        </is>
      </c>
      <c r="E7356" t="inlineStr">
        <is>
          <t>HÄRNÖSAND</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12590-2024</t>
        </is>
      </c>
      <c r="B7357" s="1" t="n">
        <v>45379.93686342592</v>
      </c>
      <c r="C7357" s="1" t="n">
        <v>46185</v>
      </c>
      <c r="D7357" t="inlineStr">
        <is>
          <t>VÄSTERNORRLANDS LÄN</t>
        </is>
      </c>
      <c r="E7357" t="inlineStr">
        <is>
          <t>SOLLEFTEÅ</t>
        </is>
      </c>
      <c r="F7357" t="inlineStr">
        <is>
          <t>SCA</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21569-2026</t>
        </is>
      </c>
      <c r="B7358" s="1" t="n">
        <v>46148.67761574074</v>
      </c>
      <c r="C7358" s="1" t="n">
        <v>46185</v>
      </c>
      <c r="D7358" t="inlineStr">
        <is>
          <t>VÄSTERNORRLANDS LÄN</t>
        </is>
      </c>
      <c r="E7358" t="inlineStr">
        <is>
          <t>ÅNGE</t>
        </is>
      </c>
      <c r="F7358" t="inlineStr">
        <is>
          <t>SCA</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21743-2026</t>
        </is>
      </c>
      <c r="B7359" s="1" t="n">
        <v>46149.65708333333</v>
      </c>
      <c r="C7359" s="1" t="n">
        <v>46185</v>
      </c>
      <c r="D7359" t="inlineStr">
        <is>
          <t>VÄSTERNORRLANDS LÄN</t>
        </is>
      </c>
      <c r="E7359" t="inlineStr">
        <is>
          <t>SOLLEFTEÅ</t>
        </is>
      </c>
      <c r="F7359" t="inlineStr">
        <is>
          <t>SCA</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21745-2026</t>
        </is>
      </c>
      <c r="B7360" s="1" t="n">
        <v>46147</v>
      </c>
      <c r="C7360" s="1" t="n">
        <v>46185</v>
      </c>
      <c r="D7360" t="inlineStr">
        <is>
          <t>VÄSTERNORRLANDS LÄN</t>
        </is>
      </c>
      <c r="E7360" t="inlineStr">
        <is>
          <t>SOLLEFTEÅ</t>
        </is>
      </c>
      <c r="F7360" t="inlineStr">
        <is>
          <t>Övriga Aktiebolag</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74177-2021</t>
        </is>
      </c>
      <c r="B7361" s="1" t="n">
        <v>44558</v>
      </c>
      <c r="C7361" s="1" t="n">
        <v>46185</v>
      </c>
      <c r="D7361" t="inlineStr">
        <is>
          <t>VÄSTERNORRLANDS LÄN</t>
        </is>
      </c>
      <c r="E7361" t="inlineStr">
        <is>
          <t>TIMRÅ</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15921-2026</t>
        </is>
      </c>
      <c r="B7362" s="1" t="n">
        <v>46107</v>
      </c>
      <c r="C7362" s="1" t="n">
        <v>46185</v>
      </c>
      <c r="D7362" t="inlineStr">
        <is>
          <t>VÄSTERNORRLANDS LÄN</t>
        </is>
      </c>
      <c r="E7362" t="inlineStr">
        <is>
          <t>HÄRNÖSAND</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32583-2024</t>
        </is>
      </c>
      <c r="B7363" s="1" t="n">
        <v>45513</v>
      </c>
      <c r="C7363" s="1" t="n">
        <v>46185</v>
      </c>
      <c r="D7363" t="inlineStr">
        <is>
          <t>VÄSTERNORRLANDS LÄN</t>
        </is>
      </c>
      <c r="E7363" t="inlineStr">
        <is>
          <t>ÖRNSKÖLDSVIK</t>
        </is>
      </c>
      <c r="F7363" t="inlineStr">
        <is>
          <t>Holmen skog AB</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4340-2024</t>
        </is>
      </c>
      <c r="B7364" s="1" t="n">
        <v>45324.81793981481</v>
      </c>
      <c r="C7364" s="1" t="n">
        <v>46185</v>
      </c>
      <c r="D7364" t="inlineStr">
        <is>
          <t>VÄSTERNORRLANDS LÄN</t>
        </is>
      </c>
      <c r="E7364" t="inlineStr">
        <is>
          <t>ÖRNSKÖLDSVIK</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21534-2026</t>
        </is>
      </c>
      <c r="B7365" s="1" t="n">
        <v>46148.63607638889</v>
      </c>
      <c r="C7365" s="1" t="n">
        <v>46185</v>
      </c>
      <c r="D7365" t="inlineStr">
        <is>
          <t>VÄSTERNORRLANDS LÄN</t>
        </is>
      </c>
      <c r="E7365" t="inlineStr">
        <is>
          <t>ÅNGE</t>
        </is>
      </c>
      <c r="F7365" t="inlineStr">
        <is>
          <t>SCA</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41619-2024</t>
        </is>
      </c>
      <c r="B7366" s="1" t="n">
        <v>45560.59983796296</v>
      </c>
      <c r="C7366" s="1" t="n">
        <v>46185</v>
      </c>
      <c r="D7366" t="inlineStr">
        <is>
          <t>VÄSTERNORRLANDS LÄN</t>
        </is>
      </c>
      <c r="E7366" t="inlineStr">
        <is>
          <t>ÖRNSKÖLDSVIK</t>
        </is>
      </c>
      <c r="F7366" t="inlineStr">
        <is>
          <t>Holmen skog AB</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15930-2026</t>
        </is>
      </c>
      <c r="B7367" s="1" t="n">
        <v>46107</v>
      </c>
      <c r="C7367" s="1" t="n">
        <v>46185</v>
      </c>
      <c r="D7367" t="inlineStr">
        <is>
          <t>VÄSTERNORRLANDS LÄN</t>
        </is>
      </c>
      <c r="E7367" t="inlineStr">
        <is>
          <t>HÄRNÖSAND</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15937-2026</t>
        </is>
      </c>
      <c r="B7368" s="1" t="n">
        <v>46107.67559027778</v>
      </c>
      <c r="C7368" s="1" t="n">
        <v>46185</v>
      </c>
      <c r="D7368" t="inlineStr">
        <is>
          <t>VÄSTERNORRLANDS LÄN</t>
        </is>
      </c>
      <c r="E7368" t="inlineStr">
        <is>
          <t>ÖRNSKÖLDSVIK</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21407-2026</t>
        </is>
      </c>
      <c r="B7369" s="1" t="n">
        <v>46148.34487268519</v>
      </c>
      <c r="C7369" s="1" t="n">
        <v>46185</v>
      </c>
      <c r="D7369" t="inlineStr">
        <is>
          <t>VÄSTERNORRLANDS LÄN</t>
        </is>
      </c>
      <c r="E7369" t="inlineStr">
        <is>
          <t>TIMRÅ</t>
        </is>
      </c>
      <c r="F7369" t="inlineStr">
        <is>
          <t>SCA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21408-2026</t>
        </is>
      </c>
      <c r="B7370" s="1" t="n">
        <v>46148.345</v>
      </c>
      <c r="C7370" s="1" t="n">
        <v>46185</v>
      </c>
      <c r="D7370" t="inlineStr">
        <is>
          <t>VÄSTERNORRLANDS LÄN</t>
        </is>
      </c>
      <c r="E7370" t="inlineStr">
        <is>
          <t>ÖRNSKÖLDSVIK</t>
        </is>
      </c>
      <c r="F7370" t="inlineStr">
        <is>
          <t>SCA</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21290-2026</t>
        </is>
      </c>
      <c r="B7371" s="1" t="n">
        <v>46147</v>
      </c>
      <c r="C7371" s="1" t="n">
        <v>46185</v>
      </c>
      <c r="D7371" t="inlineStr">
        <is>
          <t>VÄSTERNORRLANDS LÄN</t>
        </is>
      </c>
      <c r="E7371" t="inlineStr">
        <is>
          <t>KRAMFORS</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21434-2026</t>
        </is>
      </c>
      <c r="B7372" s="1" t="n">
        <v>46148.40103009259</v>
      </c>
      <c r="C7372" s="1" t="n">
        <v>46185</v>
      </c>
      <c r="D7372" t="inlineStr">
        <is>
          <t>VÄSTERNORRLANDS LÄN</t>
        </is>
      </c>
      <c r="E7372" t="inlineStr">
        <is>
          <t>TIMRÅ</t>
        </is>
      </c>
      <c r="G7372" t="n">
        <v>6.5</v>
      </c>
      <c r="H7372" t="n">
        <v>0</v>
      </c>
      <c r="I7372" t="n">
        <v>0</v>
      </c>
      <c r="J7372" t="n">
        <v>0</v>
      </c>
      <c r="K7372" t="n">
        <v>0</v>
      </c>
      <c r="L7372" t="n">
        <v>0</v>
      </c>
      <c r="M7372" t="n">
        <v>0</v>
      </c>
      <c r="N7372" t="n">
        <v>0</v>
      </c>
      <c r="O7372" t="n">
        <v>0</v>
      </c>
      <c r="P7372" t="n">
        <v>0</v>
      </c>
      <c r="Q7372" t="n">
        <v>0</v>
      </c>
      <c r="R7372" s="2" t="inlineStr"/>
    </row>
    <row r="7373" ht="15" customHeight="1">
      <c r="A7373" t="inlineStr">
        <is>
          <t>A 21437-2026</t>
        </is>
      </c>
      <c r="B7373" s="1" t="n">
        <v>46148.40700231482</v>
      </c>
      <c r="C7373" s="1" t="n">
        <v>46185</v>
      </c>
      <c r="D7373" t="inlineStr">
        <is>
          <t>VÄSTERNORRLANDS LÄN</t>
        </is>
      </c>
      <c r="E7373" t="inlineStr">
        <is>
          <t>ÅNGE</t>
        </is>
      </c>
      <c r="F7373" t="inlineStr">
        <is>
          <t>SCA</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26761-2024</t>
        </is>
      </c>
      <c r="B7374" s="1" t="n">
        <v>45470</v>
      </c>
      <c r="C7374" s="1" t="n">
        <v>46185</v>
      </c>
      <c r="D7374" t="inlineStr">
        <is>
          <t>VÄSTERNORRLANDS LÄN</t>
        </is>
      </c>
      <c r="E7374" t="inlineStr">
        <is>
          <t>ÖRNSKÖLDSVIK</t>
        </is>
      </c>
      <c r="F7374" t="inlineStr">
        <is>
          <t>Holmen skog AB</t>
        </is>
      </c>
      <c r="G7374" t="n">
        <v>10.5</v>
      </c>
      <c r="H7374" t="n">
        <v>0</v>
      </c>
      <c r="I7374" t="n">
        <v>0</v>
      </c>
      <c r="J7374" t="n">
        <v>0</v>
      </c>
      <c r="K7374" t="n">
        <v>0</v>
      </c>
      <c r="L7374" t="n">
        <v>0</v>
      </c>
      <c r="M7374" t="n">
        <v>0</v>
      </c>
      <c r="N7374" t="n">
        <v>0</v>
      </c>
      <c r="O7374" t="n">
        <v>0</v>
      </c>
      <c r="P7374" t="n">
        <v>0</v>
      </c>
      <c r="Q7374" t="n">
        <v>0</v>
      </c>
      <c r="R7374" s="2" t="inlineStr"/>
    </row>
    <row r="7375" ht="15" customHeight="1">
      <c r="A7375" t="inlineStr">
        <is>
          <t>A 26765-2024</t>
        </is>
      </c>
      <c r="B7375" s="1" t="n">
        <v>45470</v>
      </c>
      <c r="C7375" s="1" t="n">
        <v>46185</v>
      </c>
      <c r="D7375" t="inlineStr">
        <is>
          <t>VÄSTERNORRLANDS LÄN</t>
        </is>
      </c>
      <c r="E7375" t="inlineStr">
        <is>
          <t>ÖRNSKÖLDSVIK</t>
        </is>
      </c>
      <c r="F7375" t="inlineStr">
        <is>
          <t>Holmen skog AB</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15625-2026</t>
        </is>
      </c>
      <c r="B7376" s="1" t="n">
        <v>46106</v>
      </c>
      <c r="C7376" s="1" t="n">
        <v>46185</v>
      </c>
      <c r="D7376" t="inlineStr">
        <is>
          <t>VÄSTERNORRLANDS LÄN</t>
        </is>
      </c>
      <c r="E7376" t="inlineStr">
        <is>
          <t>TIMRÅ</t>
        </is>
      </c>
      <c r="F7376" t="inlineStr">
        <is>
          <t>SCA</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15626-2026</t>
        </is>
      </c>
      <c r="B7377" s="1" t="n">
        <v>46106</v>
      </c>
      <c r="C7377" s="1" t="n">
        <v>46185</v>
      </c>
      <c r="D7377" t="inlineStr">
        <is>
          <t>VÄSTERNORRLANDS LÄN</t>
        </is>
      </c>
      <c r="E7377" t="inlineStr">
        <is>
          <t>TIMRÅ</t>
        </is>
      </c>
      <c r="F7377" t="inlineStr">
        <is>
          <t>SCA</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57286-2022</t>
        </is>
      </c>
      <c r="B7378" s="1" t="n">
        <v>44895.94991898148</v>
      </c>
      <c r="C7378" s="1" t="n">
        <v>46185</v>
      </c>
      <c r="D7378" t="inlineStr">
        <is>
          <t>VÄSTERNORRLANDS LÄN</t>
        </is>
      </c>
      <c r="E7378" t="inlineStr">
        <is>
          <t>ÅNGE</t>
        </is>
      </c>
      <c r="F7378" t="inlineStr">
        <is>
          <t>SCA</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15885-2026</t>
        </is>
      </c>
      <c r="B7379" s="1" t="n">
        <v>46107.60821759259</v>
      </c>
      <c r="C7379" s="1" t="n">
        <v>46185</v>
      </c>
      <c r="D7379" t="inlineStr">
        <is>
          <t>VÄSTERNORRLANDS LÄN</t>
        </is>
      </c>
      <c r="E7379" t="inlineStr">
        <is>
          <t>SUNDSVALL</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21707-2026</t>
        </is>
      </c>
      <c r="B7380" s="1" t="n">
        <v>46149.57381944444</v>
      </c>
      <c r="C7380" s="1" t="n">
        <v>46185</v>
      </c>
      <c r="D7380" t="inlineStr">
        <is>
          <t>VÄSTERNORRLANDS LÄN</t>
        </is>
      </c>
      <c r="E7380" t="inlineStr">
        <is>
          <t>SUNDSVALL</t>
        </is>
      </c>
      <c r="F7380" t="inlineStr">
        <is>
          <t>SCA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15613-2026</t>
        </is>
      </c>
      <c r="B7381" s="1" t="n">
        <v>46106.60086805555</v>
      </c>
      <c r="C7381" s="1" t="n">
        <v>46185</v>
      </c>
      <c r="D7381" t="inlineStr">
        <is>
          <t>VÄSTERNORRLANDS LÄN</t>
        </is>
      </c>
      <c r="E7381" t="inlineStr">
        <is>
          <t>HÄRNÖSAND</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16572-2023</t>
        </is>
      </c>
      <c r="B7382" s="1" t="n">
        <v>45029.94224537037</v>
      </c>
      <c r="C7382" s="1" t="n">
        <v>46185</v>
      </c>
      <c r="D7382" t="inlineStr">
        <is>
          <t>VÄSTERNORRLANDS LÄN</t>
        </is>
      </c>
      <c r="E7382" t="inlineStr">
        <is>
          <t>ÅNGE</t>
        </is>
      </c>
      <c r="F7382" t="inlineStr">
        <is>
          <t>SCA</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21395-2026</t>
        </is>
      </c>
      <c r="B7383" s="1" t="n">
        <v>46148.29836805556</v>
      </c>
      <c r="C7383" s="1" t="n">
        <v>46185</v>
      </c>
      <c r="D7383" t="inlineStr">
        <is>
          <t>VÄSTERNORRLANDS LÄN</t>
        </is>
      </c>
      <c r="E7383" t="inlineStr">
        <is>
          <t>SUNDSVALL</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15466-2026</t>
        </is>
      </c>
      <c r="B7384" s="1" t="n">
        <v>46106.42815972222</v>
      </c>
      <c r="C7384" s="1" t="n">
        <v>46185</v>
      </c>
      <c r="D7384" t="inlineStr">
        <is>
          <t>VÄSTERNORRLANDS LÄN</t>
        </is>
      </c>
      <c r="E7384" t="inlineStr">
        <is>
          <t>ÅNGE</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33328-2024</t>
        </is>
      </c>
      <c r="B7385" s="1" t="n">
        <v>45519.29268518519</v>
      </c>
      <c r="C7385" s="1" t="n">
        <v>46185</v>
      </c>
      <c r="D7385" t="inlineStr">
        <is>
          <t>VÄSTERNORRLANDS LÄN</t>
        </is>
      </c>
      <c r="E7385" t="inlineStr">
        <is>
          <t>KRAMFORS</t>
        </is>
      </c>
      <c r="G7385" t="n">
        <v>5.8</v>
      </c>
      <c r="H7385" t="n">
        <v>0</v>
      </c>
      <c r="I7385" t="n">
        <v>0</v>
      </c>
      <c r="J7385" t="n">
        <v>0</v>
      </c>
      <c r="K7385" t="n">
        <v>0</v>
      </c>
      <c r="L7385" t="n">
        <v>0</v>
      </c>
      <c r="M7385" t="n">
        <v>0</v>
      </c>
      <c r="N7385" t="n">
        <v>0</v>
      </c>
      <c r="O7385" t="n">
        <v>0</v>
      </c>
      <c r="P7385" t="n">
        <v>0</v>
      </c>
      <c r="Q7385" t="n">
        <v>0</v>
      </c>
      <c r="R7385" s="2" t="inlineStr"/>
    </row>
    <row r="7386" ht="15" customHeight="1">
      <c r="A7386" t="inlineStr">
        <is>
          <t>A 15821-2026</t>
        </is>
      </c>
      <c r="B7386" s="1" t="n">
        <v>46107</v>
      </c>
      <c r="C7386" s="1" t="n">
        <v>46185</v>
      </c>
      <c r="D7386" t="inlineStr">
        <is>
          <t>VÄSTERNORRLANDS LÄN</t>
        </is>
      </c>
      <c r="E7386" t="inlineStr">
        <is>
          <t>HÄRNÖSAND</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39879-2021</t>
        </is>
      </c>
      <c r="B7387" s="1" t="n">
        <v>44417</v>
      </c>
      <c r="C7387" s="1" t="n">
        <v>46185</v>
      </c>
      <c r="D7387" t="inlineStr">
        <is>
          <t>VÄSTERNORRLANDS LÄN</t>
        </is>
      </c>
      <c r="E7387" t="inlineStr">
        <is>
          <t>ÖRNSKÖLDSVIK</t>
        </is>
      </c>
      <c r="F7387" t="inlineStr">
        <is>
          <t>Holmen skog AB</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16056-2024</t>
        </is>
      </c>
      <c r="B7388" s="1" t="n">
        <v>45406.04898148148</v>
      </c>
      <c r="C7388" s="1" t="n">
        <v>46185</v>
      </c>
      <c r="D7388" t="inlineStr">
        <is>
          <t>VÄSTERNORRLANDS LÄN</t>
        </is>
      </c>
      <c r="E7388" t="inlineStr">
        <is>
          <t>SUNDSVALL</t>
        </is>
      </c>
      <c r="F7388" t="inlineStr">
        <is>
          <t>Naturvårdsverket</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16251-2024</t>
        </is>
      </c>
      <c r="B7389" s="1" t="n">
        <v>45407</v>
      </c>
      <c r="C7389" s="1" t="n">
        <v>46185</v>
      </c>
      <c r="D7389" t="inlineStr">
        <is>
          <t>VÄSTERNORRLANDS LÄN</t>
        </is>
      </c>
      <c r="E7389" t="inlineStr">
        <is>
          <t>SUNDSVALL</t>
        </is>
      </c>
      <c r="F7389" t="inlineStr">
        <is>
          <t>SCA</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15677-2026</t>
        </is>
      </c>
      <c r="B7390" s="1" t="n">
        <v>46106.89800925926</v>
      </c>
      <c r="C7390" s="1" t="n">
        <v>46185</v>
      </c>
      <c r="D7390" t="inlineStr">
        <is>
          <t>VÄSTERNORRLANDS LÄN</t>
        </is>
      </c>
      <c r="E7390" t="inlineStr">
        <is>
          <t>TIMRÅ</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16854-2024</t>
        </is>
      </c>
      <c r="B7391" s="1" t="n">
        <v>45409</v>
      </c>
      <c r="C7391" s="1" t="n">
        <v>46185</v>
      </c>
      <c r="D7391" t="inlineStr">
        <is>
          <t>VÄSTERNORRLANDS LÄN</t>
        </is>
      </c>
      <c r="E7391" t="inlineStr">
        <is>
          <t>HÄRNÖSAND</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23094-2024</t>
        </is>
      </c>
      <c r="B7392" s="1" t="n">
        <v>45450.5243287037</v>
      </c>
      <c r="C7392" s="1" t="n">
        <v>46185</v>
      </c>
      <c r="D7392" t="inlineStr">
        <is>
          <t>VÄSTERNORRLANDS LÄN</t>
        </is>
      </c>
      <c r="E7392" t="inlineStr">
        <is>
          <t>ÖRNSKÖLDSVIK</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23097-2024</t>
        </is>
      </c>
      <c r="B7393" s="1" t="n">
        <v>45450.52642361111</v>
      </c>
      <c r="C7393" s="1" t="n">
        <v>46185</v>
      </c>
      <c r="D7393" t="inlineStr">
        <is>
          <t>VÄSTERNORRLANDS LÄN</t>
        </is>
      </c>
      <c r="E7393" t="inlineStr">
        <is>
          <t>ÖRNSKÖLDSVIK</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23851-2024</t>
        </is>
      </c>
      <c r="B7394" s="1" t="n">
        <v>45455</v>
      </c>
      <c r="C7394" s="1" t="n">
        <v>46185</v>
      </c>
      <c r="D7394" t="inlineStr">
        <is>
          <t>VÄSTERNORRLANDS LÄN</t>
        </is>
      </c>
      <c r="E7394" t="inlineStr">
        <is>
          <t>TIMRÅ</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15440-2026</t>
        </is>
      </c>
      <c r="B7395" s="1" t="n">
        <v>46106.40006944445</v>
      </c>
      <c r="C7395" s="1" t="n">
        <v>46185</v>
      </c>
      <c r="D7395" t="inlineStr">
        <is>
          <t>VÄSTERNORRLANDS LÄN</t>
        </is>
      </c>
      <c r="E7395" t="inlineStr">
        <is>
          <t>SUNDSVALL</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15444-2026</t>
        </is>
      </c>
      <c r="B7396" s="1" t="n">
        <v>46106.40668981482</v>
      </c>
      <c r="C7396" s="1" t="n">
        <v>46185</v>
      </c>
      <c r="D7396" t="inlineStr">
        <is>
          <t>VÄSTERNORRLANDS LÄN</t>
        </is>
      </c>
      <c r="E7396" t="inlineStr">
        <is>
          <t>SOLLEFTEÅ</t>
        </is>
      </c>
      <c r="F7396" t="inlineStr">
        <is>
          <t>SCA</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15498-2026</t>
        </is>
      </c>
      <c r="B7397" s="1" t="n">
        <v>46106.45895833334</v>
      </c>
      <c r="C7397" s="1" t="n">
        <v>46185</v>
      </c>
      <c r="D7397" t="inlineStr">
        <is>
          <t>VÄSTERNORRLANDS LÄN</t>
        </is>
      </c>
      <c r="E7397" t="inlineStr">
        <is>
          <t>ÖRNSKÖLDSVIK</t>
        </is>
      </c>
      <c r="F7397" t="inlineStr">
        <is>
          <t>Holmen skog AB</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25044-2024</t>
        </is>
      </c>
      <c r="B7398" s="1" t="n">
        <v>45462.30936342593</v>
      </c>
      <c r="C7398" s="1" t="n">
        <v>46185</v>
      </c>
      <c r="D7398" t="inlineStr">
        <is>
          <t>VÄSTERNORRLANDS LÄN</t>
        </is>
      </c>
      <c r="E7398" t="inlineStr">
        <is>
          <t>ÖRNSKÖLDSVIK</t>
        </is>
      </c>
      <c r="F7398" t="inlineStr">
        <is>
          <t>Holmen skog AB</t>
        </is>
      </c>
      <c r="G7398" t="n">
        <v>8.9</v>
      </c>
      <c r="H7398" t="n">
        <v>0</v>
      </c>
      <c r="I7398" t="n">
        <v>0</v>
      </c>
      <c r="J7398" t="n">
        <v>0</v>
      </c>
      <c r="K7398" t="n">
        <v>0</v>
      </c>
      <c r="L7398" t="n">
        <v>0</v>
      </c>
      <c r="M7398" t="n">
        <v>0</v>
      </c>
      <c r="N7398" t="n">
        <v>0</v>
      </c>
      <c r="O7398" t="n">
        <v>0</v>
      </c>
      <c r="P7398" t="n">
        <v>0</v>
      </c>
      <c r="Q7398" t="n">
        <v>0</v>
      </c>
      <c r="R7398" s="2" t="inlineStr"/>
    </row>
    <row r="7399" ht="15" customHeight="1">
      <c r="A7399" t="inlineStr">
        <is>
          <t>A 9254-2023</t>
        </is>
      </c>
      <c r="B7399" s="1" t="n">
        <v>44980</v>
      </c>
      <c r="C7399" s="1" t="n">
        <v>46185</v>
      </c>
      <c r="D7399" t="inlineStr">
        <is>
          <t>VÄSTERNORRLANDS LÄN</t>
        </is>
      </c>
      <c r="E7399" t="inlineStr">
        <is>
          <t>ÖRNSKÖLDSVIK</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24063-2023</t>
        </is>
      </c>
      <c r="B7400" s="1" t="n">
        <v>45078.94140046297</v>
      </c>
      <c r="C7400" s="1" t="n">
        <v>46185</v>
      </c>
      <c r="D7400" t="inlineStr">
        <is>
          <t>VÄSTERNORRLANDS LÄN</t>
        </is>
      </c>
      <c r="E7400" t="inlineStr">
        <is>
          <t>ÅNGE</t>
        </is>
      </c>
      <c r="F7400" t="inlineStr">
        <is>
          <t>SCA</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50720-2024</t>
        </is>
      </c>
      <c r="B7401" s="1" t="n">
        <v>45602.38631944444</v>
      </c>
      <c r="C7401" s="1" t="n">
        <v>46185</v>
      </c>
      <c r="D7401" t="inlineStr">
        <is>
          <t>VÄSTERNORRLANDS LÄN</t>
        </is>
      </c>
      <c r="E7401" t="inlineStr">
        <is>
          <t>SOLLEFTEÅ</t>
        </is>
      </c>
      <c r="F7401" t="inlineStr">
        <is>
          <t>SCA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53302-2024</t>
        </is>
      </c>
      <c r="B7402" s="1" t="n">
        <v>45614.38864583334</v>
      </c>
      <c r="C7402" s="1" t="n">
        <v>46185</v>
      </c>
      <c r="D7402" t="inlineStr">
        <is>
          <t>VÄSTERNORRLANDS LÄN</t>
        </is>
      </c>
      <c r="E7402" t="inlineStr">
        <is>
          <t>TIMRÅ</t>
        </is>
      </c>
      <c r="F7402" t="inlineStr">
        <is>
          <t>SCA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22249-2022</t>
        </is>
      </c>
      <c r="B7403" s="1" t="n">
        <v>44712.60636574074</v>
      </c>
      <c r="C7403" s="1" t="n">
        <v>46185</v>
      </c>
      <c r="D7403" t="inlineStr">
        <is>
          <t>VÄSTERNORRLANDS LÄN</t>
        </is>
      </c>
      <c r="E7403" t="inlineStr">
        <is>
          <t>SUNDSVALL</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25414-2022</t>
        </is>
      </c>
      <c r="B7404" s="1" t="n">
        <v>44732</v>
      </c>
      <c r="C7404" s="1" t="n">
        <v>46185</v>
      </c>
      <c r="D7404" t="inlineStr">
        <is>
          <t>VÄSTERNORRLANDS LÄN</t>
        </is>
      </c>
      <c r="E7404" t="inlineStr">
        <is>
          <t>TIMRÅ</t>
        </is>
      </c>
      <c r="G7404" t="n">
        <v>7.7</v>
      </c>
      <c r="H7404" t="n">
        <v>0</v>
      </c>
      <c r="I7404" t="n">
        <v>0</v>
      </c>
      <c r="J7404" t="n">
        <v>0</v>
      </c>
      <c r="K7404" t="n">
        <v>0</v>
      </c>
      <c r="L7404" t="n">
        <v>0</v>
      </c>
      <c r="M7404" t="n">
        <v>0</v>
      </c>
      <c r="N7404" t="n">
        <v>0</v>
      </c>
      <c r="O7404" t="n">
        <v>0</v>
      </c>
      <c r="P7404" t="n">
        <v>0</v>
      </c>
      <c r="Q7404" t="n">
        <v>0</v>
      </c>
      <c r="R7404" s="2" t="inlineStr"/>
    </row>
    <row r="7405" ht="15" customHeight="1">
      <c r="A7405" t="inlineStr">
        <is>
          <t>A 56397-2024</t>
        </is>
      </c>
      <c r="B7405" s="1" t="n">
        <v>45625.3518287037</v>
      </c>
      <c r="C7405" s="1" t="n">
        <v>46185</v>
      </c>
      <c r="D7405" t="inlineStr">
        <is>
          <t>VÄSTERNORRLANDS LÄN</t>
        </is>
      </c>
      <c r="E7405" t="inlineStr">
        <is>
          <t>ÖRNSKÖLDSVIK</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50369-2023</t>
        </is>
      </c>
      <c r="B7406" s="1" t="n">
        <v>45209</v>
      </c>
      <c r="C7406" s="1" t="n">
        <v>46185</v>
      </c>
      <c r="D7406" t="inlineStr">
        <is>
          <t>VÄSTERNORRLANDS LÄN</t>
        </is>
      </c>
      <c r="E7406" t="inlineStr">
        <is>
          <t>ÖRNSKÖLDSVIK</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21906-2026</t>
        </is>
      </c>
      <c r="B7407" s="1" t="n">
        <v>46150.61625</v>
      </c>
      <c r="C7407" s="1" t="n">
        <v>46185</v>
      </c>
      <c r="D7407" t="inlineStr">
        <is>
          <t>VÄSTERNORRLANDS LÄN</t>
        </is>
      </c>
      <c r="E7407" t="inlineStr">
        <is>
          <t>ÖRNSKÖLDSVIK</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37156-2024</t>
        </is>
      </c>
      <c r="B7408" s="1" t="n">
        <v>45539.61006944445</v>
      </c>
      <c r="C7408" s="1" t="n">
        <v>46185</v>
      </c>
      <c r="D7408" t="inlineStr">
        <is>
          <t>VÄSTERNORRLANDS LÄN</t>
        </is>
      </c>
      <c r="E7408" t="inlineStr">
        <is>
          <t>ÖRNSKÖLDSVIK</t>
        </is>
      </c>
      <c r="G7408" t="n">
        <v>5.7</v>
      </c>
      <c r="H7408" t="n">
        <v>0</v>
      </c>
      <c r="I7408" t="n">
        <v>0</v>
      </c>
      <c r="J7408" t="n">
        <v>0</v>
      </c>
      <c r="K7408" t="n">
        <v>0</v>
      </c>
      <c r="L7408" t="n">
        <v>0</v>
      </c>
      <c r="M7408" t="n">
        <v>0</v>
      </c>
      <c r="N7408" t="n">
        <v>0</v>
      </c>
      <c r="O7408" t="n">
        <v>0</v>
      </c>
      <c r="P7408" t="n">
        <v>0</v>
      </c>
      <c r="Q7408" t="n">
        <v>0</v>
      </c>
      <c r="R7408" s="2" t="inlineStr"/>
    </row>
    <row r="7409" ht="15" customHeight="1">
      <c r="A7409" t="inlineStr">
        <is>
          <t>A 37924-2024</t>
        </is>
      </c>
      <c r="B7409" s="1" t="n">
        <v>45544</v>
      </c>
      <c r="C7409" s="1" t="n">
        <v>46185</v>
      </c>
      <c r="D7409" t="inlineStr">
        <is>
          <t>VÄSTERNORRLANDS LÄN</t>
        </is>
      </c>
      <c r="E7409" t="inlineStr">
        <is>
          <t>ÖRNSKÖLDSVIK</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16555-2023</t>
        </is>
      </c>
      <c r="B7410" s="1" t="n">
        <v>45029</v>
      </c>
      <c r="C7410" s="1" t="n">
        <v>46185</v>
      </c>
      <c r="D7410" t="inlineStr">
        <is>
          <t>VÄSTERNORRLANDS LÄN</t>
        </is>
      </c>
      <c r="E7410" t="inlineStr">
        <is>
          <t>TIMRÅ</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16558-2023</t>
        </is>
      </c>
      <c r="B7411" s="1" t="n">
        <v>45029</v>
      </c>
      <c r="C7411" s="1" t="n">
        <v>46185</v>
      </c>
      <c r="D7411" t="inlineStr">
        <is>
          <t>VÄSTERNORRLANDS LÄN</t>
        </is>
      </c>
      <c r="E7411" t="inlineStr">
        <is>
          <t>SUNDSVALL</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16562-2023</t>
        </is>
      </c>
      <c r="B7412" s="1" t="n">
        <v>45029</v>
      </c>
      <c r="C7412" s="1" t="n">
        <v>46185</v>
      </c>
      <c r="D7412" t="inlineStr">
        <is>
          <t>VÄSTERNORRLANDS LÄN</t>
        </is>
      </c>
      <c r="E7412" t="inlineStr">
        <is>
          <t>SOLLEFTEÅ</t>
        </is>
      </c>
      <c r="F7412" t="inlineStr">
        <is>
          <t>SCA</t>
        </is>
      </c>
      <c r="G7412" t="n">
        <v>7.9</v>
      </c>
      <c r="H7412" t="n">
        <v>0</v>
      </c>
      <c r="I7412" t="n">
        <v>0</v>
      </c>
      <c r="J7412" t="n">
        <v>0</v>
      </c>
      <c r="K7412" t="n">
        <v>0</v>
      </c>
      <c r="L7412" t="n">
        <v>0</v>
      </c>
      <c r="M7412" t="n">
        <v>0</v>
      </c>
      <c r="N7412" t="n">
        <v>0</v>
      </c>
      <c r="O7412" t="n">
        <v>0</v>
      </c>
      <c r="P7412" t="n">
        <v>0</v>
      </c>
      <c r="Q7412" t="n">
        <v>0</v>
      </c>
      <c r="R7412" s="2" t="inlineStr"/>
    </row>
    <row r="7413" ht="15" customHeight="1">
      <c r="A7413" t="inlineStr">
        <is>
          <t>A 59339-2023</t>
        </is>
      </c>
      <c r="B7413" s="1" t="n">
        <v>45253</v>
      </c>
      <c r="C7413" s="1" t="n">
        <v>46185</v>
      </c>
      <c r="D7413" t="inlineStr">
        <is>
          <t>VÄSTERNORRLANDS LÄN</t>
        </is>
      </c>
      <c r="E7413" t="inlineStr">
        <is>
          <t>SOLLEFTEÅ</t>
        </is>
      </c>
      <c r="F7413" t="inlineStr">
        <is>
          <t>Holmen skog AB</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39954-2022</t>
        </is>
      </c>
      <c r="B7414" s="1" t="n">
        <v>44819.94980324074</v>
      </c>
      <c r="C7414" s="1" t="n">
        <v>46185</v>
      </c>
      <c r="D7414" t="inlineStr">
        <is>
          <t>VÄSTERNORRLANDS LÄN</t>
        </is>
      </c>
      <c r="E7414" t="inlineStr">
        <is>
          <t>HÄRNÖSAND</t>
        </is>
      </c>
      <c r="F7414" t="inlineStr">
        <is>
          <t>SCA</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64023-2023</t>
        </is>
      </c>
      <c r="B7415" s="1" t="n">
        <v>45278</v>
      </c>
      <c r="C7415" s="1" t="n">
        <v>46185</v>
      </c>
      <c r="D7415" t="inlineStr">
        <is>
          <t>VÄSTERNORRLANDS LÄN</t>
        </is>
      </c>
      <c r="E7415" t="inlineStr">
        <is>
          <t>HÄRNÖSAND</t>
        </is>
      </c>
      <c r="F7415" t="inlineStr">
        <is>
          <t>SCA</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21832-2026</t>
        </is>
      </c>
      <c r="B7416" s="1" t="n">
        <v>46150.49542824074</v>
      </c>
      <c r="C7416" s="1" t="n">
        <v>46185</v>
      </c>
      <c r="D7416" t="inlineStr">
        <is>
          <t>VÄSTERNORRLANDS LÄN</t>
        </is>
      </c>
      <c r="E7416" t="inlineStr">
        <is>
          <t>ÖRNSKÖLDSVIK</t>
        </is>
      </c>
      <c r="F7416" t="inlineStr">
        <is>
          <t>Holmen skog AB</t>
        </is>
      </c>
      <c r="G7416" t="n">
        <v>9.800000000000001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24897-2024</t>
        </is>
      </c>
      <c r="B7417" s="1" t="n">
        <v>45461.58018518519</v>
      </c>
      <c r="C7417" s="1" t="n">
        <v>46185</v>
      </c>
      <c r="D7417" t="inlineStr">
        <is>
          <t>VÄSTERNORRLANDS LÄN</t>
        </is>
      </c>
      <c r="E7417" t="inlineStr">
        <is>
          <t>ÖRNSKÖLDSVIK</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22040-2026</t>
        </is>
      </c>
      <c r="B7418" s="1" t="n">
        <v>46153.45491898148</v>
      </c>
      <c r="C7418" s="1" t="n">
        <v>46185</v>
      </c>
      <c r="D7418" t="inlineStr">
        <is>
          <t>VÄSTERNORRLANDS LÄN</t>
        </is>
      </c>
      <c r="E7418" t="inlineStr">
        <is>
          <t>ÅNGE</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22064-2026</t>
        </is>
      </c>
      <c r="B7419" s="1" t="n">
        <v>46153.48761574074</v>
      </c>
      <c r="C7419" s="1" t="n">
        <v>46185</v>
      </c>
      <c r="D7419" t="inlineStr">
        <is>
          <t>VÄSTERNORRLANDS LÄN</t>
        </is>
      </c>
      <c r="E7419" t="inlineStr">
        <is>
          <t>KRAMFORS</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22066-2026</t>
        </is>
      </c>
      <c r="B7420" s="1" t="n">
        <v>46153.48855324074</v>
      </c>
      <c r="C7420" s="1" t="n">
        <v>46185</v>
      </c>
      <c r="D7420" t="inlineStr">
        <is>
          <t>VÄSTERNORRLANDS LÄN</t>
        </is>
      </c>
      <c r="E7420" t="inlineStr">
        <is>
          <t>ÖRNSKÖLDSVIK</t>
        </is>
      </c>
      <c r="G7420" t="n">
        <v>13.7</v>
      </c>
      <c r="H7420" t="n">
        <v>0</v>
      </c>
      <c r="I7420" t="n">
        <v>0</v>
      </c>
      <c r="J7420" t="n">
        <v>0</v>
      </c>
      <c r="K7420" t="n">
        <v>0</v>
      </c>
      <c r="L7420" t="n">
        <v>0</v>
      </c>
      <c r="M7420" t="n">
        <v>0</v>
      </c>
      <c r="N7420" t="n">
        <v>0</v>
      </c>
      <c r="O7420" t="n">
        <v>0</v>
      </c>
      <c r="P7420" t="n">
        <v>0</v>
      </c>
      <c r="Q7420" t="n">
        <v>0</v>
      </c>
      <c r="R7420" s="2" t="inlineStr"/>
    </row>
    <row r="7421" ht="15" customHeight="1">
      <c r="A7421" t="inlineStr">
        <is>
          <t>A 40569-2024</t>
        </is>
      </c>
      <c r="B7421" s="1" t="n">
        <v>45555.67744212963</v>
      </c>
      <c r="C7421" s="1" t="n">
        <v>46185</v>
      </c>
      <c r="D7421" t="inlineStr">
        <is>
          <t>VÄSTERNORRLANDS LÄN</t>
        </is>
      </c>
      <c r="E7421" t="inlineStr">
        <is>
          <t>SOLLEFTEÅ</t>
        </is>
      </c>
      <c r="F7421" t="inlineStr">
        <is>
          <t>SCA</t>
        </is>
      </c>
      <c r="G7421" t="n">
        <v>0.2</v>
      </c>
      <c r="H7421" t="n">
        <v>0</v>
      </c>
      <c r="I7421" t="n">
        <v>0</v>
      </c>
      <c r="J7421" t="n">
        <v>0</v>
      </c>
      <c r="K7421" t="n">
        <v>0</v>
      </c>
      <c r="L7421" t="n">
        <v>0</v>
      </c>
      <c r="M7421" t="n">
        <v>0</v>
      </c>
      <c r="N7421" t="n">
        <v>0</v>
      </c>
      <c r="O7421" t="n">
        <v>0</v>
      </c>
      <c r="P7421" t="n">
        <v>0</v>
      </c>
      <c r="Q7421" t="n">
        <v>0</v>
      </c>
      <c r="R7421" s="2" t="inlineStr"/>
    </row>
    <row r="7422" ht="15" customHeight="1">
      <c r="A7422" t="inlineStr">
        <is>
          <t>A 27928-2024</t>
        </is>
      </c>
      <c r="B7422" s="1" t="n">
        <v>45475</v>
      </c>
      <c r="C7422" s="1" t="n">
        <v>46185</v>
      </c>
      <c r="D7422" t="inlineStr">
        <is>
          <t>VÄSTERNORRLANDS LÄN</t>
        </is>
      </c>
      <c r="E7422" t="inlineStr">
        <is>
          <t>SUNDSVALL</t>
        </is>
      </c>
      <c r="F7422" t="inlineStr">
        <is>
          <t>SCA</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10087-2023</t>
        </is>
      </c>
      <c r="B7423" s="1" t="n">
        <v>44985</v>
      </c>
      <c r="C7423" s="1" t="n">
        <v>46185</v>
      </c>
      <c r="D7423" t="inlineStr">
        <is>
          <t>VÄSTERNORRLANDS LÄN</t>
        </is>
      </c>
      <c r="E7423" t="inlineStr">
        <is>
          <t>ÅNGE</t>
        </is>
      </c>
      <c r="F7423" t="inlineStr">
        <is>
          <t>SCA</t>
        </is>
      </c>
      <c r="G7423" t="n">
        <v>7.9</v>
      </c>
      <c r="H7423" t="n">
        <v>0</v>
      </c>
      <c r="I7423" t="n">
        <v>0</v>
      </c>
      <c r="J7423" t="n">
        <v>0</v>
      </c>
      <c r="K7423" t="n">
        <v>0</v>
      </c>
      <c r="L7423" t="n">
        <v>0</v>
      </c>
      <c r="M7423" t="n">
        <v>0</v>
      </c>
      <c r="N7423" t="n">
        <v>0</v>
      </c>
      <c r="O7423" t="n">
        <v>0</v>
      </c>
      <c r="P7423" t="n">
        <v>0</v>
      </c>
      <c r="Q7423" t="n">
        <v>0</v>
      </c>
      <c r="R7423" s="2" t="inlineStr"/>
    </row>
    <row r="7424" ht="15" customHeight="1">
      <c r="A7424" t="inlineStr">
        <is>
          <t>A 44554-2024</t>
        </is>
      </c>
      <c r="B7424" s="1" t="n">
        <v>45574.46940972222</v>
      </c>
      <c r="C7424" s="1" t="n">
        <v>46185</v>
      </c>
      <c r="D7424" t="inlineStr">
        <is>
          <t>VÄSTERNORRLANDS LÄN</t>
        </is>
      </c>
      <c r="E7424" t="inlineStr">
        <is>
          <t>SOLLEFTEÅ</t>
        </is>
      </c>
      <c r="F7424" t="inlineStr">
        <is>
          <t>SCA</t>
        </is>
      </c>
      <c r="G7424" t="n">
        <v>5.9</v>
      </c>
      <c r="H7424" t="n">
        <v>0</v>
      </c>
      <c r="I7424" t="n">
        <v>0</v>
      </c>
      <c r="J7424" t="n">
        <v>0</v>
      </c>
      <c r="K7424" t="n">
        <v>0</v>
      </c>
      <c r="L7424" t="n">
        <v>0</v>
      </c>
      <c r="M7424" t="n">
        <v>0</v>
      </c>
      <c r="N7424" t="n">
        <v>0</v>
      </c>
      <c r="O7424" t="n">
        <v>0</v>
      </c>
      <c r="P7424" t="n">
        <v>0</v>
      </c>
      <c r="Q7424" t="n">
        <v>0</v>
      </c>
      <c r="R7424" s="2" t="inlineStr"/>
    </row>
    <row r="7425" ht="15" customHeight="1">
      <c r="A7425" t="inlineStr">
        <is>
          <t>A 27682-2023</t>
        </is>
      </c>
      <c r="B7425" s="1" t="n">
        <v>45097.93758101852</v>
      </c>
      <c r="C7425" s="1" t="n">
        <v>46185</v>
      </c>
      <c r="D7425" t="inlineStr">
        <is>
          <t>VÄSTERNORRLANDS LÄN</t>
        </is>
      </c>
      <c r="E7425" t="inlineStr">
        <is>
          <t>ÅNGE</t>
        </is>
      </c>
      <c r="F7425" t="inlineStr">
        <is>
          <t>SCA</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22001-2026</t>
        </is>
      </c>
      <c r="B7426" s="1" t="n">
        <v>46153.36520833334</v>
      </c>
      <c r="C7426" s="1" t="n">
        <v>46185</v>
      </c>
      <c r="D7426" t="inlineStr">
        <is>
          <t>VÄSTERNORRLANDS LÄN</t>
        </is>
      </c>
      <c r="E7426" t="inlineStr">
        <is>
          <t>SOLLEFTEÅ</t>
        </is>
      </c>
      <c r="F7426" t="inlineStr">
        <is>
          <t>SCA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44591-2024</t>
        </is>
      </c>
      <c r="B7427" s="1" t="n">
        <v>45574</v>
      </c>
      <c r="C7427" s="1" t="n">
        <v>46185</v>
      </c>
      <c r="D7427" t="inlineStr">
        <is>
          <t>VÄSTERNORRLANDS LÄN</t>
        </is>
      </c>
      <c r="E7427" t="inlineStr">
        <is>
          <t>SOLLEFTEÅ</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39922-2024</t>
        </is>
      </c>
      <c r="B7428" s="1" t="n">
        <v>45553</v>
      </c>
      <c r="C7428" s="1" t="n">
        <v>46185</v>
      </c>
      <c r="D7428" t="inlineStr">
        <is>
          <t>VÄSTERNORRLANDS LÄN</t>
        </is>
      </c>
      <c r="E7428" t="inlineStr">
        <is>
          <t>SUNDSVALL</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22200-2026</t>
        </is>
      </c>
      <c r="B7429" s="1" t="n">
        <v>46153.66606481482</v>
      </c>
      <c r="C7429" s="1" t="n">
        <v>46185</v>
      </c>
      <c r="D7429" t="inlineStr">
        <is>
          <t>VÄSTERNORRLANDS LÄN</t>
        </is>
      </c>
      <c r="E7429" t="inlineStr">
        <is>
          <t>HÄRNÖSAND</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21804-2026</t>
        </is>
      </c>
      <c r="B7430" s="1" t="n">
        <v>46150.4485300926</v>
      </c>
      <c r="C7430" s="1" t="n">
        <v>46185</v>
      </c>
      <c r="D7430" t="inlineStr">
        <is>
          <t>VÄSTERNORRLANDS LÄN</t>
        </is>
      </c>
      <c r="E7430" t="inlineStr">
        <is>
          <t>SOLLEFTEÅ</t>
        </is>
      </c>
      <c r="F7430" t="inlineStr">
        <is>
          <t>SCA</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64437-2021</t>
        </is>
      </c>
      <c r="B7431" s="1" t="n">
        <v>44511</v>
      </c>
      <c r="C7431" s="1" t="n">
        <v>46185</v>
      </c>
      <c r="D7431" t="inlineStr">
        <is>
          <t>VÄSTERNORRLANDS LÄN</t>
        </is>
      </c>
      <c r="E7431" t="inlineStr">
        <is>
          <t>ÖRNSKÖLDSVIK</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3348-2024</t>
        </is>
      </c>
      <c r="B7432" s="1" t="n">
        <v>45317</v>
      </c>
      <c r="C7432" s="1" t="n">
        <v>46185</v>
      </c>
      <c r="D7432" t="inlineStr">
        <is>
          <t>VÄSTERNORRLANDS LÄN</t>
        </is>
      </c>
      <c r="E7432" t="inlineStr">
        <is>
          <t>SUNDSVALL</t>
        </is>
      </c>
      <c r="G7432" t="n">
        <v>5.2</v>
      </c>
      <c r="H7432" t="n">
        <v>0</v>
      </c>
      <c r="I7432" t="n">
        <v>0</v>
      </c>
      <c r="J7432" t="n">
        <v>0</v>
      </c>
      <c r="K7432" t="n">
        <v>0</v>
      </c>
      <c r="L7432" t="n">
        <v>0</v>
      </c>
      <c r="M7432" t="n">
        <v>0</v>
      </c>
      <c r="N7432" t="n">
        <v>0</v>
      </c>
      <c r="O7432" t="n">
        <v>0</v>
      </c>
      <c r="P7432" t="n">
        <v>0</v>
      </c>
      <c r="Q7432" t="n">
        <v>0</v>
      </c>
      <c r="R7432" s="2" t="inlineStr"/>
    </row>
    <row r="7433" ht="15" customHeight="1">
      <c r="A7433" t="inlineStr">
        <is>
          <t>A 21809-2026</t>
        </is>
      </c>
      <c r="B7433" s="1" t="n">
        <v>46150</v>
      </c>
      <c r="C7433" s="1" t="n">
        <v>46185</v>
      </c>
      <c r="D7433" t="inlineStr">
        <is>
          <t>VÄSTERNORRLANDS LÄN</t>
        </is>
      </c>
      <c r="E7433" t="inlineStr">
        <is>
          <t>SUNDSVALL</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37887-2024</t>
        </is>
      </c>
      <c r="B7434" s="1" t="n">
        <v>45544</v>
      </c>
      <c r="C7434" s="1" t="n">
        <v>46185</v>
      </c>
      <c r="D7434" t="inlineStr">
        <is>
          <t>VÄSTERNORRLANDS LÄN</t>
        </is>
      </c>
      <c r="E7434" t="inlineStr">
        <is>
          <t>SUNDSVALL</t>
        </is>
      </c>
      <c r="F7434" t="inlineStr">
        <is>
          <t>SCA</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21884-2026</t>
        </is>
      </c>
      <c r="B7435" s="1" t="n">
        <v>46150.59431712963</v>
      </c>
      <c r="C7435" s="1" t="n">
        <v>46185</v>
      </c>
      <c r="D7435" t="inlineStr">
        <is>
          <t>VÄSTERNORRLANDS LÄN</t>
        </is>
      </c>
      <c r="E7435" t="inlineStr">
        <is>
          <t>ÅNGE</t>
        </is>
      </c>
      <c r="F7435" t="inlineStr">
        <is>
          <t>SCA</t>
        </is>
      </c>
      <c r="G7435" t="n">
        <v>26.9</v>
      </c>
      <c r="H7435" t="n">
        <v>0</v>
      </c>
      <c r="I7435" t="n">
        <v>0</v>
      </c>
      <c r="J7435" t="n">
        <v>0</v>
      </c>
      <c r="K7435" t="n">
        <v>0</v>
      </c>
      <c r="L7435" t="n">
        <v>0</v>
      </c>
      <c r="M7435" t="n">
        <v>0</v>
      </c>
      <c r="N7435" t="n">
        <v>0</v>
      </c>
      <c r="O7435" t="n">
        <v>0</v>
      </c>
      <c r="P7435" t="n">
        <v>0</v>
      </c>
      <c r="Q7435" t="n">
        <v>0</v>
      </c>
      <c r="R7435" s="2" t="inlineStr"/>
    </row>
    <row r="7436" ht="15" customHeight="1">
      <c r="A7436" t="inlineStr">
        <is>
          <t>A 21813-2026</t>
        </is>
      </c>
      <c r="B7436" s="1" t="n">
        <v>46150</v>
      </c>
      <c r="C7436" s="1" t="n">
        <v>46185</v>
      </c>
      <c r="D7436" t="inlineStr">
        <is>
          <t>VÄSTERNORRLANDS LÄN</t>
        </is>
      </c>
      <c r="E7436" t="inlineStr">
        <is>
          <t>TIMRÅ</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16427-2026</t>
        </is>
      </c>
      <c r="B7437" s="1" t="n">
        <v>46111.69849537037</v>
      </c>
      <c r="C7437" s="1" t="n">
        <v>46185</v>
      </c>
      <c r="D7437" t="inlineStr">
        <is>
          <t>VÄSTERNORRLANDS LÄN</t>
        </is>
      </c>
      <c r="E7437" t="inlineStr">
        <is>
          <t>SOLLEFTEÅ</t>
        </is>
      </c>
      <c r="F7437" t="inlineStr">
        <is>
          <t>SCA</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21867-2026</t>
        </is>
      </c>
      <c r="B7438" s="1" t="n">
        <v>46150.57362268519</v>
      </c>
      <c r="C7438" s="1" t="n">
        <v>46185</v>
      </c>
      <c r="D7438" t="inlineStr">
        <is>
          <t>VÄSTERNORRLANDS LÄN</t>
        </is>
      </c>
      <c r="E7438" t="inlineStr">
        <is>
          <t>SOLLEFTEÅ</t>
        </is>
      </c>
      <c r="F7438" t="inlineStr">
        <is>
          <t>SCA</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37408-2023</t>
        </is>
      </c>
      <c r="B7439" s="1" t="n">
        <v>45156</v>
      </c>
      <c r="C7439" s="1" t="n">
        <v>46185</v>
      </c>
      <c r="D7439" t="inlineStr">
        <is>
          <t>VÄSTERNORRLANDS LÄN</t>
        </is>
      </c>
      <c r="E7439" t="inlineStr">
        <is>
          <t>SUNDSVALL</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49495-2024</t>
        </is>
      </c>
      <c r="B7440" s="1" t="n">
        <v>45596.36559027778</v>
      </c>
      <c r="C7440" s="1" t="n">
        <v>46185</v>
      </c>
      <c r="D7440" t="inlineStr">
        <is>
          <t>VÄSTERNORRLANDS LÄN</t>
        </is>
      </c>
      <c r="E7440" t="inlineStr">
        <is>
          <t>TIMRÅ</t>
        </is>
      </c>
      <c r="F7440" t="inlineStr">
        <is>
          <t>SCA</t>
        </is>
      </c>
      <c r="G7440" t="n">
        <v>6.9</v>
      </c>
      <c r="H7440" t="n">
        <v>0</v>
      </c>
      <c r="I7440" t="n">
        <v>0</v>
      </c>
      <c r="J7440" t="n">
        <v>0</v>
      </c>
      <c r="K7440" t="n">
        <v>0</v>
      </c>
      <c r="L7440" t="n">
        <v>0</v>
      </c>
      <c r="M7440" t="n">
        <v>0</v>
      </c>
      <c r="N7440" t="n">
        <v>0</v>
      </c>
      <c r="O7440" t="n">
        <v>0</v>
      </c>
      <c r="P7440" t="n">
        <v>0</v>
      </c>
      <c r="Q7440" t="n">
        <v>0</v>
      </c>
      <c r="R7440" s="2" t="inlineStr"/>
    </row>
    <row r="7441" ht="15" customHeight="1">
      <c r="A7441" t="inlineStr">
        <is>
          <t>A 22077-2026</t>
        </is>
      </c>
      <c r="B7441" s="1" t="n">
        <v>46153.51212962963</v>
      </c>
      <c r="C7441" s="1" t="n">
        <v>46185</v>
      </c>
      <c r="D7441" t="inlineStr">
        <is>
          <t>VÄSTERNORRLANDS LÄN</t>
        </is>
      </c>
      <c r="E7441" t="inlineStr">
        <is>
          <t>SOLLEFTEÅ</t>
        </is>
      </c>
      <c r="F7441" t="inlineStr">
        <is>
          <t>Holmen skog AB</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21579-2026</t>
        </is>
      </c>
      <c r="B7442" s="1" t="n">
        <v>46148.71936342592</v>
      </c>
      <c r="C7442" s="1" t="n">
        <v>46185</v>
      </c>
      <c r="D7442" t="inlineStr">
        <is>
          <t>VÄSTERNORRLANDS LÄN</t>
        </is>
      </c>
      <c r="E7442" t="inlineStr">
        <is>
          <t>ÅNGE</t>
        </is>
      </c>
      <c r="F7442" t="inlineStr">
        <is>
          <t>SCA</t>
        </is>
      </c>
      <c r="G7442" t="n">
        <v>8.199999999999999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21912-2026</t>
        </is>
      </c>
      <c r="B7443" s="1" t="n">
        <v>46150.63259259259</v>
      </c>
      <c r="C7443" s="1" t="n">
        <v>46185</v>
      </c>
      <c r="D7443" t="inlineStr">
        <is>
          <t>VÄSTERNORRLANDS LÄN</t>
        </is>
      </c>
      <c r="E7443" t="inlineStr">
        <is>
          <t>TIMRÅ</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21914-2026</t>
        </is>
      </c>
      <c r="B7444" s="1" t="n">
        <v>46150.6359837963</v>
      </c>
      <c r="C7444" s="1" t="n">
        <v>46185</v>
      </c>
      <c r="D7444" t="inlineStr">
        <is>
          <t>VÄSTERNORRLANDS LÄN</t>
        </is>
      </c>
      <c r="E7444" t="inlineStr">
        <is>
          <t>SOLLEFTEÅ</t>
        </is>
      </c>
      <c r="F7444" t="inlineStr">
        <is>
          <t>SCA</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36971-2023</t>
        </is>
      </c>
      <c r="B7445" s="1" t="n">
        <v>45154</v>
      </c>
      <c r="C7445" s="1" t="n">
        <v>46185</v>
      </c>
      <c r="D7445" t="inlineStr">
        <is>
          <t>VÄSTERNORRLANDS LÄN</t>
        </is>
      </c>
      <c r="E7445" t="inlineStr">
        <is>
          <t>SUNDSVALL</t>
        </is>
      </c>
      <c r="F7445" t="inlineStr">
        <is>
          <t>SCA</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28497-2024</t>
        </is>
      </c>
      <c r="B7446" s="1" t="n">
        <v>45477.9271875</v>
      </c>
      <c r="C7446" s="1" t="n">
        <v>46185</v>
      </c>
      <c r="D7446" t="inlineStr">
        <is>
          <t>VÄSTERNORRLANDS LÄN</t>
        </is>
      </c>
      <c r="E7446" t="inlineStr">
        <is>
          <t>SUNDSVALL</t>
        </is>
      </c>
      <c r="G7446" t="n">
        <v>13.9</v>
      </c>
      <c r="H7446" t="n">
        <v>0</v>
      </c>
      <c r="I7446" t="n">
        <v>0</v>
      </c>
      <c r="J7446" t="n">
        <v>0</v>
      </c>
      <c r="K7446" t="n">
        <v>0</v>
      </c>
      <c r="L7446" t="n">
        <v>0</v>
      </c>
      <c r="M7446" t="n">
        <v>0</v>
      </c>
      <c r="N7446" t="n">
        <v>0</v>
      </c>
      <c r="O7446" t="n">
        <v>0</v>
      </c>
      <c r="P7446" t="n">
        <v>0</v>
      </c>
      <c r="Q7446" t="n">
        <v>0</v>
      </c>
      <c r="R7446" s="2" t="inlineStr"/>
    </row>
    <row r="7447" ht="15" customHeight="1">
      <c r="A7447" t="inlineStr">
        <is>
          <t>A 59579-2021</t>
        </is>
      </c>
      <c r="B7447" s="1" t="n">
        <v>44491</v>
      </c>
      <c r="C7447" s="1" t="n">
        <v>46185</v>
      </c>
      <c r="D7447" t="inlineStr">
        <is>
          <t>VÄSTERNORRLANDS LÄN</t>
        </is>
      </c>
      <c r="E7447" t="inlineStr">
        <is>
          <t>SUNDSVALL</t>
        </is>
      </c>
      <c r="G7447" t="n">
        <v>5.3</v>
      </c>
      <c r="H7447" t="n">
        <v>0</v>
      </c>
      <c r="I7447" t="n">
        <v>0</v>
      </c>
      <c r="J7447" t="n">
        <v>0</v>
      </c>
      <c r="K7447" t="n">
        <v>0</v>
      </c>
      <c r="L7447" t="n">
        <v>0</v>
      </c>
      <c r="M7447" t="n">
        <v>0</v>
      </c>
      <c r="N7447" t="n">
        <v>0</v>
      </c>
      <c r="O7447" t="n">
        <v>0</v>
      </c>
      <c r="P7447" t="n">
        <v>0</v>
      </c>
      <c r="Q7447" t="n">
        <v>0</v>
      </c>
      <c r="R7447" s="2" t="inlineStr"/>
    </row>
    <row r="7448" ht="15" customHeight="1">
      <c r="A7448" t="inlineStr">
        <is>
          <t>A 38795-2023</t>
        </is>
      </c>
      <c r="B7448" s="1" t="n">
        <v>45162</v>
      </c>
      <c r="C7448" s="1" t="n">
        <v>46185</v>
      </c>
      <c r="D7448" t="inlineStr">
        <is>
          <t>VÄSTERNORRLANDS LÄN</t>
        </is>
      </c>
      <c r="E7448" t="inlineStr">
        <is>
          <t>ÅNGE</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22191-2026</t>
        </is>
      </c>
      <c r="B7449" s="1" t="n">
        <v>46153.65594907408</v>
      </c>
      <c r="C7449" s="1" t="n">
        <v>46185</v>
      </c>
      <c r="D7449" t="inlineStr">
        <is>
          <t>VÄSTERNORRLANDS LÄN</t>
        </is>
      </c>
      <c r="E7449" t="inlineStr">
        <is>
          <t>ÅNGE</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35979-2023</t>
        </is>
      </c>
      <c r="B7450" s="1" t="n">
        <v>45148</v>
      </c>
      <c r="C7450" s="1" t="n">
        <v>46185</v>
      </c>
      <c r="D7450" t="inlineStr">
        <is>
          <t>VÄSTERNORRLANDS LÄN</t>
        </is>
      </c>
      <c r="E7450" t="inlineStr">
        <is>
          <t>ÅNGE</t>
        </is>
      </c>
      <c r="F7450" t="inlineStr">
        <is>
          <t>SCA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31408-2024</t>
        </is>
      </c>
      <c r="B7451" s="1" t="n">
        <v>45502</v>
      </c>
      <c r="C7451" s="1" t="n">
        <v>46185</v>
      </c>
      <c r="D7451" t="inlineStr">
        <is>
          <t>VÄSTERNORRLANDS LÄN</t>
        </is>
      </c>
      <c r="E7451" t="inlineStr">
        <is>
          <t>HÄRNÖSAND</t>
        </is>
      </c>
      <c r="G7451" t="n">
        <v>0.3</v>
      </c>
      <c r="H7451" t="n">
        <v>0</v>
      </c>
      <c r="I7451" t="n">
        <v>0</v>
      </c>
      <c r="J7451" t="n">
        <v>0</v>
      </c>
      <c r="K7451" t="n">
        <v>0</v>
      </c>
      <c r="L7451" t="n">
        <v>0</v>
      </c>
      <c r="M7451" t="n">
        <v>0</v>
      </c>
      <c r="N7451" t="n">
        <v>0</v>
      </c>
      <c r="O7451" t="n">
        <v>0</v>
      </c>
      <c r="P7451" t="n">
        <v>0</v>
      </c>
      <c r="Q7451" t="n">
        <v>0</v>
      </c>
      <c r="R7451" s="2" t="inlineStr"/>
    </row>
    <row r="7452" ht="15" customHeight="1">
      <c r="A7452" t="inlineStr">
        <is>
          <t>A 22079-2026</t>
        </is>
      </c>
      <c r="B7452" s="1" t="n">
        <v>46153.52506944445</v>
      </c>
      <c r="C7452" s="1" t="n">
        <v>46185</v>
      </c>
      <c r="D7452" t="inlineStr">
        <is>
          <t>VÄSTERNORRLANDS LÄN</t>
        </is>
      </c>
      <c r="E7452" t="inlineStr">
        <is>
          <t>ÖRNSKÖLDSVIK</t>
        </is>
      </c>
      <c r="F7452" t="inlineStr">
        <is>
          <t>Holmen skog AB</t>
        </is>
      </c>
      <c r="G7452" t="n">
        <v>7.4</v>
      </c>
      <c r="H7452" t="n">
        <v>0</v>
      </c>
      <c r="I7452" t="n">
        <v>0</v>
      </c>
      <c r="J7452" t="n">
        <v>0</v>
      </c>
      <c r="K7452" t="n">
        <v>0</v>
      </c>
      <c r="L7452" t="n">
        <v>0</v>
      </c>
      <c r="M7452" t="n">
        <v>0</v>
      </c>
      <c r="N7452" t="n">
        <v>0</v>
      </c>
      <c r="O7452" t="n">
        <v>0</v>
      </c>
      <c r="P7452" t="n">
        <v>0</v>
      </c>
      <c r="Q7452" t="n">
        <v>0</v>
      </c>
      <c r="R7452" s="2" t="inlineStr"/>
    </row>
    <row r="7453" ht="15" customHeight="1">
      <c r="A7453" t="inlineStr">
        <is>
          <t>A 24416-2024</t>
        </is>
      </c>
      <c r="B7453" s="1" t="n">
        <v>45457.74280092592</v>
      </c>
      <c r="C7453" s="1" t="n">
        <v>46185</v>
      </c>
      <c r="D7453" t="inlineStr">
        <is>
          <t>VÄSTERNORRLANDS LÄN</t>
        </is>
      </c>
      <c r="E7453" t="inlineStr">
        <is>
          <t>ÖRNSKÖLDSVIK</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22166-2026</t>
        </is>
      </c>
      <c r="B7454" s="1" t="n">
        <v>46153.63644675926</v>
      </c>
      <c r="C7454" s="1" t="n">
        <v>46185</v>
      </c>
      <c r="D7454" t="inlineStr">
        <is>
          <t>VÄSTERNORRLANDS LÄN</t>
        </is>
      </c>
      <c r="E7454" t="inlineStr">
        <is>
          <t>SOLLEFTEÅ</t>
        </is>
      </c>
      <c r="F7454" t="inlineStr">
        <is>
          <t>SCA</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28611-2024</t>
        </is>
      </c>
      <c r="B7455" s="1" t="n">
        <v>45478</v>
      </c>
      <c r="C7455" s="1" t="n">
        <v>46185</v>
      </c>
      <c r="D7455" t="inlineStr">
        <is>
          <t>VÄSTERNORRLANDS LÄN</t>
        </is>
      </c>
      <c r="E7455" t="inlineStr">
        <is>
          <t>SUNDSVALL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23542-2024</t>
        </is>
      </c>
      <c r="B7456" s="1" t="n">
        <v>45453.95262731481</v>
      </c>
      <c r="C7456" s="1" t="n">
        <v>46185</v>
      </c>
      <c r="D7456" t="inlineStr">
        <is>
          <t>VÄSTERNORRLANDS LÄN</t>
        </is>
      </c>
      <c r="E7456" t="inlineStr">
        <is>
          <t>SOLLEFTEÅ</t>
        </is>
      </c>
      <c r="F7456" t="inlineStr">
        <is>
          <t>SCA</t>
        </is>
      </c>
      <c r="G7456" t="n">
        <v>4.1</v>
      </c>
      <c r="H7456" t="n">
        <v>0</v>
      </c>
      <c r="I7456" t="n">
        <v>0</v>
      </c>
      <c r="J7456" t="n">
        <v>0</v>
      </c>
      <c r="K7456" t="n">
        <v>0</v>
      </c>
      <c r="L7456" t="n">
        <v>0</v>
      </c>
      <c r="M7456" t="n">
        <v>0</v>
      </c>
      <c r="N7456" t="n">
        <v>0</v>
      </c>
      <c r="O7456" t="n">
        <v>0</v>
      </c>
      <c r="P7456" t="n">
        <v>0</v>
      </c>
      <c r="Q7456" t="n">
        <v>0</v>
      </c>
      <c r="R7456" s="2" t="inlineStr"/>
    </row>
    <row r="7457" ht="15" customHeight="1">
      <c r="A7457" t="inlineStr">
        <is>
          <t>A 15967-2026</t>
        </is>
      </c>
      <c r="B7457" s="1" t="n">
        <v>46108.34435185185</v>
      </c>
      <c r="C7457" s="1" t="n">
        <v>46185</v>
      </c>
      <c r="D7457" t="inlineStr">
        <is>
          <t>VÄSTERNORRLANDS LÄN</t>
        </is>
      </c>
      <c r="E7457" t="inlineStr">
        <is>
          <t>ÅNGE</t>
        </is>
      </c>
      <c r="F7457" t="inlineStr">
        <is>
          <t>SCA</t>
        </is>
      </c>
      <c r="G7457" t="n">
        <v>21.4</v>
      </c>
      <c r="H7457" t="n">
        <v>0</v>
      </c>
      <c r="I7457" t="n">
        <v>0</v>
      </c>
      <c r="J7457" t="n">
        <v>0</v>
      </c>
      <c r="K7457" t="n">
        <v>0</v>
      </c>
      <c r="L7457" t="n">
        <v>0</v>
      </c>
      <c r="M7457" t="n">
        <v>0</v>
      </c>
      <c r="N7457" t="n">
        <v>0</v>
      </c>
      <c r="O7457" t="n">
        <v>0</v>
      </c>
      <c r="P7457" t="n">
        <v>0</v>
      </c>
      <c r="Q7457" t="n">
        <v>0</v>
      </c>
      <c r="R7457" s="2" t="inlineStr"/>
    </row>
    <row r="7458" ht="15" customHeight="1">
      <c r="A7458" t="inlineStr">
        <is>
          <t>A 24144-2024</t>
        </is>
      </c>
      <c r="B7458" s="1" t="n">
        <v>45456.64755787037</v>
      </c>
      <c r="C7458" s="1" t="n">
        <v>46185</v>
      </c>
      <c r="D7458" t="inlineStr">
        <is>
          <t>VÄSTERNORRLANDS LÄN</t>
        </is>
      </c>
      <c r="E7458" t="inlineStr">
        <is>
          <t>ÖRNSKÖLDSVIK</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16228-2026</t>
        </is>
      </c>
      <c r="B7459" s="1" t="n">
        <v>46111.4500462963</v>
      </c>
      <c r="C7459" s="1" t="n">
        <v>46185</v>
      </c>
      <c r="D7459" t="inlineStr">
        <is>
          <t>VÄSTERNORRLANDS LÄN</t>
        </is>
      </c>
      <c r="E7459" t="inlineStr">
        <is>
          <t>TIMRÅ</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33583-2024</t>
        </is>
      </c>
      <c r="B7460" s="1" t="n">
        <v>45520.34469907408</v>
      </c>
      <c r="C7460" s="1" t="n">
        <v>46185</v>
      </c>
      <c r="D7460" t="inlineStr">
        <is>
          <t>VÄSTERNORRLANDS LÄN</t>
        </is>
      </c>
      <c r="E7460" t="inlineStr">
        <is>
          <t>ÖRNSKÖLDSVIK</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33616-2024</t>
        </is>
      </c>
      <c r="B7461" s="1" t="n">
        <v>45520.4027662037</v>
      </c>
      <c r="C7461" s="1" t="n">
        <v>46185</v>
      </c>
      <c r="D7461" t="inlineStr">
        <is>
          <t>VÄSTERNORRLANDS LÄN</t>
        </is>
      </c>
      <c r="E7461" t="inlineStr">
        <is>
          <t>ÖRNSKÖLDSVIK</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15786-2026</t>
        </is>
      </c>
      <c r="B7462" s="1" t="n">
        <v>46107.47047453704</v>
      </c>
      <c r="C7462" s="1" t="n">
        <v>46185</v>
      </c>
      <c r="D7462" t="inlineStr">
        <is>
          <t>VÄSTERNORRLANDS LÄN</t>
        </is>
      </c>
      <c r="E7462" t="inlineStr">
        <is>
          <t>SUNDSVALL</t>
        </is>
      </c>
      <c r="F7462" t="inlineStr">
        <is>
          <t>SCA</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16389-2026</t>
        </is>
      </c>
      <c r="B7463" s="1" t="n">
        <v>46111.63353009259</v>
      </c>
      <c r="C7463" s="1" t="n">
        <v>46185</v>
      </c>
      <c r="D7463" t="inlineStr">
        <is>
          <t>VÄSTERNORRLANDS LÄN</t>
        </is>
      </c>
      <c r="E7463" t="inlineStr">
        <is>
          <t>ÖRNSKÖLDSVIK</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16021-2026</t>
        </is>
      </c>
      <c r="B7464" s="1" t="n">
        <v>46108.44847222222</v>
      </c>
      <c r="C7464" s="1" t="n">
        <v>46185</v>
      </c>
      <c r="D7464" t="inlineStr">
        <is>
          <t>VÄSTERNORRLANDS LÄN</t>
        </is>
      </c>
      <c r="E7464" t="inlineStr">
        <is>
          <t>SOLLEFTEÅ</t>
        </is>
      </c>
      <c r="F7464" t="inlineStr">
        <is>
          <t>SCA</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36466-2024</t>
        </is>
      </c>
      <c r="B7465" s="1" t="n">
        <v>45537.35872685185</v>
      </c>
      <c r="C7465" s="1" t="n">
        <v>46185</v>
      </c>
      <c r="D7465" t="inlineStr">
        <is>
          <t>VÄSTERNORRLANDS LÄN</t>
        </is>
      </c>
      <c r="E7465" t="inlineStr">
        <is>
          <t>ÅNGE</t>
        </is>
      </c>
      <c r="F7465" t="inlineStr">
        <is>
          <t>SCA</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16394-2026</t>
        </is>
      </c>
      <c r="B7466" s="1" t="n">
        <v>46111.63518518519</v>
      </c>
      <c r="C7466" s="1" t="n">
        <v>46185</v>
      </c>
      <c r="D7466" t="inlineStr">
        <is>
          <t>VÄSTERNORRLANDS LÄN</t>
        </is>
      </c>
      <c r="E7466" t="inlineStr">
        <is>
          <t>ÖRNSKÖLDSVIK</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45215-2024</t>
        </is>
      </c>
      <c r="B7467" s="1" t="n">
        <v>45575.73666666666</v>
      </c>
      <c r="C7467" s="1" t="n">
        <v>46185</v>
      </c>
      <c r="D7467" t="inlineStr">
        <is>
          <t>VÄSTERNORRLANDS LÄN</t>
        </is>
      </c>
      <c r="E7467" t="inlineStr">
        <is>
          <t>ÖRNSKÖLDSVIK</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35673-2024</t>
        </is>
      </c>
      <c r="B7468" s="1" t="n">
        <v>45532.39119212963</v>
      </c>
      <c r="C7468" s="1" t="n">
        <v>46185</v>
      </c>
      <c r="D7468" t="inlineStr">
        <is>
          <t>VÄSTERNORRLANDS LÄN</t>
        </is>
      </c>
      <c r="E7468" t="inlineStr">
        <is>
          <t>SOLLEFTEÅ</t>
        </is>
      </c>
      <c r="F7468" t="inlineStr">
        <is>
          <t>SCA</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2972-2023</t>
        </is>
      </c>
      <c r="B7469" s="1" t="n">
        <v>44944</v>
      </c>
      <c r="C7469" s="1" t="n">
        <v>46185</v>
      </c>
      <c r="D7469" t="inlineStr">
        <is>
          <t>VÄSTERNORRLANDS LÄN</t>
        </is>
      </c>
      <c r="E7469" t="inlineStr">
        <is>
          <t>ÖRNSKÖLDSVIK</t>
        </is>
      </c>
      <c r="G7469" t="n">
        <v>10</v>
      </c>
      <c r="H7469" t="n">
        <v>0</v>
      </c>
      <c r="I7469" t="n">
        <v>0</v>
      </c>
      <c r="J7469" t="n">
        <v>0</v>
      </c>
      <c r="K7469" t="n">
        <v>0</v>
      </c>
      <c r="L7469" t="n">
        <v>0</v>
      </c>
      <c r="M7469" t="n">
        <v>0</v>
      </c>
      <c r="N7469" t="n">
        <v>0</v>
      </c>
      <c r="O7469" t="n">
        <v>0</v>
      </c>
      <c r="P7469" t="n">
        <v>0</v>
      </c>
      <c r="Q7469" t="n">
        <v>0</v>
      </c>
      <c r="R7469" s="2" t="inlineStr"/>
    </row>
    <row r="7470" ht="15" customHeight="1">
      <c r="A7470" t="inlineStr">
        <is>
          <t>A 52785-2024</t>
        </is>
      </c>
      <c r="B7470" s="1" t="n">
        <v>45610.55273148148</v>
      </c>
      <c r="C7470" s="1" t="n">
        <v>46185</v>
      </c>
      <c r="D7470" t="inlineStr">
        <is>
          <t>VÄSTERNORRLANDS LÄN</t>
        </is>
      </c>
      <c r="E7470" t="inlineStr">
        <is>
          <t>ÅNGE</t>
        </is>
      </c>
      <c r="F7470" t="inlineStr">
        <is>
          <t>SCA</t>
        </is>
      </c>
      <c r="G7470" t="n">
        <v>9.300000000000001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52786-2024</t>
        </is>
      </c>
      <c r="B7471" s="1" t="n">
        <v>45610.55283564814</v>
      </c>
      <c r="C7471" s="1" t="n">
        <v>46185</v>
      </c>
      <c r="D7471" t="inlineStr">
        <is>
          <t>VÄSTERNORRLANDS LÄN</t>
        </is>
      </c>
      <c r="E7471" t="inlineStr">
        <is>
          <t>ÅNGE</t>
        </is>
      </c>
      <c r="F7471" t="inlineStr">
        <is>
          <t>SCA</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32549-2023</t>
        </is>
      </c>
      <c r="B7472" s="1" t="n">
        <v>45111</v>
      </c>
      <c r="C7472" s="1" t="n">
        <v>46185</v>
      </c>
      <c r="D7472" t="inlineStr">
        <is>
          <t>VÄSTERNORRLANDS LÄN</t>
        </is>
      </c>
      <c r="E7472" t="inlineStr">
        <is>
          <t>ÖRNSKÖLDSVIK</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32562-2023</t>
        </is>
      </c>
      <c r="B7473" s="1" t="n">
        <v>45111</v>
      </c>
      <c r="C7473" s="1" t="n">
        <v>46185</v>
      </c>
      <c r="D7473" t="inlineStr">
        <is>
          <t>VÄSTERNORRLANDS LÄN</t>
        </is>
      </c>
      <c r="E7473" t="inlineStr">
        <is>
          <t>SUNDSVALL</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16022-2026</t>
        </is>
      </c>
      <c r="B7474" s="1" t="n">
        <v>46108.44871527778</v>
      </c>
      <c r="C7474" s="1" t="n">
        <v>46185</v>
      </c>
      <c r="D7474" t="inlineStr">
        <is>
          <t>VÄSTERNORRLANDS LÄN</t>
        </is>
      </c>
      <c r="E7474" t="inlineStr">
        <is>
          <t>ÖRNSKÖLDSVIK</t>
        </is>
      </c>
      <c r="F7474" t="inlineStr">
        <is>
          <t>SCA</t>
        </is>
      </c>
      <c r="G7474" t="n">
        <v>6.6</v>
      </c>
      <c r="H7474" t="n">
        <v>0</v>
      </c>
      <c r="I7474" t="n">
        <v>0</v>
      </c>
      <c r="J7474" t="n">
        <v>0</v>
      </c>
      <c r="K7474" t="n">
        <v>0</v>
      </c>
      <c r="L7474" t="n">
        <v>0</v>
      </c>
      <c r="M7474" t="n">
        <v>0</v>
      </c>
      <c r="N7474" t="n">
        <v>0</v>
      </c>
      <c r="O7474" t="n">
        <v>0</v>
      </c>
      <c r="P7474" t="n">
        <v>0</v>
      </c>
      <c r="Q7474" t="n">
        <v>0</v>
      </c>
      <c r="R7474" s="2" t="inlineStr"/>
    </row>
    <row r="7475" ht="15" customHeight="1">
      <c r="A7475" t="inlineStr">
        <is>
          <t>A 43005-2023</t>
        </is>
      </c>
      <c r="B7475" s="1" t="n">
        <v>45182</v>
      </c>
      <c r="C7475" s="1" t="n">
        <v>46185</v>
      </c>
      <c r="D7475" t="inlineStr">
        <is>
          <t>VÄSTERNORRLANDS LÄN</t>
        </is>
      </c>
      <c r="E7475" t="inlineStr">
        <is>
          <t>KRAMFORS</t>
        </is>
      </c>
      <c r="G7475" t="n">
        <v>13.8</v>
      </c>
      <c r="H7475" t="n">
        <v>0</v>
      </c>
      <c r="I7475" t="n">
        <v>0</v>
      </c>
      <c r="J7475" t="n">
        <v>0</v>
      </c>
      <c r="K7475" t="n">
        <v>0</v>
      </c>
      <c r="L7475" t="n">
        <v>0</v>
      </c>
      <c r="M7475" t="n">
        <v>0</v>
      </c>
      <c r="N7475" t="n">
        <v>0</v>
      </c>
      <c r="O7475" t="n">
        <v>0</v>
      </c>
      <c r="P7475" t="n">
        <v>0</v>
      </c>
      <c r="Q7475" t="n">
        <v>0</v>
      </c>
      <c r="R7475" s="2" t="inlineStr"/>
    </row>
    <row r="7476" ht="15" customHeight="1">
      <c r="A7476" t="inlineStr">
        <is>
          <t>A 65192-2023</t>
        </is>
      </c>
      <c r="B7476" s="1" t="n">
        <v>45288</v>
      </c>
      <c r="C7476" s="1" t="n">
        <v>46185</v>
      </c>
      <c r="D7476" t="inlineStr">
        <is>
          <t>VÄSTERNORRLANDS LÄN</t>
        </is>
      </c>
      <c r="E7476" t="inlineStr">
        <is>
          <t>SUNDSVALL</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65193-2023</t>
        </is>
      </c>
      <c r="B7477" s="1" t="n">
        <v>45288</v>
      </c>
      <c r="C7477" s="1" t="n">
        <v>46185</v>
      </c>
      <c r="D7477" t="inlineStr">
        <is>
          <t>VÄSTERNORRLANDS LÄN</t>
        </is>
      </c>
      <c r="E7477" t="inlineStr">
        <is>
          <t>SUNDSVALL</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22047-2026</t>
        </is>
      </c>
      <c r="B7478" s="1" t="n">
        <v>46153.46972222222</v>
      </c>
      <c r="C7478" s="1" t="n">
        <v>46185</v>
      </c>
      <c r="D7478" t="inlineStr">
        <is>
          <t>VÄSTERNORRLANDS LÄN</t>
        </is>
      </c>
      <c r="E7478" t="inlineStr">
        <is>
          <t>SUNDSVALL</t>
        </is>
      </c>
      <c r="F7478" t="inlineStr">
        <is>
          <t>SCA</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41174-2023</t>
        </is>
      </c>
      <c r="B7479" s="1" t="n">
        <v>45174</v>
      </c>
      <c r="C7479" s="1" t="n">
        <v>46185</v>
      </c>
      <c r="D7479" t="inlineStr">
        <is>
          <t>VÄSTERNORRLANDS LÄN</t>
        </is>
      </c>
      <c r="E7479" t="inlineStr">
        <is>
          <t>ÖRNSKÖLDSVIK</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22078-2026</t>
        </is>
      </c>
      <c r="B7480" s="1" t="n">
        <v>46153.52054398148</v>
      </c>
      <c r="C7480" s="1" t="n">
        <v>46185</v>
      </c>
      <c r="D7480" t="inlineStr">
        <is>
          <t>VÄSTERNORRLANDS LÄN</t>
        </is>
      </c>
      <c r="E7480" t="inlineStr">
        <is>
          <t>ÖRNSKÖLDSVIK</t>
        </is>
      </c>
      <c r="F7480" t="inlineStr">
        <is>
          <t>Holmen skog AB</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3398-2026</t>
        </is>
      </c>
      <c r="B7481" s="1" t="n">
        <v>46042.38586805556</v>
      </c>
      <c r="C7481" s="1" t="n">
        <v>46185</v>
      </c>
      <c r="D7481" t="inlineStr">
        <is>
          <t>VÄSTERNORRLANDS LÄN</t>
        </is>
      </c>
      <c r="E7481" t="inlineStr">
        <is>
          <t>SOLLEFTEÅ</t>
        </is>
      </c>
      <c r="F7481" t="inlineStr">
        <is>
          <t>SCA</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21827-2026</t>
        </is>
      </c>
      <c r="B7482" s="1" t="n">
        <v>46150</v>
      </c>
      <c r="C7482" s="1" t="n">
        <v>46185</v>
      </c>
      <c r="D7482" t="inlineStr">
        <is>
          <t>VÄSTERNORRLANDS LÄN</t>
        </is>
      </c>
      <c r="E7482" t="inlineStr">
        <is>
          <t>TIMRÅ</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22211-2026</t>
        </is>
      </c>
      <c r="B7483" s="1" t="n">
        <v>46150</v>
      </c>
      <c r="C7483" s="1" t="n">
        <v>46185</v>
      </c>
      <c r="D7483" t="inlineStr">
        <is>
          <t>VÄSTERNORRLANDS LÄN</t>
        </is>
      </c>
      <c r="E7483" t="inlineStr">
        <is>
          <t>ÖRNSKÖLDSVIK</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16225-2026</t>
        </is>
      </c>
      <c r="B7484" s="1" t="n">
        <v>46111.44833333333</v>
      </c>
      <c r="C7484" s="1" t="n">
        <v>46185</v>
      </c>
      <c r="D7484" t="inlineStr">
        <is>
          <t>VÄSTERNORRLANDS LÄN</t>
        </is>
      </c>
      <c r="E7484" t="inlineStr">
        <is>
          <t>ÖRNSKÖLDSVIK</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16240-2026</t>
        </is>
      </c>
      <c r="B7485" s="1" t="n">
        <v>46111.45762731481</v>
      </c>
      <c r="C7485" s="1" t="n">
        <v>46185</v>
      </c>
      <c r="D7485" t="inlineStr">
        <is>
          <t>VÄSTERNORRLANDS LÄN</t>
        </is>
      </c>
      <c r="E7485" t="inlineStr">
        <is>
          <t>ÖRNSKÖLDSVIK</t>
        </is>
      </c>
      <c r="F7485" t="inlineStr">
        <is>
          <t>Holmen skog AB</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16196-2026</t>
        </is>
      </c>
      <c r="B7486" s="1" t="n">
        <v>46111.38623842593</v>
      </c>
      <c r="C7486" s="1" t="n">
        <v>46185</v>
      </c>
      <c r="D7486" t="inlineStr">
        <is>
          <t>VÄSTERNORRLANDS LÄN</t>
        </is>
      </c>
      <c r="E7486" t="inlineStr">
        <is>
          <t>SOLLEFTEÅ</t>
        </is>
      </c>
      <c r="F7486" t="inlineStr">
        <is>
          <t>SCA</t>
        </is>
      </c>
      <c r="G7486" t="n">
        <v>7.1</v>
      </c>
      <c r="H7486" t="n">
        <v>0</v>
      </c>
      <c r="I7486" t="n">
        <v>0</v>
      </c>
      <c r="J7486" t="n">
        <v>0</v>
      </c>
      <c r="K7486" t="n">
        <v>0</v>
      </c>
      <c r="L7486" t="n">
        <v>0</v>
      </c>
      <c r="M7486" t="n">
        <v>0</v>
      </c>
      <c r="N7486" t="n">
        <v>0</v>
      </c>
      <c r="O7486" t="n">
        <v>0</v>
      </c>
      <c r="P7486" t="n">
        <v>0</v>
      </c>
      <c r="Q7486" t="n">
        <v>0</v>
      </c>
      <c r="R7486" s="2" t="inlineStr"/>
    </row>
    <row r="7487" ht="15" customHeight="1">
      <c r="A7487" t="inlineStr">
        <is>
          <t>A 16445-2026</t>
        </is>
      </c>
      <c r="B7487" s="1" t="n">
        <v>46111</v>
      </c>
      <c r="C7487" s="1" t="n">
        <v>46185</v>
      </c>
      <c r="D7487" t="inlineStr">
        <is>
          <t>VÄSTERNORRLANDS LÄN</t>
        </is>
      </c>
      <c r="E7487" t="inlineStr">
        <is>
          <t>SOLLEFTEÅ</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39566-2024</t>
        </is>
      </c>
      <c r="B7488" s="1" t="n">
        <v>45552.3540625</v>
      </c>
      <c r="C7488" s="1" t="n">
        <v>46185</v>
      </c>
      <c r="D7488" t="inlineStr">
        <is>
          <t>VÄSTERNORRLANDS LÄN</t>
        </is>
      </c>
      <c r="E7488" t="inlineStr">
        <is>
          <t>ÖRNSKÖLDSVIK</t>
        </is>
      </c>
      <c r="F7488" t="inlineStr">
        <is>
          <t>Holmen skog AB</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32406-2023</t>
        </is>
      </c>
      <c r="B7489" s="1" t="n">
        <v>45110</v>
      </c>
      <c r="C7489" s="1" t="n">
        <v>46185</v>
      </c>
      <c r="D7489" t="inlineStr">
        <is>
          <t>VÄSTERNORRLANDS LÄN</t>
        </is>
      </c>
      <c r="E7489" t="inlineStr">
        <is>
          <t>ÖRNSKÖLDSVIK</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21779-2026</t>
        </is>
      </c>
      <c r="B7490" s="1" t="n">
        <v>46150.37328703704</v>
      </c>
      <c r="C7490" s="1" t="n">
        <v>46185</v>
      </c>
      <c r="D7490" t="inlineStr">
        <is>
          <t>VÄSTERNORRLANDS LÄN</t>
        </is>
      </c>
      <c r="E7490" t="inlineStr">
        <is>
          <t>ÅNGE</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16252-2026</t>
        </is>
      </c>
      <c r="B7491" s="1" t="n">
        <v>46111.46950231482</v>
      </c>
      <c r="C7491" s="1" t="n">
        <v>46185</v>
      </c>
      <c r="D7491" t="inlineStr">
        <is>
          <t>VÄSTERNORRLANDS LÄN</t>
        </is>
      </c>
      <c r="E7491" t="inlineStr">
        <is>
          <t>ÖRNSKÖLDSVIK</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32465-2023</t>
        </is>
      </c>
      <c r="B7492" s="1" t="n">
        <v>45120.9265625</v>
      </c>
      <c r="C7492" s="1" t="n">
        <v>46185</v>
      </c>
      <c r="D7492" t="inlineStr">
        <is>
          <t>VÄSTERNORRLANDS LÄN</t>
        </is>
      </c>
      <c r="E7492" t="inlineStr">
        <is>
          <t>KRAMFORS</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47714-2024</t>
        </is>
      </c>
      <c r="B7493" s="1" t="n">
        <v>45588.48163194444</v>
      </c>
      <c r="C7493" s="1" t="n">
        <v>46185</v>
      </c>
      <c r="D7493" t="inlineStr">
        <is>
          <t>VÄSTERNORRLANDS LÄN</t>
        </is>
      </c>
      <c r="E7493" t="inlineStr">
        <is>
          <t>SUNDSVALL</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22145-2026</t>
        </is>
      </c>
      <c r="B7494" s="1" t="n">
        <v>46153.60868055555</v>
      </c>
      <c r="C7494" s="1" t="n">
        <v>46185</v>
      </c>
      <c r="D7494" t="inlineStr">
        <is>
          <t>VÄSTERNORRLANDS LÄN</t>
        </is>
      </c>
      <c r="E7494" t="inlineStr">
        <is>
          <t>ÖRNSKÖLDSVIK</t>
        </is>
      </c>
      <c r="F7494" t="inlineStr">
        <is>
          <t>Holmen skog AB</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22161-2026</t>
        </is>
      </c>
      <c r="B7495" s="1" t="n">
        <v>46153.63600694444</v>
      </c>
      <c r="C7495" s="1" t="n">
        <v>46185</v>
      </c>
      <c r="D7495" t="inlineStr">
        <is>
          <t>VÄSTERNORRLANDS LÄN</t>
        </is>
      </c>
      <c r="E7495" t="inlineStr">
        <is>
          <t>SUNDSVALL</t>
        </is>
      </c>
      <c r="F7495" t="inlineStr">
        <is>
          <t>SCA</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48787-2024</t>
        </is>
      </c>
      <c r="B7496" s="1" t="n">
        <v>45593.63888888889</v>
      </c>
      <c r="C7496" s="1" t="n">
        <v>46185</v>
      </c>
      <c r="D7496" t="inlineStr">
        <is>
          <t>VÄSTERNORRLANDS LÄN</t>
        </is>
      </c>
      <c r="E7496" t="inlineStr">
        <is>
          <t>ÅNGE</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58939-2021</t>
        </is>
      </c>
      <c r="B7497" s="1" t="n">
        <v>44489</v>
      </c>
      <c r="C7497" s="1" t="n">
        <v>46185</v>
      </c>
      <c r="D7497" t="inlineStr">
        <is>
          <t>VÄSTERNORRLANDS LÄN</t>
        </is>
      </c>
      <c r="E7497" t="inlineStr">
        <is>
          <t>ÅNGE</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22213-2026</t>
        </is>
      </c>
      <c r="B7498" s="1" t="n">
        <v>46150</v>
      </c>
      <c r="C7498" s="1" t="n">
        <v>46185</v>
      </c>
      <c r="D7498" t="inlineStr">
        <is>
          <t>VÄSTERNORRLANDS LÄN</t>
        </is>
      </c>
      <c r="E7498" t="inlineStr">
        <is>
          <t>ÖRNSKÖLDSVIK</t>
        </is>
      </c>
      <c r="G7498" t="n">
        <v>5.5</v>
      </c>
      <c r="H7498" t="n">
        <v>0</v>
      </c>
      <c r="I7498" t="n">
        <v>0</v>
      </c>
      <c r="J7498" t="n">
        <v>0</v>
      </c>
      <c r="K7498" t="n">
        <v>0</v>
      </c>
      <c r="L7498" t="n">
        <v>0</v>
      </c>
      <c r="M7498" t="n">
        <v>0</v>
      </c>
      <c r="N7498" t="n">
        <v>0</v>
      </c>
      <c r="O7498" t="n">
        <v>0</v>
      </c>
      <c r="P7498" t="n">
        <v>0</v>
      </c>
      <c r="Q7498" t="n">
        <v>0</v>
      </c>
      <c r="R7498" s="2" t="inlineStr"/>
    </row>
    <row r="7499" ht="15" customHeight="1">
      <c r="A7499" t="inlineStr">
        <is>
          <t>A 22215-2026</t>
        </is>
      </c>
      <c r="B7499" s="1" t="n">
        <v>46153.69864583333</v>
      </c>
      <c r="C7499" s="1" t="n">
        <v>46185</v>
      </c>
      <c r="D7499" t="inlineStr">
        <is>
          <t>VÄSTERNORRLANDS LÄN</t>
        </is>
      </c>
      <c r="E7499" t="inlineStr">
        <is>
          <t>SOLLEFTEÅ</t>
        </is>
      </c>
      <c r="F7499" t="inlineStr">
        <is>
          <t>SCA</t>
        </is>
      </c>
      <c r="G7499" t="n">
        <v>7.8</v>
      </c>
      <c r="H7499" t="n">
        <v>0</v>
      </c>
      <c r="I7499" t="n">
        <v>0</v>
      </c>
      <c r="J7499" t="n">
        <v>0</v>
      </c>
      <c r="K7499" t="n">
        <v>0</v>
      </c>
      <c r="L7499" t="n">
        <v>0</v>
      </c>
      <c r="M7499" t="n">
        <v>0</v>
      </c>
      <c r="N7499" t="n">
        <v>0</v>
      </c>
      <c r="O7499" t="n">
        <v>0</v>
      </c>
      <c r="P7499" t="n">
        <v>0</v>
      </c>
      <c r="Q7499" t="n">
        <v>0</v>
      </c>
      <c r="R7499" s="2" t="inlineStr"/>
    </row>
    <row r="7500" ht="15" customHeight="1">
      <c r="A7500" t="inlineStr">
        <is>
          <t>A 36204-2025</t>
        </is>
      </c>
      <c r="B7500" s="1" t="n">
        <v>45867</v>
      </c>
      <c r="C7500" s="1" t="n">
        <v>46185</v>
      </c>
      <c r="D7500" t="inlineStr">
        <is>
          <t>VÄSTERNORRLANDS LÄN</t>
        </is>
      </c>
      <c r="E7500" t="inlineStr">
        <is>
          <t>TIMRÅ</t>
        </is>
      </c>
      <c r="F7500" t="inlineStr">
        <is>
          <t>SCA</t>
        </is>
      </c>
      <c r="G7500" t="n">
        <v>2.2</v>
      </c>
      <c r="H7500" t="n">
        <v>0</v>
      </c>
      <c r="I7500" t="n">
        <v>0</v>
      </c>
      <c r="J7500" t="n">
        <v>0</v>
      </c>
      <c r="K7500" t="n">
        <v>0</v>
      </c>
      <c r="L7500" t="n">
        <v>0</v>
      </c>
      <c r="M7500" t="n">
        <v>0</v>
      </c>
      <c r="N7500" t="n">
        <v>0</v>
      </c>
      <c r="O7500" t="n">
        <v>0</v>
      </c>
      <c r="P7500" t="n">
        <v>0</v>
      </c>
      <c r="Q7500" t="n">
        <v>0</v>
      </c>
      <c r="R7500" s="2" t="inlineStr"/>
      <c r="U7500">
        <f>HYPERLINK("https://klasma.github.io/Logging_2262/knärot/A 36204-2025 karta knärot.png", "A 36204-2025")</f>
        <v/>
      </c>
      <c r="V7500">
        <f>HYPERLINK("https://klasma.github.io/Logging_2262/klagomål/A 36204-2025 FSC-klagomål.docx", "A 36204-2025")</f>
        <v/>
      </c>
      <c r="W7500">
        <f>HYPERLINK("https://klasma.github.io/Logging_2262/klagomålsmail/A 36204-2025 FSC-klagomål mail.docx", "A 36204-2025")</f>
        <v/>
      </c>
      <c r="X7500">
        <f>HYPERLINK("https://klasma.github.io/Logging_2262/tillsyn/A 36204-2025 tillsynsbegäran.docx", "A 36204-2025")</f>
        <v/>
      </c>
      <c r="Y7500">
        <f>HYPERLINK("https://klasma.github.io/Logging_2262/tillsynsmail/A 36204-2025 tillsynsbegäran mail.docx", "A 36204-2025")</f>
        <v/>
      </c>
    </row>
    <row r="7501" ht="15" customHeight="1">
      <c r="A7501" t="inlineStr">
        <is>
          <t>A 22151-2026</t>
        </is>
      </c>
      <c r="B7501" s="1" t="n">
        <v>46150</v>
      </c>
      <c r="C7501" s="1" t="n">
        <v>46185</v>
      </c>
      <c r="D7501" t="inlineStr">
        <is>
          <t>VÄSTERNORRLANDS LÄN</t>
        </is>
      </c>
      <c r="E7501" t="inlineStr">
        <is>
          <t>SOLLEFTEÅ</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8732-2022</t>
        </is>
      </c>
      <c r="B7502" s="1" t="n">
        <v>44613.94571759259</v>
      </c>
      <c r="C7502" s="1" t="n">
        <v>46185</v>
      </c>
      <c r="D7502" t="inlineStr">
        <is>
          <t>VÄSTERNORRLANDS LÄN</t>
        </is>
      </c>
      <c r="E7502" t="inlineStr">
        <is>
          <t>KRAMFORS</t>
        </is>
      </c>
      <c r="F7502" t="inlineStr">
        <is>
          <t>SCA</t>
        </is>
      </c>
      <c r="G7502" t="n">
        <v>11.7</v>
      </c>
      <c r="H7502" t="n">
        <v>0</v>
      </c>
      <c r="I7502" t="n">
        <v>0</v>
      </c>
      <c r="J7502" t="n">
        <v>0</v>
      </c>
      <c r="K7502" t="n">
        <v>0</v>
      </c>
      <c r="L7502" t="n">
        <v>0</v>
      </c>
      <c r="M7502" t="n">
        <v>0</v>
      </c>
      <c r="N7502" t="n">
        <v>0</v>
      </c>
      <c r="O7502" t="n">
        <v>0</v>
      </c>
      <c r="P7502" t="n">
        <v>0</v>
      </c>
      <c r="Q7502" t="n">
        <v>0</v>
      </c>
      <c r="R7502" s="2" t="inlineStr"/>
    </row>
    <row r="7503" ht="15" customHeight="1">
      <c r="A7503" t="inlineStr">
        <is>
          <t>A 21768-2026</t>
        </is>
      </c>
      <c r="B7503" s="1" t="n">
        <v>46150.34480324074</v>
      </c>
      <c r="C7503" s="1" t="n">
        <v>46185</v>
      </c>
      <c r="D7503" t="inlineStr">
        <is>
          <t>VÄSTERNORRLANDS LÄN</t>
        </is>
      </c>
      <c r="E7503" t="inlineStr">
        <is>
          <t>SOLLEFTEÅ</t>
        </is>
      </c>
      <c r="F7503" t="inlineStr">
        <is>
          <t>SCA</t>
        </is>
      </c>
      <c r="G7503" t="n">
        <v>6.7</v>
      </c>
      <c r="H7503" t="n">
        <v>0</v>
      </c>
      <c r="I7503" t="n">
        <v>0</v>
      </c>
      <c r="J7503" t="n">
        <v>0</v>
      </c>
      <c r="K7503" t="n">
        <v>0</v>
      </c>
      <c r="L7503" t="n">
        <v>0</v>
      </c>
      <c r="M7503" t="n">
        <v>0</v>
      </c>
      <c r="N7503" t="n">
        <v>0</v>
      </c>
      <c r="O7503" t="n">
        <v>0</v>
      </c>
      <c r="P7503" t="n">
        <v>0</v>
      </c>
      <c r="Q7503" t="n">
        <v>0</v>
      </c>
      <c r="R7503" s="2" t="inlineStr"/>
    </row>
    <row r="7504" ht="15" customHeight="1">
      <c r="A7504" t="inlineStr">
        <is>
          <t>A 21814-2026</t>
        </is>
      </c>
      <c r="B7504" s="1" t="n">
        <v>46150</v>
      </c>
      <c r="C7504" s="1" t="n">
        <v>46185</v>
      </c>
      <c r="D7504" t="inlineStr">
        <is>
          <t>VÄSTERNORRLANDS LÄN</t>
        </is>
      </c>
      <c r="E7504" t="inlineStr">
        <is>
          <t>TIMRÅ</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16258-2026</t>
        </is>
      </c>
      <c r="B7505" s="1" t="n">
        <v>46111.4737037037</v>
      </c>
      <c r="C7505" s="1" t="n">
        <v>46185</v>
      </c>
      <c r="D7505" t="inlineStr">
        <is>
          <t>VÄSTERNORRLANDS LÄN</t>
        </is>
      </c>
      <c r="E7505" t="inlineStr">
        <is>
          <t>SUNDSVALL</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21930-2026</t>
        </is>
      </c>
      <c r="B7506" s="1" t="n">
        <v>46150.71923611111</v>
      </c>
      <c r="C7506" s="1" t="n">
        <v>46185</v>
      </c>
      <c r="D7506" t="inlineStr">
        <is>
          <t>VÄSTERNORRLANDS LÄN</t>
        </is>
      </c>
      <c r="E7506" t="inlineStr">
        <is>
          <t>SUNDSVALL</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22014-2026</t>
        </is>
      </c>
      <c r="B7507" s="1" t="n">
        <v>46153.38996527778</v>
      </c>
      <c r="C7507" s="1" t="n">
        <v>46185</v>
      </c>
      <c r="D7507" t="inlineStr">
        <is>
          <t>VÄSTERNORRLANDS LÄN</t>
        </is>
      </c>
      <c r="E7507" t="inlineStr">
        <is>
          <t>ÖRNSKÖLDSVIK</t>
        </is>
      </c>
      <c r="G7507" t="n">
        <v>4.2</v>
      </c>
      <c r="H7507" t="n">
        <v>0</v>
      </c>
      <c r="I7507" t="n">
        <v>0</v>
      </c>
      <c r="J7507" t="n">
        <v>0</v>
      </c>
      <c r="K7507" t="n">
        <v>0</v>
      </c>
      <c r="L7507" t="n">
        <v>0</v>
      </c>
      <c r="M7507" t="n">
        <v>0</v>
      </c>
      <c r="N7507" t="n">
        <v>0</v>
      </c>
      <c r="O7507" t="n">
        <v>0</v>
      </c>
      <c r="P7507" t="n">
        <v>0</v>
      </c>
      <c r="Q7507" t="n">
        <v>0</v>
      </c>
      <c r="R7507" s="2" t="inlineStr"/>
    </row>
    <row r="7508" ht="15" customHeight="1">
      <c r="A7508" t="inlineStr">
        <is>
          <t>A 22062-2026</t>
        </is>
      </c>
      <c r="B7508" s="1" t="n">
        <v>46149</v>
      </c>
      <c r="C7508" s="1" t="n">
        <v>46185</v>
      </c>
      <c r="D7508" t="inlineStr">
        <is>
          <t>VÄSTERNORRLANDS LÄN</t>
        </is>
      </c>
      <c r="E7508" t="inlineStr">
        <is>
          <t>SOLLEFTEÅ</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22194-2026</t>
        </is>
      </c>
      <c r="B7509" s="1" t="n">
        <v>46153.6568287037</v>
      </c>
      <c r="C7509" s="1" t="n">
        <v>46185</v>
      </c>
      <c r="D7509" t="inlineStr">
        <is>
          <t>VÄSTERNORRLANDS LÄN</t>
        </is>
      </c>
      <c r="E7509" t="inlineStr">
        <is>
          <t>SOLLEFTEÅ</t>
        </is>
      </c>
      <c r="F7509" t="inlineStr">
        <is>
          <t>SCA</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26234-2024</t>
        </is>
      </c>
      <c r="B7510" s="1" t="n">
        <v>45468</v>
      </c>
      <c r="C7510" s="1" t="n">
        <v>46185</v>
      </c>
      <c r="D7510" t="inlineStr">
        <is>
          <t>VÄSTERNORRLANDS LÄN</t>
        </is>
      </c>
      <c r="E7510" t="inlineStr">
        <is>
          <t>SUNDSVALL</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42963-2024</t>
        </is>
      </c>
      <c r="B7511" s="1" t="n">
        <v>45567.37240740741</v>
      </c>
      <c r="C7511" s="1" t="n">
        <v>46185</v>
      </c>
      <c r="D7511" t="inlineStr">
        <is>
          <t>VÄSTERNORRLANDS LÄN</t>
        </is>
      </c>
      <c r="E7511" t="inlineStr">
        <is>
          <t>SOLLEFTEÅ</t>
        </is>
      </c>
      <c r="F7511" t="inlineStr">
        <is>
          <t>SCA</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42969-2024</t>
        </is>
      </c>
      <c r="B7512" s="1" t="n">
        <v>45567.37300925926</v>
      </c>
      <c r="C7512" s="1" t="n">
        <v>46185</v>
      </c>
      <c r="D7512" t="inlineStr">
        <is>
          <t>VÄSTERNORRLANDS LÄN</t>
        </is>
      </c>
      <c r="E7512" t="inlineStr">
        <is>
          <t>ÅNGE</t>
        </is>
      </c>
      <c r="F7512" t="inlineStr">
        <is>
          <t>SCA</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43001-2024</t>
        </is>
      </c>
      <c r="B7513" s="1" t="n">
        <v>45567.37609953704</v>
      </c>
      <c r="C7513" s="1" t="n">
        <v>46185</v>
      </c>
      <c r="D7513" t="inlineStr">
        <is>
          <t>VÄSTERNORRLANDS LÄN</t>
        </is>
      </c>
      <c r="E7513" t="inlineStr">
        <is>
          <t>SUNDSVALL</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52683-2024</t>
        </is>
      </c>
      <c r="B7514" s="1" t="n">
        <v>45610</v>
      </c>
      <c r="C7514" s="1" t="n">
        <v>46185</v>
      </c>
      <c r="D7514" t="inlineStr">
        <is>
          <t>VÄSTERNORRLANDS LÄN</t>
        </is>
      </c>
      <c r="E7514" t="inlineStr">
        <is>
          <t>ÅNGE</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22376-2026</t>
        </is>
      </c>
      <c r="B7515" s="1" t="n">
        <v>46154.62041666666</v>
      </c>
      <c r="C7515" s="1" t="n">
        <v>46185</v>
      </c>
      <c r="D7515" t="inlineStr">
        <is>
          <t>VÄSTERNORRLANDS LÄN</t>
        </is>
      </c>
      <c r="E7515" t="inlineStr">
        <is>
          <t>ÖRNSKÖLDSVIK</t>
        </is>
      </c>
      <c r="F7515" t="inlineStr">
        <is>
          <t>Holmen skog AB</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37578-2023</t>
        </is>
      </c>
      <c r="B7516" s="1" t="n">
        <v>45159.38454861111</v>
      </c>
      <c r="C7516" s="1" t="n">
        <v>46185</v>
      </c>
      <c r="D7516" t="inlineStr">
        <is>
          <t>VÄSTERNORRLANDS LÄN</t>
        </is>
      </c>
      <c r="E7516" t="inlineStr">
        <is>
          <t>ÖRNSKÖLDSVIK</t>
        </is>
      </c>
      <c r="F7516" t="inlineStr">
        <is>
          <t>Holmen skog AB</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34852-2023</t>
        </is>
      </c>
      <c r="B7517" s="1" t="n">
        <v>45141</v>
      </c>
      <c r="C7517" s="1" t="n">
        <v>46185</v>
      </c>
      <c r="D7517" t="inlineStr">
        <is>
          <t>VÄSTERNORRLANDS LÄN</t>
        </is>
      </c>
      <c r="E7517" t="inlineStr">
        <is>
          <t>ÅNGE</t>
        </is>
      </c>
      <c r="F7517" t="inlineStr">
        <is>
          <t>SCA</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22595-2026</t>
        </is>
      </c>
      <c r="B7518" s="1" t="n">
        <v>46155</v>
      </c>
      <c r="C7518" s="1" t="n">
        <v>46185</v>
      </c>
      <c r="D7518" t="inlineStr">
        <is>
          <t>VÄSTERNORRLANDS LÄN</t>
        </is>
      </c>
      <c r="E7518" t="inlineStr">
        <is>
          <t>KRAMFORS</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17061-2023</t>
        </is>
      </c>
      <c r="B7519" s="1" t="n">
        <v>45034</v>
      </c>
      <c r="C7519" s="1" t="n">
        <v>46185</v>
      </c>
      <c r="D7519" t="inlineStr">
        <is>
          <t>VÄSTERNORRLANDS LÄN</t>
        </is>
      </c>
      <c r="E7519" t="inlineStr">
        <is>
          <t>KRAMFORS</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27562-2024</t>
        </is>
      </c>
      <c r="B7520" s="1" t="n">
        <v>45474</v>
      </c>
      <c r="C7520" s="1" t="n">
        <v>46185</v>
      </c>
      <c r="D7520" t="inlineStr">
        <is>
          <t>VÄSTERNORRLANDS LÄN</t>
        </is>
      </c>
      <c r="E7520" t="inlineStr">
        <is>
          <t>ÖRNSKÖLDSVIK</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15190-2025</t>
        </is>
      </c>
      <c r="B7521" s="1" t="n">
        <v>45744.55275462963</v>
      </c>
      <c r="C7521" s="1" t="n">
        <v>46185</v>
      </c>
      <c r="D7521" t="inlineStr">
        <is>
          <t>VÄSTERNORRLANDS LÄN</t>
        </is>
      </c>
      <c r="E7521" t="inlineStr">
        <is>
          <t>KRAMFORS</t>
        </is>
      </c>
      <c r="F7521" t="inlineStr">
        <is>
          <t>Kyrkan</t>
        </is>
      </c>
      <c r="G7521" t="n">
        <v>4.9</v>
      </c>
      <c r="H7521" t="n">
        <v>0</v>
      </c>
      <c r="I7521" t="n">
        <v>0</v>
      </c>
      <c r="J7521" t="n">
        <v>0</v>
      </c>
      <c r="K7521" t="n">
        <v>0</v>
      </c>
      <c r="L7521" t="n">
        <v>0</v>
      </c>
      <c r="M7521" t="n">
        <v>0</v>
      </c>
      <c r="N7521" t="n">
        <v>0</v>
      </c>
      <c r="O7521" t="n">
        <v>0</v>
      </c>
      <c r="P7521" t="n">
        <v>0</v>
      </c>
      <c r="Q7521" t="n">
        <v>0</v>
      </c>
      <c r="R7521" s="2" t="inlineStr"/>
    </row>
    <row r="7522" ht="15" customHeight="1">
      <c r="A7522" t="inlineStr">
        <is>
          <t>A 21609-2023</t>
        </is>
      </c>
      <c r="B7522" s="1" t="n">
        <v>45062</v>
      </c>
      <c r="C7522" s="1" t="n">
        <v>46185</v>
      </c>
      <c r="D7522" t="inlineStr">
        <is>
          <t>VÄSTERNORRLANDS LÄN</t>
        </is>
      </c>
      <c r="E7522" t="inlineStr">
        <is>
          <t>KRAMFORS</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27673-2024</t>
        </is>
      </c>
      <c r="B7523" s="1" t="n">
        <v>45474.9560300926</v>
      </c>
      <c r="C7523" s="1" t="n">
        <v>46185</v>
      </c>
      <c r="D7523" t="inlineStr">
        <is>
          <t>VÄSTERNORRLANDS LÄN</t>
        </is>
      </c>
      <c r="E7523" t="inlineStr">
        <is>
          <t>SUNDSVALL</t>
        </is>
      </c>
      <c r="F7523" t="inlineStr">
        <is>
          <t>SCA</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21200-2026</t>
        </is>
      </c>
      <c r="B7524" s="1" t="n">
        <v>46146</v>
      </c>
      <c r="C7524" s="1" t="n">
        <v>46185</v>
      </c>
      <c r="D7524" t="inlineStr">
        <is>
          <t>VÄSTERNORRLANDS LÄN</t>
        </is>
      </c>
      <c r="E7524" t="inlineStr">
        <is>
          <t>ÅNGE</t>
        </is>
      </c>
      <c r="F7524" t="inlineStr">
        <is>
          <t>SCA</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16662-2026</t>
        </is>
      </c>
      <c r="B7525" s="1" t="n">
        <v>46112.65679398148</v>
      </c>
      <c r="C7525" s="1" t="n">
        <v>46185</v>
      </c>
      <c r="D7525" t="inlineStr">
        <is>
          <t>VÄSTERNORRLANDS LÄN</t>
        </is>
      </c>
      <c r="E7525" t="inlineStr">
        <is>
          <t>SUNDSVALL</t>
        </is>
      </c>
      <c r="F7525" t="inlineStr">
        <is>
          <t>SCA</t>
        </is>
      </c>
      <c r="G7525" t="n">
        <v>24.3</v>
      </c>
      <c r="H7525" t="n">
        <v>0</v>
      </c>
      <c r="I7525" t="n">
        <v>0</v>
      </c>
      <c r="J7525" t="n">
        <v>0</v>
      </c>
      <c r="K7525" t="n">
        <v>0</v>
      </c>
      <c r="L7525" t="n">
        <v>0</v>
      </c>
      <c r="M7525" t="n">
        <v>0</v>
      </c>
      <c r="N7525" t="n">
        <v>0</v>
      </c>
      <c r="O7525" t="n">
        <v>0</v>
      </c>
      <c r="P7525" t="n">
        <v>0</v>
      </c>
      <c r="Q7525" t="n">
        <v>0</v>
      </c>
      <c r="R7525" s="2" t="inlineStr"/>
    </row>
    <row r="7526" ht="15" customHeight="1">
      <c r="A7526" t="inlineStr">
        <is>
          <t>A 16705-2026</t>
        </is>
      </c>
      <c r="B7526" s="1" t="n">
        <v>46113</v>
      </c>
      <c r="C7526" s="1" t="n">
        <v>46185</v>
      </c>
      <c r="D7526" t="inlineStr">
        <is>
          <t>VÄSTERNORRLANDS LÄN</t>
        </is>
      </c>
      <c r="E7526" t="inlineStr">
        <is>
          <t>HÄRNÖSAND</t>
        </is>
      </c>
      <c r="F7526" t="inlineStr">
        <is>
          <t>SCA</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16559-2026</t>
        </is>
      </c>
      <c r="B7527" s="1" t="n">
        <v>46112.55283564814</v>
      </c>
      <c r="C7527" s="1" t="n">
        <v>46185</v>
      </c>
      <c r="D7527" t="inlineStr">
        <is>
          <t>VÄSTERNORRLANDS LÄN</t>
        </is>
      </c>
      <c r="E7527" t="inlineStr">
        <is>
          <t>SUNDSVALL</t>
        </is>
      </c>
      <c r="F7527" t="inlineStr">
        <is>
          <t>SCA</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16556-2026</t>
        </is>
      </c>
      <c r="B7528" s="1" t="n">
        <v>46112</v>
      </c>
      <c r="C7528" s="1" t="n">
        <v>46185</v>
      </c>
      <c r="D7528" t="inlineStr">
        <is>
          <t>VÄSTERNORRLANDS LÄN</t>
        </is>
      </c>
      <c r="E7528" t="inlineStr">
        <is>
          <t>SUNDSVALL</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16553-2026</t>
        </is>
      </c>
      <c r="B7529" s="1" t="n">
        <v>46112</v>
      </c>
      <c r="C7529" s="1" t="n">
        <v>46185</v>
      </c>
      <c r="D7529" t="inlineStr">
        <is>
          <t>VÄSTERNORRLANDS LÄN</t>
        </is>
      </c>
      <c r="E7529" t="inlineStr">
        <is>
          <t>SUNDSVALL</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58786-2023</t>
        </is>
      </c>
      <c r="B7530" s="1" t="n">
        <v>45247</v>
      </c>
      <c r="C7530" s="1" t="n">
        <v>46185</v>
      </c>
      <c r="D7530" t="inlineStr">
        <is>
          <t>VÄSTERNORRLANDS LÄN</t>
        </is>
      </c>
      <c r="E7530" t="inlineStr">
        <is>
          <t>KRAMFORS</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16704-2026</t>
        </is>
      </c>
      <c r="B7531" s="1" t="n">
        <v>46113.3449537037</v>
      </c>
      <c r="C7531" s="1" t="n">
        <v>46185</v>
      </c>
      <c r="D7531" t="inlineStr">
        <is>
          <t>VÄSTERNORRLANDS LÄN</t>
        </is>
      </c>
      <c r="E7531" t="inlineStr">
        <is>
          <t>ÅNGE</t>
        </is>
      </c>
      <c r="F7531" t="inlineStr">
        <is>
          <t>SCA</t>
        </is>
      </c>
      <c r="G7531" t="n">
        <v>7.4</v>
      </c>
      <c r="H7531" t="n">
        <v>0</v>
      </c>
      <c r="I7531" t="n">
        <v>0</v>
      </c>
      <c r="J7531" t="n">
        <v>0</v>
      </c>
      <c r="K7531" t="n">
        <v>0</v>
      </c>
      <c r="L7531" t="n">
        <v>0</v>
      </c>
      <c r="M7531" t="n">
        <v>0</v>
      </c>
      <c r="N7531" t="n">
        <v>0</v>
      </c>
      <c r="O7531" t="n">
        <v>0</v>
      </c>
      <c r="P7531" t="n">
        <v>0</v>
      </c>
      <c r="Q7531" t="n">
        <v>0</v>
      </c>
      <c r="R7531" s="2" t="inlineStr"/>
    </row>
    <row r="7532" ht="15" customHeight="1">
      <c r="A7532" t="inlineStr">
        <is>
          <t>A 24994-2023</t>
        </is>
      </c>
      <c r="B7532" s="1" t="n">
        <v>45085.64601851852</v>
      </c>
      <c r="C7532" s="1" t="n">
        <v>46185</v>
      </c>
      <c r="D7532" t="inlineStr">
        <is>
          <t>VÄSTERNORRLANDS LÄN</t>
        </is>
      </c>
      <c r="E7532" t="inlineStr">
        <is>
          <t>ÖRNSKÖLDSVIK</t>
        </is>
      </c>
      <c r="F7532" t="inlineStr">
        <is>
          <t>Holmen skog AB</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16493-2026</t>
        </is>
      </c>
      <c r="B7533" s="1" t="n">
        <v>46112.42765046296</v>
      </c>
      <c r="C7533" s="1" t="n">
        <v>46185</v>
      </c>
      <c r="D7533" t="inlineStr">
        <is>
          <t>VÄSTERNORRLANDS LÄN</t>
        </is>
      </c>
      <c r="E7533" t="inlineStr">
        <is>
          <t>SUNDSVALL</t>
        </is>
      </c>
      <c r="F7533" t="inlineStr">
        <is>
          <t>SCA</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16570-2026</t>
        </is>
      </c>
      <c r="B7534" s="1" t="n">
        <v>46112</v>
      </c>
      <c r="C7534" s="1" t="n">
        <v>46185</v>
      </c>
      <c r="D7534" t="inlineStr">
        <is>
          <t>VÄSTERNORRLANDS LÄN</t>
        </is>
      </c>
      <c r="E7534" t="inlineStr">
        <is>
          <t>SUNDSVALL</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15590-2026</t>
        </is>
      </c>
      <c r="B7535" s="1" t="n">
        <v>46106</v>
      </c>
      <c r="C7535" s="1" t="n">
        <v>46185</v>
      </c>
      <c r="D7535" t="inlineStr">
        <is>
          <t>VÄSTERNORRLANDS LÄN</t>
        </is>
      </c>
      <c r="E7535" t="inlineStr">
        <is>
          <t>ÖRNSKÖLDSVIK</t>
        </is>
      </c>
      <c r="G7535" t="n">
        <v>11.4</v>
      </c>
      <c r="H7535" t="n">
        <v>0</v>
      </c>
      <c r="I7535" t="n">
        <v>0</v>
      </c>
      <c r="J7535" t="n">
        <v>0</v>
      </c>
      <c r="K7535" t="n">
        <v>0</v>
      </c>
      <c r="L7535" t="n">
        <v>0</v>
      </c>
      <c r="M7535" t="n">
        <v>0</v>
      </c>
      <c r="N7535" t="n">
        <v>0</v>
      </c>
      <c r="O7535" t="n">
        <v>0</v>
      </c>
      <c r="P7535" t="n">
        <v>0</v>
      </c>
      <c r="Q7535" t="n">
        <v>0</v>
      </c>
      <c r="R7535" s="2" t="inlineStr"/>
    </row>
    <row r="7536" ht="15" customHeight="1">
      <c r="A7536" t="inlineStr">
        <is>
          <t>A 21406-2026</t>
        </is>
      </c>
      <c r="B7536" s="1" t="n">
        <v>46148.34472222222</v>
      </c>
      <c r="C7536" s="1" t="n">
        <v>46185</v>
      </c>
      <c r="D7536" t="inlineStr">
        <is>
          <t>VÄSTERNORRLANDS LÄN</t>
        </is>
      </c>
      <c r="E7536" t="inlineStr">
        <is>
          <t>KRAMFORS</t>
        </is>
      </c>
      <c r="F7536" t="inlineStr">
        <is>
          <t>SCA</t>
        </is>
      </c>
      <c r="G7536" t="n">
        <v>5.6</v>
      </c>
      <c r="H7536" t="n">
        <v>0</v>
      </c>
      <c r="I7536" t="n">
        <v>0</v>
      </c>
      <c r="J7536" t="n">
        <v>0</v>
      </c>
      <c r="K7536" t="n">
        <v>0</v>
      </c>
      <c r="L7536" t="n">
        <v>0</v>
      </c>
      <c r="M7536" t="n">
        <v>0</v>
      </c>
      <c r="N7536" t="n">
        <v>0</v>
      </c>
      <c r="O7536" t="n">
        <v>0</v>
      </c>
      <c r="P7536" t="n">
        <v>0</v>
      </c>
      <c r="Q7536" t="n">
        <v>0</v>
      </c>
      <c r="R7536" s="2" t="inlineStr"/>
    </row>
    <row r="7537" ht="15" customHeight="1">
      <c r="A7537" t="inlineStr">
        <is>
          <t>A 34161-2022</t>
        </is>
      </c>
      <c r="B7537" s="1" t="n">
        <v>44791</v>
      </c>
      <c r="C7537" s="1" t="n">
        <v>46185</v>
      </c>
      <c r="D7537" t="inlineStr">
        <is>
          <t>VÄSTERNORRLANDS LÄN</t>
        </is>
      </c>
      <c r="E7537" t="inlineStr">
        <is>
          <t>HÄRNÖSAND</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10549-2023</t>
        </is>
      </c>
      <c r="B7538" s="1" t="n">
        <v>44987</v>
      </c>
      <c r="C7538" s="1" t="n">
        <v>46185</v>
      </c>
      <c r="D7538" t="inlineStr">
        <is>
          <t>VÄSTERNORRLANDS LÄN</t>
        </is>
      </c>
      <c r="E7538" t="inlineStr">
        <is>
          <t>SOLLEFTEÅ</t>
        </is>
      </c>
      <c r="F7538" t="inlineStr">
        <is>
          <t>SCA</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10558-2023</t>
        </is>
      </c>
      <c r="B7539" s="1" t="n">
        <v>44987.94438657408</v>
      </c>
      <c r="C7539" s="1" t="n">
        <v>46185</v>
      </c>
      <c r="D7539" t="inlineStr">
        <is>
          <t>VÄSTERNORRLANDS LÄN</t>
        </is>
      </c>
      <c r="E7539" t="inlineStr">
        <is>
          <t>ÅNGE</t>
        </is>
      </c>
      <c r="F7539" t="inlineStr">
        <is>
          <t>SCA</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58167-2023</t>
        </is>
      </c>
      <c r="B7540" s="1" t="n">
        <v>45250.39577546297</v>
      </c>
      <c r="C7540" s="1" t="n">
        <v>46185</v>
      </c>
      <c r="D7540" t="inlineStr">
        <is>
          <t>VÄSTERNORRLANDS LÄN</t>
        </is>
      </c>
      <c r="E7540" t="inlineStr">
        <is>
          <t>ÖRNSKÖLDSVIK</t>
        </is>
      </c>
      <c r="F7540" t="inlineStr">
        <is>
          <t>Holmen skog AB</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8851-2025</t>
        </is>
      </c>
      <c r="B7541" s="1" t="n">
        <v>45713.34465277778</v>
      </c>
      <c r="C7541" s="1" t="n">
        <v>46185</v>
      </c>
      <c r="D7541" t="inlineStr">
        <is>
          <t>VÄSTERNORRLANDS LÄN</t>
        </is>
      </c>
      <c r="E7541" t="inlineStr">
        <is>
          <t>SOLLEFTEÅ</t>
        </is>
      </c>
      <c r="F7541" t="inlineStr">
        <is>
          <t>SCA</t>
        </is>
      </c>
      <c r="G7541" t="n">
        <v>0.4</v>
      </c>
      <c r="H7541" t="n">
        <v>0</v>
      </c>
      <c r="I7541" t="n">
        <v>0</v>
      </c>
      <c r="J7541" t="n">
        <v>0</v>
      </c>
      <c r="K7541" t="n">
        <v>0</v>
      </c>
      <c r="L7541" t="n">
        <v>0</v>
      </c>
      <c r="M7541" t="n">
        <v>0</v>
      </c>
      <c r="N7541" t="n">
        <v>0</v>
      </c>
      <c r="O7541" t="n">
        <v>0</v>
      </c>
      <c r="P7541" t="n">
        <v>0</v>
      </c>
      <c r="Q7541" t="n">
        <v>0</v>
      </c>
      <c r="R7541" s="2" t="inlineStr"/>
    </row>
    <row r="7542" ht="15" customHeight="1">
      <c r="A7542" t="inlineStr">
        <is>
          <t>A 2274-2026</t>
        </is>
      </c>
      <c r="B7542" s="1" t="n">
        <v>46036.57377314815</v>
      </c>
      <c r="C7542" s="1" t="n">
        <v>46185</v>
      </c>
      <c r="D7542" t="inlineStr">
        <is>
          <t>VÄSTERNORRLANDS LÄN</t>
        </is>
      </c>
      <c r="E7542" t="inlineStr">
        <is>
          <t>SUNDSVALL</t>
        </is>
      </c>
      <c r="G7542" t="n">
        <v>17.2</v>
      </c>
      <c r="H7542" t="n">
        <v>0</v>
      </c>
      <c r="I7542" t="n">
        <v>0</v>
      </c>
      <c r="J7542" t="n">
        <v>0</v>
      </c>
      <c r="K7542" t="n">
        <v>0</v>
      </c>
      <c r="L7542" t="n">
        <v>0</v>
      </c>
      <c r="M7542" t="n">
        <v>0</v>
      </c>
      <c r="N7542" t="n">
        <v>0</v>
      </c>
      <c r="O7542" t="n">
        <v>0</v>
      </c>
      <c r="P7542" t="n">
        <v>0</v>
      </c>
      <c r="Q7542" t="n">
        <v>0</v>
      </c>
      <c r="R7542" s="2" t="inlineStr"/>
    </row>
    <row r="7543" ht="15" customHeight="1">
      <c r="A7543" t="inlineStr">
        <is>
          <t>A 17800-2024</t>
        </is>
      </c>
      <c r="B7543" s="1" t="n">
        <v>45418</v>
      </c>
      <c r="C7543" s="1" t="n">
        <v>46185</v>
      </c>
      <c r="D7543" t="inlineStr">
        <is>
          <t>VÄSTERNORRLANDS LÄN</t>
        </is>
      </c>
      <c r="E7543" t="inlineStr">
        <is>
          <t>HÄRNÖSAND</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58781-2022</t>
        </is>
      </c>
      <c r="B7544" s="1" t="n">
        <v>44903</v>
      </c>
      <c r="C7544" s="1" t="n">
        <v>46185</v>
      </c>
      <c r="D7544" t="inlineStr">
        <is>
          <t>VÄSTERNORRLANDS LÄN</t>
        </is>
      </c>
      <c r="E7544" t="inlineStr">
        <is>
          <t>SUNDSVALL</t>
        </is>
      </c>
      <c r="F7544" t="inlineStr">
        <is>
          <t>Holmen skog AB</t>
        </is>
      </c>
      <c r="G7544" t="n">
        <v>16.3</v>
      </c>
      <c r="H7544" t="n">
        <v>0</v>
      </c>
      <c r="I7544" t="n">
        <v>0</v>
      </c>
      <c r="J7544" t="n">
        <v>0</v>
      </c>
      <c r="K7544" t="n">
        <v>0</v>
      </c>
      <c r="L7544" t="n">
        <v>0</v>
      </c>
      <c r="M7544" t="n">
        <v>0</v>
      </c>
      <c r="N7544" t="n">
        <v>0</v>
      </c>
      <c r="O7544" t="n">
        <v>0</v>
      </c>
      <c r="P7544" t="n">
        <v>0</v>
      </c>
      <c r="Q7544" t="n">
        <v>0</v>
      </c>
      <c r="R7544" s="2" t="inlineStr"/>
    </row>
    <row r="7545" ht="15" customHeight="1">
      <c r="A7545" t="inlineStr">
        <is>
          <t>A 22326-2026</t>
        </is>
      </c>
      <c r="B7545" s="1" t="n">
        <v>46154.54025462963</v>
      </c>
      <c r="C7545" s="1" t="n">
        <v>46185</v>
      </c>
      <c r="D7545" t="inlineStr">
        <is>
          <t>VÄSTERNORRLANDS LÄN</t>
        </is>
      </c>
      <c r="E7545" t="inlineStr">
        <is>
          <t>ÖRNSKÖLDSVIK</t>
        </is>
      </c>
      <c r="F7545" t="inlineStr">
        <is>
          <t>Holmen skog AB</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22328-2026</t>
        </is>
      </c>
      <c r="B7546" s="1" t="n">
        <v>46154.55259259259</v>
      </c>
      <c r="C7546" s="1" t="n">
        <v>46185</v>
      </c>
      <c r="D7546" t="inlineStr">
        <is>
          <t>VÄSTERNORRLANDS LÄN</t>
        </is>
      </c>
      <c r="E7546" t="inlineStr">
        <is>
          <t>SOLLEFTEÅ</t>
        </is>
      </c>
      <c r="F7546" t="inlineStr">
        <is>
          <t>SCA</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16455-2026</t>
        </is>
      </c>
      <c r="B7547" s="1" t="n">
        <v>46112.34449074074</v>
      </c>
      <c r="C7547" s="1" t="n">
        <v>46185</v>
      </c>
      <c r="D7547" t="inlineStr">
        <is>
          <t>VÄSTERNORRLANDS LÄN</t>
        </is>
      </c>
      <c r="E7547" t="inlineStr">
        <is>
          <t>ÅNGE</t>
        </is>
      </c>
      <c r="F7547" t="inlineStr">
        <is>
          <t>SCA</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48563-2024</t>
        </is>
      </c>
      <c r="B7548" s="1" t="n">
        <v>45593.38608796296</v>
      </c>
      <c r="C7548" s="1" t="n">
        <v>46185</v>
      </c>
      <c r="D7548" t="inlineStr">
        <is>
          <t>VÄSTERNORRLANDS LÄN</t>
        </is>
      </c>
      <c r="E7548" t="inlineStr">
        <is>
          <t>TIMRÅ</t>
        </is>
      </c>
      <c r="F7548" t="inlineStr">
        <is>
          <t>SCA</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22265-2026</t>
        </is>
      </c>
      <c r="B7549" s="1" t="n">
        <v>46154.38590277778</v>
      </c>
      <c r="C7549" s="1" t="n">
        <v>46185</v>
      </c>
      <c r="D7549" t="inlineStr">
        <is>
          <t>VÄSTERNORRLANDS LÄN</t>
        </is>
      </c>
      <c r="E7549" t="inlineStr">
        <is>
          <t>SOLLEFTEÅ</t>
        </is>
      </c>
      <c r="F7549" t="inlineStr">
        <is>
          <t>SCA</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17258-2025</t>
        </is>
      </c>
      <c r="B7550" s="1" t="n">
        <v>45756.53278935186</v>
      </c>
      <c r="C7550" s="1" t="n">
        <v>46185</v>
      </c>
      <c r="D7550" t="inlineStr">
        <is>
          <t>VÄSTERNORRLANDS LÄN</t>
        </is>
      </c>
      <c r="E7550" t="inlineStr">
        <is>
          <t>SOLLEFTEÅ</t>
        </is>
      </c>
      <c r="G7550" t="n">
        <v>6.8</v>
      </c>
      <c r="H7550" t="n">
        <v>0</v>
      </c>
      <c r="I7550" t="n">
        <v>0</v>
      </c>
      <c r="J7550" t="n">
        <v>0</v>
      </c>
      <c r="K7550" t="n">
        <v>0</v>
      </c>
      <c r="L7550" t="n">
        <v>0</v>
      </c>
      <c r="M7550" t="n">
        <v>0</v>
      </c>
      <c r="N7550" t="n">
        <v>0</v>
      </c>
      <c r="O7550" t="n">
        <v>0</v>
      </c>
      <c r="P7550" t="n">
        <v>0</v>
      </c>
      <c r="Q7550" t="n">
        <v>0</v>
      </c>
      <c r="R7550" s="2" t="inlineStr"/>
    </row>
    <row r="7551" ht="15" customHeight="1">
      <c r="A7551" t="inlineStr">
        <is>
          <t>A 55859-2023</t>
        </is>
      </c>
      <c r="B7551" s="1" t="n">
        <v>45239</v>
      </c>
      <c r="C7551" s="1" t="n">
        <v>46185</v>
      </c>
      <c r="D7551" t="inlineStr">
        <is>
          <t>VÄSTERNORRLANDS LÄN</t>
        </is>
      </c>
      <c r="E7551" t="inlineStr">
        <is>
          <t>SOLLEFTEÅ</t>
        </is>
      </c>
      <c r="F7551" t="inlineStr">
        <is>
          <t>Kommuner</t>
        </is>
      </c>
      <c r="G7551" t="n">
        <v>0.1</v>
      </c>
      <c r="H7551" t="n">
        <v>0</v>
      </c>
      <c r="I7551" t="n">
        <v>0</v>
      </c>
      <c r="J7551" t="n">
        <v>0</v>
      </c>
      <c r="K7551" t="n">
        <v>0</v>
      </c>
      <c r="L7551" t="n">
        <v>0</v>
      </c>
      <c r="M7551" t="n">
        <v>0</v>
      </c>
      <c r="N7551" t="n">
        <v>0</v>
      </c>
      <c r="O7551" t="n">
        <v>0</v>
      </c>
      <c r="P7551" t="n">
        <v>0</v>
      </c>
      <c r="Q7551" t="n">
        <v>0</v>
      </c>
      <c r="R7551" s="2" t="inlineStr"/>
    </row>
    <row r="7552" ht="15" customHeight="1">
      <c r="A7552" t="inlineStr">
        <is>
          <t>A 49310-2024</t>
        </is>
      </c>
      <c r="B7552" s="1" t="n">
        <v>45595</v>
      </c>
      <c r="C7552" s="1" t="n">
        <v>46185</v>
      </c>
      <c r="D7552" t="inlineStr">
        <is>
          <t>VÄSTERNORRLANDS LÄN</t>
        </is>
      </c>
      <c r="E7552" t="inlineStr">
        <is>
          <t>TIMRÅ</t>
        </is>
      </c>
      <c r="F7552" t="inlineStr">
        <is>
          <t>SCA</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22529-2026</t>
        </is>
      </c>
      <c r="B7553" s="1" t="n">
        <v>46155.46956018519</v>
      </c>
      <c r="C7553" s="1" t="n">
        <v>46185</v>
      </c>
      <c r="D7553" t="inlineStr">
        <is>
          <t>VÄSTERNORRLANDS LÄN</t>
        </is>
      </c>
      <c r="E7553" t="inlineStr">
        <is>
          <t>SUNDSVALL</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44606-2024</t>
        </is>
      </c>
      <c r="B7554" s="1" t="n">
        <v>45574.51195601852</v>
      </c>
      <c r="C7554" s="1" t="n">
        <v>46185</v>
      </c>
      <c r="D7554" t="inlineStr">
        <is>
          <t>VÄSTERNORRLANDS LÄN</t>
        </is>
      </c>
      <c r="E7554" t="inlineStr">
        <is>
          <t>ÅNGE</t>
        </is>
      </c>
      <c r="F7554" t="inlineStr">
        <is>
          <t>SCA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44626-2024</t>
        </is>
      </c>
      <c r="B7555" s="1" t="n">
        <v>45574.51378472222</v>
      </c>
      <c r="C7555" s="1" t="n">
        <v>46185</v>
      </c>
      <c r="D7555" t="inlineStr">
        <is>
          <t>VÄSTERNORRLANDS LÄN</t>
        </is>
      </c>
      <c r="E7555" t="inlineStr">
        <is>
          <t>ÅNGE</t>
        </is>
      </c>
      <c r="F7555" t="inlineStr">
        <is>
          <t>SCA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14134-2023</t>
        </is>
      </c>
      <c r="B7556" s="1" t="n">
        <v>45008</v>
      </c>
      <c r="C7556" s="1" t="n">
        <v>46185</v>
      </c>
      <c r="D7556" t="inlineStr">
        <is>
          <t>VÄSTERNORRLANDS LÄN</t>
        </is>
      </c>
      <c r="E7556" t="inlineStr">
        <is>
          <t>SOLLEFTEÅ</t>
        </is>
      </c>
      <c r="F7556" t="inlineStr">
        <is>
          <t>Övriga Aktiebolag</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22360-2026</t>
        </is>
      </c>
      <c r="B7557" s="1" t="n">
        <v>46154</v>
      </c>
      <c r="C7557" s="1" t="n">
        <v>46185</v>
      </c>
      <c r="D7557" t="inlineStr">
        <is>
          <t>VÄSTERNORRLANDS LÄN</t>
        </is>
      </c>
      <c r="E7557" t="inlineStr">
        <is>
          <t>SOLLEFTEÅ</t>
        </is>
      </c>
      <c r="F7557" t="inlineStr">
        <is>
          <t>SCA</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50767-2024</t>
        </is>
      </c>
      <c r="B7558" s="1" t="n">
        <v>45602</v>
      </c>
      <c r="C7558" s="1" t="n">
        <v>46185</v>
      </c>
      <c r="D7558" t="inlineStr">
        <is>
          <t>VÄSTERNORRLANDS LÄN</t>
        </is>
      </c>
      <c r="E7558" t="inlineStr">
        <is>
          <t>ÖRNSKÖLDSVIK</t>
        </is>
      </c>
      <c r="F7558" t="inlineStr">
        <is>
          <t>Holmen skog AB</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16781-2026</t>
        </is>
      </c>
      <c r="B7559" s="1" t="n">
        <v>46112</v>
      </c>
      <c r="C7559" s="1" t="n">
        <v>46185</v>
      </c>
      <c r="D7559" t="inlineStr">
        <is>
          <t>VÄSTERNORRLANDS LÄN</t>
        </is>
      </c>
      <c r="E7559" t="inlineStr">
        <is>
          <t>TIMRÅ</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16786-2026</t>
        </is>
      </c>
      <c r="B7560" s="1" t="n">
        <v>46113</v>
      </c>
      <c r="C7560" s="1" t="n">
        <v>46185</v>
      </c>
      <c r="D7560" t="inlineStr">
        <is>
          <t>VÄSTERNORRLANDS LÄN</t>
        </is>
      </c>
      <c r="E7560" t="inlineStr">
        <is>
          <t>TIMRÅ</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56775-2024</t>
        </is>
      </c>
      <c r="B7561" s="1" t="n">
        <v>45628.43646990741</v>
      </c>
      <c r="C7561" s="1" t="n">
        <v>46185</v>
      </c>
      <c r="D7561" t="inlineStr">
        <is>
          <t>VÄSTERNORRLANDS LÄN</t>
        </is>
      </c>
      <c r="E7561" t="inlineStr">
        <is>
          <t>ÖRNSKÖLDSVIK</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54235-2024</t>
        </is>
      </c>
      <c r="B7562" s="1" t="n">
        <v>45616.67806712963</v>
      </c>
      <c r="C7562" s="1" t="n">
        <v>46185</v>
      </c>
      <c r="D7562" t="inlineStr">
        <is>
          <t>VÄSTERNORRLANDS LÄN</t>
        </is>
      </c>
      <c r="E7562" t="inlineStr">
        <is>
          <t>SOLLEFTEÅ</t>
        </is>
      </c>
      <c r="F7562" t="inlineStr">
        <is>
          <t>SCA</t>
        </is>
      </c>
      <c r="G7562" t="n">
        <v>0.1</v>
      </c>
      <c r="H7562" t="n">
        <v>0</v>
      </c>
      <c r="I7562" t="n">
        <v>0</v>
      </c>
      <c r="J7562" t="n">
        <v>0</v>
      </c>
      <c r="K7562" t="n">
        <v>0</v>
      </c>
      <c r="L7562" t="n">
        <v>0</v>
      </c>
      <c r="M7562" t="n">
        <v>0</v>
      </c>
      <c r="N7562" t="n">
        <v>0</v>
      </c>
      <c r="O7562" t="n">
        <v>0</v>
      </c>
      <c r="P7562" t="n">
        <v>0</v>
      </c>
      <c r="Q7562" t="n">
        <v>0</v>
      </c>
      <c r="R7562" s="2" t="inlineStr"/>
    </row>
    <row r="7563" ht="15" customHeight="1">
      <c r="A7563" t="inlineStr">
        <is>
          <t>A 16468-2026</t>
        </is>
      </c>
      <c r="B7563" s="1" t="n">
        <v>46112.36506944444</v>
      </c>
      <c r="C7563" s="1" t="n">
        <v>46185</v>
      </c>
      <c r="D7563" t="inlineStr">
        <is>
          <t>VÄSTERNORRLANDS LÄN</t>
        </is>
      </c>
      <c r="E7563" t="inlineStr">
        <is>
          <t>SUNDSVALL</t>
        </is>
      </c>
      <c r="F7563" t="inlineStr">
        <is>
          <t>SCA</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32208-2024</t>
        </is>
      </c>
      <c r="B7564" s="1" t="n">
        <v>45511.67479166666</v>
      </c>
      <c r="C7564" s="1" t="n">
        <v>46185</v>
      </c>
      <c r="D7564" t="inlineStr">
        <is>
          <t>VÄSTERNORRLANDS LÄN</t>
        </is>
      </c>
      <c r="E7564" t="inlineStr">
        <is>
          <t>ÖRNSKÖLDSVIK</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7257-2024</t>
        </is>
      </c>
      <c r="B7565" s="1" t="n">
        <v>45344.7371412037</v>
      </c>
      <c r="C7565" s="1" t="n">
        <v>46185</v>
      </c>
      <c r="D7565" t="inlineStr">
        <is>
          <t>VÄSTERNORRLANDS LÄN</t>
        </is>
      </c>
      <c r="E7565" t="inlineStr">
        <is>
          <t>SOLLEFTEÅ</t>
        </is>
      </c>
      <c r="G7565" t="n">
        <v>9.1</v>
      </c>
      <c r="H7565" t="n">
        <v>0</v>
      </c>
      <c r="I7565" t="n">
        <v>0</v>
      </c>
      <c r="J7565" t="n">
        <v>0</v>
      </c>
      <c r="K7565" t="n">
        <v>0</v>
      </c>
      <c r="L7565" t="n">
        <v>0</v>
      </c>
      <c r="M7565" t="n">
        <v>0</v>
      </c>
      <c r="N7565" t="n">
        <v>0</v>
      </c>
      <c r="O7565" t="n">
        <v>0</v>
      </c>
      <c r="P7565" t="n">
        <v>0</v>
      </c>
      <c r="Q7565" t="n">
        <v>0</v>
      </c>
      <c r="R7565" s="2" t="inlineStr"/>
    </row>
    <row r="7566" ht="15" customHeight="1">
      <c r="A7566" t="inlineStr">
        <is>
          <t>A 16551-2026</t>
        </is>
      </c>
      <c r="B7566" s="1" t="n">
        <v>46112.53172453704</v>
      </c>
      <c r="C7566" s="1" t="n">
        <v>46185</v>
      </c>
      <c r="D7566" t="inlineStr">
        <is>
          <t>VÄSTERNORRLANDS LÄN</t>
        </is>
      </c>
      <c r="E7566" t="inlineStr">
        <is>
          <t>SUNDSVALL</t>
        </is>
      </c>
      <c r="F7566" t="inlineStr">
        <is>
          <t>SCA</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22349-2026</t>
        </is>
      </c>
      <c r="B7567" s="1" t="n">
        <v>46154.5817824074</v>
      </c>
      <c r="C7567" s="1" t="n">
        <v>46185</v>
      </c>
      <c r="D7567" t="inlineStr">
        <is>
          <t>VÄSTERNORRLANDS LÄN</t>
        </is>
      </c>
      <c r="E7567" t="inlineStr">
        <is>
          <t>ÖRNSKÖLDSVIK</t>
        </is>
      </c>
      <c r="F7567" t="inlineStr">
        <is>
          <t>Holmen skog AB</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62333-2021</t>
        </is>
      </c>
      <c r="B7568" s="1" t="n">
        <v>44502</v>
      </c>
      <c r="C7568" s="1" t="n">
        <v>46185</v>
      </c>
      <c r="D7568" t="inlineStr">
        <is>
          <t>VÄSTERNORRLANDS LÄN</t>
        </is>
      </c>
      <c r="E7568" t="inlineStr">
        <is>
          <t>HÄRNÖSAND</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73980-2021</t>
        </is>
      </c>
      <c r="B7569" s="1" t="n">
        <v>44554</v>
      </c>
      <c r="C7569" s="1" t="n">
        <v>46185</v>
      </c>
      <c r="D7569" t="inlineStr">
        <is>
          <t>VÄSTERNORRLANDS LÄN</t>
        </is>
      </c>
      <c r="E7569" t="inlineStr">
        <is>
          <t>SUNDSVALL</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59964-2021</t>
        </is>
      </c>
      <c r="B7570" s="1" t="n">
        <v>44494</v>
      </c>
      <c r="C7570" s="1" t="n">
        <v>46185</v>
      </c>
      <c r="D7570" t="inlineStr">
        <is>
          <t>VÄSTERNORRLANDS LÄN</t>
        </is>
      </c>
      <c r="E7570" t="inlineStr">
        <is>
          <t>TIMRÅ</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59973-2021</t>
        </is>
      </c>
      <c r="B7571" s="1" t="n">
        <v>44494.93664351852</v>
      </c>
      <c r="C7571" s="1" t="n">
        <v>46185</v>
      </c>
      <c r="D7571" t="inlineStr">
        <is>
          <t>VÄSTERNORRLANDS LÄN</t>
        </is>
      </c>
      <c r="E7571" t="inlineStr">
        <is>
          <t>SUNDSVALL</t>
        </is>
      </c>
      <c r="F7571" t="inlineStr">
        <is>
          <t>SCA</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29200-2023</t>
        </is>
      </c>
      <c r="B7572" s="1" t="n">
        <v>45105</v>
      </c>
      <c r="C7572" s="1" t="n">
        <v>46185</v>
      </c>
      <c r="D7572" t="inlineStr">
        <is>
          <t>VÄSTERNORRLANDS LÄN</t>
        </is>
      </c>
      <c r="E7572" t="inlineStr">
        <is>
          <t>ÖRNSKÖLDSVIK</t>
        </is>
      </c>
      <c r="F7572" t="inlineStr">
        <is>
          <t>Holmen skog AB</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22106-2026</t>
        </is>
      </c>
      <c r="B7573" s="1" t="n">
        <v>46149</v>
      </c>
      <c r="C7573" s="1" t="n">
        <v>46185</v>
      </c>
      <c r="D7573" t="inlineStr">
        <is>
          <t>VÄSTERNORRLANDS LÄN</t>
        </is>
      </c>
      <c r="E7573" t="inlineStr">
        <is>
          <t>KRAMFORS</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62083-2024</t>
        </is>
      </c>
      <c r="B7574" s="1" t="n">
        <v>45656.44252314815</v>
      </c>
      <c r="C7574" s="1" t="n">
        <v>46185</v>
      </c>
      <c r="D7574" t="inlineStr">
        <is>
          <t>VÄSTERNORRLANDS LÄN</t>
        </is>
      </c>
      <c r="E7574" t="inlineStr">
        <is>
          <t>KRAMFORS</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16837-2026</t>
        </is>
      </c>
      <c r="B7575" s="1" t="n">
        <v>46113.53158564815</v>
      </c>
      <c r="C7575" s="1" t="n">
        <v>46185</v>
      </c>
      <c r="D7575" t="inlineStr">
        <is>
          <t>VÄSTERNORRLANDS LÄN</t>
        </is>
      </c>
      <c r="E7575" t="inlineStr">
        <is>
          <t>SUNDSVALL</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16884-2026</t>
        </is>
      </c>
      <c r="B7576" s="1" t="n">
        <v>46113</v>
      </c>
      <c r="C7576" s="1" t="n">
        <v>46185</v>
      </c>
      <c r="D7576" t="inlineStr">
        <is>
          <t>VÄSTERNORRLANDS LÄN</t>
        </is>
      </c>
      <c r="E7576" t="inlineStr">
        <is>
          <t>TIMRÅ</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22442-2026</t>
        </is>
      </c>
      <c r="B7577" s="1" t="n">
        <v>46155.34434027778</v>
      </c>
      <c r="C7577" s="1" t="n">
        <v>46185</v>
      </c>
      <c r="D7577" t="inlineStr">
        <is>
          <t>VÄSTERNORRLANDS LÄN</t>
        </is>
      </c>
      <c r="E7577" t="inlineStr">
        <is>
          <t>SOLLEFTEÅ</t>
        </is>
      </c>
      <c r="F7577" t="inlineStr">
        <is>
          <t>SCA</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22450-2026</t>
        </is>
      </c>
      <c r="B7578" s="1" t="n">
        <v>46153</v>
      </c>
      <c r="C7578" s="1" t="n">
        <v>46185</v>
      </c>
      <c r="D7578" t="inlineStr">
        <is>
          <t>VÄSTERNORRLANDS LÄN</t>
        </is>
      </c>
      <c r="E7578" t="inlineStr">
        <is>
          <t>SOLLEFTEÅ</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22456-2026</t>
        </is>
      </c>
      <c r="B7579" s="1" t="n">
        <v>46155.35607638889</v>
      </c>
      <c r="C7579" s="1" t="n">
        <v>46185</v>
      </c>
      <c r="D7579" t="inlineStr">
        <is>
          <t>VÄSTERNORRLANDS LÄN</t>
        </is>
      </c>
      <c r="E7579" t="inlineStr">
        <is>
          <t>ÖRNSKÖLDSVIK</t>
        </is>
      </c>
      <c r="F7579" t="inlineStr">
        <is>
          <t>Holmen skog AB</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22458-2026</t>
        </is>
      </c>
      <c r="B7580" s="1" t="n">
        <v>46153</v>
      </c>
      <c r="C7580" s="1" t="n">
        <v>46185</v>
      </c>
      <c r="D7580" t="inlineStr">
        <is>
          <t>VÄSTERNORRLANDS LÄN</t>
        </is>
      </c>
      <c r="E7580" t="inlineStr">
        <is>
          <t>SOLLEFTEÅ</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22459-2026</t>
        </is>
      </c>
      <c r="B7581" s="1" t="n">
        <v>46153</v>
      </c>
      <c r="C7581" s="1" t="n">
        <v>46185</v>
      </c>
      <c r="D7581" t="inlineStr">
        <is>
          <t>VÄSTERNORRLANDS LÄN</t>
        </is>
      </c>
      <c r="E7581" t="inlineStr">
        <is>
          <t>ÖRNSKÖLDSVIK</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22462-2026</t>
        </is>
      </c>
      <c r="B7582" s="1" t="n">
        <v>46155.36511574074</v>
      </c>
      <c r="C7582" s="1" t="n">
        <v>46185</v>
      </c>
      <c r="D7582" t="inlineStr">
        <is>
          <t>VÄSTERNORRLANDS LÄN</t>
        </is>
      </c>
      <c r="E7582" t="inlineStr">
        <is>
          <t>SOLLEFTEÅ</t>
        </is>
      </c>
      <c r="F7582" t="inlineStr">
        <is>
          <t>SCA</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61305-2023</t>
        </is>
      </c>
      <c r="B7583" s="1" t="n">
        <v>45264.56385416666</v>
      </c>
      <c r="C7583" s="1" t="n">
        <v>46185</v>
      </c>
      <c r="D7583" t="inlineStr">
        <is>
          <t>VÄSTERNORRLANDS LÄN</t>
        </is>
      </c>
      <c r="E7583" t="inlineStr">
        <is>
          <t>ÖRNSKÖLDSVIK</t>
        </is>
      </c>
      <c r="G7583" t="n">
        <v>6.2</v>
      </c>
      <c r="H7583" t="n">
        <v>0</v>
      </c>
      <c r="I7583" t="n">
        <v>0</v>
      </c>
      <c r="J7583" t="n">
        <v>0</v>
      </c>
      <c r="K7583" t="n">
        <v>0</v>
      </c>
      <c r="L7583" t="n">
        <v>0</v>
      </c>
      <c r="M7583" t="n">
        <v>0</v>
      </c>
      <c r="N7583" t="n">
        <v>0</v>
      </c>
      <c r="O7583" t="n">
        <v>0</v>
      </c>
      <c r="P7583" t="n">
        <v>0</v>
      </c>
      <c r="Q7583" t="n">
        <v>0</v>
      </c>
      <c r="R7583" s="2" t="inlineStr"/>
    </row>
    <row r="7584" ht="15" customHeight="1">
      <c r="A7584" t="inlineStr">
        <is>
          <t>A 22613-2026</t>
        </is>
      </c>
      <c r="B7584" s="1" t="n">
        <v>46155</v>
      </c>
      <c r="C7584" s="1" t="n">
        <v>46185</v>
      </c>
      <c r="D7584" t="inlineStr">
        <is>
          <t>VÄSTERNORRLANDS LÄN</t>
        </is>
      </c>
      <c r="E7584" t="inlineStr">
        <is>
          <t>KRAMFORS</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22655-2026</t>
        </is>
      </c>
      <c r="B7585" s="1" t="n">
        <v>46155.67818287037</v>
      </c>
      <c r="C7585" s="1" t="n">
        <v>46185</v>
      </c>
      <c r="D7585" t="inlineStr">
        <is>
          <t>VÄSTERNORRLANDS LÄN</t>
        </is>
      </c>
      <c r="E7585" t="inlineStr">
        <is>
          <t>SOLLEFTEÅ</t>
        </is>
      </c>
      <c r="F7585" t="inlineStr">
        <is>
          <t>SCA</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38553-2024</t>
        </is>
      </c>
      <c r="B7586" s="1" t="n">
        <v>45546</v>
      </c>
      <c r="C7586" s="1" t="n">
        <v>46185</v>
      </c>
      <c r="D7586" t="inlineStr">
        <is>
          <t>VÄSTERNORRLANDS LÄN</t>
        </is>
      </c>
      <c r="E7586" t="inlineStr">
        <is>
          <t>KRAMFORS</t>
        </is>
      </c>
      <c r="G7586" t="n">
        <v>5.8</v>
      </c>
      <c r="H7586" t="n">
        <v>0</v>
      </c>
      <c r="I7586" t="n">
        <v>0</v>
      </c>
      <c r="J7586" t="n">
        <v>0</v>
      </c>
      <c r="K7586" t="n">
        <v>0</v>
      </c>
      <c r="L7586" t="n">
        <v>0</v>
      </c>
      <c r="M7586" t="n">
        <v>0</v>
      </c>
      <c r="N7586" t="n">
        <v>0</v>
      </c>
      <c r="O7586" t="n">
        <v>0</v>
      </c>
      <c r="P7586" t="n">
        <v>0</v>
      </c>
      <c r="Q7586" t="n">
        <v>0</v>
      </c>
      <c r="R7586" s="2" t="inlineStr"/>
    </row>
    <row r="7587" ht="15" customHeight="1">
      <c r="A7587" t="inlineStr">
        <is>
          <t>A 34185-2023</t>
        </is>
      </c>
      <c r="B7587" s="1" t="n">
        <v>45126</v>
      </c>
      <c r="C7587" s="1" t="n">
        <v>46185</v>
      </c>
      <c r="D7587" t="inlineStr">
        <is>
          <t>VÄSTERNORRLANDS LÄN</t>
        </is>
      </c>
      <c r="E7587" t="inlineStr">
        <is>
          <t>HÄRNÖSAND</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22661-2026</t>
        </is>
      </c>
      <c r="B7588" s="1" t="n">
        <v>46155.69856481482</v>
      </c>
      <c r="C7588" s="1" t="n">
        <v>46185</v>
      </c>
      <c r="D7588" t="inlineStr">
        <is>
          <t>VÄSTERNORRLANDS LÄN</t>
        </is>
      </c>
      <c r="E7588" t="inlineStr">
        <is>
          <t>SOLLEFTEÅ</t>
        </is>
      </c>
      <c r="F7588" t="inlineStr">
        <is>
          <t>SCA</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61781-2023</t>
        </is>
      </c>
      <c r="B7589" s="1" t="n">
        <v>45265.95708333333</v>
      </c>
      <c r="C7589" s="1" t="n">
        <v>46185</v>
      </c>
      <c r="D7589" t="inlineStr">
        <is>
          <t>VÄSTERNORRLANDS LÄN</t>
        </is>
      </c>
      <c r="E7589" t="inlineStr">
        <is>
          <t>ÅNGE</t>
        </is>
      </c>
      <c r="F7589" t="inlineStr">
        <is>
          <t>SCA</t>
        </is>
      </c>
      <c r="G7589" t="n">
        <v>8.300000000000001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23404-2023</t>
        </is>
      </c>
      <c r="B7590" s="1" t="n">
        <v>45076.48101851852</v>
      </c>
      <c r="C7590" s="1" t="n">
        <v>46185</v>
      </c>
      <c r="D7590" t="inlineStr">
        <is>
          <t>VÄSTERNORRLANDS LÄN</t>
        </is>
      </c>
      <c r="E7590" t="inlineStr">
        <is>
          <t>SUNDSVALL</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16793-2026</t>
        </is>
      </c>
      <c r="B7591" s="1" t="n">
        <v>46113.46930555555</v>
      </c>
      <c r="C7591" s="1" t="n">
        <v>46185</v>
      </c>
      <c r="D7591" t="inlineStr">
        <is>
          <t>VÄSTERNORRLANDS LÄN</t>
        </is>
      </c>
      <c r="E7591" t="inlineStr">
        <is>
          <t>ÅNGE</t>
        </is>
      </c>
      <c r="F7591" t="inlineStr">
        <is>
          <t>SCA</t>
        </is>
      </c>
      <c r="G7591" t="n">
        <v>15.9</v>
      </c>
      <c r="H7591" t="n">
        <v>0</v>
      </c>
      <c r="I7591" t="n">
        <v>0</v>
      </c>
      <c r="J7591" t="n">
        <v>0</v>
      </c>
      <c r="K7591" t="n">
        <v>0</v>
      </c>
      <c r="L7591" t="n">
        <v>0</v>
      </c>
      <c r="M7591" t="n">
        <v>0</v>
      </c>
      <c r="N7591" t="n">
        <v>0</v>
      </c>
      <c r="O7591" t="n">
        <v>0</v>
      </c>
      <c r="P7591" t="n">
        <v>0</v>
      </c>
      <c r="Q7591" t="n">
        <v>0</v>
      </c>
      <c r="R7591" s="2" t="inlineStr"/>
    </row>
    <row r="7592" ht="15" customHeight="1">
      <c r="A7592" t="inlineStr">
        <is>
          <t>A 43130-2023</t>
        </is>
      </c>
      <c r="B7592" s="1" t="n">
        <v>45182.94908564815</v>
      </c>
      <c r="C7592" s="1" t="n">
        <v>46185</v>
      </c>
      <c r="D7592" t="inlineStr">
        <is>
          <t>VÄSTERNORRLANDS LÄN</t>
        </is>
      </c>
      <c r="E7592" t="inlineStr">
        <is>
          <t>TIMRÅ</t>
        </is>
      </c>
      <c r="F7592" t="inlineStr">
        <is>
          <t>SCA</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16805-2026</t>
        </is>
      </c>
      <c r="B7593" s="1" t="n">
        <v>46113.49008101852</v>
      </c>
      <c r="C7593" s="1" t="n">
        <v>46185</v>
      </c>
      <c r="D7593" t="inlineStr">
        <is>
          <t>VÄSTERNORRLANDS LÄN</t>
        </is>
      </c>
      <c r="E7593" t="inlineStr">
        <is>
          <t>SOLLEFTEÅ</t>
        </is>
      </c>
      <c r="F7593" t="inlineStr">
        <is>
          <t>SCA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16839-2026</t>
        </is>
      </c>
      <c r="B7594" s="1" t="n">
        <v>46113.53362268519</v>
      </c>
      <c r="C7594" s="1" t="n">
        <v>46185</v>
      </c>
      <c r="D7594" t="inlineStr">
        <is>
          <t>VÄSTERNORRLANDS LÄN</t>
        </is>
      </c>
      <c r="E7594" t="inlineStr">
        <is>
          <t>SUNDSVALL</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16840-2026</t>
        </is>
      </c>
      <c r="B7595" s="1" t="n">
        <v>46113.53590277778</v>
      </c>
      <c r="C7595" s="1" t="n">
        <v>46185</v>
      </c>
      <c r="D7595" t="inlineStr">
        <is>
          <t>VÄSTERNORRLANDS LÄN</t>
        </is>
      </c>
      <c r="E7595" t="inlineStr">
        <is>
          <t>SUNDSVALL</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22487-2026</t>
        </is>
      </c>
      <c r="B7596" s="1" t="n">
        <v>46155.41751157407</v>
      </c>
      <c r="C7596" s="1" t="n">
        <v>46185</v>
      </c>
      <c r="D7596" t="inlineStr">
        <is>
          <t>VÄSTERNORRLANDS LÄN</t>
        </is>
      </c>
      <c r="E7596" t="inlineStr">
        <is>
          <t>ÖRNSKÖLDSVIK</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47886-2024</t>
        </is>
      </c>
      <c r="B7597" s="1" t="n">
        <v>45588.82175925926</v>
      </c>
      <c r="C7597" s="1" t="n">
        <v>46185</v>
      </c>
      <c r="D7597" t="inlineStr">
        <is>
          <t>VÄSTERNORRLANDS LÄN</t>
        </is>
      </c>
      <c r="E7597" t="inlineStr">
        <is>
          <t>SUNDSVALL</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15978-2023</t>
        </is>
      </c>
      <c r="B7598" s="1" t="n">
        <v>45022.94188657407</v>
      </c>
      <c r="C7598" s="1" t="n">
        <v>46185</v>
      </c>
      <c r="D7598" t="inlineStr">
        <is>
          <t>VÄSTERNORRLANDS LÄN</t>
        </is>
      </c>
      <c r="E7598" t="inlineStr">
        <is>
          <t>SOLLEFTEÅ</t>
        </is>
      </c>
      <c r="F7598" t="inlineStr">
        <is>
          <t>SCA</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22548-2026</t>
        </is>
      </c>
      <c r="B7599" s="1" t="n">
        <v>46155.52646990741</v>
      </c>
      <c r="C7599" s="1" t="n">
        <v>46185</v>
      </c>
      <c r="D7599" t="inlineStr">
        <is>
          <t>VÄSTERNORRLANDS LÄN</t>
        </is>
      </c>
      <c r="E7599" t="inlineStr">
        <is>
          <t>HÄRNÖSAND</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53107-2023</t>
        </is>
      </c>
      <c r="B7600" s="1" t="n">
        <v>45228</v>
      </c>
      <c r="C7600" s="1" t="n">
        <v>46185</v>
      </c>
      <c r="D7600" t="inlineStr">
        <is>
          <t>VÄSTERNORRLANDS LÄN</t>
        </is>
      </c>
      <c r="E7600" t="inlineStr">
        <is>
          <t>HÄRNÖSAND</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22319-2026</t>
        </is>
      </c>
      <c r="B7601" s="1" t="n">
        <v>46154.50883101852</v>
      </c>
      <c r="C7601" s="1" t="n">
        <v>46185</v>
      </c>
      <c r="D7601" t="inlineStr">
        <is>
          <t>VÄSTERNORRLANDS LÄN</t>
        </is>
      </c>
      <c r="E7601" t="inlineStr">
        <is>
          <t>ÖRNSKÖLDSVIK</t>
        </is>
      </c>
      <c r="G7601" t="n">
        <v>27.1</v>
      </c>
      <c r="H7601" t="n">
        <v>0</v>
      </c>
      <c r="I7601" t="n">
        <v>0</v>
      </c>
      <c r="J7601" t="n">
        <v>0</v>
      </c>
      <c r="K7601" t="n">
        <v>0</v>
      </c>
      <c r="L7601" t="n">
        <v>0</v>
      </c>
      <c r="M7601" t="n">
        <v>0</v>
      </c>
      <c r="N7601" t="n">
        <v>0</v>
      </c>
      <c r="O7601" t="n">
        <v>0</v>
      </c>
      <c r="P7601" t="n">
        <v>0</v>
      </c>
      <c r="Q7601" t="n">
        <v>0</v>
      </c>
      <c r="R7601" s="2" t="inlineStr"/>
    </row>
    <row r="7602" ht="15" customHeight="1">
      <c r="A7602" t="inlineStr">
        <is>
          <t>A 22333-2026</t>
        </is>
      </c>
      <c r="B7602" s="1" t="n">
        <v>46154.56728009259</v>
      </c>
      <c r="C7602" s="1" t="n">
        <v>46185</v>
      </c>
      <c r="D7602" t="inlineStr">
        <is>
          <t>VÄSTERNORRLANDS LÄN</t>
        </is>
      </c>
      <c r="E7602" t="inlineStr">
        <is>
          <t>SUNDSVALL</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9966-2025</t>
        </is>
      </c>
      <c r="B7603" s="1" t="n">
        <v>45719</v>
      </c>
      <c r="C7603" s="1" t="n">
        <v>46185</v>
      </c>
      <c r="D7603" t="inlineStr">
        <is>
          <t>VÄSTERNORRLANDS LÄN</t>
        </is>
      </c>
      <c r="E7603" t="inlineStr">
        <is>
          <t>SOLLEFTEÅ</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17054-2023</t>
        </is>
      </c>
      <c r="B7604" s="1" t="n">
        <v>45034</v>
      </c>
      <c r="C7604" s="1" t="n">
        <v>46185</v>
      </c>
      <c r="D7604" t="inlineStr">
        <is>
          <t>VÄSTERNORRLANDS LÄN</t>
        </is>
      </c>
      <c r="E7604" t="inlineStr">
        <is>
          <t>KRAMFORS</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22298-2026</t>
        </is>
      </c>
      <c r="B7605" s="1" t="n">
        <v>46154.44831018519</v>
      </c>
      <c r="C7605" s="1" t="n">
        <v>46185</v>
      </c>
      <c r="D7605" t="inlineStr">
        <is>
          <t>VÄSTERNORRLANDS LÄN</t>
        </is>
      </c>
      <c r="E7605" t="inlineStr">
        <is>
          <t>SUNDSVALL</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43571-2024</t>
        </is>
      </c>
      <c r="B7606" s="1" t="n">
        <v>45569</v>
      </c>
      <c r="C7606" s="1" t="n">
        <v>46185</v>
      </c>
      <c r="D7606" t="inlineStr">
        <is>
          <t>VÄSTERNORRLANDS LÄN</t>
        </is>
      </c>
      <c r="E7606" t="inlineStr">
        <is>
          <t>SUNDSVALL</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22309-2026</t>
        </is>
      </c>
      <c r="B7607" s="1" t="n">
        <v>46154.46949074074</v>
      </c>
      <c r="C7607" s="1" t="n">
        <v>46185</v>
      </c>
      <c r="D7607" t="inlineStr">
        <is>
          <t>VÄSTERNORRLANDS LÄN</t>
        </is>
      </c>
      <c r="E7607" t="inlineStr">
        <is>
          <t>SUNDSVALL</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22103-2026</t>
        </is>
      </c>
      <c r="B7608" s="1" t="n">
        <v>46153.55303240741</v>
      </c>
      <c r="C7608" s="1" t="n">
        <v>46185</v>
      </c>
      <c r="D7608" t="inlineStr">
        <is>
          <t>VÄSTERNORRLANDS LÄN</t>
        </is>
      </c>
      <c r="E7608" t="inlineStr">
        <is>
          <t>SOLLEFTEÅ</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22107-2026</t>
        </is>
      </c>
      <c r="B7609" s="1" t="n">
        <v>46149</v>
      </c>
      <c r="C7609" s="1" t="n">
        <v>46185</v>
      </c>
      <c r="D7609" t="inlineStr">
        <is>
          <t>VÄSTERNORRLANDS LÄN</t>
        </is>
      </c>
      <c r="E7609" t="inlineStr">
        <is>
          <t>KRAMFORS</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22417-2026</t>
        </is>
      </c>
      <c r="B7610" s="1" t="n">
        <v>46154.67775462963</v>
      </c>
      <c r="C7610" s="1" t="n">
        <v>46185</v>
      </c>
      <c r="D7610" t="inlineStr">
        <is>
          <t>VÄSTERNORRLANDS LÄN</t>
        </is>
      </c>
      <c r="E7610" t="inlineStr">
        <is>
          <t>ÅNGE</t>
        </is>
      </c>
      <c r="F7610" t="inlineStr">
        <is>
          <t>SCA</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22483-2026</t>
        </is>
      </c>
      <c r="B7611" s="1" t="n">
        <v>46154</v>
      </c>
      <c r="C7611" s="1" t="n">
        <v>46185</v>
      </c>
      <c r="D7611" t="inlineStr">
        <is>
          <t>VÄSTERNORRLANDS LÄN</t>
        </is>
      </c>
      <c r="E7611" t="inlineStr">
        <is>
          <t>SUNDSVALL</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16925-2026</t>
        </is>
      </c>
      <c r="B7612" s="1" t="n">
        <v>46113</v>
      </c>
      <c r="C7612" s="1" t="n">
        <v>46185</v>
      </c>
      <c r="D7612" t="inlineStr">
        <is>
          <t>VÄSTERNORRLANDS LÄN</t>
        </is>
      </c>
      <c r="E7612" t="inlineStr">
        <is>
          <t>SOLLEFTEÅ</t>
        </is>
      </c>
      <c r="F7612" t="inlineStr">
        <is>
          <t>SCA</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38379-2023</t>
        </is>
      </c>
      <c r="B7613" s="1" t="n">
        <v>45161</v>
      </c>
      <c r="C7613" s="1" t="n">
        <v>46185</v>
      </c>
      <c r="D7613" t="inlineStr">
        <is>
          <t>VÄSTERNORRLANDS LÄN</t>
        </is>
      </c>
      <c r="E7613" t="inlineStr">
        <is>
          <t>HÄRNÖSAND</t>
        </is>
      </c>
      <c r="F7613" t="inlineStr">
        <is>
          <t>SCA</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38386-2023</t>
        </is>
      </c>
      <c r="B7614" s="1" t="n">
        <v>45162.28376157407</v>
      </c>
      <c r="C7614" s="1" t="n">
        <v>46185</v>
      </c>
      <c r="D7614" t="inlineStr">
        <is>
          <t>VÄSTERNORRLANDS LÄN</t>
        </is>
      </c>
      <c r="E7614" t="inlineStr">
        <is>
          <t>ÖRNSKÖLDSVIK</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41655-2023</t>
        </is>
      </c>
      <c r="B7615" s="1" t="n">
        <v>45175.95751157407</v>
      </c>
      <c r="C7615" s="1" t="n">
        <v>46185</v>
      </c>
      <c r="D7615" t="inlineStr">
        <is>
          <t>VÄSTERNORRLANDS LÄN</t>
        </is>
      </c>
      <c r="E7615" t="inlineStr">
        <is>
          <t>SOLLEFTEÅ</t>
        </is>
      </c>
      <c r="F7615" t="inlineStr">
        <is>
          <t>SCA</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42918-2023</t>
        </is>
      </c>
      <c r="B7616" s="1" t="n">
        <v>45182</v>
      </c>
      <c r="C7616" s="1" t="n">
        <v>46185</v>
      </c>
      <c r="D7616" t="inlineStr">
        <is>
          <t>VÄSTERNORRLANDS LÄN</t>
        </is>
      </c>
      <c r="E7616" t="inlineStr">
        <is>
          <t>KRAMFORS</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16510-2026</t>
        </is>
      </c>
      <c r="B7617" s="1" t="n">
        <v>46112.44849537037</v>
      </c>
      <c r="C7617" s="1" t="n">
        <v>46185</v>
      </c>
      <c r="D7617" t="inlineStr">
        <is>
          <t>VÄSTERNORRLANDS LÄN</t>
        </is>
      </c>
      <c r="E7617" t="inlineStr">
        <is>
          <t>SOLLEFTEÅ</t>
        </is>
      </c>
      <c r="F7617" t="inlineStr">
        <is>
          <t>SCA</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16525-2026</t>
        </is>
      </c>
      <c r="B7618" s="1" t="n">
        <v>46112.46954861111</v>
      </c>
      <c r="C7618" s="1" t="n">
        <v>46185</v>
      </c>
      <c r="D7618" t="inlineStr">
        <is>
          <t>VÄSTERNORRLANDS LÄN</t>
        </is>
      </c>
      <c r="E7618" t="inlineStr">
        <is>
          <t>SOLLEFTEÅ</t>
        </is>
      </c>
      <c r="F7618" t="inlineStr">
        <is>
          <t>SCA</t>
        </is>
      </c>
      <c r="G7618" t="n">
        <v>32.9</v>
      </c>
      <c r="H7618" t="n">
        <v>0</v>
      </c>
      <c r="I7618" t="n">
        <v>0</v>
      </c>
      <c r="J7618" t="n">
        <v>0</v>
      </c>
      <c r="K7618" t="n">
        <v>0</v>
      </c>
      <c r="L7618" t="n">
        <v>0</v>
      </c>
      <c r="M7618" t="n">
        <v>0</v>
      </c>
      <c r="N7618" t="n">
        <v>0</v>
      </c>
      <c r="O7618" t="n">
        <v>0</v>
      </c>
      <c r="P7618" t="n">
        <v>0</v>
      </c>
      <c r="Q7618" t="n">
        <v>0</v>
      </c>
      <c r="R7618" s="2" t="inlineStr"/>
    </row>
    <row r="7619" ht="15" customHeight="1">
      <c r="A7619" t="inlineStr">
        <is>
          <t>A 22463-2026</t>
        </is>
      </c>
      <c r="B7619" s="1" t="n">
        <v>46155.36530092593</v>
      </c>
      <c r="C7619" s="1" t="n">
        <v>46185</v>
      </c>
      <c r="D7619" t="inlineStr">
        <is>
          <t>VÄSTERNORRLANDS LÄN</t>
        </is>
      </c>
      <c r="E7619" t="inlineStr">
        <is>
          <t>SOLLEFTEÅ</t>
        </is>
      </c>
      <c r="F7619" t="inlineStr">
        <is>
          <t>SCA</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22524-2026</t>
        </is>
      </c>
      <c r="B7620" s="1" t="n">
        <v>46155.46799768518</v>
      </c>
      <c r="C7620" s="1" t="n">
        <v>46185</v>
      </c>
      <c r="D7620" t="inlineStr">
        <is>
          <t>VÄSTERNORRLANDS LÄN</t>
        </is>
      </c>
      <c r="E7620" t="inlineStr">
        <is>
          <t>SUNDSVALL</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19556-2024</t>
        </is>
      </c>
      <c r="B7621" s="1" t="n">
        <v>45429</v>
      </c>
      <c r="C7621" s="1" t="n">
        <v>46185</v>
      </c>
      <c r="D7621" t="inlineStr">
        <is>
          <t>VÄSTERNORRLANDS LÄN</t>
        </is>
      </c>
      <c r="E7621" t="inlineStr">
        <is>
          <t>SOLLEFTEÅ</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21960-2026</t>
        </is>
      </c>
      <c r="B7622" s="1" t="n">
        <v>46152</v>
      </c>
      <c r="C7622" s="1" t="n">
        <v>46185</v>
      </c>
      <c r="D7622" t="inlineStr">
        <is>
          <t>VÄSTERNORRLANDS LÄN</t>
        </is>
      </c>
      <c r="E7622" t="inlineStr">
        <is>
          <t>TIMRÅ</t>
        </is>
      </c>
      <c r="F7622" t="inlineStr">
        <is>
          <t>SCA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8221-2022</t>
        </is>
      </c>
      <c r="B7623" s="1" t="n">
        <v>44609.93001157408</v>
      </c>
      <c r="C7623" s="1" t="n">
        <v>46185</v>
      </c>
      <c r="D7623" t="inlineStr">
        <is>
          <t>VÄSTERNORRLANDS LÄN</t>
        </is>
      </c>
      <c r="E7623" t="inlineStr">
        <is>
          <t>SOLLEFTEÅ</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16336-2024</t>
        </is>
      </c>
      <c r="B7624" s="1" t="n">
        <v>45407.55550925926</v>
      </c>
      <c r="C7624" s="1" t="n">
        <v>46185</v>
      </c>
      <c r="D7624" t="inlineStr">
        <is>
          <t>VÄSTERNORRLANDS LÄN</t>
        </is>
      </c>
      <c r="E7624" t="inlineStr">
        <is>
          <t>ÖRNSKÖLDSVIK</t>
        </is>
      </c>
      <c r="F7624" t="inlineStr">
        <is>
          <t>Holmen skog AB</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22102-2026</t>
        </is>
      </c>
      <c r="B7625" s="1" t="n">
        <v>46153.55300925926</v>
      </c>
      <c r="C7625" s="1" t="n">
        <v>46185</v>
      </c>
      <c r="D7625" t="inlineStr">
        <is>
          <t>VÄSTERNORRLANDS LÄN</t>
        </is>
      </c>
      <c r="E7625" t="inlineStr">
        <is>
          <t>SOLLEFTEÅ</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49187-2024</t>
        </is>
      </c>
      <c r="B7626" s="1" t="n">
        <v>45595.34490740741</v>
      </c>
      <c r="C7626" s="1" t="n">
        <v>46185</v>
      </c>
      <c r="D7626" t="inlineStr">
        <is>
          <t>VÄSTERNORRLANDS LÄN</t>
        </is>
      </c>
      <c r="E7626" t="inlineStr">
        <is>
          <t>ÅNGE</t>
        </is>
      </c>
      <c r="F7626" t="inlineStr">
        <is>
          <t>SCA</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22441-2026</t>
        </is>
      </c>
      <c r="B7627" s="1" t="n">
        <v>46153</v>
      </c>
      <c r="C7627" s="1" t="n">
        <v>46185</v>
      </c>
      <c r="D7627" t="inlineStr">
        <is>
          <t>VÄSTERNORRLANDS LÄN</t>
        </is>
      </c>
      <c r="E7627" t="inlineStr">
        <is>
          <t>SOLLEFTEÅ</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22446-2026</t>
        </is>
      </c>
      <c r="B7628" s="1" t="n">
        <v>46153</v>
      </c>
      <c r="C7628" s="1" t="n">
        <v>46185</v>
      </c>
      <c r="D7628" t="inlineStr">
        <is>
          <t>VÄSTERNORRLANDS LÄN</t>
        </is>
      </c>
      <c r="E7628" t="inlineStr">
        <is>
          <t>SOLLEFTEÅ</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22454-2026</t>
        </is>
      </c>
      <c r="B7629" s="1" t="n">
        <v>46153</v>
      </c>
      <c r="C7629" s="1" t="n">
        <v>46185</v>
      </c>
      <c r="D7629" t="inlineStr">
        <is>
          <t>VÄSTERNORRLANDS LÄN</t>
        </is>
      </c>
      <c r="E7629" t="inlineStr">
        <is>
          <t>SOLLEFTEÅ</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33709-2023</t>
        </is>
      </c>
      <c r="B7630" s="1" t="n">
        <v>45132.92300925926</v>
      </c>
      <c r="C7630" s="1" t="n">
        <v>46185</v>
      </c>
      <c r="D7630" t="inlineStr">
        <is>
          <t>VÄSTERNORRLANDS LÄN</t>
        </is>
      </c>
      <c r="E7630" t="inlineStr">
        <is>
          <t>SOLLEFTEÅ</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16650-2026</t>
        </is>
      </c>
      <c r="B7631" s="1" t="n">
        <v>46112</v>
      </c>
      <c r="C7631" s="1" t="n">
        <v>46185</v>
      </c>
      <c r="D7631" t="inlineStr">
        <is>
          <t>VÄSTERNORRLANDS LÄN</t>
        </is>
      </c>
      <c r="E7631" t="inlineStr">
        <is>
          <t>SUNDSVALL</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22340-2026</t>
        </is>
      </c>
      <c r="B7632" s="1" t="n">
        <v>46154.57362268519</v>
      </c>
      <c r="C7632" s="1" t="n">
        <v>46185</v>
      </c>
      <c r="D7632" t="inlineStr">
        <is>
          <t>VÄSTERNORRLANDS LÄN</t>
        </is>
      </c>
      <c r="E7632" t="inlineStr">
        <is>
          <t>SOLLEFTEÅ</t>
        </is>
      </c>
      <c r="F7632" t="inlineStr">
        <is>
          <t>SCA</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32185-2023</t>
        </is>
      </c>
      <c r="B7633" s="1" t="n">
        <v>45119.84378472222</v>
      </c>
      <c r="C7633" s="1" t="n">
        <v>46185</v>
      </c>
      <c r="D7633" t="inlineStr">
        <is>
          <t>VÄSTERNORRLANDS LÄN</t>
        </is>
      </c>
      <c r="E7633" t="inlineStr">
        <is>
          <t>ÖRNSKÖLDSVIK</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31464-2023</t>
        </is>
      </c>
      <c r="B7634" s="1" t="n">
        <v>45104</v>
      </c>
      <c r="C7634" s="1" t="n">
        <v>46185</v>
      </c>
      <c r="D7634" t="inlineStr">
        <is>
          <t>VÄSTERNORRLANDS LÄN</t>
        </is>
      </c>
      <c r="E7634" t="inlineStr">
        <is>
          <t>ÖRNSKÖLDSVIK</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22362-2026</t>
        </is>
      </c>
      <c r="B7635" s="1" t="n">
        <v>46154.59824074074</v>
      </c>
      <c r="C7635" s="1" t="n">
        <v>46185</v>
      </c>
      <c r="D7635" t="inlineStr">
        <is>
          <t>VÄSTERNORRLANDS LÄN</t>
        </is>
      </c>
      <c r="E7635" t="inlineStr">
        <is>
          <t>ÖRNSKÖLDSVIK</t>
        </is>
      </c>
      <c r="F7635" t="inlineStr">
        <is>
          <t>Holmen skog AB</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16593-2026</t>
        </is>
      </c>
      <c r="B7636" s="1" t="n">
        <v>46112</v>
      </c>
      <c r="C7636" s="1" t="n">
        <v>46185</v>
      </c>
      <c r="D7636" t="inlineStr">
        <is>
          <t>VÄSTERNORRLANDS LÄN</t>
        </is>
      </c>
      <c r="E7636" t="inlineStr">
        <is>
          <t>SUNDSVALL</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33043-2023</t>
        </is>
      </c>
      <c r="B7637" s="1" t="n">
        <v>45125</v>
      </c>
      <c r="C7637" s="1" t="n">
        <v>46185</v>
      </c>
      <c r="D7637" t="inlineStr">
        <is>
          <t>VÄSTERNORRLANDS LÄN</t>
        </is>
      </c>
      <c r="E7637" t="inlineStr">
        <is>
          <t>TIMRÅ</t>
        </is>
      </c>
      <c r="F7637" t="inlineStr">
        <is>
          <t>SCA</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16835-2026</t>
        </is>
      </c>
      <c r="B7638" s="1" t="n">
        <v>46113</v>
      </c>
      <c r="C7638" s="1" t="n">
        <v>46185</v>
      </c>
      <c r="D7638" t="inlineStr">
        <is>
          <t>VÄSTERNORRLANDS LÄN</t>
        </is>
      </c>
      <c r="E7638" t="inlineStr">
        <is>
          <t>HÄRNÖSAND</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9393-2022</t>
        </is>
      </c>
      <c r="B7639" s="1" t="n">
        <v>44616.64576388889</v>
      </c>
      <c r="C7639" s="1" t="n">
        <v>46185</v>
      </c>
      <c r="D7639" t="inlineStr">
        <is>
          <t>VÄSTERNORRLANDS LÄN</t>
        </is>
      </c>
      <c r="E7639" t="inlineStr">
        <is>
          <t>SUNDSVALL</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19855-2024</t>
        </is>
      </c>
      <c r="B7640" s="1" t="n">
        <v>45433</v>
      </c>
      <c r="C7640" s="1" t="n">
        <v>46185</v>
      </c>
      <c r="D7640" t="inlineStr">
        <is>
          <t>VÄSTERNORRLANDS LÄN</t>
        </is>
      </c>
      <c r="E7640" t="inlineStr">
        <is>
          <t>KRAMFORS</t>
        </is>
      </c>
      <c r="G7640" t="n">
        <v>18.9</v>
      </c>
      <c r="H7640" t="n">
        <v>0</v>
      </c>
      <c r="I7640" t="n">
        <v>0</v>
      </c>
      <c r="J7640" t="n">
        <v>0</v>
      </c>
      <c r="K7640" t="n">
        <v>0</v>
      </c>
      <c r="L7640" t="n">
        <v>0</v>
      </c>
      <c r="M7640" t="n">
        <v>0</v>
      </c>
      <c r="N7640" t="n">
        <v>0</v>
      </c>
      <c r="O7640" t="n">
        <v>0</v>
      </c>
      <c r="P7640" t="n">
        <v>0</v>
      </c>
      <c r="Q7640" t="n">
        <v>0</v>
      </c>
      <c r="R7640" s="2" t="inlineStr"/>
    </row>
    <row r="7641" ht="15" customHeight="1">
      <c r="A7641" t="inlineStr">
        <is>
          <t>A 16889-2026</t>
        </is>
      </c>
      <c r="B7641" s="1" t="n">
        <v>46113.61520833334</v>
      </c>
      <c r="C7641" s="1" t="n">
        <v>46185</v>
      </c>
      <c r="D7641" t="inlineStr">
        <is>
          <t>VÄSTERNORRLANDS LÄN</t>
        </is>
      </c>
      <c r="E7641" t="inlineStr">
        <is>
          <t>SOLLEFTEÅ</t>
        </is>
      </c>
      <c r="F7641" t="inlineStr">
        <is>
          <t>SCA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19889-2024</t>
        </is>
      </c>
      <c r="B7642" s="1" t="n">
        <v>45433.49839120371</v>
      </c>
      <c r="C7642" s="1" t="n">
        <v>46185</v>
      </c>
      <c r="D7642" t="inlineStr">
        <is>
          <t>VÄSTERNORRLANDS LÄN</t>
        </is>
      </c>
      <c r="E7642" t="inlineStr">
        <is>
          <t>ÖRNSKÖLDSVIK</t>
        </is>
      </c>
      <c r="F7642" t="inlineStr">
        <is>
          <t>Holmen skog AB</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21065-2026</t>
        </is>
      </c>
      <c r="B7643" s="1" t="n">
        <v>46146</v>
      </c>
      <c r="C7643" s="1" t="n">
        <v>46185</v>
      </c>
      <c r="D7643" t="inlineStr">
        <is>
          <t>VÄSTERNORRLANDS LÄN</t>
        </is>
      </c>
      <c r="E7643" t="inlineStr">
        <is>
          <t>KRAMFORS</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28873-2024</t>
        </is>
      </c>
      <c r="B7644" s="1" t="n">
        <v>45478.94766203704</v>
      </c>
      <c r="C7644" s="1" t="n">
        <v>46185</v>
      </c>
      <c r="D7644" t="inlineStr">
        <is>
          <t>VÄSTERNORRLANDS LÄN</t>
        </is>
      </c>
      <c r="E7644" t="inlineStr">
        <is>
          <t>ÅNGE</t>
        </is>
      </c>
      <c r="F7644" t="inlineStr">
        <is>
          <t>SCA</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16891-2026</t>
        </is>
      </c>
      <c r="B7645" s="1" t="n">
        <v>46113.61569444444</v>
      </c>
      <c r="C7645" s="1" t="n">
        <v>46185</v>
      </c>
      <c r="D7645" t="inlineStr">
        <is>
          <t>VÄSTERNORRLANDS LÄN</t>
        </is>
      </c>
      <c r="E7645" t="inlineStr">
        <is>
          <t>ÅNGE</t>
        </is>
      </c>
      <c r="F7645" t="inlineStr">
        <is>
          <t>SCA</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13605-2024</t>
        </is>
      </c>
      <c r="B7646" s="1" t="n">
        <v>45390</v>
      </c>
      <c r="C7646" s="1" t="n">
        <v>46185</v>
      </c>
      <c r="D7646" t="inlineStr">
        <is>
          <t>VÄSTERNORRLANDS LÄN</t>
        </is>
      </c>
      <c r="E7646" t="inlineStr">
        <is>
          <t>HÄRNÖSAND</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24152-2023</t>
        </is>
      </c>
      <c r="B7647" s="1" t="n">
        <v>45076</v>
      </c>
      <c r="C7647" s="1" t="n">
        <v>46185</v>
      </c>
      <c r="D7647" t="inlineStr">
        <is>
          <t>VÄSTERNORRLANDS LÄN</t>
        </is>
      </c>
      <c r="E7647" t="inlineStr">
        <is>
          <t>SUNDSVALL</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16663-2026</t>
        </is>
      </c>
      <c r="B7648" s="1" t="n">
        <v>46112.65729166667</v>
      </c>
      <c r="C7648" s="1" t="n">
        <v>46185</v>
      </c>
      <c r="D7648" t="inlineStr">
        <is>
          <t>VÄSTERNORRLANDS LÄN</t>
        </is>
      </c>
      <c r="E7648" t="inlineStr">
        <is>
          <t>ÖRNSKÖLDSVIK</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13674-2024</t>
        </is>
      </c>
      <c r="B7649" s="1" t="n">
        <v>45390</v>
      </c>
      <c r="C7649" s="1" t="n">
        <v>46185</v>
      </c>
      <c r="D7649" t="inlineStr">
        <is>
          <t>VÄSTERNORRLANDS LÄN</t>
        </is>
      </c>
      <c r="E7649" t="inlineStr">
        <is>
          <t>SUNDSVALL</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16768-2026</t>
        </is>
      </c>
      <c r="B7650" s="1" t="n">
        <v>46113.42771990741</v>
      </c>
      <c r="C7650" s="1" t="n">
        <v>46185</v>
      </c>
      <c r="D7650" t="inlineStr">
        <is>
          <t>VÄSTERNORRLANDS LÄN</t>
        </is>
      </c>
      <c r="E7650" t="inlineStr">
        <is>
          <t>ÅNGE</t>
        </is>
      </c>
      <c r="F7650" t="inlineStr">
        <is>
          <t>SCA</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21970-2024</t>
        </is>
      </c>
      <c r="B7651" s="1" t="n">
        <v>45443.51434027778</v>
      </c>
      <c r="C7651" s="1" t="n">
        <v>46185</v>
      </c>
      <c r="D7651" t="inlineStr">
        <is>
          <t>VÄSTERNORRLANDS LÄN</t>
        </is>
      </c>
      <c r="E7651" t="inlineStr">
        <is>
          <t>ÖRNSKÖLDSVIK</t>
        </is>
      </c>
      <c r="F7651" t="inlineStr">
        <is>
          <t>Holmen skog AB</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47172-2024</t>
        </is>
      </c>
      <c r="B7652" s="1" t="n">
        <v>45586.61501157407</v>
      </c>
      <c r="C7652" s="1" t="n">
        <v>46185</v>
      </c>
      <c r="D7652" t="inlineStr">
        <is>
          <t>VÄSTERNORRLANDS LÄN</t>
        </is>
      </c>
      <c r="E7652" t="inlineStr">
        <is>
          <t>SUNDSVALL</t>
        </is>
      </c>
      <c r="F7652" t="inlineStr">
        <is>
          <t>SCA</t>
        </is>
      </c>
      <c r="G7652" t="n">
        <v>9.800000000000001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47179-2024</t>
        </is>
      </c>
      <c r="B7653" s="1" t="n">
        <v>45586.61634259259</v>
      </c>
      <c r="C7653" s="1" t="n">
        <v>46185</v>
      </c>
      <c r="D7653" t="inlineStr">
        <is>
          <t>VÄSTERNORRLANDS LÄN</t>
        </is>
      </c>
      <c r="E7653" t="inlineStr">
        <is>
          <t>SOLLEFTEÅ</t>
        </is>
      </c>
      <c r="F7653" t="inlineStr">
        <is>
          <t>SCA</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31547-2024</t>
        </is>
      </c>
      <c r="B7654" s="1" t="n">
        <v>45505.96362268519</v>
      </c>
      <c r="C7654" s="1" t="n">
        <v>46185</v>
      </c>
      <c r="D7654" t="inlineStr">
        <is>
          <t>VÄSTERNORRLANDS LÄN</t>
        </is>
      </c>
      <c r="E7654" t="inlineStr">
        <is>
          <t>SOLLEFTEÅ</t>
        </is>
      </c>
      <c r="F7654" t="inlineStr">
        <is>
          <t>SCA</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31562-2024</t>
        </is>
      </c>
      <c r="B7655" s="1" t="n">
        <v>45505</v>
      </c>
      <c r="C7655" s="1" t="n">
        <v>46185</v>
      </c>
      <c r="D7655" t="inlineStr">
        <is>
          <t>VÄSTERNORRLANDS LÄN</t>
        </is>
      </c>
      <c r="E7655" t="inlineStr">
        <is>
          <t>SOLLEFTEÅ</t>
        </is>
      </c>
      <c r="F7655" t="inlineStr">
        <is>
          <t>SCA</t>
        </is>
      </c>
      <c r="G7655" t="n">
        <v>9.6</v>
      </c>
      <c r="H7655" t="n">
        <v>0</v>
      </c>
      <c r="I7655" t="n">
        <v>0</v>
      </c>
      <c r="J7655" t="n">
        <v>0</v>
      </c>
      <c r="K7655" t="n">
        <v>0</v>
      </c>
      <c r="L7655" t="n">
        <v>0</v>
      </c>
      <c r="M7655" t="n">
        <v>0</v>
      </c>
      <c r="N7655" t="n">
        <v>0</v>
      </c>
      <c r="O7655" t="n">
        <v>0</v>
      </c>
      <c r="P7655" t="n">
        <v>0</v>
      </c>
      <c r="Q7655" t="n">
        <v>0</v>
      </c>
      <c r="R7655" s="2" t="inlineStr"/>
    </row>
    <row r="7656" ht="15" customHeight="1">
      <c r="A7656" t="inlineStr">
        <is>
          <t>A 60161-2024</t>
        </is>
      </c>
      <c r="B7656" s="1" t="n">
        <v>45642.63049768518</v>
      </c>
      <c r="C7656" s="1" t="n">
        <v>46185</v>
      </c>
      <c r="D7656" t="inlineStr">
        <is>
          <t>VÄSTERNORRLANDS LÄN</t>
        </is>
      </c>
      <c r="E7656" t="inlineStr">
        <is>
          <t>ÖRNSKÖLDSVIK</t>
        </is>
      </c>
      <c r="G7656" t="n">
        <v>4.7</v>
      </c>
      <c r="H7656" t="n">
        <v>0</v>
      </c>
      <c r="I7656" t="n">
        <v>0</v>
      </c>
      <c r="J7656" t="n">
        <v>0</v>
      </c>
      <c r="K7656" t="n">
        <v>0</v>
      </c>
      <c r="L7656" t="n">
        <v>0</v>
      </c>
      <c r="M7656" t="n">
        <v>0</v>
      </c>
      <c r="N7656" t="n">
        <v>0</v>
      </c>
      <c r="O7656" t="n">
        <v>0</v>
      </c>
      <c r="P7656" t="n">
        <v>0</v>
      </c>
      <c r="Q7656" t="n">
        <v>0</v>
      </c>
      <c r="R7656" s="2" t="inlineStr"/>
    </row>
    <row r="7657" ht="15" customHeight="1">
      <c r="A7657" t="inlineStr">
        <is>
          <t>A 60177-2024</t>
        </is>
      </c>
      <c r="B7657" s="1" t="n">
        <v>45642.63850694444</v>
      </c>
      <c r="C7657" s="1" t="n">
        <v>46185</v>
      </c>
      <c r="D7657" t="inlineStr">
        <is>
          <t>VÄSTERNORRLANDS LÄN</t>
        </is>
      </c>
      <c r="E7657" t="inlineStr">
        <is>
          <t>SOLLEFTEÅ</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50731-2024</t>
        </is>
      </c>
      <c r="B7658" s="1" t="n">
        <v>45601</v>
      </c>
      <c r="C7658" s="1" t="n">
        <v>46185</v>
      </c>
      <c r="D7658" t="inlineStr">
        <is>
          <t>VÄSTERNORRLANDS LÄN</t>
        </is>
      </c>
      <c r="E7658" t="inlineStr">
        <is>
          <t>ÖRNSKÖLDSVIK</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16959-2026</t>
        </is>
      </c>
      <c r="B7659" s="1" t="n">
        <v>46114.34446759259</v>
      </c>
      <c r="C7659" s="1" t="n">
        <v>46185</v>
      </c>
      <c r="D7659" t="inlineStr">
        <is>
          <t>VÄSTERNORRLANDS LÄN</t>
        </is>
      </c>
      <c r="E7659" t="inlineStr">
        <is>
          <t>ÅNGE</t>
        </is>
      </c>
      <c r="F7659" t="inlineStr">
        <is>
          <t>SCA</t>
        </is>
      </c>
      <c r="G7659" t="n">
        <v>4.7</v>
      </c>
      <c r="H7659" t="n">
        <v>0</v>
      </c>
      <c r="I7659" t="n">
        <v>0</v>
      </c>
      <c r="J7659" t="n">
        <v>0</v>
      </c>
      <c r="K7659" t="n">
        <v>0</v>
      </c>
      <c r="L7659" t="n">
        <v>0</v>
      </c>
      <c r="M7659" t="n">
        <v>0</v>
      </c>
      <c r="N7659" t="n">
        <v>0</v>
      </c>
      <c r="O7659" t="n">
        <v>0</v>
      </c>
      <c r="P7659" t="n">
        <v>0</v>
      </c>
      <c r="Q7659" t="n">
        <v>0</v>
      </c>
      <c r="R7659" s="2" t="inlineStr"/>
    </row>
    <row r="7660" ht="15" customHeight="1">
      <c r="A7660" t="inlineStr">
        <is>
          <t>A 16961-2026</t>
        </is>
      </c>
      <c r="B7660" s="1" t="n">
        <v>46114.34569444445</v>
      </c>
      <c r="C7660" s="1" t="n">
        <v>46185</v>
      </c>
      <c r="D7660" t="inlineStr">
        <is>
          <t>VÄSTERNORRLANDS LÄN</t>
        </is>
      </c>
      <c r="E7660" t="inlineStr">
        <is>
          <t>SOLLEFTEÅ</t>
        </is>
      </c>
      <c r="F7660" t="inlineStr">
        <is>
          <t>SCA</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15520-2024</t>
        </is>
      </c>
      <c r="B7661" s="1" t="n">
        <v>45400</v>
      </c>
      <c r="C7661" s="1" t="n">
        <v>46185</v>
      </c>
      <c r="D7661" t="inlineStr">
        <is>
          <t>VÄSTERNORRLANDS LÄN</t>
        </is>
      </c>
      <c r="E7661" t="inlineStr">
        <is>
          <t>SUNDSVALL</t>
        </is>
      </c>
      <c r="G7661" t="n">
        <v>8.800000000000001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17052-2026</t>
        </is>
      </c>
      <c r="B7662" s="1" t="n">
        <v>46114.49002314815</v>
      </c>
      <c r="C7662" s="1" t="n">
        <v>46185</v>
      </c>
      <c r="D7662" t="inlineStr">
        <is>
          <t>VÄSTERNORRLANDS LÄN</t>
        </is>
      </c>
      <c r="E7662" t="inlineStr">
        <is>
          <t>SUNDSVALL</t>
        </is>
      </c>
      <c r="F7662" t="inlineStr">
        <is>
          <t>SCA</t>
        </is>
      </c>
      <c r="G7662" t="n">
        <v>7.4</v>
      </c>
      <c r="H7662" t="n">
        <v>0</v>
      </c>
      <c r="I7662" t="n">
        <v>0</v>
      </c>
      <c r="J7662" t="n">
        <v>0</v>
      </c>
      <c r="K7662" t="n">
        <v>0</v>
      </c>
      <c r="L7662" t="n">
        <v>0</v>
      </c>
      <c r="M7662" t="n">
        <v>0</v>
      </c>
      <c r="N7662" t="n">
        <v>0</v>
      </c>
      <c r="O7662" t="n">
        <v>0</v>
      </c>
      <c r="P7662" t="n">
        <v>0</v>
      </c>
      <c r="Q7662" t="n">
        <v>0</v>
      </c>
      <c r="R7662" s="2" t="inlineStr"/>
    </row>
    <row r="7663" ht="15" customHeight="1">
      <c r="A7663" t="inlineStr">
        <is>
          <t>A 35969-2023</t>
        </is>
      </c>
      <c r="B7663" s="1" t="n">
        <v>45148.92568287037</v>
      </c>
      <c r="C7663" s="1" t="n">
        <v>46185</v>
      </c>
      <c r="D7663" t="inlineStr">
        <is>
          <t>VÄSTERNORRLANDS LÄN</t>
        </is>
      </c>
      <c r="E7663" t="inlineStr">
        <is>
          <t>HÄRNÖSAND</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37579-2023</t>
        </is>
      </c>
      <c r="B7664" s="1" t="n">
        <v>45159.38819444444</v>
      </c>
      <c r="C7664" s="1" t="n">
        <v>46185</v>
      </c>
      <c r="D7664" t="inlineStr">
        <is>
          <t>VÄSTERNORRLANDS LÄN</t>
        </is>
      </c>
      <c r="E7664" t="inlineStr">
        <is>
          <t>ÖRNSKÖLDSVIK</t>
        </is>
      </c>
      <c r="F7664" t="inlineStr">
        <is>
          <t>Holmen skog AB</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37636-2023</t>
        </is>
      </c>
      <c r="B7665" s="1" t="n">
        <v>45159.4687037037</v>
      </c>
      <c r="C7665" s="1" t="n">
        <v>46185</v>
      </c>
      <c r="D7665" t="inlineStr">
        <is>
          <t>VÄSTERNORRLANDS LÄN</t>
        </is>
      </c>
      <c r="E7665" t="inlineStr">
        <is>
          <t>ÖRNSKÖLDSVIK</t>
        </is>
      </c>
      <c r="F7665" t="inlineStr">
        <is>
          <t>Holmen skog AB</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22781-2026</t>
        </is>
      </c>
      <c r="B7666" s="1" t="n">
        <v>46157.59427083333</v>
      </c>
      <c r="C7666" s="1" t="n">
        <v>46185</v>
      </c>
      <c r="D7666" t="inlineStr">
        <is>
          <t>VÄSTERNORRLANDS LÄN</t>
        </is>
      </c>
      <c r="E7666" t="inlineStr">
        <is>
          <t>SOLLEFTEÅ</t>
        </is>
      </c>
      <c r="F7666" t="inlineStr">
        <is>
          <t>SCA</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4261-2025</t>
        </is>
      </c>
      <c r="B7667" s="1" t="n">
        <v>45685.61785879629</v>
      </c>
      <c r="C7667" s="1" t="n">
        <v>46185</v>
      </c>
      <c r="D7667" t="inlineStr">
        <is>
          <t>VÄSTERNORRLANDS LÄN</t>
        </is>
      </c>
      <c r="E7667" t="inlineStr">
        <is>
          <t>SOLLEFTEÅ</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9950-2023</t>
        </is>
      </c>
      <c r="B7668" s="1" t="n">
        <v>44985</v>
      </c>
      <c r="C7668" s="1" t="n">
        <v>46185</v>
      </c>
      <c r="D7668" t="inlineStr">
        <is>
          <t>VÄSTERNORRLANDS LÄN</t>
        </is>
      </c>
      <c r="E7668" t="inlineStr">
        <is>
          <t>ÖRNSKÖLDSVIK</t>
        </is>
      </c>
      <c r="F7668" t="inlineStr">
        <is>
          <t>Holmen skog AB</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43928-2023</t>
        </is>
      </c>
      <c r="B7669" s="1" t="n">
        <v>45182</v>
      </c>
      <c r="C7669" s="1" t="n">
        <v>46185</v>
      </c>
      <c r="D7669" t="inlineStr">
        <is>
          <t>VÄSTERNORRLANDS LÄN</t>
        </is>
      </c>
      <c r="E7669" t="inlineStr">
        <is>
          <t>ÖRNSKÖLDSVIK</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16980-2026</t>
        </is>
      </c>
      <c r="B7670" s="1" t="n">
        <v>46114.40704861111</v>
      </c>
      <c r="C7670" s="1" t="n">
        <v>46185</v>
      </c>
      <c r="D7670" t="inlineStr">
        <is>
          <t>VÄSTERNORRLANDS LÄN</t>
        </is>
      </c>
      <c r="E7670" t="inlineStr">
        <is>
          <t>ÅNGE</t>
        </is>
      </c>
      <c r="F7670" t="inlineStr">
        <is>
          <t>SCA</t>
        </is>
      </c>
      <c r="G7670" t="n">
        <v>6.3</v>
      </c>
      <c r="H7670" t="n">
        <v>0</v>
      </c>
      <c r="I7670" t="n">
        <v>0</v>
      </c>
      <c r="J7670" t="n">
        <v>0</v>
      </c>
      <c r="K7670" t="n">
        <v>0</v>
      </c>
      <c r="L7670" t="n">
        <v>0</v>
      </c>
      <c r="M7670" t="n">
        <v>0</v>
      </c>
      <c r="N7670" t="n">
        <v>0</v>
      </c>
      <c r="O7670" t="n">
        <v>0</v>
      </c>
      <c r="P7670" t="n">
        <v>0</v>
      </c>
      <c r="Q7670" t="n">
        <v>0</v>
      </c>
      <c r="R7670" s="2" t="inlineStr"/>
    </row>
    <row r="7671" ht="15" customHeight="1">
      <c r="A7671" t="inlineStr">
        <is>
          <t>A 34750-2023</t>
        </is>
      </c>
      <c r="B7671" s="1" t="n">
        <v>45139</v>
      </c>
      <c r="C7671" s="1" t="n">
        <v>46185</v>
      </c>
      <c r="D7671" t="inlineStr">
        <is>
          <t>VÄSTERNORRLANDS LÄN</t>
        </is>
      </c>
      <c r="E7671" t="inlineStr">
        <is>
          <t>ÅNGE</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56325-2023</t>
        </is>
      </c>
      <c r="B7672" s="1" t="n">
        <v>45236</v>
      </c>
      <c r="C7672" s="1" t="n">
        <v>46185</v>
      </c>
      <c r="D7672" t="inlineStr">
        <is>
          <t>VÄSTERNORRLANDS LÄN</t>
        </is>
      </c>
      <c r="E7672" t="inlineStr">
        <is>
          <t>KRAMFORS</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63048-2023</t>
        </is>
      </c>
      <c r="B7673" s="1" t="n">
        <v>45272</v>
      </c>
      <c r="C7673" s="1" t="n">
        <v>46185</v>
      </c>
      <c r="D7673" t="inlineStr">
        <is>
          <t>VÄSTERNORRLANDS LÄN</t>
        </is>
      </c>
      <c r="E7673" t="inlineStr">
        <is>
          <t>SUNDSVALL</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17024-2026</t>
        </is>
      </c>
      <c r="B7674" s="1" t="n">
        <v>46114</v>
      </c>
      <c r="C7674" s="1" t="n">
        <v>46185</v>
      </c>
      <c r="D7674" t="inlineStr">
        <is>
          <t>VÄSTERNORRLANDS LÄN</t>
        </is>
      </c>
      <c r="E7674" t="inlineStr">
        <is>
          <t>TIMRÅ</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37048-2024</t>
        </is>
      </c>
      <c r="B7675" s="1" t="n">
        <v>45539.42946759259</v>
      </c>
      <c r="C7675" s="1" t="n">
        <v>46185</v>
      </c>
      <c r="D7675" t="inlineStr">
        <is>
          <t>VÄSTERNORRLANDS LÄN</t>
        </is>
      </c>
      <c r="E7675" t="inlineStr">
        <is>
          <t>ÖRNSKÖLDSVIK</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17035-2026</t>
        </is>
      </c>
      <c r="B7676" s="1" t="n">
        <v>46114.47012731482</v>
      </c>
      <c r="C7676" s="1" t="n">
        <v>46185</v>
      </c>
      <c r="D7676" t="inlineStr">
        <is>
          <t>VÄSTERNORRLANDS LÄN</t>
        </is>
      </c>
      <c r="E7676" t="inlineStr">
        <is>
          <t>ÅNGE</t>
        </is>
      </c>
      <c r="F7676" t="inlineStr">
        <is>
          <t>SCA</t>
        </is>
      </c>
      <c r="G7676" t="n">
        <v>6.4</v>
      </c>
      <c r="H7676" t="n">
        <v>0</v>
      </c>
      <c r="I7676" t="n">
        <v>0</v>
      </c>
      <c r="J7676" t="n">
        <v>0</v>
      </c>
      <c r="K7676" t="n">
        <v>0</v>
      </c>
      <c r="L7676" t="n">
        <v>0</v>
      </c>
      <c r="M7676" t="n">
        <v>0</v>
      </c>
      <c r="N7676" t="n">
        <v>0</v>
      </c>
      <c r="O7676" t="n">
        <v>0</v>
      </c>
      <c r="P7676" t="n">
        <v>0</v>
      </c>
      <c r="Q7676" t="n">
        <v>0</v>
      </c>
      <c r="R7676" s="2" t="inlineStr"/>
    </row>
    <row r="7677" ht="15" customHeight="1">
      <c r="A7677" t="inlineStr">
        <is>
          <t>A 12834-2025</t>
        </is>
      </c>
      <c r="B7677" s="1" t="n">
        <v>45733.63612268519</v>
      </c>
      <c r="C7677" s="1" t="n">
        <v>46185</v>
      </c>
      <c r="D7677" t="inlineStr">
        <is>
          <t>VÄSTERNORRLANDS LÄN</t>
        </is>
      </c>
      <c r="E7677" t="inlineStr">
        <is>
          <t>SOLLEFTEÅ</t>
        </is>
      </c>
      <c r="F7677" t="inlineStr">
        <is>
          <t>SCA</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69790-2021</t>
        </is>
      </c>
      <c r="B7678" s="1" t="n">
        <v>44532.605625</v>
      </c>
      <c r="C7678" s="1" t="n">
        <v>46185</v>
      </c>
      <c r="D7678" t="inlineStr">
        <is>
          <t>VÄSTERNORRLANDS LÄN</t>
        </is>
      </c>
      <c r="E7678" t="inlineStr">
        <is>
          <t>ÅNGE</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58606-2023</t>
        </is>
      </c>
      <c r="B7679" s="1" t="n">
        <v>45251.49158564815</v>
      </c>
      <c r="C7679" s="1" t="n">
        <v>46185</v>
      </c>
      <c r="D7679" t="inlineStr">
        <is>
          <t>VÄSTERNORRLANDS LÄN</t>
        </is>
      </c>
      <c r="E7679" t="inlineStr">
        <is>
          <t>SUNDSVALL</t>
        </is>
      </c>
      <c r="G7679" t="n">
        <v>7.2</v>
      </c>
      <c r="H7679" t="n">
        <v>0</v>
      </c>
      <c r="I7679" t="n">
        <v>0</v>
      </c>
      <c r="J7679" t="n">
        <v>0</v>
      </c>
      <c r="K7679" t="n">
        <v>0</v>
      </c>
      <c r="L7679" t="n">
        <v>0</v>
      </c>
      <c r="M7679" t="n">
        <v>0</v>
      </c>
      <c r="N7679" t="n">
        <v>0</v>
      </c>
      <c r="O7679" t="n">
        <v>0</v>
      </c>
      <c r="P7679" t="n">
        <v>0</v>
      </c>
      <c r="Q7679" t="n">
        <v>0</v>
      </c>
      <c r="R7679" s="2" t="inlineStr"/>
    </row>
    <row r="7680" ht="15" customHeight="1">
      <c r="A7680" t="inlineStr">
        <is>
          <t>A 46971-2024</t>
        </is>
      </c>
      <c r="B7680" s="1" t="n">
        <v>45586.3387037037</v>
      </c>
      <c r="C7680" s="1" t="n">
        <v>46185</v>
      </c>
      <c r="D7680" t="inlineStr">
        <is>
          <t>VÄSTERNORRLANDS LÄN</t>
        </is>
      </c>
      <c r="E7680" t="inlineStr">
        <is>
          <t>ÖRNSKÖLDSVIK</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2536-2022</t>
        </is>
      </c>
      <c r="B7681" s="1" t="n">
        <v>44579</v>
      </c>
      <c r="C7681" s="1" t="n">
        <v>46185</v>
      </c>
      <c r="D7681" t="inlineStr">
        <is>
          <t>VÄSTERNORRLANDS LÄN</t>
        </is>
      </c>
      <c r="E7681" t="inlineStr">
        <is>
          <t>SOLLEFTEÅ</t>
        </is>
      </c>
      <c r="F7681" t="inlineStr">
        <is>
          <t>Övriga Aktiebolag</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3330-2025</t>
        </is>
      </c>
      <c r="B7682" s="1" t="n">
        <v>45679.70041666667</v>
      </c>
      <c r="C7682" s="1" t="n">
        <v>46185</v>
      </c>
      <c r="D7682" t="inlineStr">
        <is>
          <t>VÄSTERNORRLANDS LÄN</t>
        </is>
      </c>
      <c r="E7682" t="inlineStr">
        <is>
          <t>ÅNGE</t>
        </is>
      </c>
      <c r="F7682" t="inlineStr">
        <is>
          <t>SCA</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36771-2023</t>
        </is>
      </c>
      <c r="B7683" s="1" t="n">
        <v>45153</v>
      </c>
      <c r="C7683" s="1" t="n">
        <v>46185</v>
      </c>
      <c r="D7683" t="inlineStr">
        <is>
          <t>VÄSTERNORRLANDS LÄN</t>
        </is>
      </c>
      <c r="E7683" t="inlineStr">
        <is>
          <t>SOLLEFTEÅ</t>
        </is>
      </c>
      <c r="F7683" t="inlineStr">
        <is>
          <t>SCA</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10296-2023</t>
        </is>
      </c>
      <c r="B7684" s="1" t="n">
        <v>44986</v>
      </c>
      <c r="C7684" s="1" t="n">
        <v>46185</v>
      </c>
      <c r="D7684" t="inlineStr">
        <is>
          <t>VÄSTERNORRLANDS LÄN</t>
        </is>
      </c>
      <c r="E7684" t="inlineStr">
        <is>
          <t>ÖRNSKÖLDSVIK</t>
        </is>
      </c>
      <c r="F7684" t="inlineStr">
        <is>
          <t>SCA</t>
        </is>
      </c>
      <c r="G7684" t="n">
        <v>9.4</v>
      </c>
      <c r="H7684" t="n">
        <v>0</v>
      </c>
      <c r="I7684" t="n">
        <v>0</v>
      </c>
      <c r="J7684" t="n">
        <v>0</v>
      </c>
      <c r="K7684" t="n">
        <v>0</v>
      </c>
      <c r="L7684" t="n">
        <v>0</v>
      </c>
      <c r="M7684" t="n">
        <v>0</v>
      </c>
      <c r="N7684" t="n">
        <v>0</v>
      </c>
      <c r="O7684" t="n">
        <v>0</v>
      </c>
      <c r="P7684" t="n">
        <v>0</v>
      </c>
      <c r="Q7684" t="n">
        <v>0</v>
      </c>
      <c r="R7684" s="2" t="inlineStr"/>
    </row>
    <row r="7685" ht="15" customHeight="1">
      <c r="A7685" t="inlineStr">
        <is>
          <t>A 35270-2023</t>
        </is>
      </c>
      <c r="B7685" s="1" t="n">
        <v>45145.95366898148</v>
      </c>
      <c r="C7685" s="1" t="n">
        <v>46185</v>
      </c>
      <c r="D7685" t="inlineStr">
        <is>
          <t>VÄSTERNORRLANDS LÄN</t>
        </is>
      </c>
      <c r="E7685" t="inlineStr">
        <is>
          <t>HÄRNÖSAND</t>
        </is>
      </c>
      <c r="F7685" t="inlineStr">
        <is>
          <t>SCA</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35271-2023</t>
        </is>
      </c>
      <c r="B7686" s="1" t="n">
        <v>45145.95372685185</v>
      </c>
      <c r="C7686" s="1" t="n">
        <v>46185</v>
      </c>
      <c r="D7686" t="inlineStr">
        <is>
          <t>VÄSTERNORRLANDS LÄN</t>
        </is>
      </c>
      <c r="E7686" t="inlineStr">
        <is>
          <t>HÄRNÖSAND</t>
        </is>
      </c>
      <c r="F7686" t="inlineStr">
        <is>
          <t>SCA</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35276-2023</t>
        </is>
      </c>
      <c r="B7687" s="1" t="n">
        <v>45145.95409722222</v>
      </c>
      <c r="C7687" s="1" t="n">
        <v>46185</v>
      </c>
      <c r="D7687" t="inlineStr">
        <is>
          <t>VÄSTERNORRLANDS LÄN</t>
        </is>
      </c>
      <c r="E7687" t="inlineStr">
        <is>
          <t>SOLLEFTEÅ</t>
        </is>
      </c>
      <c r="F7687" t="inlineStr">
        <is>
          <t>SCA</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17031-2026</t>
        </is>
      </c>
      <c r="B7688" s="1" t="n">
        <v>46114.46961805555</v>
      </c>
      <c r="C7688" s="1" t="n">
        <v>46185</v>
      </c>
      <c r="D7688" t="inlineStr">
        <is>
          <t>VÄSTERNORRLANDS LÄN</t>
        </is>
      </c>
      <c r="E7688" t="inlineStr">
        <is>
          <t>ÅNGE</t>
        </is>
      </c>
      <c r="F7688" t="inlineStr">
        <is>
          <t>SCA</t>
        </is>
      </c>
      <c r="G7688" t="n">
        <v>8.300000000000001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17033-2026</t>
        </is>
      </c>
      <c r="B7689" s="1" t="n">
        <v>46114.46979166667</v>
      </c>
      <c r="C7689" s="1" t="n">
        <v>46185</v>
      </c>
      <c r="D7689" t="inlineStr">
        <is>
          <t>VÄSTERNORRLANDS LÄN</t>
        </is>
      </c>
      <c r="E7689" t="inlineStr">
        <is>
          <t>SOLLEFTEÅ</t>
        </is>
      </c>
      <c r="F7689" t="inlineStr">
        <is>
          <t>SCA</t>
        </is>
      </c>
      <c r="G7689" t="n">
        <v>11.5</v>
      </c>
      <c r="H7689" t="n">
        <v>0</v>
      </c>
      <c r="I7689" t="n">
        <v>0</v>
      </c>
      <c r="J7689" t="n">
        <v>0</v>
      </c>
      <c r="K7689" t="n">
        <v>0</v>
      </c>
      <c r="L7689" t="n">
        <v>0</v>
      </c>
      <c r="M7689" t="n">
        <v>0</v>
      </c>
      <c r="N7689" t="n">
        <v>0</v>
      </c>
      <c r="O7689" t="n">
        <v>0</v>
      </c>
      <c r="P7689" t="n">
        <v>0</v>
      </c>
      <c r="Q7689" t="n">
        <v>0</v>
      </c>
      <c r="R7689" s="2" t="inlineStr"/>
    </row>
    <row r="7690" ht="15" customHeight="1">
      <c r="A7690" t="inlineStr">
        <is>
          <t>A 17036-2026</t>
        </is>
      </c>
      <c r="B7690" s="1" t="n">
        <v>46114.47028935186</v>
      </c>
      <c r="C7690" s="1" t="n">
        <v>46185</v>
      </c>
      <c r="D7690" t="inlineStr">
        <is>
          <t>VÄSTERNORRLANDS LÄN</t>
        </is>
      </c>
      <c r="E7690" t="inlineStr">
        <is>
          <t>SOLLEFTEÅ</t>
        </is>
      </c>
      <c r="F7690" t="inlineStr">
        <is>
          <t>SCA</t>
        </is>
      </c>
      <c r="G7690" t="n">
        <v>26.1</v>
      </c>
      <c r="H7690" t="n">
        <v>0</v>
      </c>
      <c r="I7690" t="n">
        <v>0</v>
      </c>
      <c r="J7690" t="n">
        <v>0</v>
      </c>
      <c r="K7690" t="n">
        <v>0</v>
      </c>
      <c r="L7690" t="n">
        <v>0</v>
      </c>
      <c r="M7690" t="n">
        <v>0</v>
      </c>
      <c r="N7690" t="n">
        <v>0</v>
      </c>
      <c r="O7690" t="n">
        <v>0</v>
      </c>
      <c r="P7690" t="n">
        <v>0</v>
      </c>
      <c r="Q7690" t="n">
        <v>0</v>
      </c>
      <c r="R7690" s="2" t="inlineStr"/>
    </row>
    <row r="7691" ht="15" customHeight="1">
      <c r="A7691" t="inlineStr">
        <is>
          <t>A 10428-2023</t>
        </is>
      </c>
      <c r="B7691" s="1" t="n">
        <v>44981</v>
      </c>
      <c r="C7691" s="1" t="n">
        <v>46185</v>
      </c>
      <c r="D7691" t="inlineStr">
        <is>
          <t>VÄSTERNORRLANDS LÄN</t>
        </is>
      </c>
      <c r="E7691" t="inlineStr">
        <is>
          <t>SOLLEFTEÅ</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41147-2023</t>
        </is>
      </c>
      <c r="B7692" s="1" t="n">
        <v>45173</v>
      </c>
      <c r="C7692" s="1" t="n">
        <v>46185</v>
      </c>
      <c r="D7692" t="inlineStr">
        <is>
          <t>VÄSTERNORRLANDS LÄN</t>
        </is>
      </c>
      <c r="E7692" t="inlineStr">
        <is>
          <t>HÄRNÖSAND</t>
        </is>
      </c>
      <c r="F7692" t="inlineStr">
        <is>
          <t>SCA</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17116-2026</t>
        </is>
      </c>
      <c r="B7693" s="1" t="n">
        <v>46114.65675925926</v>
      </c>
      <c r="C7693" s="1" t="n">
        <v>46185</v>
      </c>
      <c r="D7693" t="inlineStr">
        <is>
          <t>VÄSTERNORRLANDS LÄN</t>
        </is>
      </c>
      <c r="E7693" t="inlineStr">
        <is>
          <t>SOLLEFTEÅ</t>
        </is>
      </c>
      <c r="F7693" t="inlineStr">
        <is>
          <t>SCA</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53191-2024</t>
        </is>
      </c>
      <c r="B7694" s="1" t="n">
        <v>45611.75025462963</v>
      </c>
      <c r="C7694" s="1" t="n">
        <v>46185</v>
      </c>
      <c r="D7694" t="inlineStr">
        <is>
          <t>VÄSTERNORRLANDS LÄN</t>
        </is>
      </c>
      <c r="E7694" t="inlineStr">
        <is>
          <t>ÖRNSKÖLDSVIK</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44631-2024</t>
        </is>
      </c>
      <c r="B7695" s="1" t="n">
        <v>45574.51434027778</v>
      </c>
      <c r="C7695" s="1" t="n">
        <v>46185</v>
      </c>
      <c r="D7695" t="inlineStr">
        <is>
          <t>VÄSTERNORRLANDS LÄN</t>
        </is>
      </c>
      <c r="E7695" t="inlineStr">
        <is>
          <t>ÖRNSKÖLDSVIK</t>
        </is>
      </c>
      <c r="F7695" t="inlineStr">
        <is>
          <t>SCA</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47652-2024</t>
        </is>
      </c>
      <c r="B7696" s="1" t="n">
        <v>45588</v>
      </c>
      <c r="C7696" s="1" t="n">
        <v>46185</v>
      </c>
      <c r="D7696" t="inlineStr">
        <is>
          <t>VÄSTERNORRLANDS LÄN</t>
        </is>
      </c>
      <c r="E7696" t="inlineStr">
        <is>
          <t>KRAMFORS</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17075-2026</t>
        </is>
      </c>
      <c r="B7697" s="1" t="n">
        <v>46114.55258101852</v>
      </c>
      <c r="C7697" s="1" t="n">
        <v>46185</v>
      </c>
      <c r="D7697" t="inlineStr">
        <is>
          <t>VÄSTERNORRLANDS LÄN</t>
        </is>
      </c>
      <c r="E7697" t="inlineStr">
        <is>
          <t>ÖRNSKÖLDSVIK</t>
        </is>
      </c>
      <c r="F7697" t="inlineStr">
        <is>
          <t>SCA</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47667-2024</t>
        </is>
      </c>
      <c r="B7698" s="1" t="n">
        <v>45588</v>
      </c>
      <c r="C7698" s="1" t="n">
        <v>46185</v>
      </c>
      <c r="D7698" t="inlineStr">
        <is>
          <t>VÄSTERNORRLANDS LÄN</t>
        </is>
      </c>
      <c r="E7698" t="inlineStr">
        <is>
          <t>KRAMFORS</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47673-2024</t>
        </is>
      </c>
      <c r="B7699" s="1" t="n">
        <v>45588</v>
      </c>
      <c r="C7699" s="1" t="n">
        <v>46185</v>
      </c>
      <c r="D7699" t="inlineStr">
        <is>
          <t>VÄSTERNORRLANDS LÄN</t>
        </is>
      </c>
      <c r="E7699" t="inlineStr">
        <is>
          <t>KRAMFORS</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17151-2026</t>
        </is>
      </c>
      <c r="B7700" s="1" t="n">
        <v>46115.34445601852</v>
      </c>
      <c r="C7700" s="1" t="n">
        <v>46185</v>
      </c>
      <c r="D7700" t="inlineStr">
        <is>
          <t>VÄSTERNORRLANDS LÄN</t>
        </is>
      </c>
      <c r="E7700" t="inlineStr">
        <is>
          <t>ÅNGE</t>
        </is>
      </c>
      <c r="F7700" t="inlineStr">
        <is>
          <t>SCA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16960-2026</t>
        </is>
      </c>
      <c r="B7701" s="1" t="n">
        <v>46114.34555555556</v>
      </c>
      <c r="C7701" s="1" t="n">
        <v>46185</v>
      </c>
      <c r="D7701" t="inlineStr">
        <is>
          <t>VÄSTERNORRLANDS LÄN</t>
        </is>
      </c>
      <c r="E7701" t="inlineStr">
        <is>
          <t>TIMRÅ</t>
        </is>
      </c>
      <c r="F7701" t="inlineStr">
        <is>
          <t>SCA</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17042-2026</t>
        </is>
      </c>
      <c r="B7702" s="1" t="n">
        <v>46114.47802083333</v>
      </c>
      <c r="C7702" s="1" t="n">
        <v>46185</v>
      </c>
      <c r="D7702" t="inlineStr">
        <is>
          <t>VÄSTERNORRLANDS LÄN</t>
        </is>
      </c>
      <c r="E7702" t="inlineStr">
        <is>
          <t>SUNDSVALL</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22734-2026</t>
        </is>
      </c>
      <c r="B7703" s="1" t="n">
        <v>46157.38590277778</v>
      </c>
      <c r="C7703" s="1" t="n">
        <v>46185</v>
      </c>
      <c r="D7703" t="inlineStr">
        <is>
          <t>VÄSTERNORRLANDS LÄN</t>
        </is>
      </c>
      <c r="E7703" t="inlineStr">
        <is>
          <t>SOLLEFTEÅ</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22676-2026</t>
        </is>
      </c>
      <c r="B7704" s="1" t="n">
        <v>46156.34450231482</v>
      </c>
      <c r="C7704" s="1" t="n">
        <v>46185</v>
      </c>
      <c r="D7704" t="inlineStr">
        <is>
          <t>VÄSTERNORRLANDS LÄN</t>
        </is>
      </c>
      <c r="E7704" t="inlineStr">
        <is>
          <t>ÅNGE</t>
        </is>
      </c>
      <c r="F7704" t="inlineStr">
        <is>
          <t>SCA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22681-2026</t>
        </is>
      </c>
      <c r="B7705" s="1" t="n">
        <v>46156.42768518518</v>
      </c>
      <c r="C7705" s="1" t="n">
        <v>46185</v>
      </c>
      <c r="D7705" t="inlineStr">
        <is>
          <t>VÄSTERNORRLANDS LÄN</t>
        </is>
      </c>
      <c r="E7705" t="inlineStr">
        <is>
          <t>SOLLEFTEÅ</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54580-2024</t>
        </is>
      </c>
      <c r="B7706" s="1" t="n">
        <v>45617.65657407408</v>
      </c>
      <c r="C7706" s="1" t="n">
        <v>46185</v>
      </c>
      <c r="D7706" t="inlineStr">
        <is>
          <t>VÄSTERNORRLANDS LÄN</t>
        </is>
      </c>
      <c r="E7706" t="inlineStr">
        <is>
          <t>SUNDSVALL</t>
        </is>
      </c>
      <c r="F7706" t="inlineStr">
        <is>
          <t>SCA</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22695-2026</t>
        </is>
      </c>
      <c r="B7707" s="1" t="n">
        <v>46156.49010416667</v>
      </c>
      <c r="C7707" s="1" t="n">
        <v>46185</v>
      </c>
      <c r="D7707" t="inlineStr">
        <is>
          <t>VÄSTERNORRLANDS LÄN</t>
        </is>
      </c>
      <c r="E7707" t="inlineStr">
        <is>
          <t>ÅNGE</t>
        </is>
      </c>
      <c r="F7707" t="inlineStr">
        <is>
          <t>SCA</t>
        </is>
      </c>
      <c r="G7707" t="n">
        <v>11.7</v>
      </c>
      <c r="H7707" t="n">
        <v>0</v>
      </c>
      <c r="I7707" t="n">
        <v>0</v>
      </c>
      <c r="J7707" t="n">
        <v>0</v>
      </c>
      <c r="K7707" t="n">
        <v>0</v>
      </c>
      <c r="L7707" t="n">
        <v>0</v>
      </c>
      <c r="M7707" t="n">
        <v>0</v>
      </c>
      <c r="N7707" t="n">
        <v>0</v>
      </c>
      <c r="O7707" t="n">
        <v>0</v>
      </c>
      <c r="P7707" t="n">
        <v>0</v>
      </c>
      <c r="Q7707" t="n">
        <v>0</v>
      </c>
      <c r="R7707" s="2" t="inlineStr"/>
    </row>
    <row r="7708" ht="15" customHeight="1">
      <c r="A7708" t="inlineStr">
        <is>
          <t>A 50012-2024</t>
        </is>
      </c>
      <c r="B7708" s="1" t="n">
        <v>45598.8578125</v>
      </c>
      <c r="C7708" s="1" t="n">
        <v>46185</v>
      </c>
      <c r="D7708" t="inlineStr">
        <is>
          <t>VÄSTERNORRLANDS LÄN</t>
        </is>
      </c>
      <c r="E7708" t="inlineStr">
        <is>
          <t>SUNDSVALL</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32733-2023</t>
        </is>
      </c>
      <c r="B7709" s="1" t="n">
        <v>45121</v>
      </c>
      <c r="C7709" s="1" t="n">
        <v>46185</v>
      </c>
      <c r="D7709" t="inlineStr">
        <is>
          <t>VÄSTERNORRLANDS LÄN</t>
        </is>
      </c>
      <c r="E7709" t="inlineStr">
        <is>
          <t>SOLLEFTEÅ</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17316-2026</t>
        </is>
      </c>
      <c r="B7710" s="1" t="n">
        <v>46119</v>
      </c>
      <c r="C7710" s="1" t="n">
        <v>46185</v>
      </c>
      <c r="D7710" t="inlineStr">
        <is>
          <t>VÄSTERNORRLANDS LÄN</t>
        </is>
      </c>
      <c r="E7710" t="inlineStr">
        <is>
          <t>SUNDSVALL</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17341-2026</t>
        </is>
      </c>
      <c r="B7711" s="1" t="n">
        <v>46119.63667824074</v>
      </c>
      <c r="C7711" s="1" t="n">
        <v>46185</v>
      </c>
      <c r="D7711" t="inlineStr">
        <is>
          <t>VÄSTERNORRLANDS LÄN</t>
        </is>
      </c>
      <c r="E7711" t="inlineStr">
        <is>
          <t>SUNDSVALL</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36985-2024</t>
        </is>
      </c>
      <c r="B7712" s="1" t="n">
        <v>45539.3235300926</v>
      </c>
      <c r="C7712" s="1" t="n">
        <v>46185</v>
      </c>
      <c r="D7712" t="inlineStr">
        <is>
          <t>VÄSTERNORRLANDS LÄN</t>
        </is>
      </c>
      <c r="E7712" t="inlineStr">
        <is>
          <t>ÖRNSKÖLDSVIK</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38231-2024</t>
        </is>
      </c>
      <c r="B7713" s="1" t="n">
        <v>45545.55601851852</v>
      </c>
      <c r="C7713" s="1" t="n">
        <v>46185</v>
      </c>
      <c r="D7713" t="inlineStr">
        <is>
          <t>VÄSTERNORRLANDS LÄN</t>
        </is>
      </c>
      <c r="E7713" t="inlineStr">
        <is>
          <t>SOLLEFTEÅ</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23137-2026</t>
        </is>
      </c>
      <c r="B7714" s="1" t="n">
        <v>46161.61634259259</v>
      </c>
      <c r="C7714" s="1" t="n">
        <v>46185</v>
      </c>
      <c r="D7714" t="inlineStr">
        <is>
          <t>VÄSTERNORRLANDS LÄN</t>
        </is>
      </c>
      <c r="E7714" t="inlineStr">
        <is>
          <t>HÄRNÖSAND</t>
        </is>
      </c>
      <c r="G7714" t="n">
        <v>9.199999999999999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17348-2026</t>
        </is>
      </c>
      <c r="B7715" s="1" t="n">
        <v>46119.65678240741</v>
      </c>
      <c r="C7715" s="1" t="n">
        <v>46185</v>
      </c>
      <c r="D7715" t="inlineStr">
        <is>
          <t>VÄSTERNORRLANDS LÄN</t>
        </is>
      </c>
      <c r="E7715" t="inlineStr">
        <is>
          <t>SOLLEFTEÅ</t>
        </is>
      </c>
      <c r="F7715" t="inlineStr">
        <is>
          <t>SCA</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6833-2024</t>
        </is>
      </c>
      <c r="B7716" s="1" t="n">
        <v>45342</v>
      </c>
      <c r="C7716" s="1" t="n">
        <v>46185</v>
      </c>
      <c r="D7716" t="inlineStr">
        <is>
          <t>VÄSTERNORRLANDS LÄN</t>
        </is>
      </c>
      <c r="E7716" t="inlineStr">
        <is>
          <t>HÄRNÖSAND</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60970-2021</t>
        </is>
      </c>
      <c r="B7717" s="1" t="n">
        <v>44496</v>
      </c>
      <c r="C7717" s="1" t="n">
        <v>46185</v>
      </c>
      <c r="D7717" t="inlineStr">
        <is>
          <t>VÄSTERNORRLANDS LÄN</t>
        </is>
      </c>
      <c r="E7717" t="inlineStr">
        <is>
          <t>HÄRNÖSAND</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22840-2026</t>
        </is>
      </c>
      <c r="B7718" s="1" t="n">
        <v>46160.38585648148</v>
      </c>
      <c r="C7718" s="1" t="n">
        <v>46185</v>
      </c>
      <c r="D7718" t="inlineStr">
        <is>
          <t>VÄSTERNORRLANDS LÄN</t>
        </is>
      </c>
      <c r="E7718" t="inlineStr">
        <is>
          <t>SOLLEFTEÅ</t>
        </is>
      </c>
      <c r="F7718" t="inlineStr">
        <is>
          <t>SCA</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22846-2026</t>
        </is>
      </c>
      <c r="B7719" s="1" t="n">
        <v>46160.39314814815</v>
      </c>
      <c r="C7719" s="1" t="n">
        <v>46185</v>
      </c>
      <c r="D7719" t="inlineStr">
        <is>
          <t>VÄSTERNORRLANDS LÄN</t>
        </is>
      </c>
      <c r="E7719" t="inlineStr">
        <is>
          <t>KRAMFORS</t>
        </is>
      </c>
      <c r="F7719" t="inlineStr">
        <is>
          <t>Kommuner</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2073-2022</t>
        </is>
      </c>
      <c r="B7720" s="1" t="n">
        <v>44575.92912037037</v>
      </c>
      <c r="C7720" s="1" t="n">
        <v>46185</v>
      </c>
      <c r="D7720" t="inlineStr">
        <is>
          <t>VÄSTERNORRLANDS LÄN</t>
        </is>
      </c>
      <c r="E7720" t="inlineStr">
        <is>
          <t>TIMRÅ</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24739-2024</t>
        </is>
      </c>
      <c r="B7721" s="1" t="n">
        <v>45460</v>
      </c>
      <c r="C7721" s="1" t="n">
        <v>46185</v>
      </c>
      <c r="D7721" t="inlineStr">
        <is>
          <t>VÄSTERNORRLANDS LÄN</t>
        </is>
      </c>
      <c r="E7721" t="inlineStr">
        <is>
          <t>TIMRÅ</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48609-2024</t>
        </is>
      </c>
      <c r="B7722" s="1" t="n">
        <v>45593.45111111111</v>
      </c>
      <c r="C7722" s="1" t="n">
        <v>46185</v>
      </c>
      <c r="D7722" t="inlineStr">
        <is>
          <t>VÄSTERNORRLANDS LÄN</t>
        </is>
      </c>
      <c r="E7722" t="inlineStr">
        <is>
          <t>ÖRNSKÖLDSVIK</t>
        </is>
      </c>
      <c r="F7722" t="inlineStr">
        <is>
          <t>Holmen skog AB</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39693-2023</t>
        </is>
      </c>
      <c r="B7723" s="1" t="n">
        <v>45166</v>
      </c>
      <c r="C7723" s="1" t="n">
        <v>46185</v>
      </c>
      <c r="D7723" t="inlineStr">
        <is>
          <t>VÄSTERNORRLANDS LÄN</t>
        </is>
      </c>
      <c r="E7723" t="inlineStr">
        <is>
          <t>TIMRÅ</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49222-2024</t>
        </is>
      </c>
      <c r="B7724" s="1" t="n">
        <v>45595</v>
      </c>
      <c r="C7724" s="1" t="n">
        <v>46185</v>
      </c>
      <c r="D7724" t="inlineStr">
        <is>
          <t>VÄSTERNORRLANDS LÄN</t>
        </is>
      </c>
      <c r="E7724" t="inlineStr">
        <is>
          <t>ÖRNSKÖLDSVIK</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17112-2023</t>
        </is>
      </c>
      <c r="B7725" s="1" t="n">
        <v>45034</v>
      </c>
      <c r="C7725" s="1" t="n">
        <v>46185</v>
      </c>
      <c r="D7725" t="inlineStr">
        <is>
          <t>VÄSTERNORRLANDS LÄN</t>
        </is>
      </c>
      <c r="E7725" t="inlineStr">
        <is>
          <t>KRAMFORS</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23179-2026</t>
        </is>
      </c>
      <c r="B7726" s="1" t="n">
        <v>46161.67866898148</v>
      </c>
      <c r="C7726" s="1" t="n">
        <v>46185</v>
      </c>
      <c r="D7726" t="inlineStr">
        <is>
          <t>VÄSTERNORRLANDS LÄN</t>
        </is>
      </c>
      <c r="E7726" t="inlineStr">
        <is>
          <t>HÄRNÖSAND</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22732-2026</t>
        </is>
      </c>
      <c r="B7727" s="1" t="n">
        <v>46157</v>
      </c>
      <c r="C7727" s="1" t="n">
        <v>46185</v>
      </c>
      <c r="D7727" t="inlineStr">
        <is>
          <t>VÄSTERNORRLANDS LÄN</t>
        </is>
      </c>
      <c r="E7727" t="inlineStr">
        <is>
          <t>KRAMFORS</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9124-2022</t>
        </is>
      </c>
      <c r="B7728" s="1" t="n">
        <v>44615.58287037037</v>
      </c>
      <c r="C7728" s="1" t="n">
        <v>46185</v>
      </c>
      <c r="D7728" t="inlineStr">
        <is>
          <t>VÄSTERNORRLANDS LÄN</t>
        </is>
      </c>
      <c r="E7728" t="inlineStr">
        <is>
          <t>SOLLEFTEÅ</t>
        </is>
      </c>
      <c r="G7728" t="n">
        <v>20.2</v>
      </c>
      <c r="H7728" t="n">
        <v>0</v>
      </c>
      <c r="I7728" t="n">
        <v>0</v>
      </c>
      <c r="J7728" t="n">
        <v>0</v>
      </c>
      <c r="K7728" t="n">
        <v>0</v>
      </c>
      <c r="L7728" t="n">
        <v>0</v>
      </c>
      <c r="M7728" t="n">
        <v>0</v>
      </c>
      <c r="N7728" t="n">
        <v>0</v>
      </c>
      <c r="O7728" t="n">
        <v>0</v>
      </c>
      <c r="P7728" t="n">
        <v>0</v>
      </c>
      <c r="Q7728" t="n">
        <v>0</v>
      </c>
      <c r="R7728" s="2" t="inlineStr"/>
    </row>
    <row r="7729" ht="15" customHeight="1">
      <c r="A7729" t="inlineStr">
        <is>
          <t>A 23141-2026</t>
        </is>
      </c>
      <c r="B7729" s="1" t="n">
        <v>46161.62219907407</v>
      </c>
      <c r="C7729" s="1" t="n">
        <v>46185</v>
      </c>
      <c r="D7729" t="inlineStr">
        <is>
          <t>VÄSTERNORRLANDS LÄN</t>
        </is>
      </c>
      <c r="E7729" t="inlineStr">
        <is>
          <t>ÖRNSKÖLDSVIK</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2966-2023</t>
        </is>
      </c>
      <c r="B7730" s="1" t="n">
        <v>44944</v>
      </c>
      <c r="C7730" s="1" t="n">
        <v>46185</v>
      </c>
      <c r="D7730" t="inlineStr">
        <is>
          <t>VÄSTERNORRLANDS LÄN</t>
        </is>
      </c>
      <c r="E7730" t="inlineStr">
        <is>
          <t>ÖRNSKÖLDSVIK</t>
        </is>
      </c>
      <c r="G7730" t="n">
        <v>21.3</v>
      </c>
      <c r="H7730" t="n">
        <v>0</v>
      </c>
      <c r="I7730" t="n">
        <v>0</v>
      </c>
      <c r="J7730" t="n">
        <v>0</v>
      </c>
      <c r="K7730" t="n">
        <v>0</v>
      </c>
      <c r="L7730" t="n">
        <v>0</v>
      </c>
      <c r="M7730" t="n">
        <v>0</v>
      </c>
      <c r="N7730" t="n">
        <v>0</v>
      </c>
      <c r="O7730" t="n">
        <v>0</v>
      </c>
      <c r="P7730" t="n">
        <v>0</v>
      </c>
      <c r="Q7730" t="n">
        <v>0</v>
      </c>
      <c r="R7730" s="2" t="inlineStr"/>
    </row>
    <row r="7731" ht="15" customHeight="1">
      <c r="A7731" t="inlineStr">
        <is>
          <t>A 23148-2026</t>
        </is>
      </c>
      <c r="B7731" s="1" t="n">
        <v>46161.626875</v>
      </c>
      <c r="C7731" s="1" t="n">
        <v>46185</v>
      </c>
      <c r="D7731" t="inlineStr">
        <is>
          <t>VÄSTERNORRLANDS LÄN</t>
        </is>
      </c>
      <c r="E7731" t="inlineStr">
        <is>
          <t>HÄRNÖSAND</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23168-2026</t>
        </is>
      </c>
      <c r="B7732" s="1" t="n">
        <v>46161.66537037037</v>
      </c>
      <c r="C7732" s="1" t="n">
        <v>46185</v>
      </c>
      <c r="D7732" t="inlineStr">
        <is>
          <t>VÄSTERNORRLANDS LÄN</t>
        </is>
      </c>
      <c r="E7732" t="inlineStr">
        <is>
          <t>HÄRNÖSAND</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23166-2026</t>
        </is>
      </c>
      <c r="B7733" s="1" t="n">
        <v>46161.6594675926</v>
      </c>
      <c r="C7733" s="1" t="n">
        <v>46185</v>
      </c>
      <c r="D7733" t="inlineStr">
        <is>
          <t>VÄSTERNORRLANDS LÄN</t>
        </is>
      </c>
      <c r="E7733" t="inlineStr">
        <is>
          <t>SOLLEFTEÅ</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23178-2026</t>
        </is>
      </c>
      <c r="B7734" s="1" t="n">
        <v>46161.67763888889</v>
      </c>
      <c r="C7734" s="1" t="n">
        <v>46185</v>
      </c>
      <c r="D7734" t="inlineStr">
        <is>
          <t>VÄSTERNORRLANDS LÄN</t>
        </is>
      </c>
      <c r="E7734" t="inlineStr">
        <is>
          <t>SUNDSVALL</t>
        </is>
      </c>
      <c r="F7734" t="inlineStr">
        <is>
          <t>Naturvårdsverket</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63413-2023</t>
        </is>
      </c>
      <c r="B7735" s="1" t="n">
        <v>45274</v>
      </c>
      <c r="C7735" s="1" t="n">
        <v>46185</v>
      </c>
      <c r="D7735" t="inlineStr">
        <is>
          <t>VÄSTERNORRLANDS LÄN</t>
        </is>
      </c>
      <c r="E7735" t="inlineStr">
        <is>
          <t>SOLLEFTEÅ</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42517-2023</t>
        </is>
      </c>
      <c r="B7736" s="1" t="n">
        <v>45180</v>
      </c>
      <c r="C7736" s="1" t="n">
        <v>46185</v>
      </c>
      <c r="D7736" t="inlineStr">
        <is>
          <t>VÄSTERNORRLANDS LÄN</t>
        </is>
      </c>
      <c r="E7736" t="inlineStr">
        <is>
          <t>SUNDSVALL</t>
        </is>
      </c>
      <c r="F7736" t="inlineStr">
        <is>
          <t>SCA</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23182-2026</t>
        </is>
      </c>
      <c r="B7737" s="1" t="n">
        <v>46161.68196759259</v>
      </c>
      <c r="C7737" s="1" t="n">
        <v>46185</v>
      </c>
      <c r="D7737" t="inlineStr">
        <is>
          <t>VÄSTERNORRLANDS LÄN</t>
        </is>
      </c>
      <c r="E7737" t="inlineStr">
        <is>
          <t>HÄRNÖSAND</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31229-2023</t>
        </is>
      </c>
      <c r="B7738" s="1" t="n">
        <v>45114</v>
      </c>
      <c r="C7738" s="1" t="n">
        <v>46185</v>
      </c>
      <c r="D7738" t="inlineStr">
        <is>
          <t>VÄSTERNORRLANDS LÄN</t>
        </is>
      </c>
      <c r="E7738" t="inlineStr">
        <is>
          <t>ÅNGE</t>
        </is>
      </c>
      <c r="F7738" t="inlineStr">
        <is>
          <t>Sveaskog</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63422-2023</t>
        </is>
      </c>
      <c r="B7739" s="1" t="n">
        <v>45274</v>
      </c>
      <c r="C7739" s="1" t="n">
        <v>46185</v>
      </c>
      <c r="D7739" t="inlineStr">
        <is>
          <t>VÄSTERNORRLANDS LÄN</t>
        </is>
      </c>
      <c r="E7739" t="inlineStr">
        <is>
          <t>SOLLEFTEÅ</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35470-2023</t>
        </is>
      </c>
      <c r="B7740" s="1" t="n">
        <v>45146</v>
      </c>
      <c r="C7740" s="1" t="n">
        <v>46185</v>
      </c>
      <c r="D7740" t="inlineStr">
        <is>
          <t>VÄSTERNORRLANDS LÄN</t>
        </is>
      </c>
      <c r="E7740" t="inlineStr">
        <is>
          <t>SOLLEFTEÅ</t>
        </is>
      </c>
      <c r="G7740" t="n">
        <v>7.5</v>
      </c>
      <c r="H7740" t="n">
        <v>0</v>
      </c>
      <c r="I7740" t="n">
        <v>0</v>
      </c>
      <c r="J7740" t="n">
        <v>0</v>
      </c>
      <c r="K7740" t="n">
        <v>0</v>
      </c>
      <c r="L7740" t="n">
        <v>0</v>
      </c>
      <c r="M7740" t="n">
        <v>0</v>
      </c>
      <c r="N7740" t="n">
        <v>0</v>
      </c>
      <c r="O7740" t="n">
        <v>0</v>
      </c>
      <c r="P7740" t="n">
        <v>0</v>
      </c>
      <c r="Q7740" t="n">
        <v>0</v>
      </c>
      <c r="R7740" s="2" t="inlineStr"/>
    </row>
    <row r="7741" ht="15" customHeight="1">
      <c r="A7741" t="inlineStr">
        <is>
          <t>A 23186-2026</t>
        </is>
      </c>
      <c r="B7741" s="1" t="n">
        <v>46161.68863425926</v>
      </c>
      <c r="C7741" s="1" t="n">
        <v>46185</v>
      </c>
      <c r="D7741" t="inlineStr">
        <is>
          <t>VÄSTERNORRLANDS LÄN</t>
        </is>
      </c>
      <c r="E7741" t="inlineStr">
        <is>
          <t>HÄRNÖSAND</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16047-2024</t>
        </is>
      </c>
      <c r="B7742" s="1" t="n">
        <v>45405</v>
      </c>
      <c r="C7742" s="1" t="n">
        <v>46185</v>
      </c>
      <c r="D7742" t="inlineStr">
        <is>
          <t>VÄSTERNORRLANDS LÄN</t>
        </is>
      </c>
      <c r="E7742" t="inlineStr">
        <is>
          <t>HÄRNÖSAND</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45250-2024</t>
        </is>
      </c>
      <c r="B7743" s="1" t="n">
        <v>45576.32170138889</v>
      </c>
      <c r="C7743" s="1" t="n">
        <v>46185</v>
      </c>
      <c r="D7743" t="inlineStr">
        <is>
          <t>VÄSTERNORRLANDS LÄN</t>
        </is>
      </c>
      <c r="E7743" t="inlineStr">
        <is>
          <t>ÖRNSKÖLDSVIK</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23123-2026</t>
        </is>
      </c>
      <c r="B7744" s="1" t="n">
        <v>46161.59832175926</v>
      </c>
      <c r="C7744" s="1" t="n">
        <v>46185</v>
      </c>
      <c r="D7744" t="inlineStr">
        <is>
          <t>VÄSTERNORRLANDS LÄN</t>
        </is>
      </c>
      <c r="E7744" t="inlineStr">
        <is>
          <t>ÅNGE</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22995-2026</t>
        </is>
      </c>
      <c r="B7745" s="1" t="n">
        <v>46160.67796296296</v>
      </c>
      <c r="C7745" s="1" t="n">
        <v>46185</v>
      </c>
      <c r="D7745" t="inlineStr">
        <is>
          <t>VÄSTERNORRLANDS LÄN</t>
        </is>
      </c>
      <c r="E7745" t="inlineStr">
        <is>
          <t>SOLLEFTEÅ</t>
        </is>
      </c>
      <c r="F7745" t="inlineStr">
        <is>
          <t>SCA</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22998-2026</t>
        </is>
      </c>
      <c r="B7746" s="1" t="n">
        <v>46160</v>
      </c>
      <c r="C7746" s="1" t="n">
        <v>46185</v>
      </c>
      <c r="D7746" t="inlineStr">
        <is>
          <t>VÄSTERNORRLANDS LÄN</t>
        </is>
      </c>
      <c r="E7746" t="inlineStr">
        <is>
          <t>ÖRNSKÖLDSVIK</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38605-2023</t>
        </is>
      </c>
      <c r="B7747" s="1" t="n">
        <v>45162.65064814815</v>
      </c>
      <c r="C7747" s="1" t="n">
        <v>46185</v>
      </c>
      <c r="D7747" t="inlineStr">
        <is>
          <t>VÄSTERNORRLANDS LÄN</t>
        </is>
      </c>
      <c r="E7747" t="inlineStr">
        <is>
          <t>ÖRNSKÖLDSVIK</t>
        </is>
      </c>
      <c r="F7747" t="inlineStr">
        <is>
          <t>Holmen skog AB</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23130-2026</t>
        </is>
      </c>
      <c r="B7748" s="1" t="n">
        <v>46161.61159722223</v>
      </c>
      <c r="C7748" s="1" t="n">
        <v>46185</v>
      </c>
      <c r="D7748" t="inlineStr">
        <is>
          <t>VÄSTERNORRLANDS LÄN</t>
        </is>
      </c>
      <c r="E7748" t="inlineStr">
        <is>
          <t>HÄRNÖSAND</t>
        </is>
      </c>
      <c r="G7748" t="n">
        <v>9.199999999999999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52252-2025</t>
        </is>
      </c>
      <c r="B7749" s="1" t="n">
        <v>45953.49189814815</v>
      </c>
      <c r="C7749" s="1" t="n">
        <v>46185</v>
      </c>
      <c r="D7749" t="inlineStr">
        <is>
          <t>VÄSTERNORRLANDS LÄN</t>
        </is>
      </c>
      <c r="E7749" t="inlineStr">
        <is>
          <t>SUNDSVALL</t>
        </is>
      </c>
      <c r="G7749" t="n">
        <v>6.4</v>
      </c>
      <c r="H7749" t="n">
        <v>0</v>
      </c>
      <c r="I7749" t="n">
        <v>0</v>
      </c>
      <c r="J7749" t="n">
        <v>0</v>
      </c>
      <c r="K7749" t="n">
        <v>0</v>
      </c>
      <c r="L7749" t="n">
        <v>0</v>
      </c>
      <c r="M7749" t="n">
        <v>0</v>
      </c>
      <c r="N7749" t="n">
        <v>0</v>
      </c>
      <c r="O7749" t="n">
        <v>0</v>
      </c>
      <c r="P7749" t="n">
        <v>0</v>
      </c>
      <c r="Q7749" t="n">
        <v>0</v>
      </c>
      <c r="R7749" s="2" t="inlineStr"/>
    </row>
    <row r="7750" ht="15" customHeight="1">
      <c r="A7750" t="inlineStr">
        <is>
          <t>A 39268-2023</t>
        </is>
      </c>
      <c r="B7750" s="1" t="n">
        <v>45162</v>
      </c>
      <c r="C7750" s="1" t="n">
        <v>46185</v>
      </c>
      <c r="D7750" t="inlineStr">
        <is>
          <t>VÄSTERNORRLANDS LÄN</t>
        </is>
      </c>
      <c r="E7750" t="inlineStr">
        <is>
          <t>ÖRNSKÖLDSVIK</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23176-2026</t>
        </is>
      </c>
      <c r="B7751" s="1" t="n">
        <v>46161.6756712963</v>
      </c>
      <c r="C7751" s="1" t="n">
        <v>46185</v>
      </c>
      <c r="D7751" t="inlineStr">
        <is>
          <t>VÄSTERNORRLANDS LÄN</t>
        </is>
      </c>
      <c r="E7751" t="inlineStr">
        <is>
          <t>HÄRNÖSAND</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22852-2026</t>
        </is>
      </c>
      <c r="B7752" s="1" t="n">
        <v>46160.40675925926</v>
      </c>
      <c r="C7752" s="1" t="n">
        <v>46185</v>
      </c>
      <c r="D7752" t="inlineStr">
        <is>
          <t>VÄSTERNORRLANDS LÄN</t>
        </is>
      </c>
      <c r="E7752" t="inlineStr">
        <is>
          <t>KRAMFORS</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22885-2026</t>
        </is>
      </c>
      <c r="B7753" s="1" t="n">
        <v>46160.47446759259</v>
      </c>
      <c r="C7753" s="1" t="n">
        <v>46185</v>
      </c>
      <c r="D7753" t="inlineStr">
        <is>
          <t>VÄSTERNORRLANDS LÄN</t>
        </is>
      </c>
      <c r="E7753" t="inlineStr">
        <is>
          <t>SOLLEFTEÅ</t>
        </is>
      </c>
      <c r="G7753" t="n">
        <v>3.4</v>
      </c>
      <c r="H7753" t="n">
        <v>0</v>
      </c>
      <c r="I7753" t="n">
        <v>0</v>
      </c>
      <c r="J7753" t="n">
        <v>0</v>
      </c>
      <c r="K7753" t="n">
        <v>0</v>
      </c>
      <c r="L7753" t="n">
        <v>0</v>
      </c>
      <c r="M7753" t="n">
        <v>0</v>
      </c>
      <c r="N7753" t="n">
        <v>0</v>
      </c>
      <c r="O7753" t="n">
        <v>0</v>
      </c>
      <c r="P7753" t="n">
        <v>0</v>
      </c>
      <c r="Q7753" t="n">
        <v>0</v>
      </c>
      <c r="R7753" s="2" t="inlineStr"/>
    </row>
    <row r="7754" ht="15" customHeight="1">
      <c r="A7754" t="inlineStr">
        <is>
          <t>A 23028-2026</t>
        </is>
      </c>
      <c r="B7754" s="1" t="n">
        <v>46161.3650462963</v>
      </c>
      <c r="C7754" s="1" t="n">
        <v>46185</v>
      </c>
      <c r="D7754" t="inlineStr">
        <is>
          <t>VÄSTERNORRLANDS LÄN</t>
        </is>
      </c>
      <c r="E7754" t="inlineStr">
        <is>
          <t>SOLLEFTEÅ</t>
        </is>
      </c>
      <c r="F7754" t="inlineStr">
        <is>
          <t>SCA</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17358-2026</t>
        </is>
      </c>
      <c r="B7755" s="1" t="n">
        <v>46119.68040509259</v>
      </c>
      <c r="C7755" s="1" t="n">
        <v>46185</v>
      </c>
      <c r="D7755" t="inlineStr">
        <is>
          <t>VÄSTERNORRLANDS LÄN</t>
        </is>
      </c>
      <c r="E7755" t="inlineStr">
        <is>
          <t>TIMRÅ</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22902-2026</t>
        </is>
      </c>
      <c r="B7756" s="1" t="n">
        <v>46160.49009259259</v>
      </c>
      <c r="C7756" s="1" t="n">
        <v>46185</v>
      </c>
      <c r="D7756" t="inlineStr">
        <is>
          <t>VÄSTERNORRLANDS LÄN</t>
        </is>
      </c>
      <c r="E7756" t="inlineStr">
        <is>
          <t>SOLLEFTEÅ</t>
        </is>
      </c>
      <c r="F7756" t="inlineStr">
        <is>
          <t>SCA</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42114-2024</t>
        </is>
      </c>
      <c r="B7757" s="1" t="n">
        <v>45562</v>
      </c>
      <c r="C7757" s="1" t="n">
        <v>46185</v>
      </c>
      <c r="D7757" t="inlineStr">
        <is>
          <t>VÄSTERNORRLANDS LÄN</t>
        </is>
      </c>
      <c r="E7757" t="inlineStr">
        <is>
          <t>SUNDSVALL</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23573-2024</t>
        </is>
      </c>
      <c r="B7758" s="1" t="n">
        <v>45454</v>
      </c>
      <c r="C7758" s="1" t="n">
        <v>46185</v>
      </c>
      <c r="D7758" t="inlineStr">
        <is>
          <t>VÄSTERNORRLANDS LÄN</t>
        </is>
      </c>
      <c r="E7758" t="inlineStr">
        <is>
          <t>KRAMFORS</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8257-2022</t>
        </is>
      </c>
      <c r="B7759" s="1" t="n">
        <v>44610.34373842592</v>
      </c>
      <c r="C7759" s="1" t="n">
        <v>46185</v>
      </c>
      <c r="D7759" t="inlineStr">
        <is>
          <t>VÄSTERNORRLANDS LÄN</t>
        </is>
      </c>
      <c r="E7759" t="inlineStr">
        <is>
          <t>KRAMFORS</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22520-2026</t>
        </is>
      </c>
      <c r="B7760" s="1" t="n">
        <v>46155</v>
      </c>
      <c r="C7760" s="1" t="n">
        <v>46185</v>
      </c>
      <c r="D7760" t="inlineStr">
        <is>
          <t>VÄSTERNORRLANDS LÄN</t>
        </is>
      </c>
      <c r="E7760" t="inlineStr">
        <is>
          <t>ÅNGE</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22942-2026</t>
        </is>
      </c>
      <c r="B7761" s="1" t="n">
        <v>46160.57342592593</v>
      </c>
      <c r="C7761" s="1" t="n">
        <v>46185</v>
      </c>
      <c r="D7761" t="inlineStr">
        <is>
          <t>VÄSTERNORRLANDS LÄN</t>
        </is>
      </c>
      <c r="E7761" t="inlineStr">
        <is>
          <t>TIMRÅ</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22948-2026</t>
        </is>
      </c>
      <c r="B7762" s="1" t="n">
        <v>46160.58064814815</v>
      </c>
      <c r="C7762" s="1" t="n">
        <v>46185</v>
      </c>
      <c r="D7762" t="inlineStr">
        <is>
          <t>VÄSTERNORRLANDS LÄN</t>
        </is>
      </c>
      <c r="E7762" t="inlineStr">
        <is>
          <t>TIMRÅ</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22972-2026</t>
        </is>
      </c>
      <c r="B7763" s="1" t="n">
        <v>46160.62768518519</v>
      </c>
      <c r="C7763" s="1" t="n">
        <v>46185</v>
      </c>
      <c r="D7763" t="inlineStr">
        <is>
          <t>VÄSTERNORRLANDS LÄN</t>
        </is>
      </c>
      <c r="E7763" t="inlineStr">
        <is>
          <t>KRAMFORS</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22976-2026</t>
        </is>
      </c>
      <c r="B7764" s="1" t="n">
        <v>46160.63596064815</v>
      </c>
      <c r="C7764" s="1" t="n">
        <v>46185</v>
      </c>
      <c r="D7764" t="inlineStr">
        <is>
          <t>VÄSTERNORRLANDS LÄN</t>
        </is>
      </c>
      <c r="E7764" t="inlineStr">
        <is>
          <t>SOLLEFTEÅ</t>
        </is>
      </c>
      <c r="F7764" t="inlineStr">
        <is>
          <t>SCA</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64911-2021</t>
        </is>
      </c>
      <c r="B7765" s="1" t="n">
        <v>44512</v>
      </c>
      <c r="C7765" s="1" t="n">
        <v>46185</v>
      </c>
      <c r="D7765" t="inlineStr">
        <is>
          <t>VÄSTERNORRLANDS LÄN</t>
        </is>
      </c>
      <c r="E7765" t="inlineStr">
        <is>
          <t>ÖRNSKÖLDSVIK</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45886-2024</t>
        </is>
      </c>
      <c r="B7766" s="1" t="n">
        <v>45580</v>
      </c>
      <c r="C7766" s="1" t="n">
        <v>46185</v>
      </c>
      <c r="D7766" t="inlineStr">
        <is>
          <t>VÄSTERNORRLANDS LÄN</t>
        </is>
      </c>
      <c r="E7766" t="inlineStr">
        <is>
          <t>TIMRÅ</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15080-2023</t>
        </is>
      </c>
      <c r="B7767" s="1" t="n">
        <v>45016.07525462963</v>
      </c>
      <c r="C7767" s="1" t="n">
        <v>46185</v>
      </c>
      <c r="D7767" t="inlineStr">
        <is>
          <t>VÄSTERNORRLANDS LÄN</t>
        </is>
      </c>
      <c r="E7767" t="inlineStr">
        <is>
          <t>SOLLEFTEÅ</t>
        </is>
      </c>
      <c r="F7767" t="inlineStr">
        <is>
          <t>SCA</t>
        </is>
      </c>
      <c r="G7767" t="n">
        <v>33.6</v>
      </c>
      <c r="H7767" t="n">
        <v>0</v>
      </c>
      <c r="I7767" t="n">
        <v>0</v>
      </c>
      <c r="J7767" t="n">
        <v>0</v>
      </c>
      <c r="K7767" t="n">
        <v>0</v>
      </c>
      <c r="L7767" t="n">
        <v>0</v>
      </c>
      <c r="M7767" t="n">
        <v>0</v>
      </c>
      <c r="N7767" t="n">
        <v>0</v>
      </c>
      <c r="O7767" t="n">
        <v>0</v>
      </c>
      <c r="P7767" t="n">
        <v>0</v>
      </c>
      <c r="Q7767" t="n">
        <v>0</v>
      </c>
      <c r="R7767" s="2" t="inlineStr"/>
    </row>
    <row r="7768" ht="15" customHeight="1">
      <c r="A7768" t="inlineStr">
        <is>
          <t>A 22994-2026</t>
        </is>
      </c>
      <c r="B7768" s="1" t="n">
        <v>46160.67791666667</v>
      </c>
      <c r="C7768" s="1" t="n">
        <v>46185</v>
      </c>
      <c r="D7768" t="inlineStr">
        <is>
          <t>VÄSTERNORRLANDS LÄN</t>
        </is>
      </c>
      <c r="E7768" t="inlineStr">
        <is>
          <t>SOLLEFTEÅ</t>
        </is>
      </c>
      <c r="F7768" t="inlineStr">
        <is>
          <t>SCA</t>
        </is>
      </c>
      <c r="G7768" t="n">
        <v>15.5</v>
      </c>
      <c r="H7768" t="n">
        <v>0</v>
      </c>
      <c r="I7768" t="n">
        <v>0</v>
      </c>
      <c r="J7768" t="n">
        <v>0</v>
      </c>
      <c r="K7768" t="n">
        <v>0</v>
      </c>
      <c r="L7768" t="n">
        <v>0</v>
      </c>
      <c r="M7768" t="n">
        <v>0</v>
      </c>
      <c r="N7768" t="n">
        <v>0</v>
      </c>
      <c r="O7768" t="n">
        <v>0</v>
      </c>
      <c r="P7768" t="n">
        <v>0</v>
      </c>
      <c r="Q7768" t="n">
        <v>0</v>
      </c>
      <c r="R7768" s="2" t="inlineStr"/>
    </row>
    <row r="7769" ht="15" customHeight="1">
      <c r="A7769" t="inlineStr">
        <is>
          <t>A 42347-2023</t>
        </is>
      </c>
      <c r="B7769" s="1" t="n">
        <v>45180</v>
      </c>
      <c r="C7769" s="1" t="n">
        <v>46185</v>
      </c>
      <c r="D7769" t="inlineStr">
        <is>
          <t>VÄSTERNORRLANDS LÄN</t>
        </is>
      </c>
      <c r="E7769" t="inlineStr">
        <is>
          <t>ÖRNSKÖLDSVIK</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23140-2026</t>
        </is>
      </c>
      <c r="B7770" s="1" t="n">
        <v>46161.6218287037</v>
      </c>
      <c r="C7770" s="1" t="n">
        <v>46185</v>
      </c>
      <c r="D7770" t="inlineStr">
        <is>
          <t>VÄSTERNORRLANDS LÄN</t>
        </is>
      </c>
      <c r="E7770" t="inlineStr">
        <is>
          <t>HÄRNÖSAND</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57078-2024</t>
        </is>
      </c>
      <c r="B7771" s="1" t="n">
        <v>45629.35518518519</v>
      </c>
      <c r="C7771" s="1" t="n">
        <v>46185</v>
      </c>
      <c r="D7771" t="inlineStr">
        <is>
          <t>VÄSTERNORRLANDS LÄN</t>
        </is>
      </c>
      <c r="E7771" t="inlineStr">
        <is>
          <t>SOLLEFTEÅ</t>
        </is>
      </c>
      <c r="F7771" t="inlineStr">
        <is>
          <t>SCA</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57123-2024</t>
        </is>
      </c>
      <c r="B7772" s="1" t="n">
        <v>45629.37432870371</v>
      </c>
      <c r="C7772" s="1" t="n">
        <v>46185</v>
      </c>
      <c r="D7772" t="inlineStr">
        <is>
          <t>VÄSTERNORRLANDS LÄN</t>
        </is>
      </c>
      <c r="E7772" t="inlineStr">
        <is>
          <t>ÖRNSKÖLDSVIK</t>
        </is>
      </c>
      <c r="F7772" t="inlineStr">
        <is>
          <t>Holmen skog AB</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40664-2024</t>
        </is>
      </c>
      <c r="B7773" s="1" t="n">
        <v>45558</v>
      </c>
      <c r="C7773" s="1" t="n">
        <v>46185</v>
      </c>
      <c r="D7773" t="inlineStr">
        <is>
          <t>VÄSTERNORRLANDS LÄN</t>
        </is>
      </c>
      <c r="E7773" t="inlineStr">
        <is>
          <t>TIMRÅ</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47788-2024</t>
        </is>
      </c>
      <c r="B7774" s="1" t="n">
        <v>45588.59452546296</v>
      </c>
      <c r="C7774" s="1" t="n">
        <v>46185</v>
      </c>
      <c r="D7774" t="inlineStr">
        <is>
          <t>VÄSTERNORRLANDS LÄN</t>
        </is>
      </c>
      <c r="E7774" t="inlineStr">
        <is>
          <t>SUNDSVALL</t>
        </is>
      </c>
      <c r="F7774" t="inlineStr">
        <is>
          <t>SCA</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50721-2024</t>
        </is>
      </c>
      <c r="B7775" s="1" t="n">
        <v>45602.3863425926</v>
      </c>
      <c r="C7775" s="1" t="n">
        <v>46185</v>
      </c>
      <c r="D7775" t="inlineStr">
        <is>
          <t>VÄSTERNORRLANDS LÄN</t>
        </is>
      </c>
      <c r="E7775" t="inlineStr">
        <is>
          <t>SOLLEFTEÅ</t>
        </is>
      </c>
      <c r="F7775" t="inlineStr">
        <is>
          <t>SCA</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23094-2026</t>
        </is>
      </c>
      <c r="B7776" s="1" t="n">
        <v>46161.55733796296</v>
      </c>
      <c r="C7776" s="1" t="n">
        <v>46185</v>
      </c>
      <c r="D7776" t="inlineStr">
        <is>
          <t>VÄSTERNORRLANDS LÄN</t>
        </is>
      </c>
      <c r="E7776" t="inlineStr">
        <is>
          <t>KRAMFORS</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38307-2024</t>
        </is>
      </c>
      <c r="B7777" s="1" t="n">
        <v>45545.64277777778</v>
      </c>
      <c r="C7777" s="1" t="n">
        <v>46185</v>
      </c>
      <c r="D7777" t="inlineStr">
        <is>
          <t>VÄSTERNORRLANDS LÄN</t>
        </is>
      </c>
      <c r="E7777" t="inlineStr">
        <is>
          <t>ÖRNSKÖLDSVIK</t>
        </is>
      </c>
      <c r="F7777" t="inlineStr">
        <is>
          <t>Holmen skog AB</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26987-2024</t>
        </is>
      </c>
      <c r="B7778" s="1" t="n">
        <v>45471</v>
      </c>
      <c r="C7778" s="1" t="n">
        <v>46185</v>
      </c>
      <c r="D7778" t="inlineStr">
        <is>
          <t>VÄSTERNORRLANDS LÄN</t>
        </is>
      </c>
      <c r="E7778" t="inlineStr">
        <is>
          <t>ÖRNSKÖLDSVIK</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55636-2024</t>
        </is>
      </c>
      <c r="B7779" s="1" t="n">
        <v>45622.61081018519</v>
      </c>
      <c r="C7779" s="1" t="n">
        <v>46185</v>
      </c>
      <c r="D7779" t="inlineStr">
        <is>
          <t>VÄSTERNORRLANDS LÄN</t>
        </is>
      </c>
      <c r="E7779" t="inlineStr">
        <is>
          <t>ÖRNSKÖLDSVIK</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45975-2024</t>
        </is>
      </c>
      <c r="B7780" s="1" t="n">
        <v>45580.59425925926</v>
      </c>
      <c r="C7780" s="1" t="n">
        <v>46185</v>
      </c>
      <c r="D7780" t="inlineStr">
        <is>
          <t>VÄSTERNORRLANDS LÄN</t>
        </is>
      </c>
      <c r="E7780" t="inlineStr">
        <is>
          <t>SOLLEFTEÅ</t>
        </is>
      </c>
      <c r="F7780" t="inlineStr">
        <is>
          <t>SCA</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17242-2026</t>
        </is>
      </c>
      <c r="B7781" s="1" t="n">
        <v>46119.42765046296</v>
      </c>
      <c r="C7781" s="1" t="n">
        <v>46185</v>
      </c>
      <c r="D7781" t="inlineStr">
        <is>
          <t>VÄSTERNORRLANDS LÄN</t>
        </is>
      </c>
      <c r="E7781" t="inlineStr">
        <is>
          <t>ÅNGE</t>
        </is>
      </c>
      <c r="F7781" t="inlineStr">
        <is>
          <t>SCA</t>
        </is>
      </c>
      <c r="G7781" t="n">
        <v>11.7</v>
      </c>
      <c r="H7781" t="n">
        <v>0</v>
      </c>
      <c r="I7781" t="n">
        <v>0</v>
      </c>
      <c r="J7781" t="n">
        <v>0</v>
      </c>
      <c r="K7781" t="n">
        <v>0</v>
      </c>
      <c r="L7781" t="n">
        <v>0</v>
      </c>
      <c r="M7781" t="n">
        <v>0</v>
      </c>
      <c r="N7781" t="n">
        <v>0</v>
      </c>
      <c r="O7781" t="n">
        <v>0</v>
      </c>
      <c r="P7781" t="n">
        <v>0</v>
      </c>
      <c r="Q7781" t="n">
        <v>0</v>
      </c>
      <c r="R7781" s="2" t="inlineStr"/>
    </row>
    <row r="7782" ht="15" customHeight="1">
      <c r="A7782" t="inlineStr">
        <is>
          <t>A 17243-2026</t>
        </is>
      </c>
      <c r="B7782" s="1" t="n">
        <v>46119.42773148148</v>
      </c>
      <c r="C7782" s="1" t="n">
        <v>46185</v>
      </c>
      <c r="D7782" t="inlineStr">
        <is>
          <t>VÄSTERNORRLANDS LÄN</t>
        </is>
      </c>
      <c r="E7782" t="inlineStr">
        <is>
          <t>SUNDSVALL</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17502-2026</t>
        </is>
      </c>
      <c r="B7783" s="1" t="n">
        <v>46119</v>
      </c>
      <c r="C7783" s="1" t="n">
        <v>46185</v>
      </c>
      <c r="D7783" t="inlineStr">
        <is>
          <t>VÄSTERNORRLANDS LÄN</t>
        </is>
      </c>
      <c r="E7783" t="inlineStr">
        <is>
          <t>ÖRNSKÖLDSVIK</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15606-2024</t>
        </is>
      </c>
      <c r="B7784" s="1" t="n">
        <v>45401.9252662037</v>
      </c>
      <c r="C7784" s="1" t="n">
        <v>46185</v>
      </c>
      <c r="D7784" t="inlineStr">
        <is>
          <t>VÄSTERNORRLANDS LÄN</t>
        </is>
      </c>
      <c r="E7784" t="inlineStr">
        <is>
          <t>ÖRNSKÖLDSVIK</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58463-2024</t>
        </is>
      </c>
      <c r="B7785" s="1" t="n">
        <v>45635.36650462963</v>
      </c>
      <c r="C7785" s="1" t="n">
        <v>46185</v>
      </c>
      <c r="D7785" t="inlineStr">
        <is>
          <t>VÄSTERNORRLANDS LÄN</t>
        </is>
      </c>
      <c r="E7785" t="inlineStr">
        <is>
          <t>SOLLEFTEÅ</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22977-2026</t>
        </is>
      </c>
      <c r="B7786" s="1" t="n">
        <v>46160.63614583333</v>
      </c>
      <c r="C7786" s="1" t="n">
        <v>46185</v>
      </c>
      <c r="D7786" t="inlineStr">
        <is>
          <t>VÄSTERNORRLANDS LÄN</t>
        </is>
      </c>
      <c r="E7786" t="inlineStr">
        <is>
          <t>SOLLEFTEÅ</t>
        </is>
      </c>
      <c r="F7786" t="inlineStr">
        <is>
          <t>SCA</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25097-2024</t>
        </is>
      </c>
      <c r="B7787" s="1" t="n">
        <v>45462.41476851852</v>
      </c>
      <c r="C7787" s="1" t="n">
        <v>46185</v>
      </c>
      <c r="D7787" t="inlineStr">
        <is>
          <t>VÄSTERNORRLANDS LÄN</t>
        </is>
      </c>
      <c r="E7787" t="inlineStr">
        <is>
          <t>ÖRNSKÖLDSVIK</t>
        </is>
      </c>
      <c r="F7787" t="inlineStr">
        <is>
          <t>Holmen skog AB</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52088-2024</t>
        </is>
      </c>
      <c r="B7788" s="1" t="n">
        <v>45608.39836805555</v>
      </c>
      <c r="C7788" s="1" t="n">
        <v>46185</v>
      </c>
      <c r="D7788" t="inlineStr">
        <is>
          <t>VÄSTERNORRLANDS LÄN</t>
        </is>
      </c>
      <c r="E7788" t="inlineStr">
        <is>
          <t>ÖRNSKÖLDSVIK</t>
        </is>
      </c>
      <c r="F7788" t="inlineStr">
        <is>
          <t>Holmen skog AB</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37999-2023</t>
        </is>
      </c>
      <c r="B7789" s="1" t="n">
        <v>45160</v>
      </c>
      <c r="C7789" s="1" t="n">
        <v>46185</v>
      </c>
      <c r="D7789" t="inlineStr">
        <is>
          <t>VÄSTERNORRLANDS LÄN</t>
        </is>
      </c>
      <c r="E7789" t="inlineStr">
        <is>
          <t>ÖRNSKÖLDSVIK</t>
        </is>
      </c>
      <c r="F7789" t="inlineStr">
        <is>
          <t>Holmen skog AB</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13507-2023</t>
        </is>
      </c>
      <c r="B7790" s="1" t="n">
        <v>45006</v>
      </c>
      <c r="C7790" s="1" t="n">
        <v>46185</v>
      </c>
      <c r="D7790" t="inlineStr">
        <is>
          <t>VÄSTERNORRLANDS LÄN</t>
        </is>
      </c>
      <c r="E7790" t="inlineStr">
        <is>
          <t>SUNDSVALL</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38033-2024</t>
        </is>
      </c>
      <c r="B7791" s="1" t="n">
        <v>45544</v>
      </c>
      <c r="C7791" s="1" t="n">
        <v>46185</v>
      </c>
      <c r="D7791" t="inlineStr">
        <is>
          <t>VÄSTERNORRLANDS LÄN</t>
        </is>
      </c>
      <c r="E7791" t="inlineStr">
        <is>
          <t>ÖRNSKÖLDSVIK</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17340-2026</t>
        </is>
      </c>
      <c r="B7792" s="1" t="n">
        <v>46119.63625</v>
      </c>
      <c r="C7792" s="1" t="n">
        <v>46185</v>
      </c>
      <c r="D7792" t="inlineStr">
        <is>
          <t>VÄSTERNORRLANDS LÄN</t>
        </is>
      </c>
      <c r="E7792" t="inlineStr">
        <is>
          <t>SUNDSVALL</t>
        </is>
      </c>
      <c r="F7792" t="inlineStr">
        <is>
          <t>SCA</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35905-2024</t>
        </is>
      </c>
      <c r="B7793" s="1" t="n">
        <v>45533.40674768519</v>
      </c>
      <c r="C7793" s="1" t="n">
        <v>46185</v>
      </c>
      <c r="D7793" t="inlineStr">
        <is>
          <t>VÄSTERNORRLANDS LÄN</t>
        </is>
      </c>
      <c r="E7793" t="inlineStr">
        <is>
          <t>SOLLEFTEÅ</t>
        </is>
      </c>
      <c r="F7793" t="inlineStr">
        <is>
          <t>SCA</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22919-2026</t>
        </is>
      </c>
      <c r="B7794" s="1" t="n">
        <v>46160.53192129629</v>
      </c>
      <c r="C7794" s="1" t="n">
        <v>46185</v>
      </c>
      <c r="D7794" t="inlineStr">
        <is>
          <t>VÄSTERNORRLANDS LÄN</t>
        </is>
      </c>
      <c r="E7794" t="inlineStr">
        <is>
          <t>SOLLEFTEÅ</t>
        </is>
      </c>
      <c r="F7794" t="inlineStr">
        <is>
          <t>SCA</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34850-2024</t>
        </is>
      </c>
      <c r="B7795" s="1" t="n">
        <v>45527</v>
      </c>
      <c r="C7795" s="1" t="n">
        <v>46185</v>
      </c>
      <c r="D7795" t="inlineStr">
        <is>
          <t>VÄSTERNORRLANDS LÄN</t>
        </is>
      </c>
      <c r="E7795" t="inlineStr">
        <is>
          <t>ÖRNSKÖLDSVIK</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22993-2026</t>
        </is>
      </c>
      <c r="B7796" s="1" t="n">
        <v>46160.67783564814</v>
      </c>
      <c r="C7796" s="1" t="n">
        <v>46185</v>
      </c>
      <c r="D7796" t="inlineStr">
        <is>
          <t>VÄSTERNORRLANDS LÄN</t>
        </is>
      </c>
      <c r="E7796" t="inlineStr">
        <is>
          <t>SOLLEFTEÅ</t>
        </is>
      </c>
      <c r="F7796" t="inlineStr">
        <is>
          <t>SCA</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22988-2026</t>
        </is>
      </c>
      <c r="B7797" s="1" t="n">
        <v>46160.65699074074</v>
      </c>
      <c r="C7797" s="1" t="n">
        <v>46185</v>
      </c>
      <c r="D7797" t="inlineStr">
        <is>
          <t>VÄSTERNORRLANDS LÄN</t>
        </is>
      </c>
      <c r="E7797" t="inlineStr">
        <is>
          <t>SOLLEFTEÅ</t>
        </is>
      </c>
      <c r="F7797" t="inlineStr">
        <is>
          <t>SCA</t>
        </is>
      </c>
      <c r="G7797" t="n">
        <v>14.7</v>
      </c>
      <c r="H7797" t="n">
        <v>0</v>
      </c>
      <c r="I7797" t="n">
        <v>0</v>
      </c>
      <c r="J7797" t="n">
        <v>0</v>
      </c>
      <c r="K7797" t="n">
        <v>0</v>
      </c>
      <c r="L7797" t="n">
        <v>0</v>
      </c>
      <c r="M7797" t="n">
        <v>0</v>
      </c>
      <c r="N7797" t="n">
        <v>0</v>
      </c>
      <c r="O7797" t="n">
        <v>0</v>
      </c>
      <c r="P7797" t="n">
        <v>0</v>
      </c>
      <c r="Q7797" t="n">
        <v>0</v>
      </c>
      <c r="R7797" s="2" t="inlineStr"/>
    </row>
    <row r="7798" ht="15" customHeight="1">
      <c r="A7798" t="inlineStr">
        <is>
          <t>A 20066-2024</t>
        </is>
      </c>
      <c r="B7798" s="1" t="n">
        <v>45434</v>
      </c>
      <c r="C7798" s="1" t="n">
        <v>46185</v>
      </c>
      <c r="D7798" t="inlineStr">
        <is>
          <t>VÄSTERNORRLANDS LÄN</t>
        </is>
      </c>
      <c r="E7798" t="inlineStr">
        <is>
          <t>SOLLEFTEÅ</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17370-2026</t>
        </is>
      </c>
      <c r="B7799" s="1" t="n">
        <v>46119.69841435185</v>
      </c>
      <c r="C7799" s="1" t="n">
        <v>46185</v>
      </c>
      <c r="D7799" t="inlineStr">
        <is>
          <t>VÄSTERNORRLANDS LÄN</t>
        </is>
      </c>
      <c r="E7799" t="inlineStr">
        <is>
          <t>ÅNGE</t>
        </is>
      </c>
      <c r="F7799" t="inlineStr">
        <is>
          <t>SCA</t>
        </is>
      </c>
      <c r="G7799" t="n">
        <v>5.4</v>
      </c>
      <c r="H7799" t="n">
        <v>0</v>
      </c>
      <c r="I7799" t="n">
        <v>0</v>
      </c>
      <c r="J7799" t="n">
        <v>0</v>
      </c>
      <c r="K7799" t="n">
        <v>0</v>
      </c>
      <c r="L7799" t="n">
        <v>0</v>
      </c>
      <c r="M7799" t="n">
        <v>0</v>
      </c>
      <c r="N7799" t="n">
        <v>0</v>
      </c>
      <c r="O7799" t="n">
        <v>0</v>
      </c>
      <c r="P7799" t="n">
        <v>0</v>
      </c>
      <c r="Q7799" t="n">
        <v>0</v>
      </c>
      <c r="R7799" s="2" t="inlineStr"/>
    </row>
    <row r="7800" ht="15" customHeight="1">
      <c r="A7800" t="inlineStr">
        <is>
          <t>A 17510-2026</t>
        </is>
      </c>
      <c r="B7800" s="1" t="n">
        <v>46119</v>
      </c>
      <c r="C7800" s="1" t="n">
        <v>46185</v>
      </c>
      <c r="D7800" t="inlineStr">
        <is>
          <t>VÄSTERNORRLANDS LÄN</t>
        </is>
      </c>
      <c r="E7800" t="inlineStr">
        <is>
          <t>ÖRNSKÖLDSVIK</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13033-2025</t>
        </is>
      </c>
      <c r="B7801" s="1" t="n">
        <v>45734.57334490741</v>
      </c>
      <c r="C7801" s="1" t="n">
        <v>46185</v>
      </c>
      <c r="D7801" t="inlineStr">
        <is>
          <t>VÄSTERNORRLANDS LÄN</t>
        </is>
      </c>
      <c r="E7801" t="inlineStr">
        <is>
          <t>SUNDSVALL</t>
        </is>
      </c>
      <c r="F7801" t="inlineStr">
        <is>
          <t>SCA</t>
        </is>
      </c>
      <c r="G7801" t="n">
        <v>2.4</v>
      </c>
      <c r="H7801" t="n">
        <v>0</v>
      </c>
      <c r="I7801" t="n">
        <v>0</v>
      </c>
      <c r="J7801" t="n">
        <v>0</v>
      </c>
      <c r="K7801" t="n">
        <v>0</v>
      </c>
      <c r="L7801" t="n">
        <v>0</v>
      </c>
      <c r="M7801" t="n">
        <v>0</v>
      </c>
      <c r="N7801" t="n">
        <v>0</v>
      </c>
      <c r="O7801" t="n">
        <v>0</v>
      </c>
      <c r="P7801" t="n">
        <v>0</v>
      </c>
      <c r="Q7801" t="n">
        <v>0</v>
      </c>
      <c r="R7801" s="2" t="inlineStr"/>
      <c r="U7801">
        <f>HYPERLINK("https://klasma.github.io/Logging_2281/knärot/A 13033-2025 karta knärot.png", "A 13033-2025")</f>
        <v/>
      </c>
      <c r="V7801">
        <f>HYPERLINK("https://klasma.github.io/Logging_2281/klagomål/A 13033-2025 FSC-klagomål.docx", "A 13033-2025")</f>
        <v/>
      </c>
      <c r="W7801">
        <f>HYPERLINK("https://klasma.github.io/Logging_2281/klagomålsmail/A 13033-2025 FSC-klagomål mail.docx", "A 13033-2025")</f>
        <v/>
      </c>
      <c r="X7801">
        <f>HYPERLINK("https://klasma.github.io/Logging_2281/tillsyn/A 13033-2025 tillsynsbegäran.docx", "A 13033-2025")</f>
        <v/>
      </c>
      <c r="Y7801">
        <f>HYPERLINK("https://klasma.github.io/Logging_2281/tillsynsmail/A 13033-2025 tillsynsbegäran mail.docx", "A 13033-2025")</f>
        <v/>
      </c>
    </row>
    <row r="7802" ht="15" customHeight="1">
      <c r="A7802" t="inlineStr">
        <is>
          <t>A 30258-2024</t>
        </is>
      </c>
      <c r="B7802" s="1" t="n">
        <v>45489</v>
      </c>
      <c r="C7802" s="1" t="n">
        <v>46185</v>
      </c>
      <c r="D7802" t="inlineStr">
        <is>
          <t>VÄSTERNORRLANDS LÄN</t>
        </is>
      </c>
      <c r="E7802" t="inlineStr">
        <is>
          <t>ÖRNSKÖLDSVIK</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25035-2023</t>
        </is>
      </c>
      <c r="B7803" s="1" t="n">
        <v>45085</v>
      </c>
      <c r="C7803" s="1" t="n">
        <v>46185</v>
      </c>
      <c r="D7803" t="inlineStr">
        <is>
          <t>VÄSTERNORRLANDS LÄN</t>
        </is>
      </c>
      <c r="E7803" t="inlineStr">
        <is>
          <t>ÅNGE</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22990-2026</t>
        </is>
      </c>
      <c r="B7804" s="1" t="n">
        <v>46160.65711805555</v>
      </c>
      <c r="C7804" s="1" t="n">
        <v>46185</v>
      </c>
      <c r="D7804" t="inlineStr">
        <is>
          <t>VÄSTERNORRLANDS LÄN</t>
        </is>
      </c>
      <c r="E7804" t="inlineStr">
        <is>
          <t>HÄRNÖSAND</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23014-2026</t>
        </is>
      </c>
      <c r="B7805" s="1" t="n">
        <v>46161.33207175926</v>
      </c>
      <c r="C7805" s="1" t="n">
        <v>46185</v>
      </c>
      <c r="D7805" t="inlineStr">
        <is>
          <t>VÄSTERNORRLANDS LÄN</t>
        </is>
      </c>
      <c r="E7805" t="inlineStr">
        <is>
          <t>ÖRNSKÖLDSVIK</t>
        </is>
      </c>
      <c r="F7805" t="inlineStr">
        <is>
          <t>Holmen skog AB</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23157-2026</t>
        </is>
      </c>
      <c r="B7806" s="1" t="n">
        <v>46161.64462962963</v>
      </c>
      <c r="C7806" s="1" t="n">
        <v>46185</v>
      </c>
      <c r="D7806" t="inlineStr">
        <is>
          <t>VÄSTERNORRLANDS LÄN</t>
        </is>
      </c>
      <c r="E7806" t="inlineStr">
        <is>
          <t>SUNDSVALL</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22818-2026</t>
        </is>
      </c>
      <c r="B7807" s="1" t="n">
        <v>46160.34820601852</v>
      </c>
      <c r="C7807" s="1" t="n">
        <v>46185</v>
      </c>
      <c r="D7807" t="inlineStr">
        <is>
          <t>VÄSTERNORRLANDS LÄN</t>
        </is>
      </c>
      <c r="E7807" t="inlineStr">
        <is>
          <t>ÖRNSKÖLDSVIK</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23185-2026</t>
        </is>
      </c>
      <c r="B7808" s="1" t="n">
        <v>46161.6850462963</v>
      </c>
      <c r="C7808" s="1" t="n">
        <v>46185</v>
      </c>
      <c r="D7808" t="inlineStr">
        <is>
          <t>VÄSTERNORRLANDS LÄN</t>
        </is>
      </c>
      <c r="E7808" t="inlineStr">
        <is>
          <t>HÄRNÖSAND</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17271-2026</t>
        </is>
      </c>
      <c r="B7809" s="1" t="n">
        <v>46119.49776620371</v>
      </c>
      <c r="C7809" s="1" t="n">
        <v>46185</v>
      </c>
      <c r="D7809" t="inlineStr">
        <is>
          <t>VÄSTERNORRLANDS LÄN</t>
        </is>
      </c>
      <c r="E7809" t="inlineStr">
        <is>
          <t>KRAMFORS</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13639-2025</t>
        </is>
      </c>
      <c r="B7810" s="1" t="n">
        <v>45736.65710648148</v>
      </c>
      <c r="C7810" s="1" t="n">
        <v>46185</v>
      </c>
      <c r="D7810" t="inlineStr">
        <is>
          <t>VÄSTERNORRLANDS LÄN</t>
        </is>
      </c>
      <c r="E7810" t="inlineStr">
        <is>
          <t>SOLLEFTEÅ</t>
        </is>
      </c>
      <c r="F7810" t="inlineStr">
        <is>
          <t>SCA</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37001-2024</t>
        </is>
      </c>
      <c r="B7811" s="1" t="n">
        <v>45539.34476851852</v>
      </c>
      <c r="C7811" s="1" t="n">
        <v>46185</v>
      </c>
      <c r="D7811" t="inlineStr">
        <is>
          <t>VÄSTERNORRLANDS LÄN</t>
        </is>
      </c>
      <c r="E7811" t="inlineStr">
        <is>
          <t>ÖRNSKÖLDSVIK</t>
        </is>
      </c>
      <c r="F7811" t="inlineStr">
        <is>
          <t>Holmen skog AB</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1703-2024</t>
        </is>
      </c>
      <c r="B7812" s="1" t="n">
        <v>45307</v>
      </c>
      <c r="C7812" s="1" t="n">
        <v>46185</v>
      </c>
      <c r="D7812" t="inlineStr">
        <is>
          <t>VÄSTERNORRLANDS LÄN</t>
        </is>
      </c>
      <c r="E7812" t="inlineStr">
        <is>
          <t>ÖRNSKÖLDSVIK</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17691-2026</t>
        </is>
      </c>
      <c r="B7813" s="1" t="n">
        <v>46121.63640046296</v>
      </c>
      <c r="C7813" s="1" t="n">
        <v>46185</v>
      </c>
      <c r="D7813" t="inlineStr">
        <is>
          <t>VÄSTERNORRLANDS LÄN</t>
        </is>
      </c>
      <c r="E7813" t="inlineStr">
        <is>
          <t>SOLLEFTEÅ</t>
        </is>
      </c>
      <c r="F7813" t="inlineStr">
        <is>
          <t>SCA</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17504-2026</t>
        </is>
      </c>
      <c r="B7814" s="1" t="n">
        <v>46120.61848379629</v>
      </c>
      <c r="C7814" s="1" t="n">
        <v>46185</v>
      </c>
      <c r="D7814" t="inlineStr">
        <is>
          <t>VÄSTERNORRLANDS LÄN</t>
        </is>
      </c>
      <c r="E7814" t="inlineStr">
        <is>
          <t>ÅNGE</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17521-2026</t>
        </is>
      </c>
      <c r="B7815" s="1" t="n">
        <v>46120.64990740741</v>
      </c>
      <c r="C7815" s="1" t="n">
        <v>46185</v>
      </c>
      <c r="D7815" t="inlineStr">
        <is>
          <t>VÄSTERNORRLANDS LÄN</t>
        </is>
      </c>
      <c r="E7815" t="inlineStr">
        <is>
          <t>ÅNGE</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40755-2023</t>
        </is>
      </c>
      <c r="B7816" s="1" t="n">
        <v>45170</v>
      </c>
      <c r="C7816" s="1" t="n">
        <v>46185</v>
      </c>
      <c r="D7816" t="inlineStr">
        <is>
          <t>VÄSTERNORRLANDS LÄN</t>
        </is>
      </c>
      <c r="E7816" t="inlineStr">
        <is>
          <t>ÅNGE</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20551-2024</t>
        </is>
      </c>
      <c r="B7817" s="1" t="n">
        <v>45436.35076388889</v>
      </c>
      <c r="C7817" s="1" t="n">
        <v>46185</v>
      </c>
      <c r="D7817" t="inlineStr">
        <is>
          <t>VÄSTERNORRLANDS LÄN</t>
        </is>
      </c>
      <c r="E7817" t="inlineStr">
        <is>
          <t>ÖRNSKÖLDSVIK</t>
        </is>
      </c>
      <c r="F7817" t="inlineStr">
        <is>
          <t>Holmen skog AB</t>
        </is>
      </c>
      <c r="G7817" t="n">
        <v>0.3</v>
      </c>
      <c r="H7817" t="n">
        <v>0</v>
      </c>
      <c r="I7817" t="n">
        <v>0</v>
      </c>
      <c r="J7817" t="n">
        <v>0</v>
      </c>
      <c r="K7817" t="n">
        <v>0</v>
      </c>
      <c r="L7817" t="n">
        <v>0</v>
      </c>
      <c r="M7817" t="n">
        <v>0</v>
      </c>
      <c r="N7817" t="n">
        <v>0</v>
      </c>
      <c r="O7817" t="n">
        <v>0</v>
      </c>
      <c r="P7817" t="n">
        <v>0</v>
      </c>
      <c r="Q7817" t="n">
        <v>0</v>
      </c>
      <c r="R7817" s="2" t="inlineStr"/>
    </row>
    <row r="7818" ht="15" customHeight="1">
      <c r="A7818" t="inlineStr">
        <is>
          <t>A 22706-2026</t>
        </is>
      </c>
      <c r="B7818" s="1" t="n">
        <v>46156</v>
      </c>
      <c r="C7818" s="1" t="n">
        <v>46185</v>
      </c>
      <c r="D7818" t="inlineStr">
        <is>
          <t>VÄSTERNORRLANDS LÄN</t>
        </is>
      </c>
      <c r="E7818" t="inlineStr">
        <is>
          <t>SUNDSVALL</t>
        </is>
      </c>
      <c r="F7818" t="inlineStr">
        <is>
          <t>SCA</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50220-2024</t>
        </is>
      </c>
      <c r="B7819" s="1" t="n">
        <v>45600.53408564815</v>
      </c>
      <c r="C7819" s="1" t="n">
        <v>46185</v>
      </c>
      <c r="D7819" t="inlineStr">
        <is>
          <t>VÄSTERNORRLANDS LÄN</t>
        </is>
      </c>
      <c r="E7819" t="inlineStr">
        <is>
          <t>SUNDSVALL</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41284-2024</t>
        </is>
      </c>
      <c r="B7820" s="1" t="n">
        <v>45559.59520833333</v>
      </c>
      <c r="C7820" s="1" t="n">
        <v>46185</v>
      </c>
      <c r="D7820" t="inlineStr">
        <is>
          <t>VÄSTERNORRLANDS LÄN</t>
        </is>
      </c>
      <c r="E7820" t="inlineStr">
        <is>
          <t>ÅNGE</t>
        </is>
      </c>
      <c r="F7820" t="inlineStr">
        <is>
          <t>SCA</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23552-2026</t>
        </is>
      </c>
      <c r="B7821" s="1" t="n">
        <v>46163.57385416667</v>
      </c>
      <c r="C7821" s="1" t="n">
        <v>46185</v>
      </c>
      <c r="D7821" t="inlineStr">
        <is>
          <t>VÄSTERNORRLANDS LÄN</t>
        </is>
      </c>
      <c r="E7821" t="inlineStr">
        <is>
          <t>SOLLEFTEÅ</t>
        </is>
      </c>
      <c r="F7821" t="inlineStr">
        <is>
          <t>SCA</t>
        </is>
      </c>
      <c r="G7821" t="n">
        <v>6.4</v>
      </c>
      <c r="H7821" t="n">
        <v>0</v>
      </c>
      <c r="I7821" t="n">
        <v>0</v>
      </c>
      <c r="J7821" t="n">
        <v>0</v>
      </c>
      <c r="K7821" t="n">
        <v>0</v>
      </c>
      <c r="L7821" t="n">
        <v>0</v>
      </c>
      <c r="M7821" t="n">
        <v>0</v>
      </c>
      <c r="N7821" t="n">
        <v>0</v>
      </c>
      <c r="O7821" t="n">
        <v>0</v>
      </c>
      <c r="P7821" t="n">
        <v>0</v>
      </c>
      <c r="Q7821" t="n">
        <v>0</v>
      </c>
      <c r="R7821" s="2" t="inlineStr"/>
    </row>
    <row r="7822" ht="15" customHeight="1">
      <c r="A7822" t="inlineStr">
        <is>
          <t>A 52404-2024</t>
        </is>
      </c>
      <c r="B7822" s="1" t="n">
        <v>45609</v>
      </c>
      <c r="C7822" s="1" t="n">
        <v>46185</v>
      </c>
      <c r="D7822" t="inlineStr">
        <is>
          <t>VÄSTERNORRLANDS LÄN</t>
        </is>
      </c>
      <c r="E7822" t="inlineStr">
        <is>
          <t>SUNDSVALL</t>
        </is>
      </c>
      <c r="F7822" t="inlineStr">
        <is>
          <t>SCA</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74150-2021</t>
        </is>
      </c>
      <c r="B7823" s="1" t="n">
        <v>44557</v>
      </c>
      <c r="C7823" s="1" t="n">
        <v>46185</v>
      </c>
      <c r="D7823" t="inlineStr">
        <is>
          <t>VÄSTERNORRLANDS LÄN</t>
        </is>
      </c>
      <c r="E7823" t="inlineStr">
        <is>
          <t>TIMRÅ</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8523-2024</t>
        </is>
      </c>
      <c r="B7824" s="1" t="n">
        <v>45351</v>
      </c>
      <c r="C7824" s="1" t="n">
        <v>46185</v>
      </c>
      <c r="D7824" t="inlineStr">
        <is>
          <t>VÄSTERNORRLANDS LÄN</t>
        </is>
      </c>
      <c r="E7824" t="inlineStr">
        <is>
          <t>ÖRNSKÖLDSVIK</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23628-2026</t>
        </is>
      </c>
      <c r="B7825" s="1" t="n">
        <v>46163.72597222222</v>
      </c>
      <c r="C7825" s="1" t="n">
        <v>46185</v>
      </c>
      <c r="D7825" t="inlineStr">
        <is>
          <t>VÄSTERNORRLANDS LÄN</t>
        </is>
      </c>
      <c r="E7825" t="inlineStr">
        <is>
          <t>KRAMFORS</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17505-2026</t>
        </is>
      </c>
      <c r="B7826" s="1" t="n">
        <v>46120.62159722222</v>
      </c>
      <c r="C7826" s="1" t="n">
        <v>46185</v>
      </c>
      <c r="D7826" t="inlineStr">
        <is>
          <t>VÄSTERNORRLANDS LÄN</t>
        </is>
      </c>
      <c r="E7826" t="inlineStr">
        <is>
          <t>ÅNGE</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23418-2026</t>
        </is>
      </c>
      <c r="B7827" s="1" t="n">
        <v>46163.3085300926</v>
      </c>
      <c r="C7827" s="1" t="n">
        <v>46185</v>
      </c>
      <c r="D7827" t="inlineStr">
        <is>
          <t>VÄSTERNORRLANDS LÄN</t>
        </is>
      </c>
      <c r="E7827" t="inlineStr">
        <is>
          <t>SOLLEFTEÅ</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23422-2026</t>
        </is>
      </c>
      <c r="B7828" s="1" t="n">
        <v>46163.31255787037</v>
      </c>
      <c r="C7828" s="1" t="n">
        <v>46185</v>
      </c>
      <c r="D7828" t="inlineStr">
        <is>
          <t>VÄSTERNORRLANDS LÄN</t>
        </is>
      </c>
      <c r="E7828" t="inlineStr">
        <is>
          <t>SOLLEFTEÅ</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35619-2024</t>
        </is>
      </c>
      <c r="B7829" s="1" t="n">
        <v>45531</v>
      </c>
      <c r="C7829" s="1" t="n">
        <v>46185</v>
      </c>
      <c r="D7829" t="inlineStr">
        <is>
          <t>VÄSTERNORRLANDS LÄN</t>
        </is>
      </c>
      <c r="E7829" t="inlineStr">
        <is>
          <t>ÖRNSKÖLDSVIK</t>
        </is>
      </c>
      <c r="G7829" t="n">
        <v>14.1</v>
      </c>
      <c r="H7829" t="n">
        <v>0</v>
      </c>
      <c r="I7829" t="n">
        <v>0</v>
      </c>
      <c r="J7829" t="n">
        <v>0</v>
      </c>
      <c r="K7829" t="n">
        <v>0</v>
      </c>
      <c r="L7829" t="n">
        <v>0</v>
      </c>
      <c r="M7829" t="n">
        <v>0</v>
      </c>
      <c r="N7829" t="n">
        <v>0</v>
      </c>
      <c r="O7829" t="n">
        <v>0</v>
      </c>
      <c r="P7829" t="n">
        <v>0</v>
      </c>
      <c r="Q7829" t="n">
        <v>0</v>
      </c>
      <c r="R7829" s="2" t="inlineStr"/>
    </row>
    <row r="7830" ht="15" customHeight="1">
      <c r="A7830" t="inlineStr">
        <is>
          <t>A 17509-2026</t>
        </is>
      </c>
      <c r="B7830" s="1" t="n">
        <v>46120.62381944444</v>
      </c>
      <c r="C7830" s="1" t="n">
        <v>46185</v>
      </c>
      <c r="D7830" t="inlineStr">
        <is>
          <t>VÄSTERNORRLANDS LÄN</t>
        </is>
      </c>
      <c r="E7830" t="inlineStr">
        <is>
          <t>ÅNGE</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218-2025</t>
        </is>
      </c>
      <c r="B7831" s="1" t="n">
        <v>45660</v>
      </c>
      <c r="C7831" s="1" t="n">
        <v>46185</v>
      </c>
      <c r="D7831" t="inlineStr">
        <is>
          <t>VÄSTERNORRLANDS LÄN</t>
        </is>
      </c>
      <c r="E7831" t="inlineStr">
        <is>
          <t>SOLLEFTEÅ</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279-2025</t>
        </is>
      </c>
      <c r="B7832" s="1" t="n">
        <v>45660.49368055556</v>
      </c>
      <c r="C7832" s="1" t="n">
        <v>46185</v>
      </c>
      <c r="D7832" t="inlineStr">
        <is>
          <t>VÄSTERNORRLANDS LÄN</t>
        </is>
      </c>
      <c r="E7832" t="inlineStr">
        <is>
          <t>ÖRNSKÖLDSVIK</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32901-2023</t>
        </is>
      </c>
      <c r="B7833" s="1" t="n">
        <v>45124.95063657407</v>
      </c>
      <c r="C7833" s="1" t="n">
        <v>46185</v>
      </c>
      <c r="D7833" t="inlineStr">
        <is>
          <t>VÄSTERNORRLANDS LÄN</t>
        </is>
      </c>
      <c r="E7833" t="inlineStr">
        <is>
          <t>ÅNGE</t>
        </is>
      </c>
      <c r="F7833" t="inlineStr">
        <is>
          <t>SCA</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32904-2023</t>
        </is>
      </c>
      <c r="B7834" s="1" t="n">
        <v>45124.95121527778</v>
      </c>
      <c r="C7834" s="1" t="n">
        <v>46185</v>
      </c>
      <c r="D7834" t="inlineStr">
        <is>
          <t>VÄSTERNORRLANDS LÄN</t>
        </is>
      </c>
      <c r="E7834" t="inlineStr">
        <is>
          <t>SUNDSVALL</t>
        </is>
      </c>
      <c r="F7834" t="inlineStr">
        <is>
          <t>SCA</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23189-2026</t>
        </is>
      </c>
      <c r="B7835" s="1" t="n">
        <v>46161</v>
      </c>
      <c r="C7835" s="1" t="n">
        <v>46185</v>
      </c>
      <c r="D7835" t="inlineStr">
        <is>
          <t>VÄSTERNORRLANDS LÄN</t>
        </is>
      </c>
      <c r="E7835" t="inlineStr">
        <is>
          <t>SUNDSVALL</t>
        </is>
      </c>
      <c r="F7835" t="inlineStr">
        <is>
          <t>SCA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32953-2023</t>
        </is>
      </c>
      <c r="B7836" s="1" t="n">
        <v>45113</v>
      </c>
      <c r="C7836" s="1" t="n">
        <v>46185</v>
      </c>
      <c r="D7836" t="inlineStr">
        <is>
          <t>VÄSTERNORRLANDS LÄN</t>
        </is>
      </c>
      <c r="E7836" t="inlineStr">
        <is>
          <t>SUNDSVALL</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32970-2023</t>
        </is>
      </c>
      <c r="B7837" s="1" t="n">
        <v>45113</v>
      </c>
      <c r="C7837" s="1" t="n">
        <v>46185</v>
      </c>
      <c r="D7837" t="inlineStr">
        <is>
          <t>VÄSTERNORRLANDS LÄN</t>
        </is>
      </c>
      <c r="E7837" t="inlineStr">
        <is>
          <t>SUNDSVALL</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16866-2024</t>
        </is>
      </c>
      <c r="B7838" s="1" t="n">
        <v>45409</v>
      </c>
      <c r="C7838" s="1" t="n">
        <v>46185</v>
      </c>
      <c r="D7838" t="inlineStr">
        <is>
          <t>VÄSTERNORRLANDS LÄN</t>
        </is>
      </c>
      <c r="E7838" t="inlineStr">
        <is>
          <t>HÄRNÖSAND</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16903-2024</t>
        </is>
      </c>
      <c r="B7839" s="1" t="n">
        <v>45411.63106481481</v>
      </c>
      <c r="C7839" s="1" t="n">
        <v>46185</v>
      </c>
      <c r="D7839" t="inlineStr">
        <is>
          <t>VÄSTERNORRLANDS LÄN</t>
        </is>
      </c>
      <c r="E7839" t="inlineStr">
        <is>
          <t>ÅNGE</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5609-2024</t>
        </is>
      </c>
      <c r="B7840" s="1" t="n">
        <v>45334</v>
      </c>
      <c r="C7840" s="1" t="n">
        <v>46185</v>
      </c>
      <c r="D7840" t="inlineStr">
        <is>
          <t>VÄSTERNORRLANDS LÄN</t>
        </is>
      </c>
      <c r="E7840" t="inlineStr">
        <is>
          <t>HÄRNÖSAND</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16915-2024</t>
        </is>
      </c>
      <c r="B7841" s="1" t="n">
        <v>45411.65185185185</v>
      </c>
      <c r="C7841" s="1" t="n">
        <v>46185</v>
      </c>
      <c r="D7841" t="inlineStr">
        <is>
          <t>VÄSTERNORRLANDS LÄN</t>
        </is>
      </c>
      <c r="E7841" t="inlineStr">
        <is>
          <t>ÅNGE</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5613-2024</t>
        </is>
      </c>
      <c r="B7842" s="1" t="n">
        <v>45334</v>
      </c>
      <c r="C7842" s="1" t="n">
        <v>46185</v>
      </c>
      <c r="D7842" t="inlineStr">
        <is>
          <t>VÄSTERNORRLANDS LÄN</t>
        </is>
      </c>
      <c r="E7842" t="inlineStr">
        <is>
          <t>ÅNGE</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8729-2024</t>
        </is>
      </c>
      <c r="B7843" s="1" t="n">
        <v>45356.43958333333</v>
      </c>
      <c r="C7843" s="1" t="n">
        <v>46185</v>
      </c>
      <c r="D7843" t="inlineStr">
        <is>
          <t>VÄSTERNORRLANDS LÄN</t>
        </is>
      </c>
      <c r="E7843" t="inlineStr">
        <is>
          <t>SOLLEFTEÅ</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14129-2023</t>
        </is>
      </c>
      <c r="B7844" s="1" t="n">
        <v>45008</v>
      </c>
      <c r="C7844" s="1" t="n">
        <v>46185</v>
      </c>
      <c r="D7844" t="inlineStr">
        <is>
          <t>VÄSTERNORRLANDS LÄN</t>
        </is>
      </c>
      <c r="E7844" t="inlineStr">
        <is>
          <t>KRAMFORS</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17468-2026</t>
        </is>
      </c>
      <c r="B7845" s="1" t="n">
        <v>46120.51113425926</v>
      </c>
      <c r="C7845" s="1" t="n">
        <v>46185</v>
      </c>
      <c r="D7845" t="inlineStr">
        <is>
          <t>VÄSTERNORRLANDS LÄN</t>
        </is>
      </c>
      <c r="E7845" t="inlineStr">
        <is>
          <t>ÅNGE</t>
        </is>
      </c>
      <c r="F7845" t="inlineStr">
        <is>
          <t>SCA</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17475-2026</t>
        </is>
      </c>
      <c r="B7846" s="1" t="n">
        <v>46120.52200231481</v>
      </c>
      <c r="C7846" s="1" t="n">
        <v>46185</v>
      </c>
      <c r="D7846" t="inlineStr">
        <is>
          <t>VÄSTERNORRLANDS LÄN</t>
        </is>
      </c>
      <c r="E7846" t="inlineStr">
        <is>
          <t>SOLLEFTEÅ</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17570-2026</t>
        </is>
      </c>
      <c r="B7847" s="1" t="n">
        <v>46121.34435185185</v>
      </c>
      <c r="C7847" s="1" t="n">
        <v>46185</v>
      </c>
      <c r="D7847" t="inlineStr">
        <is>
          <t>VÄSTERNORRLANDS LÄN</t>
        </is>
      </c>
      <c r="E7847" t="inlineStr">
        <is>
          <t>ÅNGE</t>
        </is>
      </c>
      <c r="F7847" t="inlineStr">
        <is>
          <t>SCA</t>
        </is>
      </c>
      <c r="G7847" t="n">
        <v>8.5</v>
      </c>
      <c r="H7847" t="n">
        <v>0</v>
      </c>
      <c r="I7847" t="n">
        <v>0</v>
      </c>
      <c r="J7847" t="n">
        <v>0</v>
      </c>
      <c r="K7847" t="n">
        <v>0</v>
      </c>
      <c r="L7847" t="n">
        <v>0</v>
      </c>
      <c r="M7847" t="n">
        <v>0</v>
      </c>
      <c r="N7847" t="n">
        <v>0</v>
      </c>
      <c r="O7847" t="n">
        <v>0</v>
      </c>
      <c r="P7847" t="n">
        <v>0</v>
      </c>
      <c r="Q7847" t="n">
        <v>0</v>
      </c>
      <c r="R7847" s="2" t="inlineStr"/>
    </row>
    <row r="7848" ht="15" customHeight="1">
      <c r="A7848" t="inlineStr">
        <is>
          <t>A 22704-2026</t>
        </is>
      </c>
      <c r="B7848" s="1" t="n">
        <v>46156</v>
      </c>
      <c r="C7848" s="1" t="n">
        <v>46185</v>
      </c>
      <c r="D7848" t="inlineStr">
        <is>
          <t>VÄSTERNORRLANDS LÄN</t>
        </is>
      </c>
      <c r="E7848" t="inlineStr">
        <is>
          <t>SUNDSVALL</t>
        </is>
      </c>
      <c r="F7848" t="inlineStr">
        <is>
          <t>SCA</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54460-2024</t>
        </is>
      </c>
      <c r="B7849" s="1" t="n">
        <v>45617.5328125</v>
      </c>
      <c r="C7849" s="1" t="n">
        <v>46185</v>
      </c>
      <c r="D7849" t="inlineStr">
        <is>
          <t>VÄSTERNORRLANDS LÄN</t>
        </is>
      </c>
      <c r="E7849" t="inlineStr">
        <is>
          <t>SUNDSVALL</t>
        </is>
      </c>
      <c r="F7849" t="inlineStr">
        <is>
          <t>SCA</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22142-2026</t>
        </is>
      </c>
      <c r="B7850" s="1" t="n">
        <v>46153</v>
      </c>
      <c r="C7850" s="1" t="n">
        <v>46185</v>
      </c>
      <c r="D7850" t="inlineStr">
        <is>
          <t>VÄSTERNORRLANDS LÄN</t>
        </is>
      </c>
      <c r="E7850" t="inlineStr">
        <is>
          <t>HÄRNÖSAND</t>
        </is>
      </c>
      <c r="G7850" t="n">
        <v>16.7</v>
      </c>
      <c r="H7850" t="n">
        <v>0</v>
      </c>
      <c r="I7850" t="n">
        <v>0</v>
      </c>
      <c r="J7850" t="n">
        <v>0</v>
      </c>
      <c r="K7850" t="n">
        <v>0</v>
      </c>
      <c r="L7850" t="n">
        <v>0</v>
      </c>
      <c r="M7850" t="n">
        <v>0</v>
      </c>
      <c r="N7850" t="n">
        <v>0</v>
      </c>
      <c r="O7850" t="n">
        <v>0</v>
      </c>
      <c r="P7850" t="n">
        <v>0</v>
      </c>
      <c r="Q7850" t="n">
        <v>0</v>
      </c>
      <c r="R7850" s="2" t="inlineStr"/>
    </row>
    <row r="7851" ht="15" customHeight="1">
      <c r="A7851" t="inlineStr">
        <is>
          <t>A 49862-2023</t>
        </is>
      </c>
      <c r="B7851" s="1" t="n">
        <v>45212</v>
      </c>
      <c r="C7851" s="1" t="n">
        <v>46185</v>
      </c>
      <c r="D7851" t="inlineStr">
        <is>
          <t>VÄSTERNORRLANDS LÄN</t>
        </is>
      </c>
      <c r="E7851" t="inlineStr">
        <is>
          <t>SUNDSVALL</t>
        </is>
      </c>
      <c r="F7851" t="inlineStr">
        <is>
          <t>SCA</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23613-2026</t>
        </is>
      </c>
      <c r="B7852" s="1" t="n">
        <v>46163.66607638889</v>
      </c>
      <c r="C7852" s="1" t="n">
        <v>46185</v>
      </c>
      <c r="D7852" t="inlineStr">
        <is>
          <t>VÄSTERNORRLANDS LÄN</t>
        </is>
      </c>
      <c r="E7852" t="inlineStr">
        <is>
          <t>ÖRNSKÖLDSVIK</t>
        </is>
      </c>
      <c r="F7852" t="inlineStr">
        <is>
          <t>Holmen skog AB</t>
        </is>
      </c>
      <c r="G7852" t="n">
        <v>9.1</v>
      </c>
      <c r="H7852" t="n">
        <v>0</v>
      </c>
      <c r="I7852" t="n">
        <v>0</v>
      </c>
      <c r="J7852" t="n">
        <v>0</v>
      </c>
      <c r="K7852" t="n">
        <v>0</v>
      </c>
      <c r="L7852" t="n">
        <v>0</v>
      </c>
      <c r="M7852" t="n">
        <v>0</v>
      </c>
      <c r="N7852" t="n">
        <v>0</v>
      </c>
      <c r="O7852" t="n">
        <v>0</v>
      </c>
      <c r="P7852" t="n">
        <v>0</v>
      </c>
      <c r="Q7852" t="n">
        <v>0</v>
      </c>
      <c r="R7852" s="2" t="inlineStr"/>
    </row>
    <row r="7853" ht="15" customHeight="1">
      <c r="A7853" t="inlineStr">
        <is>
          <t>A 17637-2026</t>
        </is>
      </c>
      <c r="B7853" s="1" t="n">
        <v>46121.49008101852</v>
      </c>
      <c r="C7853" s="1" t="n">
        <v>46185</v>
      </c>
      <c r="D7853" t="inlineStr">
        <is>
          <t>VÄSTERNORRLANDS LÄN</t>
        </is>
      </c>
      <c r="E7853" t="inlineStr">
        <is>
          <t>ÅNGE</t>
        </is>
      </c>
      <c r="F7853" t="inlineStr">
        <is>
          <t>SCA</t>
        </is>
      </c>
      <c r="G7853" t="n">
        <v>8.199999999999999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17638-2026</t>
        </is>
      </c>
      <c r="B7854" s="1" t="n">
        <v>46121.49026620371</v>
      </c>
      <c r="C7854" s="1" t="n">
        <v>46185</v>
      </c>
      <c r="D7854" t="inlineStr">
        <is>
          <t>VÄSTERNORRLANDS LÄN</t>
        </is>
      </c>
      <c r="E7854" t="inlineStr">
        <is>
          <t>ÅNGE</t>
        </is>
      </c>
      <c r="F7854" t="inlineStr">
        <is>
          <t>SCA</t>
        </is>
      </c>
      <c r="G7854" t="n">
        <v>24.2</v>
      </c>
      <c r="H7854" t="n">
        <v>0</v>
      </c>
      <c r="I7854" t="n">
        <v>0</v>
      </c>
      <c r="J7854" t="n">
        <v>0</v>
      </c>
      <c r="K7854" t="n">
        <v>0</v>
      </c>
      <c r="L7854" t="n">
        <v>0</v>
      </c>
      <c r="M7854" t="n">
        <v>0</v>
      </c>
      <c r="N7854" t="n">
        <v>0</v>
      </c>
      <c r="O7854" t="n">
        <v>0</v>
      </c>
      <c r="P7854" t="n">
        <v>0</v>
      </c>
      <c r="Q7854" t="n">
        <v>0</v>
      </c>
      <c r="R7854" s="2" t="inlineStr"/>
    </row>
    <row r="7855" ht="15" customHeight="1">
      <c r="A7855" t="inlineStr">
        <is>
          <t>A 23386-2026</t>
        </is>
      </c>
      <c r="B7855" s="1" t="n">
        <v>46162.65590277778</v>
      </c>
      <c r="C7855" s="1" t="n">
        <v>46185</v>
      </c>
      <c r="D7855" t="inlineStr">
        <is>
          <t>VÄSTERNORRLANDS LÄN</t>
        </is>
      </c>
      <c r="E7855" t="inlineStr">
        <is>
          <t>ÅNGE</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23472-2026</t>
        </is>
      </c>
      <c r="B7856" s="1" t="n">
        <v>46163.419375</v>
      </c>
      <c r="C7856" s="1" t="n">
        <v>46185</v>
      </c>
      <c r="D7856" t="inlineStr">
        <is>
          <t>VÄSTERNORRLANDS LÄN</t>
        </is>
      </c>
      <c r="E7856" t="inlineStr">
        <is>
          <t>ÖRNSKÖLDSVIK</t>
        </is>
      </c>
      <c r="G7856" t="n">
        <v>4.8</v>
      </c>
      <c r="H7856" t="n">
        <v>0</v>
      </c>
      <c r="I7856" t="n">
        <v>0</v>
      </c>
      <c r="J7856" t="n">
        <v>0</v>
      </c>
      <c r="K7856" t="n">
        <v>0</v>
      </c>
      <c r="L7856" t="n">
        <v>0</v>
      </c>
      <c r="M7856" t="n">
        <v>0</v>
      </c>
      <c r="N7856" t="n">
        <v>0</v>
      </c>
      <c r="O7856" t="n">
        <v>0</v>
      </c>
      <c r="P7856" t="n">
        <v>0</v>
      </c>
      <c r="Q7856" t="n">
        <v>0</v>
      </c>
      <c r="R7856" s="2" t="inlineStr"/>
    </row>
    <row r="7857" ht="15" customHeight="1">
      <c r="A7857" t="inlineStr">
        <is>
          <t>A 23486-2026</t>
        </is>
      </c>
      <c r="B7857" s="1" t="n">
        <v>46163.43034722222</v>
      </c>
      <c r="C7857" s="1" t="n">
        <v>46185</v>
      </c>
      <c r="D7857" t="inlineStr">
        <is>
          <t>VÄSTERNORRLANDS LÄN</t>
        </is>
      </c>
      <c r="E7857" t="inlineStr">
        <is>
          <t>KRAMFORS</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7942-2025</t>
        </is>
      </c>
      <c r="B7858" s="1" t="n">
        <v>45707</v>
      </c>
      <c r="C7858" s="1" t="n">
        <v>46185</v>
      </c>
      <c r="D7858" t="inlineStr">
        <is>
          <t>VÄSTERNORRLANDS LÄN</t>
        </is>
      </c>
      <c r="E7858" t="inlineStr">
        <is>
          <t>SOLLEFTEÅ</t>
        </is>
      </c>
      <c r="F7858" t="inlineStr">
        <is>
          <t>SCA</t>
        </is>
      </c>
      <c r="G7858" t="n">
        <v>6.2</v>
      </c>
      <c r="H7858" t="n">
        <v>0</v>
      </c>
      <c r="I7858" t="n">
        <v>0</v>
      </c>
      <c r="J7858" t="n">
        <v>0</v>
      </c>
      <c r="K7858" t="n">
        <v>0</v>
      </c>
      <c r="L7858" t="n">
        <v>0</v>
      </c>
      <c r="M7858" t="n">
        <v>0</v>
      </c>
      <c r="N7858" t="n">
        <v>0</v>
      </c>
      <c r="O7858" t="n">
        <v>0</v>
      </c>
      <c r="P7858" t="n">
        <v>0</v>
      </c>
      <c r="Q7858" t="n">
        <v>0</v>
      </c>
      <c r="R7858" s="2" t="inlineStr"/>
    </row>
    <row r="7859" ht="15" customHeight="1">
      <c r="A7859" t="inlineStr">
        <is>
          <t>A 25311-2023</t>
        </is>
      </c>
      <c r="B7859" s="1" t="n">
        <v>45086.93869212963</v>
      </c>
      <c r="C7859" s="1" t="n">
        <v>46185</v>
      </c>
      <c r="D7859" t="inlineStr">
        <is>
          <t>VÄSTERNORRLANDS LÄN</t>
        </is>
      </c>
      <c r="E7859" t="inlineStr">
        <is>
          <t>ÅNGE</t>
        </is>
      </c>
      <c r="F7859" t="inlineStr">
        <is>
          <t>SCA</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17588-2026</t>
        </is>
      </c>
      <c r="B7860" s="1" t="n">
        <v>46121.38614583333</v>
      </c>
      <c r="C7860" s="1" t="n">
        <v>46185</v>
      </c>
      <c r="D7860" t="inlineStr">
        <is>
          <t>VÄSTERNORRLANDS LÄN</t>
        </is>
      </c>
      <c r="E7860" t="inlineStr">
        <is>
          <t>SOLLEFTEÅ</t>
        </is>
      </c>
      <c r="G7860" t="n">
        <v>23.1</v>
      </c>
      <c r="H7860" t="n">
        <v>0</v>
      </c>
      <c r="I7860" t="n">
        <v>0</v>
      </c>
      <c r="J7860" t="n">
        <v>0</v>
      </c>
      <c r="K7860" t="n">
        <v>0</v>
      </c>
      <c r="L7860" t="n">
        <v>0</v>
      </c>
      <c r="M7860" t="n">
        <v>0</v>
      </c>
      <c r="N7860" t="n">
        <v>0</v>
      </c>
      <c r="O7860" t="n">
        <v>0</v>
      </c>
      <c r="P7860" t="n">
        <v>0</v>
      </c>
      <c r="Q7860" t="n">
        <v>0</v>
      </c>
      <c r="R7860" s="2" t="inlineStr"/>
    </row>
    <row r="7861" ht="15" customHeight="1">
      <c r="A7861" t="inlineStr">
        <is>
          <t>A 23562-2026</t>
        </is>
      </c>
      <c r="B7861" s="1" t="n">
        <v>46163.58449074074</v>
      </c>
      <c r="C7861" s="1" t="n">
        <v>46185</v>
      </c>
      <c r="D7861" t="inlineStr">
        <is>
          <t>VÄSTERNORRLANDS LÄN</t>
        </is>
      </c>
      <c r="E7861" t="inlineStr">
        <is>
          <t>ÅNGE</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54200-2024</t>
        </is>
      </c>
      <c r="B7862" s="1" t="n">
        <v>45616</v>
      </c>
      <c r="C7862" s="1" t="n">
        <v>46185</v>
      </c>
      <c r="D7862" t="inlineStr">
        <is>
          <t>VÄSTERNORRLANDS LÄN</t>
        </is>
      </c>
      <c r="E7862" t="inlineStr">
        <is>
          <t>ÖRNSKÖLDSVIK</t>
        </is>
      </c>
      <c r="F7862" t="inlineStr">
        <is>
          <t>Holmen skog AB</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23590-2026</t>
        </is>
      </c>
      <c r="B7863" s="1" t="n">
        <v>46163.63648148148</v>
      </c>
      <c r="C7863" s="1" t="n">
        <v>46185</v>
      </c>
      <c r="D7863" t="inlineStr">
        <is>
          <t>VÄSTERNORRLANDS LÄN</t>
        </is>
      </c>
      <c r="E7863" t="inlineStr">
        <is>
          <t>ÅNGE</t>
        </is>
      </c>
      <c r="F7863" t="inlineStr">
        <is>
          <t>SCA</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51834-2023</t>
        </is>
      </c>
      <c r="B7864" s="1" t="n">
        <v>45222.96862268518</v>
      </c>
      <c r="C7864" s="1" t="n">
        <v>46185</v>
      </c>
      <c r="D7864" t="inlineStr">
        <is>
          <t>VÄSTERNORRLANDS LÄN</t>
        </is>
      </c>
      <c r="E7864" t="inlineStr">
        <is>
          <t>SUNDSVALL</t>
        </is>
      </c>
      <c r="F7864" t="inlineStr">
        <is>
          <t>SCA</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32392-2024</t>
        </is>
      </c>
      <c r="B7865" s="1" t="n">
        <v>45512.6418287037</v>
      </c>
      <c r="C7865" s="1" t="n">
        <v>46185</v>
      </c>
      <c r="D7865" t="inlineStr">
        <is>
          <t>VÄSTERNORRLANDS LÄN</t>
        </is>
      </c>
      <c r="E7865" t="inlineStr">
        <is>
          <t>ÖRNSKÖLDSVIK</t>
        </is>
      </c>
      <c r="F7865" t="inlineStr">
        <is>
          <t>Holmen skog AB</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23306-2026</t>
        </is>
      </c>
      <c r="B7866" s="1" t="n">
        <v>46162</v>
      </c>
      <c r="C7866" s="1" t="n">
        <v>46185</v>
      </c>
      <c r="D7866" t="inlineStr">
        <is>
          <t>VÄSTERNORRLANDS LÄN</t>
        </is>
      </c>
      <c r="E7866" t="inlineStr">
        <is>
          <t>SOLLEFTEÅ</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23355-2026</t>
        </is>
      </c>
      <c r="B7867" s="1" t="n">
        <v>46162.61513888889</v>
      </c>
      <c r="C7867" s="1" t="n">
        <v>46185</v>
      </c>
      <c r="D7867" t="inlineStr">
        <is>
          <t>VÄSTERNORRLANDS LÄN</t>
        </is>
      </c>
      <c r="E7867" t="inlineStr">
        <is>
          <t>SOLLEFTEÅ</t>
        </is>
      </c>
      <c r="F7867" t="inlineStr">
        <is>
          <t>SCA</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18798-2025</t>
        </is>
      </c>
      <c r="B7868" s="1" t="n">
        <v>45764</v>
      </c>
      <c r="C7868" s="1" t="n">
        <v>46185</v>
      </c>
      <c r="D7868" t="inlineStr">
        <is>
          <t>VÄSTERNORRLANDS LÄN</t>
        </is>
      </c>
      <c r="E7868" t="inlineStr">
        <is>
          <t>KRAMFORS</t>
        </is>
      </c>
      <c r="F7868" t="inlineStr">
        <is>
          <t>SCA</t>
        </is>
      </c>
      <c r="G7868" t="n">
        <v>10.9</v>
      </c>
      <c r="H7868" t="n">
        <v>0</v>
      </c>
      <c r="I7868" t="n">
        <v>0</v>
      </c>
      <c r="J7868" t="n">
        <v>0</v>
      </c>
      <c r="K7868" t="n">
        <v>0</v>
      </c>
      <c r="L7868" t="n">
        <v>0</v>
      </c>
      <c r="M7868" t="n">
        <v>0</v>
      </c>
      <c r="N7868" t="n">
        <v>0</v>
      </c>
      <c r="O7868" t="n">
        <v>0</v>
      </c>
      <c r="P7868" t="n">
        <v>0</v>
      </c>
      <c r="Q7868" t="n">
        <v>0</v>
      </c>
      <c r="R7868" s="2" t="inlineStr"/>
    </row>
    <row r="7869" ht="15" customHeight="1">
      <c r="A7869" t="inlineStr">
        <is>
          <t>A 5035-2024</t>
        </is>
      </c>
      <c r="B7869" s="1" t="n">
        <v>45329.86893518519</v>
      </c>
      <c r="C7869" s="1" t="n">
        <v>46185</v>
      </c>
      <c r="D7869" t="inlineStr">
        <is>
          <t>VÄSTERNORRLANDS LÄN</t>
        </is>
      </c>
      <c r="E7869" t="inlineStr">
        <is>
          <t>SOLLEFTEÅ</t>
        </is>
      </c>
      <c r="F7869" t="inlineStr">
        <is>
          <t>Övriga Aktiebolag</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5059-2024</t>
        </is>
      </c>
      <c r="B7870" s="1" t="n">
        <v>45329</v>
      </c>
      <c r="C7870" s="1" t="n">
        <v>46185</v>
      </c>
      <c r="D7870" t="inlineStr">
        <is>
          <t>VÄSTERNORRLANDS LÄN</t>
        </is>
      </c>
      <c r="E7870" t="inlineStr">
        <is>
          <t>SOLLEFTEÅ</t>
        </is>
      </c>
      <c r="F7870" t="inlineStr">
        <is>
          <t>SCA</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5103-2024</t>
        </is>
      </c>
      <c r="B7871" s="1" t="n">
        <v>45330</v>
      </c>
      <c r="C7871" s="1" t="n">
        <v>46185</v>
      </c>
      <c r="D7871" t="inlineStr">
        <is>
          <t>VÄSTERNORRLANDS LÄN</t>
        </is>
      </c>
      <c r="E7871" t="inlineStr">
        <is>
          <t>ÖRNSKÖLDSVIK</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12338-2023</t>
        </is>
      </c>
      <c r="B7872" s="1" t="n">
        <v>44998</v>
      </c>
      <c r="C7872" s="1" t="n">
        <v>46185</v>
      </c>
      <c r="D7872" t="inlineStr">
        <is>
          <t>VÄSTERNORRLANDS LÄN</t>
        </is>
      </c>
      <c r="E7872" t="inlineStr">
        <is>
          <t>KRAMFORS</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17480-2026</t>
        </is>
      </c>
      <c r="B7873" s="1" t="n">
        <v>46120.54929398148</v>
      </c>
      <c r="C7873" s="1" t="n">
        <v>46185</v>
      </c>
      <c r="D7873" t="inlineStr">
        <is>
          <t>VÄSTERNORRLANDS LÄN</t>
        </is>
      </c>
      <c r="E7873" t="inlineStr">
        <is>
          <t>ÅNGE</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17496-2026</t>
        </is>
      </c>
      <c r="B7874" s="1" t="n">
        <v>46120.59482638889</v>
      </c>
      <c r="C7874" s="1" t="n">
        <v>46185</v>
      </c>
      <c r="D7874" t="inlineStr">
        <is>
          <t>VÄSTERNORRLANDS LÄN</t>
        </is>
      </c>
      <c r="E7874" t="inlineStr">
        <is>
          <t>SOLLEFTEÅ</t>
        </is>
      </c>
      <c r="F7874" t="inlineStr">
        <is>
          <t>SCA</t>
        </is>
      </c>
      <c r="G7874" t="n">
        <v>7.1</v>
      </c>
      <c r="H7874" t="n">
        <v>0</v>
      </c>
      <c r="I7874" t="n">
        <v>0</v>
      </c>
      <c r="J7874" t="n">
        <v>0</v>
      </c>
      <c r="K7874" t="n">
        <v>0</v>
      </c>
      <c r="L7874" t="n">
        <v>0</v>
      </c>
      <c r="M7874" t="n">
        <v>0</v>
      </c>
      <c r="N7874" t="n">
        <v>0</v>
      </c>
      <c r="O7874" t="n">
        <v>0</v>
      </c>
      <c r="P7874" t="n">
        <v>0</v>
      </c>
      <c r="Q7874" t="n">
        <v>0</v>
      </c>
      <c r="R7874" s="2" t="inlineStr"/>
    </row>
    <row r="7875" ht="15" customHeight="1">
      <c r="A7875" t="inlineStr">
        <is>
          <t>A 61120-2024</t>
        </is>
      </c>
      <c r="B7875" s="1" t="n">
        <v>45645.57042824074</v>
      </c>
      <c r="C7875" s="1" t="n">
        <v>46185</v>
      </c>
      <c r="D7875" t="inlineStr">
        <is>
          <t>VÄSTERNORRLANDS LÄN</t>
        </is>
      </c>
      <c r="E7875" t="inlineStr">
        <is>
          <t>ÖRNSKÖLDSVIK</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61122-2024</t>
        </is>
      </c>
      <c r="B7876" s="1" t="n">
        <v>45645.57083333333</v>
      </c>
      <c r="C7876" s="1" t="n">
        <v>46185</v>
      </c>
      <c r="D7876" t="inlineStr">
        <is>
          <t>VÄSTERNORRLANDS LÄN</t>
        </is>
      </c>
      <c r="E7876" t="inlineStr">
        <is>
          <t>ÖRNSKÖLDSVIK</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17661-2026</t>
        </is>
      </c>
      <c r="B7877" s="1" t="n">
        <v>46120</v>
      </c>
      <c r="C7877" s="1" t="n">
        <v>46185</v>
      </c>
      <c r="D7877" t="inlineStr">
        <is>
          <t>VÄSTERNORRLANDS LÄN</t>
        </is>
      </c>
      <c r="E7877" t="inlineStr">
        <is>
          <t>HÄRNÖSAND</t>
        </is>
      </c>
      <c r="G7877" t="n">
        <v>10.8</v>
      </c>
      <c r="H7877" t="n">
        <v>0</v>
      </c>
      <c r="I7877" t="n">
        <v>0</v>
      </c>
      <c r="J7877" t="n">
        <v>0</v>
      </c>
      <c r="K7877" t="n">
        <v>0</v>
      </c>
      <c r="L7877" t="n">
        <v>0</v>
      </c>
      <c r="M7877" t="n">
        <v>0</v>
      </c>
      <c r="N7877" t="n">
        <v>0</v>
      </c>
      <c r="O7877" t="n">
        <v>0</v>
      </c>
      <c r="P7877" t="n">
        <v>0</v>
      </c>
      <c r="Q7877" t="n">
        <v>0</v>
      </c>
      <c r="R7877" s="2" t="inlineStr"/>
    </row>
    <row r="7878" ht="15" customHeight="1">
      <c r="A7878" t="inlineStr">
        <is>
          <t>A 23236-2026</t>
        </is>
      </c>
      <c r="B7878" s="1" t="n">
        <v>46162.39622685185</v>
      </c>
      <c r="C7878" s="1" t="n">
        <v>46185</v>
      </c>
      <c r="D7878" t="inlineStr">
        <is>
          <t>VÄSTERNORRLANDS LÄN</t>
        </is>
      </c>
      <c r="E7878" t="inlineStr">
        <is>
          <t>HÄRNÖSAND</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73979-2021</t>
        </is>
      </c>
      <c r="B7879" s="1" t="n">
        <v>44554</v>
      </c>
      <c r="C7879" s="1" t="n">
        <v>46185</v>
      </c>
      <c r="D7879" t="inlineStr">
        <is>
          <t>VÄSTERNORRLANDS LÄN</t>
        </is>
      </c>
      <c r="E7879" t="inlineStr">
        <is>
          <t>SUNDSVALL</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23213-2026</t>
        </is>
      </c>
      <c r="B7880" s="1" t="n">
        <v>46162.3344212963</v>
      </c>
      <c r="C7880" s="1" t="n">
        <v>46185</v>
      </c>
      <c r="D7880" t="inlineStr">
        <is>
          <t>VÄSTERNORRLANDS LÄN</t>
        </is>
      </c>
      <c r="E7880" t="inlineStr">
        <is>
          <t>ÖRNSKÖLDSVIK</t>
        </is>
      </c>
      <c r="F7880" t="inlineStr">
        <is>
          <t>Holmen skog AB</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29462-2024</t>
        </is>
      </c>
      <c r="B7881" s="1" t="n">
        <v>45483.96979166667</v>
      </c>
      <c r="C7881" s="1" t="n">
        <v>46185</v>
      </c>
      <c r="D7881" t="inlineStr">
        <is>
          <t>VÄSTERNORRLANDS LÄN</t>
        </is>
      </c>
      <c r="E7881" t="inlineStr">
        <is>
          <t>ÅNGE</t>
        </is>
      </c>
      <c r="F7881" t="inlineStr">
        <is>
          <t>SCA</t>
        </is>
      </c>
      <c r="G7881" t="n">
        <v>8.4</v>
      </c>
      <c r="H7881" t="n">
        <v>0</v>
      </c>
      <c r="I7881" t="n">
        <v>0</v>
      </c>
      <c r="J7881" t="n">
        <v>0</v>
      </c>
      <c r="K7881" t="n">
        <v>0</v>
      </c>
      <c r="L7881" t="n">
        <v>0</v>
      </c>
      <c r="M7881" t="n">
        <v>0</v>
      </c>
      <c r="N7881" t="n">
        <v>0</v>
      </c>
      <c r="O7881" t="n">
        <v>0</v>
      </c>
      <c r="P7881" t="n">
        <v>0</v>
      </c>
      <c r="Q7881" t="n">
        <v>0</v>
      </c>
      <c r="R7881" s="2" t="inlineStr"/>
    </row>
    <row r="7882" ht="15" customHeight="1">
      <c r="A7882" t="inlineStr">
        <is>
          <t>A 29465-2024</t>
        </is>
      </c>
      <c r="B7882" s="1" t="n">
        <v>45483.97027777778</v>
      </c>
      <c r="C7882" s="1" t="n">
        <v>46185</v>
      </c>
      <c r="D7882" t="inlineStr">
        <is>
          <t>VÄSTERNORRLANDS LÄN</t>
        </is>
      </c>
      <c r="E7882" t="inlineStr">
        <is>
          <t>SUNDSVALL</t>
        </is>
      </c>
      <c r="F7882" t="inlineStr">
        <is>
          <t>Naturvårdsverket</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23231-2026</t>
        </is>
      </c>
      <c r="B7883" s="1" t="n">
        <v>46162.39043981482</v>
      </c>
      <c r="C7883" s="1" t="n">
        <v>46185</v>
      </c>
      <c r="D7883" t="inlineStr">
        <is>
          <t>VÄSTERNORRLANDS LÄN</t>
        </is>
      </c>
      <c r="E7883" t="inlineStr">
        <is>
          <t>HÄRNÖSAND</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44165-2023</t>
        </is>
      </c>
      <c r="B7884" s="1" t="n">
        <v>45188</v>
      </c>
      <c r="C7884" s="1" t="n">
        <v>46185</v>
      </c>
      <c r="D7884" t="inlineStr">
        <is>
          <t>VÄSTERNORRLANDS LÄN</t>
        </is>
      </c>
      <c r="E7884" t="inlineStr">
        <is>
          <t>ÖRNSKÖLDSVIK</t>
        </is>
      </c>
      <c r="F7884" t="inlineStr">
        <is>
          <t>Holmen skog AB</t>
        </is>
      </c>
      <c r="G7884" t="n">
        <v>11.8</v>
      </c>
      <c r="H7884" t="n">
        <v>0</v>
      </c>
      <c r="I7884" t="n">
        <v>0</v>
      </c>
      <c r="J7884" t="n">
        <v>0</v>
      </c>
      <c r="K7884" t="n">
        <v>0</v>
      </c>
      <c r="L7884" t="n">
        <v>0</v>
      </c>
      <c r="M7884" t="n">
        <v>0</v>
      </c>
      <c r="N7884" t="n">
        <v>0</v>
      </c>
      <c r="O7884" t="n">
        <v>0</v>
      </c>
      <c r="P7884" t="n">
        <v>0</v>
      </c>
      <c r="Q7884" t="n">
        <v>0</v>
      </c>
      <c r="R7884" s="2" t="inlineStr"/>
    </row>
    <row r="7885" ht="15" customHeight="1">
      <c r="A7885" t="inlineStr">
        <is>
          <t>A 17618-2026</t>
        </is>
      </c>
      <c r="B7885" s="1" t="n">
        <v>46121.46646990741</v>
      </c>
      <c r="C7885" s="1" t="n">
        <v>46185</v>
      </c>
      <c r="D7885" t="inlineStr">
        <is>
          <t>VÄSTERNORRLANDS LÄN</t>
        </is>
      </c>
      <c r="E7885" t="inlineStr">
        <is>
          <t>KRAMFORS</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17636-2026</t>
        </is>
      </c>
      <c r="B7886" s="1" t="n">
        <v>46121.48607638889</v>
      </c>
      <c r="C7886" s="1" t="n">
        <v>46185</v>
      </c>
      <c r="D7886" t="inlineStr">
        <is>
          <t>VÄSTERNORRLANDS LÄN</t>
        </is>
      </c>
      <c r="E7886" t="inlineStr">
        <is>
          <t>ÖRNSKÖLDSVIK</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27572-2022</t>
        </is>
      </c>
      <c r="B7887" s="1" t="n">
        <v>44742.94329861111</v>
      </c>
      <c r="C7887" s="1" t="n">
        <v>46185</v>
      </c>
      <c r="D7887" t="inlineStr">
        <is>
          <t>VÄSTERNORRLANDS LÄN</t>
        </is>
      </c>
      <c r="E7887" t="inlineStr">
        <is>
          <t>SOLLEFTEÅ</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47752-2023</t>
        </is>
      </c>
      <c r="B7888" s="1" t="n">
        <v>45203.80674768519</v>
      </c>
      <c r="C7888" s="1" t="n">
        <v>46185</v>
      </c>
      <c r="D7888" t="inlineStr">
        <is>
          <t>VÄSTERNORRLANDS LÄN</t>
        </is>
      </c>
      <c r="E7888" t="inlineStr">
        <is>
          <t>ÖRNSKÖLDSVIK</t>
        </is>
      </c>
      <c r="F7888" t="inlineStr">
        <is>
          <t>Holmen skog AB</t>
        </is>
      </c>
      <c r="G7888" t="n">
        <v>6.2</v>
      </c>
      <c r="H7888" t="n">
        <v>0</v>
      </c>
      <c r="I7888" t="n">
        <v>0</v>
      </c>
      <c r="J7888" t="n">
        <v>0</v>
      </c>
      <c r="K7888" t="n">
        <v>0</v>
      </c>
      <c r="L7888" t="n">
        <v>0</v>
      </c>
      <c r="M7888" t="n">
        <v>0</v>
      </c>
      <c r="N7888" t="n">
        <v>0</v>
      </c>
      <c r="O7888" t="n">
        <v>0</v>
      </c>
      <c r="P7888" t="n">
        <v>0</v>
      </c>
      <c r="Q7888" t="n">
        <v>0</v>
      </c>
      <c r="R7888" s="2" t="inlineStr"/>
    </row>
    <row r="7889" ht="15" customHeight="1">
      <c r="A7889" t="inlineStr">
        <is>
          <t>A 8648-2025</t>
        </is>
      </c>
      <c r="B7889" s="1" t="n">
        <v>45712.34501157407</v>
      </c>
      <c r="C7889" s="1" t="n">
        <v>46185</v>
      </c>
      <c r="D7889" t="inlineStr">
        <is>
          <t>VÄSTERNORRLANDS LÄN</t>
        </is>
      </c>
      <c r="E7889" t="inlineStr">
        <is>
          <t>ÅNGE</t>
        </is>
      </c>
      <c r="F7889" t="inlineStr">
        <is>
          <t>SCA</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23438-2026</t>
        </is>
      </c>
      <c r="B7890" s="1" t="n">
        <v>46163.34447916667</v>
      </c>
      <c r="C7890" s="1" t="n">
        <v>46185</v>
      </c>
      <c r="D7890" t="inlineStr">
        <is>
          <t>VÄSTERNORRLANDS LÄN</t>
        </is>
      </c>
      <c r="E7890" t="inlineStr">
        <is>
          <t>ÅNGE</t>
        </is>
      </c>
      <c r="F7890" t="inlineStr">
        <is>
          <t>SCA</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23449-2026</t>
        </is>
      </c>
      <c r="B7891" s="1" t="n">
        <v>46163.38611111111</v>
      </c>
      <c r="C7891" s="1" t="n">
        <v>46185</v>
      </c>
      <c r="D7891" t="inlineStr">
        <is>
          <t>VÄSTERNORRLANDS LÄN</t>
        </is>
      </c>
      <c r="E7891" t="inlineStr">
        <is>
          <t>ÅNGE</t>
        </is>
      </c>
      <c r="F7891" t="inlineStr">
        <is>
          <t>SCA</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23450-2026</t>
        </is>
      </c>
      <c r="B7892" s="1" t="n">
        <v>46163.38621527778</v>
      </c>
      <c r="C7892" s="1" t="n">
        <v>46185</v>
      </c>
      <c r="D7892" t="inlineStr">
        <is>
          <t>VÄSTERNORRLANDS LÄN</t>
        </is>
      </c>
      <c r="E7892" t="inlineStr">
        <is>
          <t>ÅNGE</t>
        </is>
      </c>
      <c r="F7892" t="inlineStr">
        <is>
          <t>SCA</t>
        </is>
      </c>
      <c r="G7892" t="n">
        <v>12.5</v>
      </c>
      <c r="H7892" t="n">
        <v>0</v>
      </c>
      <c r="I7892" t="n">
        <v>0</v>
      </c>
      <c r="J7892" t="n">
        <v>0</v>
      </c>
      <c r="K7892" t="n">
        <v>0</v>
      </c>
      <c r="L7892" t="n">
        <v>0</v>
      </c>
      <c r="M7892" t="n">
        <v>0</v>
      </c>
      <c r="N7892" t="n">
        <v>0</v>
      </c>
      <c r="O7892" t="n">
        <v>0</v>
      </c>
      <c r="P7892" t="n">
        <v>0</v>
      </c>
      <c r="Q7892" t="n">
        <v>0</v>
      </c>
      <c r="R7892" s="2" t="inlineStr"/>
    </row>
    <row r="7893" ht="15" customHeight="1">
      <c r="A7893" t="inlineStr">
        <is>
          <t>A 22863-2026</t>
        </is>
      </c>
      <c r="B7893" s="1" t="n">
        <v>46160</v>
      </c>
      <c r="C7893" s="1" t="n">
        <v>46185</v>
      </c>
      <c r="D7893" t="inlineStr">
        <is>
          <t>VÄSTERNORRLANDS LÄN</t>
        </is>
      </c>
      <c r="E7893" t="inlineStr">
        <is>
          <t>KRAMFORS</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17585-2026</t>
        </is>
      </c>
      <c r="B7894" s="1" t="n">
        <v>46121.3858912037</v>
      </c>
      <c r="C7894" s="1" t="n">
        <v>46185</v>
      </c>
      <c r="D7894" t="inlineStr">
        <is>
          <t>VÄSTERNORRLANDS LÄN</t>
        </is>
      </c>
      <c r="E7894" t="inlineStr">
        <is>
          <t>ÖRNSKÖLDSVIK</t>
        </is>
      </c>
      <c r="F7894" t="inlineStr">
        <is>
          <t>SCA</t>
        </is>
      </c>
      <c r="G7894" t="n">
        <v>30.1</v>
      </c>
      <c r="H7894" t="n">
        <v>0</v>
      </c>
      <c r="I7894" t="n">
        <v>0</v>
      </c>
      <c r="J7894" t="n">
        <v>0</v>
      </c>
      <c r="K7894" t="n">
        <v>0</v>
      </c>
      <c r="L7894" t="n">
        <v>0</v>
      </c>
      <c r="M7894" t="n">
        <v>0</v>
      </c>
      <c r="N7894" t="n">
        <v>0</v>
      </c>
      <c r="O7894" t="n">
        <v>0</v>
      </c>
      <c r="P7894" t="n">
        <v>0</v>
      </c>
      <c r="Q7894" t="n">
        <v>0</v>
      </c>
      <c r="R7894" s="2" t="inlineStr"/>
    </row>
    <row r="7895" ht="15" customHeight="1">
      <c r="A7895" t="inlineStr">
        <is>
          <t>A 23612-2026</t>
        </is>
      </c>
      <c r="B7895" s="1" t="n">
        <v>46163.66335648148</v>
      </c>
      <c r="C7895" s="1" t="n">
        <v>46185</v>
      </c>
      <c r="D7895" t="inlineStr">
        <is>
          <t>VÄSTERNORRLANDS LÄN</t>
        </is>
      </c>
      <c r="E7895" t="inlineStr">
        <is>
          <t>ÖRNSKÖLDSVIK</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57157-2024</t>
        </is>
      </c>
      <c r="B7896" s="1" t="n">
        <v>45629</v>
      </c>
      <c r="C7896" s="1" t="n">
        <v>46185</v>
      </c>
      <c r="D7896" t="inlineStr">
        <is>
          <t>VÄSTERNORRLANDS LÄN</t>
        </is>
      </c>
      <c r="E7896" t="inlineStr">
        <is>
          <t>ÖRNSKÖLDSVIK</t>
        </is>
      </c>
      <c r="F7896" t="inlineStr">
        <is>
          <t>Holmen skog AB</t>
        </is>
      </c>
      <c r="G7896" t="n">
        <v>14.5</v>
      </c>
      <c r="H7896" t="n">
        <v>0</v>
      </c>
      <c r="I7896" t="n">
        <v>0</v>
      </c>
      <c r="J7896" t="n">
        <v>0</v>
      </c>
      <c r="K7896" t="n">
        <v>0</v>
      </c>
      <c r="L7896" t="n">
        <v>0</v>
      </c>
      <c r="M7896" t="n">
        <v>0</v>
      </c>
      <c r="N7896" t="n">
        <v>0</v>
      </c>
      <c r="O7896" t="n">
        <v>0</v>
      </c>
      <c r="P7896" t="n">
        <v>0</v>
      </c>
      <c r="Q7896" t="n">
        <v>0</v>
      </c>
      <c r="R7896" s="2" t="inlineStr"/>
    </row>
    <row r="7897" ht="15" customHeight="1">
      <c r="A7897" t="inlineStr">
        <is>
          <t>A 8708-2025</t>
        </is>
      </c>
      <c r="B7897" s="1" t="n">
        <v>45712.490625</v>
      </c>
      <c r="C7897" s="1" t="n">
        <v>46185</v>
      </c>
      <c r="D7897" t="inlineStr">
        <is>
          <t>VÄSTERNORRLANDS LÄN</t>
        </is>
      </c>
      <c r="E7897" t="inlineStr">
        <is>
          <t>SUNDSVALL</t>
        </is>
      </c>
      <c r="F7897" t="inlineStr">
        <is>
          <t>SCA</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57236-2024</t>
        </is>
      </c>
      <c r="B7898" s="1" t="n">
        <v>45628</v>
      </c>
      <c r="C7898" s="1" t="n">
        <v>46185</v>
      </c>
      <c r="D7898" t="inlineStr">
        <is>
          <t>VÄSTERNORRLANDS LÄN</t>
        </is>
      </c>
      <c r="E7898" t="inlineStr">
        <is>
          <t>HÄRNÖSAND</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23240-2026</t>
        </is>
      </c>
      <c r="B7899" s="1" t="n">
        <v>46162.40679398148</v>
      </c>
      <c r="C7899" s="1" t="n">
        <v>46185</v>
      </c>
      <c r="D7899" t="inlineStr">
        <is>
          <t>VÄSTERNORRLANDS LÄN</t>
        </is>
      </c>
      <c r="E7899" t="inlineStr">
        <is>
          <t>ÅNGE</t>
        </is>
      </c>
      <c r="F7899" t="inlineStr">
        <is>
          <t>SCA</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32439-2024</t>
        </is>
      </c>
      <c r="B7900" s="1" t="n">
        <v>45512</v>
      </c>
      <c r="C7900" s="1" t="n">
        <v>46185</v>
      </c>
      <c r="D7900" t="inlineStr">
        <is>
          <t>VÄSTERNORRLANDS LÄN</t>
        </is>
      </c>
      <c r="E7900" t="inlineStr">
        <is>
          <t>ÅNGE</t>
        </is>
      </c>
      <c r="F7900" t="inlineStr">
        <is>
          <t>SCA</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43994-2023</t>
        </is>
      </c>
      <c r="B7901" s="1" t="n">
        <v>45187</v>
      </c>
      <c r="C7901" s="1" t="n">
        <v>46185</v>
      </c>
      <c r="D7901" t="inlineStr">
        <is>
          <t>VÄSTERNORRLANDS LÄN</t>
        </is>
      </c>
      <c r="E7901" t="inlineStr">
        <is>
          <t>TIMRÅ</t>
        </is>
      </c>
      <c r="F7901" t="inlineStr">
        <is>
          <t>SCA</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50674-2023</t>
        </is>
      </c>
      <c r="B7902" s="1" t="n">
        <v>45210</v>
      </c>
      <c r="C7902" s="1" t="n">
        <v>46185</v>
      </c>
      <c r="D7902" t="inlineStr">
        <is>
          <t>VÄSTERNORRLANDS LÄN</t>
        </is>
      </c>
      <c r="E7902" t="inlineStr">
        <is>
          <t>SOLLEFTEÅ</t>
        </is>
      </c>
      <c r="G7902" t="n">
        <v>11.8</v>
      </c>
      <c r="H7902" t="n">
        <v>0</v>
      </c>
      <c r="I7902" t="n">
        <v>0</v>
      </c>
      <c r="J7902" t="n">
        <v>0</v>
      </c>
      <c r="K7902" t="n">
        <v>0</v>
      </c>
      <c r="L7902" t="n">
        <v>0</v>
      </c>
      <c r="M7902" t="n">
        <v>0</v>
      </c>
      <c r="N7902" t="n">
        <v>0</v>
      </c>
      <c r="O7902" t="n">
        <v>0</v>
      </c>
      <c r="P7902" t="n">
        <v>0</v>
      </c>
      <c r="Q7902" t="n">
        <v>0</v>
      </c>
      <c r="R7902" s="2" t="inlineStr"/>
    </row>
    <row r="7903" ht="15" customHeight="1">
      <c r="A7903" t="inlineStr">
        <is>
          <t>A 60363-2024</t>
        </is>
      </c>
      <c r="B7903" s="1" t="n">
        <v>45643</v>
      </c>
      <c r="C7903" s="1" t="n">
        <v>46185</v>
      </c>
      <c r="D7903" t="inlineStr">
        <is>
          <t>VÄSTERNORRLANDS LÄN</t>
        </is>
      </c>
      <c r="E7903" t="inlineStr">
        <is>
          <t>ÅNGE</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21046-2026</t>
        </is>
      </c>
      <c r="B7904" s="1" t="n">
        <v>46146</v>
      </c>
      <c r="C7904" s="1" t="n">
        <v>46185</v>
      </c>
      <c r="D7904" t="inlineStr">
        <is>
          <t>VÄSTERNORRLANDS LÄN</t>
        </is>
      </c>
      <c r="E7904" t="inlineStr">
        <is>
          <t>KRAMFORS</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51070-2024</t>
        </is>
      </c>
      <c r="B7905" s="1" t="n">
        <v>45603</v>
      </c>
      <c r="C7905" s="1" t="n">
        <v>46185</v>
      </c>
      <c r="D7905" t="inlineStr">
        <is>
          <t>VÄSTERNORRLANDS LÄN</t>
        </is>
      </c>
      <c r="E7905" t="inlineStr">
        <is>
          <t>ÅNGE</t>
        </is>
      </c>
      <c r="G7905" t="n">
        <v>11.1</v>
      </c>
      <c r="H7905" t="n">
        <v>0</v>
      </c>
      <c r="I7905" t="n">
        <v>0</v>
      </c>
      <c r="J7905" t="n">
        <v>0</v>
      </c>
      <c r="K7905" t="n">
        <v>0</v>
      </c>
      <c r="L7905" t="n">
        <v>0</v>
      </c>
      <c r="M7905" t="n">
        <v>0</v>
      </c>
      <c r="N7905" t="n">
        <v>0</v>
      </c>
      <c r="O7905" t="n">
        <v>0</v>
      </c>
      <c r="P7905" t="n">
        <v>0</v>
      </c>
      <c r="Q7905" t="n">
        <v>0</v>
      </c>
      <c r="R7905" s="2" t="inlineStr"/>
    </row>
    <row r="7906" ht="15" customHeight="1">
      <c r="A7906" t="inlineStr">
        <is>
          <t>A 50687-2023</t>
        </is>
      </c>
      <c r="B7906" s="1" t="n">
        <v>45210</v>
      </c>
      <c r="C7906" s="1" t="n">
        <v>46185</v>
      </c>
      <c r="D7906" t="inlineStr">
        <is>
          <t>VÄSTERNORRLANDS LÄN</t>
        </is>
      </c>
      <c r="E7906" t="inlineStr">
        <is>
          <t>ÖRNSKÖLDSVIK</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50688-2023</t>
        </is>
      </c>
      <c r="B7907" s="1" t="n">
        <v>45210</v>
      </c>
      <c r="C7907" s="1" t="n">
        <v>46185</v>
      </c>
      <c r="D7907" t="inlineStr">
        <is>
          <t>VÄSTERNORRLANDS LÄN</t>
        </is>
      </c>
      <c r="E7907" t="inlineStr">
        <is>
          <t>SOLLEFTEÅ</t>
        </is>
      </c>
      <c r="G7907" t="n">
        <v>15.6</v>
      </c>
      <c r="H7907" t="n">
        <v>0</v>
      </c>
      <c r="I7907" t="n">
        <v>0</v>
      </c>
      <c r="J7907" t="n">
        <v>0</v>
      </c>
      <c r="K7907" t="n">
        <v>0</v>
      </c>
      <c r="L7907" t="n">
        <v>0</v>
      </c>
      <c r="M7907" t="n">
        <v>0</v>
      </c>
      <c r="N7907" t="n">
        <v>0</v>
      </c>
      <c r="O7907" t="n">
        <v>0</v>
      </c>
      <c r="P7907" t="n">
        <v>0</v>
      </c>
      <c r="Q7907" t="n">
        <v>0</v>
      </c>
      <c r="R7907" s="2" t="inlineStr"/>
    </row>
    <row r="7908" ht="15" customHeight="1">
      <c r="A7908" t="inlineStr">
        <is>
          <t>A 60514-2024</t>
        </is>
      </c>
      <c r="B7908" s="1" t="n">
        <v>45643.67474537037</v>
      </c>
      <c r="C7908" s="1" t="n">
        <v>46185</v>
      </c>
      <c r="D7908" t="inlineStr">
        <is>
          <t>VÄSTERNORRLANDS LÄN</t>
        </is>
      </c>
      <c r="E7908" t="inlineStr">
        <is>
          <t>ÅNGE</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50745-2023</t>
        </is>
      </c>
      <c r="B7909" s="1" t="n">
        <v>45210</v>
      </c>
      <c r="C7909" s="1" t="n">
        <v>46185</v>
      </c>
      <c r="D7909" t="inlineStr">
        <is>
          <t>VÄSTERNORRLANDS LÄN</t>
        </is>
      </c>
      <c r="E7909" t="inlineStr">
        <is>
          <t>SOLLEFTEÅ</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17518-2026</t>
        </is>
      </c>
      <c r="B7910" s="1" t="n">
        <v>46120</v>
      </c>
      <c r="C7910" s="1" t="n">
        <v>46185</v>
      </c>
      <c r="D7910" t="inlineStr">
        <is>
          <t>VÄSTERNORRLANDS LÄN</t>
        </is>
      </c>
      <c r="E7910" t="inlineStr">
        <is>
          <t>HÄRNÖSAND</t>
        </is>
      </c>
      <c r="G7910" t="n">
        <v>9.9</v>
      </c>
      <c r="H7910" t="n">
        <v>0</v>
      </c>
      <c r="I7910" t="n">
        <v>0</v>
      </c>
      <c r="J7910" t="n">
        <v>0</v>
      </c>
      <c r="K7910" t="n">
        <v>0</v>
      </c>
      <c r="L7910" t="n">
        <v>0</v>
      </c>
      <c r="M7910" t="n">
        <v>0</v>
      </c>
      <c r="N7910" t="n">
        <v>0</v>
      </c>
      <c r="O7910" t="n">
        <v>0</v>
      </c>
      <c r="P7910" t="n">
        <v>0</v>
      </c>
      <c r="Q7910" t="n">
        <v>0</v>
      </c>
      <c r="R7910" s="2" t="inlineStr"/>
    </row>
    <row r="7911" ht="15" customHeight="1">
      <c r="A7911" t="inlineStr">
        <is>
          <t>A 19892-2025</t>
        </is>
      </c>
      <c r="B7911" s="1" t="n">
        <v>45771.57461805556</v>
      </c>
      <c r="C7911" s="1" t="n">
        <v>46185</v>
      </c>
      <c r="D7911" t="inlineStr">
        <is>
          <t>VÄSTERNORRLANDS LÄN</t>
        </is>
      </c>
      <c r="E7911" t="inlineStr">
        <is>
          <t>SOLLEFTEÅ</t>
        </is>
      </c>
      <c r="F7911" t="inlineStr">
        <is>
          <t>SCA</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10986-2022</t>
        </is>
      </c>
      <c r="B7912" s="1" t="n">
        <v>44628</v>
      </c>
      <c r="C7912" s="1" t="n">
        <v>46185</v>
      </c>
      <c r="D7912" t="inlineStr">
        <is>
          <t>VÄSTERNORRLANDS LÄN</t>
        </is>
      </c>
      <c r="E7912" t="inlineStr">
        <is>
          <t>SUNDSVALL</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11117-2022</t>
        </is>
      </c>
      <c r="B7913" s="1" t="n">
        <v>44628.94248842593</v>
      </c>
      <c r="C7913" s="1" t="n">
        <v>46185</v>
      </c>
      <c r="D7913" t="inlineStr">
        <is>
          <t>VÄSTERNORRLANDS LÄN</t>
        </is>
      </c>
      <c r="E7913" t="inlineStr">
        <is>
          <t>SOLLEFTEÅ</t>
        </is>
      </c>
      <c r="F7913" t="inlineStr">
        <is>
          <t>SCA</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17622-2026</t>
        </is>
      </c>
      <c r="B7914" s="1" t="n">
        <v>46121.46929398148</v>
      </c>
      <c r="C7914" s="1" t="n">
        <v>46185</v>
      </c>
      <c r="D7914" t="inlineStr">
        <is>
          <t>VÄSTERNORRLANDS LÄN</t>
        </is>
      </c>
      <c r="E7914" t="inlineStr">
        <is>
          <t>ÖRNSKÖLDSVIK</t>
        </is>
      </c>
      <c r="F7914" t="inlineStr">
        <is>
          <t>Holmen skog AB</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23485-2026</t>
        </is>
      </c>
      <c r="B7915" s="1" t="n">
        <v>46163.42909722222</v>
      </c>
      <c r="C7915" s="1" t="n">
        <v>46185</v>
      </c>
      <c r="D7915" t="inlineStr">
        <is>
          <t>VÄSTERNORRLANDS LÄN</t>
        </is>
      </c>
      <c r="E7915" t="inlineStr">
        <is>
          <t>ÖRNSKÖLDSVIK</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42833-2024</t>
        </is>
      </c>
      <c r="B7916" s="1" t="n">
        <v>45566.6171875</v>
      </c>
      <c r="C7916" s="1" t="n">
        <v>46185</v>
      </c>
      <c r="D7916" t="inlineStr">
        <is>
          <t>VÄSTERNORRLANDS LÄN</t>
        </is>
      </c>
      <c r="E7916" t="inlineStr">
        <is>
          <t>SUNDSVALL</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17704-2026</t>
        </is>
      </c>
      <c r="B7917" s="1" t="n">
        <v>46121</v>
      </c>
      <c r="C7917" s="1" t="n">
        <v>46185</v>
      </c>
      <c r="D7917" t="inlineStr">
        <is>
          <t>VÄSTERNORRLANDS LÄN</t>
        </is>
      </c>
      <c r="E7917" t="inlineStr">
        <is>
          <t>ÖRNSKÖLDSVIK</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41979-2023</t>
        </is>
      </c>
      <c r="B7918" s="1" t="n">
        <v>45177.39858796296</v>
      </c>
      <c r="C7918" s="1" t="n">
        <v>46185</v>
      </c>
      <c r="D7918" t="inlineStr">
        <is>
          <t>VÄSTERNORRLANDS LÄN</t>
        </is>
      </c>
      <c r="E7918" t="inlineStr">
        <is>
          <t>ÖRNSKÖLDSVIK</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52665-2024</t>
        </is>
      </c>
      <c r="B7919" s="1" t="n">
        <v>45610.36549768518</v>
      </c>
      <c r="C7919" s="1" t="n">
        <v>46185</v>
      </c>
      <c r="D7919" t="inlineStr">
        <is>
          <t>VÄSTERNORRLANDS LÄN</t>
        </is>
      </c>
      <c r="E7919" t="inlineStr">
        <is>
          <t>ÅNGE</t>
        </is>
      </c>
      <c r="F7919" t="inlineStr">
        <is>
          <t>SCA</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23605-2026</t>
        </is>
      </c>
      <c r="B7920" s="1" t="n">
        <v>46163.65674768519</v>
      </c>
      <c r="C7920" s="1" t="n">
        <v>46185</v>
      </c>
      <c r="D7920" t="inlineStr">
        <is>
          <t>VÄSTERNORRLANDS LÄN</t>
        </is>
      </c>
      <c r="E7920" t="inlineStr">
        <is>
          <t>SUNDSVALL</t>
        </is>
      </c>
      <c r="F7920" t="inlineStr">
        <is>
          <t>SCA</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52719-2024</t>
        </is>
      </c>
      <c r="B7921" s="1" t="n">
        <v>45610.43710648148</v>
      </c>
      <c r="C7921" s="1" t="n">
        <v>46185</v>
      </c>
      <c r="D7921" t="inlineStr">
        <is>
          <t>VÄSTERNORRLANDS LÄN</t>
        </is>
      </c>
      <c r="E7921" t="inlineStr">
        <is>
          <t>ÖRNSKÖLDSVIK</t>
        </is>
      </c>
      <c r="F7921" t="inlineStr">
        <is>
          <t>Holmen skog AB</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17530-2026</t>
        </is>
      </c>
      <c r="B7922" s="1" t="n">
        <v>46120.66314814815</v>
      </c>
      <c r="C7922" s="1" t="n">
        <v>46185</v>
      </c>
      <c r="D7922" t="inlineStr">
        <is>
          <t>VÄSTERNORRLANDS LÄN</t>
        </is>
      </c>
      <c r="E7922" t="inlineStr">
        <is>
          <t>ÅNGE</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23489-2026</t>
        </is>
      </c>
      <c r="B7923" s="1" t="n">
        <v>46163.43255787037</v>
      </c>
      <c r="C7923" s="1" t="n">
        <v>46185</v>
      </c>
      <c r="D7923" t="inlineStr">
        <is>
          <t>VÄSTERNORRLANDS LÄN</t>
        </is>
      </c>
      <c r="E7923" t="inlineStr">
        <is>
          <t>ÖRNSKÖLDSVIK</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22730-2026</t>
        </is>
      </c>
      <c r="B7924" s="1" t="n">
        <v>46157</v>
      </c>
      <c r="C7924" s="1" t="n">
        <v>46185</v>
      </c>
      <c r="D7924" t="inlineStr">
        <is>
          <t>VÄSTERNORRLANDS LÄN</t>
        </is>
      </c>
      <c r="E7924" t="inlineStr">
        <is>
          <t>SUNDSVALL</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17634-2026</t>
        </is>
      </c>
      <c r="B7925" s="1" t="n">
        <v>46121.48092592593</v>
      </c>
      <c r="C7925" s="1" t="n">
        <v>46185</v>
      </c>
      <c r="D7925" t="inlineStr">
        <is>
          <t>VÄSTERNORRLANDS LÄN</t>
        </is>
      </c>
      <c r="E7925" t="inlineStr">
        <is>
          <t>ÖRNSKÖLDSVIK</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23233-2026</t>
        </is>
      </c>
      <c r="B7926" s="1" t="n">
        <v>46162.3930787037</v>
      </c>
      <c r="C7926" s="1" t="n">
        <v>46185</v>
      </c>
      <c r="D7926" t="inlineStr">
        <is>
          <t>VÄSTERNORRLANDS LÄN</t>
        </is>
      </c>
      <c r="E7926" t="inlineStr">
        <is>
          <t>HÄRNÖSAND</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23302-2026</t>
        </is>
      </c>
      <c r="B7927" s="1" t="n">
        <v>46162.49021990741</v>
      </c>
      <c r="C7927" s="1" t="n">
        <v>46185</v>
      </c>
      <c r="D7927" t="inlineStr">
        <is>
          <t>VÄSTERNORRLANDS LÄN</t>
        </is>
      </c>
      <c r="E7927" t="inlineStr">
        <is>
          <t>ÅNGE</t>
        </is>
      </c>
      <c r="F7927" t="inlineStr">
        <is>
          <t>SCA</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39637-2024</t>
        </is>
      </c>
      <c r="B7928" s="1" t="n">
        <v>45552.44851851852</v>
      </c>
      <c r="C7928" s="1" t="n">
        <v>46185</v>
      </c>
      <c r="D7928" t="inlineStr">
        <is>
          <t>VÄSTERNORRLANDS LÄN</t>
        </is>
      </c>
      <c r="E7928" t="inlineStr">
        <is>
          <t>ÖRNSKÖLDSVIK</t>
        </is>
      </c>
      <c r="F7928" t="inlineStr">
        <is>
          <t>SCA</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23420-2026</t>
        </is>
      </c>
      <c r="B7929" s="1" t="n">
        <v>46163.3106712963</v>
      </c>
      <c r="C7929" s="1" t="n">
        <v>46185</v>
      </c>
      <c r="D7929" t="inlineStr">
        <is>
          <t>VÄSTERNORRLANDS LÄN</t>
        </is>
      </c>
      <c r="E7929" t="inlineStr">
        <is>
          <t>SOLLEFTEÅ</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47755-2023</t>
        </is>
      </c>
      <c r="B7930" s="1" t="n">
        <v>45203.8250462963</v>
      </c>
      <c r="C7930" s="1" t="n">
        <v>46185</v>
      </c>
      <c r="D7930" t="inlineStr">
        <is>
          <t>VÄSTERNORRLANDS LÄN</t>
        </is>
      </c>
      <c r="E7930" t="inlineStr">
        <is>
          <t>ÖRNSKÖLDSVIK</t>
        </is>
      </c>
      <c r="F7930" t="inlineStr">
        <is>
          <t>Holmen skog AB</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59453-2024</t>
        </is>
      </c>
      <c r="B7931" s="1" t="n">
        <v>45638.4671875</v>
      </c>
      <c r="C7931" s="1" t="n">
        <v>46185</v>
      </c>
      <c r="D7931" t="inlineStr">
        <is>
          <t>VÄSTERNORRLANDS LÄN</t>
        </is>
      </c>
      <c r="E7931" t="inlineStr">
        <is>
          <t>ÖRNSKÖLDSVIK</t>
        </is>
      </c>
      <c r="G7931" t="n">
        <v>6.3</v>
      </c>
      <c r="H7931" t="n">
        <v>0</v>
      </c>
      <c r="I7931" t="n">
        <v>0</v>
      </c>
      <c r="J7931" t="n">
        <v>0</v>
      </c>
      <c r="K7931" t="n">
        <v>0</v>
      </c>
      <c r="L7931" t="n">
        <v>0</v>
      </c>
      <c r="M7931" t="n">
        <v>0</v>
      </c>
      <c r="N7931" t="n">
        <v>0</v>
      </c>
      <c r="O7931" t="n">
        <v>0</v>
      </c>
      <c r="P7931" t="n">
        <v>0</v>
      </c>
      <c r="Q7931" t="n">
        <v>0</v>
      </c>
      <c r="R7931" s="2" t="inlineStr"/>
    </row>
    <row r="7932" ht="15" customHeight="1">
      <c r="A7932" t="inlineStr">
        <is>
          <t>A 17437-2026</t>
        </is>
      </c>
      <c r="B7932" s="1" t="n">
        <v>46120.42361111111</v>
      </c>
      <c r="C7932" s="1" t="n">
        <v>46185</v>
      </c>
      <c r="D7932" t="inlineStr">
        <is>
          <t>VÄSTERNORRLANDS LÄN</t>
        </is>
      </c>
      <c r="E7932" t="inlineStr">
        <is>
          <t>ÅNGE</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17587-2026</t>
        </is>
      </c>
      <c r="B7933" s="1" t="n">
        <v>46121.38612268519</v>
      </c>
      <c r="C7933" s="1" t="n">
        <v>46185</v>
      </c>
      <c r="D7933" t="inlineStr">
        <is>
          <t>VÄSTERNORRLANDS LÄN</t>
        </is>
      </c>
      <c r="E7933" t="inlineStr">
        <is>
          <t>SOLLEFTEÅ</t>
        </is>
      </c>
      <c r="G7933" t="n">
        <v>21.2</v>
      </c>
      <c r="H7933" t="n">
        <v>0</v>
      </c>
      <c r="I7933" t="n">
        <v>0</v>
      </c>
      <c r="J7933" t="n">
        <v>0</v>
      </c>
      <c r="K7933" t="n">
        <v>0</v>
      </c>
      <c r="L7933" t="n">
        <v>0</v>
      </c>
      <c r="M7933" t="n">
        <v>0</v>
      </c>
      <c r="N7933" t="n">
        <v>0</v>
      </c>
      <c r="O7933" t="n">
        <v>0</v>
      </c>
      <c r="P7933" t="n">
        <v>0</v>
      </c>
      <c r="Q7933" t="n">
        <v>0</v>
      </c>
      <c r="R7933" s="2" t="inlineStr"/>
    </row>
    <row r="7934" ht="15" customHeight="1">
      <c r="A7934" t="inlineStr">
        <is>
          <t>A 17443-2026</t>
        </is>
      </c>
      <c r="B7934" s="1" t="n">
        <v>46120.43607638889</v>
      </c>
      <c r="C7934" s="1" t="n">
        <v>46185</v>
      </c>
      <c r="D7934" t="inlineStr">
        <is>
          <t>VÄSTERNORRLANDS LÄN</t>
        </is>
      </c>
      <c r="E7934" t="inlineStr">
        <is>
          <t>KRAMFORS</t>
        </is>
      </c>
      <c r="G7934" t="n">
        <v>6.6</v>
      </c>
      <c r="H7934" t="n">
        <v>0</v>
      </c>
      <c r="I7934" t="n">
        <v>0</v>
      </c>
      <c r="J7934" t="n">
        <v>0</v>
      </c>
      <c r="K7934" t="n">
        <v>0</v>
      </c>
      <c r="L7934" t="n">
        <v>0</v>
      </c>
      <c r="M7934" t="n">
        <v>0</v>
      </c>
      <c r="N7934" t="n">
        <v>0</v>
      </c>
      <c r="O7934" t="n">
        <v>0</v>
      </c>
      <c r="P7934" t="n">
        <v>0</v>
      </c>
      <c r="Q7934" t="n">
        <v>0</v>
      </c>
      <c r="R7934" s="2" t="inlineStr"/>
    </row>
    <row r="7935" ht="15" customHeight="1">
      <c r="A7935" t="inlineStr">
        <is>
          <t>A 17519-2026</t>
        </is>
      </c>
      <c r="B7935" s="1" t="n">
        <v>46120</v>
      </c>
      <c r="C7935" s="1" t="n">
        <v>46185</v>
      </c>
      <c r="D7935" t="inlineStr">
        <is>
          <t>VÄSTERNORRLANDS LÄN</t>
        </is>
      </c>
      <c r="E7935" t="inlineStr">
        <is>
          <t>ÅNGE</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17523-2026</t>
        </is>
      </c>
      <c r="B7936" s="1" t="n">
        <v>46120.65076388889</v>
      </c>
      <c r="C7936" s="1" t="n">
        <v>46185</v>
      </c>
      <c r="D7936" t="inlineStr">
        <is>
          <t>VÄSTERNORRLANDS LÄN</t>
        </is>
      </c>
      <c r="E7936" t="inlineStr">
        <is>
          <t>ÖRNSKÖLDSVIK</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38447-2023</t>
        </is>
      </c>
      <c r="B7937" s="1" t="n">
        <v>45162</v>
      </c>
      <c r="C7937" s="1" t="n">
        <v>46185</v>
      </c>
      <c r="D7937" t="inlineStr">
        <is>
          <t>VÄSTERNORRLANDS LÄN</t>
        </is>
      </c>
      <c r="E7937" t="inlineStr">
        <is>
          <t>KRAMFORS</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19326-2024</t>
        </is>
      </c>
      <c r="B7938" s="1" t="n">
        <v>45428</v>
      </c>
      <c r="C7938" s="1" t="n">
        <v>46185</v>
      </c>
      <c r="D7938" t="inlineStr">
        <is>
          <t>VÄSTERNORRLANDS LÄN</t>
        </is>
      </c>
      <c r="E7938" t="inlineStr">
        <is>
          <t>SOLLEFTEÅ</t>
        </is>
      </c>
      <c r="G7938" t="n">
        <v>7.4</v>
      </c>
      <c r="H7938" t="n">
        <v>0</v>
      </c>
      <c r="I7938" t="n">
        <v>0</v>
      </c>
      <c r="J7938" t="n">
        <v>0</v>
      </c>
      <c r="K7938" t="n">
        <v>0</v>
      </c>
      <c r="L7938" t="n">
        <v>0</v>
      </c>
      <c r="M7938" t="n">
        <v>0</v>
      </c>
      <c r="N7938" t="n">
        <v>0</v>
      </c>
      <c r="O7938" t="n">
        <v>0</v>
      </c>
      <c r="P7938" t="n">
        <v>0</v>
      </c>
      <c r="Q7938" t="n">
        <v>0</v>
      </c>
      <c r="R7938" s="2" t="inlineStr"/>
    </row>
    <row r="7939" ht="15" customHeight="1">
      <c r="A7939" t="inlineStr">
        <is>
          <t>A 59458-2024</t>
        </is>
      </c>
      <c r="B7939" s="1" t="n">
        <v>45638.4766087963</v>
      </c>
      <c r="C7939" s="1" t="n">
        <v>46185</v>
      </c>
      <c r="D7939" t="inlineStr">
        <is>
          <t>VÄSTERNORRLANDS LÄN</t>
        </is>
      </c>
      <c r="E7939" t="inlineStr">
        <is>
          <t>ÖRNSKÖLDSVIK</t>
        </is>
      </c>
      <c r="G7939" t="n">
        <v>5.1</v>
      </c>
      <c r="H7939" t="n">
        <v>0</v>
      </c>
      <c r="I7939" t="n">
        <v>0</v>
      </c>
      <c r="J7939" t="n">
        <v>0</v>
      </c>
      <c r="K7939" t="n">
        <v>0</v>
      </c>
      <c r="L7939" t="n">
        <v>0</v>
      </c>
      <c r="M7939" t="n">
        <v>0</v>
      </c>
      <c r="N7939" t="n">
        <v>0</v>
      </c>
      <c r="O7939" t="n">
        <v>0</v>
      </c>
      <c r="P7939" t="n">
        <v>0</v>
      </c>
      <c r="Q7939" t="n">
        <v>0</v>
      </c>
      <c r="R7939" s="2" t="inlineStr"/>
    </row>
    <row r="7940" ht="15" customHeight="1">
      <c r="A7940" t="inlineStr">
        <is>
          <t>A 17425-2026</t>
        </is>
      </c>
      <c r="B7940" s="1" t="n">
        <v>46120.36557870371</v>
      </c>
      <c r="C7940" s="1" t="n">
        <v>46185</v>
      </c>
      <c r="D7940" t="inlineStr">
        <is>
          <t>VÄSTERNORRLANDS LÄN</t>
        </is>
      </c>
      <c r="E7940" t="inlineStr">
        <is>
          <t>KRAMFORS</t>
        </is>
      </c>
      <c r="G7940" t="n">
        <v>4.5</v>
      </c>
      <c r="H7940" t="n">
        <v>0</v>
      </c>
      <c r="I7940" t="n">
        <v>0</v>
      </c>
      <c r="J7940" t="n">
        <v>0</v>
      </c>
      <c r="K7940" t="n">
        <v>0</v>
      </c>
      <c r="L7940" t="n">
        <v>0</v>
      </c>
      <c r="M7940" t="n">
        <v>0</v>
      </c>
      <c r="N7940" t="n">
        <v>0</v>
      </c>
      <c r="O7940" t="n">
        <v>0</v>
      </c>
      <c r="P7940" t="n">
        <v>0</v>
      </c>
      <c r="Q7940" t="n">
        <v>0</v>
      </c>
      <c r="R7940" s="2" t="inlineStr"/>
    </row>
    <row r="7941" ht="15" customHeight="1">
      <c r="A7941" t="inlineStr">
        <is>
          <t>A 17612-2026</t>
        </is>
      </c>
      <c r="B7941" s="1" t="n">
        <v>46121.45493055556</v>
      </c>
      <c r="C7941" s="1" t="n">
        <v>46185</v>
      </c>
      <c r="D7941" t="inlineStr">
        <is>
          <t>VÄSTERNORRLANDS LÄN</t>
        </is>
      </c>
      <c r="E7941" t="inlineStr">
        <is>
          <t>ÖRNSKÖLDSVIK</t>
        </is>
      </c>
      <c r="F7941" t="inlineStr">
        <is>
          <t>Holmen skog AB</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22431-2026</t>
        </is>
      </c>
      <c r="B7942" s="1" t="n">
        <v>46154</v>
      </c>
      <c r="C7942" s="1" t="n">
        <v>46185</v>
      </c>
      <c r="D7942" t="inlineStr">
        <is>
          <t>VÄSTERNORRLANDS LÄN</t>
        </is>
      </c>
      <c r="E7942" t="inlineStr">
        <is>
          <t>ÖRNSKÖLDSVIK</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61173-2024</t>
        </is>
      </c>
      <c r="B7943" s="1" t="n">
        <v>45645.60475694444</v>
      </c>
      <c r="C7943" s="1" t="n">
        <v>46185</v>
      </c>
      <c r="D7943" t="inlineStr">
        <is>
          <t>VÄSTERNORRLANDS LÄN</t>
        </is>
      </c>
      <c r="E7943" t="inlineStr">
        <is>
          <t>KRAMFORS</t>
        </is>
      </c>
      <c r="G7943" t="n">
        <v>7.5</v>
      </c>
      <c r="H7943" t="n">
        <v>0</v>
      </c>
      <c r="I7943" t="n">
        <v>0</v>
      </c>
      <c r="J7943" t="n">
        <v>0</v>
      </c>
      <c r="K7943" t="n">
        <v>0</v>
      </c>
      <c r="L7943" t="n">
        <v>0</v>
      </c>
      <c r="M7943" t="n">
        <v>0</v>
      </c>
      <c r="N7943" t="n">
        <v>0</v>
      </c>
      <c r="O7943" t="n">
        <v>0</v>
      </c>
      <c r="P7943" t="n">
        <v>0</v>
      </c>
      <c r="Q7943" t="n">
        <v>0</v>
      </c>
      <c r="R7943" s="2" t="inlineStr"/>
    </row>
    <row r="7944" ht="15" customHeight="1">
      <c r="A7944" t="inlineStr">
        <is>
          <t>A 61212-2024</t>
        </is>
      </c>
      <c r="B7944" s="1" t="n">
        <v>45645.65394675926</v>
      </c>
      <c r="C7944" s="1" t="n">
        <v>46185</v>
      </c>
      <c r="D7944" t="inlineStr">
        <is>
          <t>VÄSTERNORRLANDS LÄN</t>
        </is>
      </c>
      <c r="E7944" t="inlineStr">
        <is>
          <t>ÖRNSKÖLDSVIK</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43009-2024</t>
        </is>
      </c>
      <c r="B7945" s="1" t="n">
        <v>45567</v>
      </c>
      <c r="C7945" s="1" t="n">
        <v>46185</v>
      </c>
      <c r="D7945" t="inlineStr">
        <is>
          <t>VÄSTERNORRLANDS LÄN</t>
        </is>
      </c>
      <c r="E7945" t="inlineStr">
        <is>
          <t>ÖRNSKÖLDSVIK</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23417-2026</t>
        </is>
      </c>
      <c r="B7946" s="1" t="n">
        <v>46163.30446759259</v>
      </c>
      <c r="C7946" s="1" t="n">
        <v>46185</v>
      </c>
      <c r="D7946" t="inlineStr">
        <is>
          <t>VÄSTERNORRLANDS LÄN</t>
        </is>
      </c>
      <c r="E7946" t="inlineStr">
        <is>
          <t>SOLLEFTEÅ</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23318-2026</t>
        </is>
      </c>
      <c r="B7947" s="1" t="n">
        <v>46162.51113425926</v>
      </c>
      <c r="C7947" s="1" t="n">
        <v>46185</v>
      </c>
      <c r="D7947" t="inlineStr">
        <is>
          <t>VÄSTERNORRLANDS LÄN</t>
        </is>
      </c>
      <c r="E7947" t="inlineStr">
        <is>
          <t>ÅNGE</t>
        </is>
      </c>
      <c r="F7947" t="inlineStr">
        <is>
          <t>SCA</t>
        </is>
      </c>
      <c r="G7947" t="n">
        <v>5.8</v>
      </c>
      <c r="H7947" t="n">
        <v>0</v>
      </c>
      <c r="I7947" t="n">
        <v>0</v>
      </c>
      <c r="J7947" t="n">
        <v>0</v>
      </c>
      <c r="K7947" t="n">
        <v>0</v>
      </c>
      <c r="L7947" t="n">
        <v>0</v>
      </c>
      <c r="M7947" t="n">
        <v>0</v>
      </c>
      <c r="N7947" t="n">
        <v>0</v>
      </c>
      <c r="O7947" t="n">
        <v>0</v>
      </c>
      <c r="P7947" t="n">
        <v>0</v>
      </c>
      <c r="Q7947" t="n">
        <v>0</v>
      </c>
      <c r="R7947" s="2" t="inlineStr"/>
    </row>
    <row r="7948" ht="15" customHeight="1">
      <c r="A7948" t="inlineStr">
        <is>
          <t>A 23321-2026</t>
        </is>
      </c>
      <c r="B7948" s="1" t="n">
        <v>46162.51731481482</v>
      </c>
      <c r="C7948" s="1" t="n">
        <v>46185</v>
      </c>
      <c r="D7948" t="inlineStr">
        <is>
          <t>VÄSTERNORRLANDS LÄN</t>
        </is>
      </c>
      <c r="E7948" t="inlineStr">
        <is>
          <t>ÅNGE</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18367-2026</t>
        </is>
      </c>
      <c r="B7949" s="1" t="n">
        <v>46125</v>
      </c>
      <c r="C7949" s="1" t="n">
        <v>46185</v>
      </c>
      <c r="D7949" t="inlineStr">
        <is>
          <t>VÄSTERNORRLANDS LÄN</t>
        </is>
      </c>
      <c r="E7949" t="inlineStr">
        <is>
          <t>ÖRNSKÖLDSVIK</t>
        </is>
      </c>
      <c r="G7949" t="n">
        <v>6.2</v>
      </c>
      <c r="H7949" t="n">
        <v>0</v>
      </c>
      <c r="I7949" t="n">
        <v>0</v>
      </c>
      <c r="J7949" t="n">
        <v>0</v>
      </c>
      <c r="K7949" t="n">
        <v>0</v>
      </c>
      <c r="L7949" t="n">
        <v>0</v>
      </c>
      <c r="M7949" t="n">
        <v>0</v>
      </c>
      <c r="N7949" t="n">
        <v>0</v>
      </c>
      <c r="O7949" t="n">
        <v>0</v>
      </c>
      <c r="P7949" t="n">
        <v>0</v>
      </c>
      <c r="Q7949" t="n">
        <v>0</v>
      </c>
      <c r="R7949" s="2" t="inlineStr"/>
    </row>
    <row r="7950" ht="15" customHeight="1">
      <c r="A7950" t="inlineStr">
        <is>
          <t>A 17945-2026</t>
        </is>
      </c>
      <c r="B7950" s="1" t="n">
        <v>46122</v>
      </c>
      <c r="C7950" s="1" t="n">
        <v>46185</v>
      </c>
      <c r="D7950" t="inlineStr">
        <is>
          <t>VÄSTERNORRLANDS LÄN</t>
        </is>
      </c>
      <c r="E7950" t="inlineStr">
        <is>
          <t>HÄRNÖSAND</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17965-2026</t>
        </is>
      </c>
      <c r="B7951" s="1" t="n">
        <v>46123.34453703704</v>
      </c>
      <c r="C7951" s="1" t="n">
        <v>46185</v>
      </c>
      <c r="D7951" t="inlineStr">
        <is>
          <t>VÄSTERNORRLANDS LÄN</t>
        </is>
      </c>
      <c r="E7951" t="inlineStr">
        <is>
          <t>SUNDSVALL</t>
        </is>
      </c>
      <c r="F7951" t="inlineStr">
        <is>
          <t>SCA</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18066-2026</t>
        </is>
      </c>
      <c r="B7952" s="1" t="n">
        <v>46125.47700231482</v>
      </c>
      <c r="C7952" s="1" t="n">
        <v>46185</v>
      </c>
      <c r="D7952" t="inlineStr">
        <is>
          <t>VÄSTERNORRLANDS LÄN</t>
        </is>
      </c>
      <c r="E7952" t="inlineStr">
        <is>
          <t>SUNDSVALL</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7365-2024</t>
        </is>
      </c>
      <c r="B7953" s="1" t="n">
        <v>45345</v>
      </c>
      <c r="C7953" s="1" t="n">
        <v>46185</v>
      </c>
      <c r="D7953" t="inlineStr">
        <is>
          <t>VÄSTERNORRLANDS LÄN</t>
        </is>
      </c>
      <c r="E7953" t="inlineStr">
        <is>
          <t>SUNDSVALL</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23744-2026</t>
        </is>
      </c>
      <c r="B7954" s="1" t="n">
        <v>46164.50645833334</v>
      </c>
      <c r="C7954" s="1" t="n">
        <v>46185</v>
      </c>
      <c r="D7954" t="inlineStr">
        <is>
          <t>VÄSTERNORRLANDS LÄN</t>
        </is>
      </c>
      <c r="E7954" t="inlineStr">
        <is>
          <t>KRAMFORS</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2226-2022</t>
        </is>
      </c>
      <c r="B7955" s="1" t="n">
        <v>44578</v>
      </c>
      <c r="C7955" s="1" t="n">
        <v>46185</v>
      </c>
      <c r="D7955" t="inlineStr">
        <is>
          <t>VÄSTERNORRLANDS LÄN</t>
        </is>
      </c>
      <c r="E7955" t="inlineStr">
        <is>
          <t>TIMRÅ</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44393-2023</t>
        </is>
      </c>
      <c r="B7956" s="1" t="n">
        <v>45188.94534722222</v>
      </c>
      <c r="C7956" s="1" t="n">
        <v>46185</v>
      </c>
      <c r="D7956" t="inlineStr">
        <is>
          <t>VÄSTERNORRLANDS LÄN</t>
        </is>
      </c>
      <c r="E7956" t="inlineStr">
        <is>
          <t>SOLLEFTEÅ</t>
        </is>
      </c>
      <c r="F7956" t="inlineStr">
        <is>
          <t>SCA</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23658-2026</t>
        </is>
      </c>
      <c r="B7957" s="1" t="n">
        <v>46164.36583333334</v>
      </c>
      <c r="C7957" s="1" t="n">
        <v>46185</v>
      </c>
      <c r="D7957" t="inlineStr">
        <is>
          <t>VÄSTERNORRLANDS LÄN</t>
        </is>
      </c>
      <c r="E7957" t="inlineStr">
        <is>
          <t>ÅNGE</t>
        </is>
      </c>
      <c r="F7957" t="inlineStr">
        <is>
          <t>SCA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23717-2026</t>
        </is>
      </c>
      <c r="B7958" s="1" t="n">
        <v>46164.46738425926</v>
      </c>
      <c r="C7958" s="1" t="n">
        <v>46185</v>
      </c>
      <c r="D7958" t="inlineStr">
        <is>
          <t>VÄSTERNORRLANDS LÄN</t>
        </is>
      </c>
      <c r="E7958" t="inlineStr">
        <is>
          <t>ÖRNSKÖLDSVIK</t>
        </is>
      </c>
      <c r="G7958" t="n">
        <v>13.3</v>
      </c>
      <c r="H7958" t="n">
        <v>0</v>
      </c>
      <c r="I7958" t="n">
        <v>0</v>
      </c>
      <c r="J7958" t="n">
        <v>0</v>
      </c>
      <c r="K7958" t="n">
        <v>0</v>
      </c>
      <c r="L7958" t="n">
        <v>0</v>
      </c>
      <c r="M7958" t="n">
        <v>0</v>
      </c>
      <c r="N7958" t="n">
        <v>0</v>
      </c>
      <c r="O7958" t="n">
        <v>0</v>
      </c>
      <c r="P7958" t="n">
        <v>0</v>
      </c>
      <c r="Q7958" t="n">
        <v>0</v>
      </c>
      <c r="R7958" s="2" t="inlineStr"/>
    </row>
    <row r="7959" ht="15" customHeight="1">
      <c r="A7959" t="inlineStr">
        <is>
          <t>A 41831-2021</t>
        </is>
      </c>
      <c r="B7959" s="1" t="n">
        <v>44425.92212962963</v>
      </c>
      <c r="C7959" s="1" t="n">
        <v>46185</v>
      </c>
      <c r="D7959" t="inlineStr">
        <is>
          <t>VÄSTERNORRLANDS LÄN</t>
        </is>
      </c>
      <c r="E7959" t="inlineStr">
        <is>
          <t>ÅNGE</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32157-2024</t>
        </is>
      </c>
      <c r="B7960" s="1" t="n">
        <v>45511.57340277778</v>
      </c>
      <c r="C7960" s="1" t="n">
        <v>46185</v>
      </c>
      <c r="D7960" t="inlineStr">
        <is>
          <t>VÄSTERNORRLANDS LÄN</t>
        </is>
      </c>
      <c r="E7960" t="inlineStr">
        <is>
          <t>SOLLEFTEÅ</t>
        </is>
      </c>
      <c r="F7960" t="inlineStr">
        <is>
          <t>Holmen skog AB</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23732-2026</t>
        </is>
      </c>
      <c r="B7961" s="1" t="n">
        <v>46164.48719907407</v>
      </c>
      <c r="C7961" s="1" t="n">
        <v>46185</v>
      </c>
      <c r="D7961" t="inlineStr">
        <is>
          <t>VÄSTERNORRLANDS LÄN</t>
        </is>
      </c>
      <c r="E7961" t="inlineStr">
        <is>
          <t>ÖRNSKÖLDSVIK</t>
        </is>
      </c>
      <c r="G7961" t="n">
        <v>10.8</v>
      </c>
      <c r="H7961" t="n">
        <v>0</v>
      </c>
      <c r="I7961" t="n">
        <v>0</v>
      </c>
      <c r="J7961" t="n">
        <v>0</v>
      </c>
      <c r="K7961" t="n">
        <v>0</v>
      </c>
      <c r="L7961" t="n">
        <v>0</v>
      </c>
      <c r="M7961" t="n">
        <v>0</v>
      </c>
      <c r="N7961" t="n">
        <v>0</v>
      </c>
      <c r="O7961" t="n">
        <v>0</v>
      </c>
      <c r="P7961" t="n">
        <v>0</v>
      </c>
      <c r="Q7961" t="n">
        <v>0</v>
      </c>
      <c r="R7961" s="2" t="inlineStr"/>
    </row>
    <row r="7962" ht="15" customHeight="1">
      <c r="A7962" t="inlineStr">
        <is>
          <t>A 6282-2024</t>
        </is>
      </c>
      <c r="B7962" s="1" t="n">
        <v>45337</v>
      </c>
      <c r="C7962" s="1" t="n">
        <v>46185</v>
      </c>
      <c r="D7962" t="inlineStr">
        <is>
          <t>VÄSTERNORRLANDS LÄN</t>
        </is>
      </c>
      <c r="E7962" t="inlineStr">
        <is>
          <t>SOLLEFTEÅ</t>
        </is>
      </c>
      <c r="F7962" t="inlineStr">
        <is>
          <t>SCA</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37381-2023</t>
        </is>
      </c>
      <c r="B7963" s="1" t="n">
        <v>45155</v>
      </c>
      <c r="C7963" s="1" t="n">
        <v>46185</v>
      </c>
      <c r="D7963" t="inlineStr">
        <is>
          <t>VÄSTERNORRLANDS LÄN</t>
        </is>
      </c>
      <c r="E7963" t="inlineStr">
        <is>
          <t>SOLLEFTEÅ</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35509-2024</t>
        </is>
      </c>
      <c r="B7964" s="1" t="n">
        <v>45531</v>
      </c>
      <c r="C7964" s="1" t="n">
        <v>46185</v>
      </c>
      <c r="D7964" t="inlineStr">
        <is>
          <t>VÄSTERNORRLANDS LÄN</t>
        </is>
      </c>
      <c r="E7964" t="inlineStr">
        <is>
          <t>SOLLEFTEÅ</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35513-2024</t>
        </is>
      </c>
      <c r="B7965" s="1" t="n">
        <v>45531</v>
      </c>
      <c r="C7965" s="1" t="n">
        <v>46185</v>
      </c>
      <c r="D7965" t="inlineStr">
        <is>
          <t>VÄSTERNORRLANDS LÄN</t>
        </is>
      </c>
      <c r="E7965" t="inlineStr">
        <is>
          <t>SOLLEFTEÅ</t>
        </is>
      </c>
      <c r="G7965" t="n">
        <v>5.7</v>
      </c>
      <c r="H7965" t="n">
        <v>0</v>
      </c>
      <c r="I7965" t="n">
        <v>0</v>
      </c>
      <c r="J7965" t="n">
        <v>0</v>
      </c>
      <c r="K7965" t="n">
        <v>0</v>
      </c>
      <c r="L7965" t="n">
        <v>0</v>
      </c>
      <c r="M7965" t="n">
        <v>0</v>
      </c>
      <c r="N7965" t="n">
        <v>0</v>
      </c>
      <c r="O7965" t="n">
        <v>0</v>
      </c>
      <c r="P7965" t="n">
        <v>0</v>
      </c>
      <c r="Q7965" t="n">
        <v>0</v>
      </c>
      <c r="R7965" s="2" t="inlineStr"/>
    </row>
    <row r="7966" ht="15" customHeight="1">
      <c r="A7966" t="inlineStr">
        <is>
          <t>A 18009-2026</t>
        </is>
      </c>
      <c r="B7966" s="1" t="n">
        <v>46125.32677083334</v>
      </c>
      <c r="C7966" s="1" t="n">
        <v>46185</v>
      </c>
      <c r="D7966" t="inlineStr">
        <is>
          <t>VÄSTERNORRLANDS LÄN</t>
        </is>
      </c>
      <c r="E7966" t="inlineStr">
        <is>
          <t>ÖRNSKÖLDSVIK</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18051-2026</t>
        </is>
      </c>
      <c r="B7967" s="1" t="n">
        <v>46125.42832175926</v>
      </c>
      <c r="C7967" s="1" t="n">
        <v>46185</v>
      </c>
      <c r="D7967" t="inlineStr">
        <is>
          <t>VÄSTERNORRLANDS LÄN</t>
        </is>
      </c>
      <c r="E7967" t="inlineStr">
        <is>
          <t>ÖRNSKÖLDSVIK</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17771-2026</t>
        </is>
      </c>
      <c r="B7968" s="1" t="n">
        <v>46122.3656712963</v>
      </c>
      <c r="C7968" s="1" t="n">
        <v>46185</v>
      </c>
      <c r="D7968" t="inlineStr">
        <is>
          <t>VÄSTERNORRLANDS LÄN</t>
        </is>
      </c>
      <c r="E7968" t="inlineStr">
        <is>
          <t>SOLLEFTEÅ</t>
        </is>
      </c>
      <c r="F7968" t="inlineStr">
        <is>
          <t>SCA</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6691-2024</t>
        </is>
      </c>
      <c r="B7969" s="1" t="n">
        <v>45341</v>
      </c>
      <c r="C7969" s="1" t="n">
        <v>46185</v>
      </c>
      <c r="D7969" t="inlineStr">
        <is>
          <t>VÄSTERNORRLANDS LÄN</t>
        </is>
      </c>
      <c r="E7969" t="inlineStr">
        <is>
          <t>ÅNGE</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21928-2026</t>
        </is>
      </c>
      <c r="B7970" s="1" t="n">
        <v>46150</v>
      </c>
      <c r="C7970" s="1" t="n">
        <v>46185</v>
      </c>
      <c r="D7970" t="inlineStr">
        <is>
          <t>VÄSTERNORRLANDS LÄN</t>
        </is>
      </c>
      <c r="E7970" t="inlineStr">
        <is>
          <t>HÄRNÖSAND</t>
        </is>
      </c>
      <c r="G7970" t="n">
        <v>0.3</v>
      </c>
      <c r="H7970" t="n">
        <v>0</v>
      </c>
      <c r="I7970" t="n">
        <v>0</v>
      </c>
      <c r="J7970" t="n">
        <v>0</v>
      </c>
      <c r="K7970" t="n">
        <v>0</v>
      </c>
      <c r="L7970" t="n">
        <v>0</v>
      </c>
      <c r="M7970" t="n">
        <v>0</v>
      </c>
      <c r="N7970" t="n">
        <v>0</v>
      </c>
      <c r="O7970" t="n">
        <v>0</v>
      </c>
      <c r="P7970" t="n">
        <v>0</v>
      </c>
      <c r="Q7970" t="n">
        <v>0</v>
      </c>
      <c r="R7970" s="2" t="inlineStr"/>
    </row>
    <row r="7971" ht="15" customHeight="1">
      <c r="A7971" t="inlineStr">
        <is>
          <t>A 18014-2026</t>
        </is>
      </c>
      <c r="B7971" s="1" t="n">
        <v>46125.3409375</v>
      </c>
      <c r="C7971" s="1" t="n">
        <v>46185</v>
      </c>
      <c r="D7971" t="inlineStr">
        <is>
          <t>VÄSTERNORRLANDS LÄN</t>
        </is>
      </c>
      <c r="E7971" t="inlineStr">
        <is>
          <t>ÖRNSKÖLDSVIK</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18028-2026</t>
        </is>
      </c>
      <c r="B7972" s="1" t="n">
        <v>46125.38245370371</v>
      </c>
      <c r="C7972" s="1" t="n">
        <v>46185</v>
      </c>
      <c r="D7972" t="inlineStr">
        <is>
          <t>VÄSTERNORRLANDS LÄN</t>
        </is>
      </c>
      <c r="E7972" t="inlineStr">
        <is>
          <t>ÖRNSKÖLDSVIK</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3556-2022</t>
        </is>
      </c>
      <c r="B7973" s="1" t="n">
        <v>44585</v>
      </c>
      <c r="C7973" s="1" t="n">
        <v>46185</v>
      </c>
      <c r="D7973" t="inlineStr">
        <is>
          <t>VÄSTERNORRLANDS LÄN</t>
        </is>
      </c>
      <c r="E7973" t="inlineStr">
        <is>
          <t>SOLLEFTEÅ</t>
        </is>
      </c>
      <c r="F7973" t="inlineStr">
        <is>
          <t>SCA</t>
        </is>
      </c>
      <c r="G7973" t="n">
        <v>18.2</v>
      </c>
      <c r="H7973" t="n">
        <v>0</v>
      </c>
      <c r="I7973" t="n">
        <v>0</v>
      </c>
      <c r="J7973" t="n">
        <v>0</v>
      </c>
      <c r="K7973" t="n">
        <v>0</v>
      </c>
      <c r="L7973" t="n">
        <v>0</v>
      </c>
      <c r="M7973" t="n">
        <v>0</v>
      </c>
      <c r="N7973" t="n">
        <v>0</v>
      </c>
      <c r="O7973" t="n">
        <v>0</v>
      </c>
      <c r="P7973" t="n">
        <v>0</v>
      </c>
      <c r="Q7973" t="n">
        <v>0</v>
      </c>
      <c r="R7973" s="2" t="inlineStr"/>
    </row>
    <row r="7974" ht="15" customHeight="1">
      <c r="A7974" t="inlineStr">
        <is>
          <t>A 41600-2023</t>
        </is>
      </c>
      <c r="B7974" s="1" t="n">
        <v>45175</v>
      </c>
      <c r="C7974" s="1" t="n">
        <v>46185</v>
      </c>
      <c r="D7974" t="inlineStr">
        <is>
          <t>VÄSTERNORRLANDS LÄN</t>
        </is>
      </c>
      <c r="E7974" t="inlineStr">
        <is>
          <t>SUNDSVALL</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42762-2022</t>
        </is>
      </c>
      <c r="B7975" s="1" t="n">
        <v>44832.48011574074</v>
      </c>
      <c r="C7975" s="1" t="n">
        <v>46185</v>
      </c>
      <c r="D7975" t="inlineStr">
        <is>
          <t>VÄSTERNORRLANDS LÄN</t>
        </is>
      </c>
      <c r="E7975" t="inlineStr">
        <is>
          <t>ÖRNSKÖLDSVIK</t>
        </is>
      </c>
      <c r="F7975" t="inlineStr">
        <is>
          <t>Holmen skog AB</t>
        </is>
      </c>
      <c r="G7975" t="n">
        <v>14.6</v>
      </c>
      <c r="H7975" t="n">
        <v>0</v>
      </c>
      <c r="I7975" t="n">
        <v>0</v>
      </c>
      <c r="J7975" t="n">
        <v>0</v>
      </c>
      <c r="K7975" t="n">
        <v>0</v>
      </c>
      <c r="L7975" t="n">
        <v>0</v>
      </c>
      <c r="M7975" t="n">
        <v>0</v>
      </c>
      <c r="N7975" t="n">
        <v>0</v>
      </c>
      <c r="O7975" t="n">
        <v>0</v>
      </c>
      <c r="P7975" t="n">
        <v>0</v>
      </c>
      <c r="Q7975" t="n">
        <v>0</v>
      </c>
      <c r="R7975" s="2" t="inlineStr"/>
    </row>
    <row r="7976" ht="15" customHeight="1">
      <c r="A7976" t="inlineStr">
        <is>
          <t>A 17936-2026</t>
        </is>
      </c>
      <c r="B7976" s="1" t="n">
        <v>46122.63597222222</v>
      </c>
      <c r="C7976" s="1" t="n">
        <v>46185</v>
      </c>
      <c r="D7976" t="inlineStr">
        <is>
          <t>VÄSTERNORRLANDS LÄN</t>
        </is>
      </c>
      <c r="E7976" t="inlineStr">
        <is>
          <t>SOLLEFTEÅ</t>
        </is>
      </c>
      <c r="F7976" t="inlineStr">
        <is>
          <t>SCA</t>
        </is>
      </c>
      <c r="G7976" t="n">
        <v>12.6</v>
      </c>
      <c r="H7976" t="n">
        <v>0</v>
      </c>
      <c r="I7976" t="n">
        <v>0</v>
      </c>
      <c r="J7976" t="n">
        <v>0</v>
      </c>
      <c r="K7976" t="n">
        <v>0</v>
      </c>
      <c r="L7976" t="n">
        <v>0</v>
      </c>
      <c r="M7976" t="n">
        <v>0</v>
      </c>
      <c r="N7976" t="n">
        <v>0</v>
      </c>
      <c r="O7976" t="n">
        <v>0</v>
      </c>
      <c r="P7976" t="n">
        <v>0</v>
      </c>
      <c r="Q7976" t="n">
        <v>0</v>
      </c>
      <c r="R7976" s="2" t="inlineStr"/>
    </row>
    <row r="7977" ht="15" customHeight="1">
      <c r="A7977" t="inlineStr">
        <is>
          <t>A 39920-2023</t>
        </is>
      </c>
      <c r="B7977" s="1" t="n">
        <v>45168.47075231482</v>
      </c>
      <c r="C7977" s="1" t="n">
        <v>46185</v>
      </c>
      <c r="D7977" t="inlineStr">
        <is>
          <t>VÄSTERNORRLANDS LÄN</t>
        </is>
      </c>
      <c r="E7977" t="inlineStr">
        <is>
          <t>ÖRNSKÖLDSVIK</t>
        </is>
      </c>
      <c r="F7977" t="inlineStr">
        <is>
          <t>Holmen skog AB</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23656-2026</t>
        </is>
      </c>
      <c r="B7978" s="1" t="n">
        <v>46164.36520833334</v>
      </c>
      <c r="C7978" s="1" t="n">
        <v>46185</v>
      </c>
      <c r="D7978" t="inlineStr">
        <is>
          <t>VÄSTERNORRLANDS LÄN</t>
        </is>
      </c>
      <c r="E7978" t="inlineStr">
        <is>
          <t>SOLLEFTEÅ</t>
        </is>
      </c>
      <c r="F7978" t="inlineStr">
        <is>
          <t>SCA</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23670-2026</t>
        </is>
      </c>
      <c r="B7979" s="1" t="n">
        <v>46164.38585648148</v>
      </c>
      <c r="C7979" s="1" t="n">
        <v>46185</v>
      </c>
      <c r="D7979" t="inlineStr">
        <is>
          <t>VÄSTERNORRLANDS LÄN</t>
        </is>
      </c>
      <c r="E7979" t="inlineStr">
        <is>
          <t>ÖRNSKÖLDSVIK</t>
        </is>
      </c>
      <c r="F7979" t="inlineStr">
        <is>
          <t>SCA</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12123-2024</t>
        </is>
      </c>
      <c r="B7980" s="1" t="n">
        <v>45377</v>
      </c>
      <c r="C7980" s="1" t="n">
        <v>46185</v>
      </c>
      <c r="D7980" t="inlineStr">
        <is>
          <t>VÄSTERNORRLANDS LÄN</t>
        </is>
      </c>
      <c r="E7980" t="inlineStr">
        <is>
          <t>ÅNGE</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23803-2026</t>
        </is>
      </c>
      <c r="B7981" s="1" t="n">
        <v>46164.63174768518</v>
      </c>
      <c r="C7981" s="1" t="n">
        <v>46185</v>
      </c>
      <c r="D7981" t="inlineStr">
        <is>
          <t>VÄSTERNORRLANDS LÄN</t>
        </is>
      </c>
      <c r="E7981" t="inlineStr">
        <is>
          <t>SUNDSVALL</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18363-2026</t>
        </is>
      </c>
      <c r="B7982" s="1" t="n">
        <v>46125</v>
      </c>
      <c r="C7982" s="1" t="n">
        <v>46185</v>
      </c>
      <c r="D7982" t="inlineStr">
        <is>
          <t>VÄSTERNORRLANDS LÄN</t>
        </is>
      </c>
      <c r="E7982" t="inlineStr">
        <is>
          <t>ÖRNSKÖLDSVIK</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40342-2024</t>
        </is>
      </c>
      <c r="B7983" s="1" t="n">
        <v>45555.34199074074</v>
      </c>
      <c r="C7983" s="1" t="n">
        <v>46185</v>
      </c>
      <c r="D7983" t="inlineStr">
        <is>
          <t>VÄSTERNORRLANDS LÄN</t>
        </is>
      </c>
      <c r="E7983" t="inlineStr">
        <is>
          <t>ÖRNSKÖLDSVIK</t>
        </is>
      </c>
      <c r="F7983" t="inlineStr">
        <is>
          <t>Holmen skog AB</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21088-2024</t>
        </is>
      </c>
      <c r="B7984" s="1" t="n">
        <v>45439</v>
      </c>
      <c r="C7984" s="1" t="n">
        <v>46185</v>
      </c>
      <c r="D7984" t="inlineStr">
        <is>
          <t>VÄSTERNORRLANDS LÄN</t>
        </is>
      </c>
      <c r="E7984" t="inlineStr">
        <is>
          <t>SUNDSVALL</t>
        </is>
      </c>
      <c r="F7984" t="inlineStr">
        <is>
          <t>SCA</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40921-2024</t>
        </is>
      </c>
      <c r="B7985" s="1" t="n">
        <v>45558.6358912037</v>
      </c>
      <c r="C7985" s="1" t="n">
        <v>46185</v>
      </c>
      <c r="D7985" t="inlineStr">
        <is>
          <t>VÄSTERNORRLANDS LÄN</t>
        </is>
      </c>
      <c r="E7985" t="inlineStr">
        <is>
          <t>SOLLEFTEÅ</t>
        </is>
      </c>
      <c r="F7985" t="inlineStr">
        <is>
          <t>SCA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12750-2022</t>
        </is>
      </c>
      <c r="B7986" s="1" t="n">
        <v>44641</v>
      </c>
      <c r="C7986" s="1" t="n">
        <v>46185</v>
      </c>
      <c r="D7986" t="inlineStr">
        <is>
          <t>VÄSTERNORRLANDS LÄN</t>
        </is>
      </c>
      <c r="E7986" t="inlineStr">
        <is>
          <t>HÄRNÖSAND</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42396-2023</t>
        </is>
      </c>
      <c r="B7987" s="1" t="n">
        <v>45175</v>
      </c>
      <c r="C7987" s="1" t="n">
        <v>46185</v>
      </c>
      <c r="D7987" t="inlineStr">
        <is>
          <t>VÄSTERNORRLANDS LÄN</t>
        </is>
      </c>
      <c r="E7987" t="inlineStr">
        <is>
          <t>ÖRNSKÖLDSVIK</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13291-2022</t>
        </is>
      </c>
      <c r="B7988" s="1" t="n">
        <v>44644.92293981482</v>
      </c>
      <c r="C7988" s="1" t="n">
        <v>46185</v>
      </c>
      <c r="D7988" t="inlineStr">
        <is>
          <t>VÄSTERNORRLANDS LÄN</t>
        </is>
      </c>
      <c r="E7988" t="inlineStr">
        <is>
          <t>SUNDSVALL</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17875-2026</t>
        </is>
      </c>
      <c r="B7989" s="1" t="n">
        <v>46122.54253472222</v>
      </c>
      <c r="C7989" s="1" t="n">
        <v>46185</v>
      </c>
      <c r="D7989" t="inlineStr">
        <is>
          <t>VÄSTERNORRLANDS LÄN</t>
        </is>
      </c>
      <c r="E7989" t="inlineStr">
        <is>
          <t>ÖRNSKÖLDSVIK</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39446-2024</t>
        </is>
      </c>
      <c r="B7990" s="1" t="n">
        <v>45551</v>
      </c>
      <c r="C7990" s="1" t="n">
        <v>46185</v>
      </c>
      <c r="D7990" t="inlineStr">
        <is>
          <t>VÄSTERNORRLANDS LÄN</t>
        </is>
      </c>
      <c r="E7990" t="inlineStr">
        <is>
          <t>SOLLEFTEÅ</t>
        </is>
      </c>
      <c r="F7990" t="inlineStr">
        <is>
          <t>SCA</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39550-2024</t>
        </is>
      </c>
      <c r="B7991" s="1" t="n">
        <v>45552.32645833334</v>
      </c>
      <c r="C7991" s="1" t="n">
        <v>46185</v>
      </c>
      <c r="D7991" t="inlineStr">
        <is>
          <t>VÄSTERNORRLANDS LÄN</t>
        </is>
      </c>
      <c r="E7991" t="inlineStr">
        <is>
          <t>ÖRNSKÖLDSVIK</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40237-2023</t>
        </is>
      </c>
      <c r="B7992" s="1" t="n">
        <v>45168</v>
      </c>
      <c r="C7992" s="1" t="n">
        <v>46185</v>
      </c>
      <c r="D7992" t="inlineStr">
        <is>
          <t>VÄSTERNORRLANDS LÄN</t>
        </is>
      </c>
      <c r="E7992" t="inlineStr">
        <is>
          <t>HÄRNÖSAND</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18189-2026</t>
        </is>
      </c>
      <c r="B7993" s="1" t="n">
        <v>46125.68913194445</v>
      </c>
      <c r="C7993" s="1" t="n">
        <v>46185</v>
      </c>
      <c r="D7993" t="inlineStr">
        <is>
          <t>VÄSTERNORRLANDS LÄN</t>
        </is>
      </c>
      <c r="E7993" t="inlineStr">
        <is>
          <t>ÖRNSKÖLDSVIK</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32421-2024</t>
        </is>
      </c>
      <c r="B7994" s="1" t="n">
        <v>45512</v>
      </c>
      <c r="C7994" s="1" t="n">
        <v>46185</v>
      </c>
      <c r="D7994" t="inlineStr">
        <is>
          <t>VÄSTERNORRLANDS LÄN</t>
        </is>
      </c>
      <c r="E7994" t="inlineStr">
        <is>
          <t>HÄRNÖSAND</t>
        </is>
      </c>
      <c r="G7994" t="n">
        <v>5.8</v>
      </c>
      <c r="H7994" t="n">
        <v>0</v>
      </c>
      <c r="I7994" t="n">
        <v>0</v>
      </c>
      <c r="J7994" t="n">
        <v>0</v>
      </c>
      <c r="K7994" t="n">
        <v>0</v>
      </c>
      <c r="L7994" t="n">
        <v>0</v>
      </c>
      <c r="M7994" t="n">
        <v>0</v>
      </c>
      <c r="N7994" t="n">
        <v>0</v>
      </c>
      <c r="O7994" t="n">
        <v>0</v>
      </c>
      <c r="P7994" t="n">
        <v>0</v>
      </c>
      <c r="Q7994" t="n">
        <v>0</v>
      </c>
      <c r="R7994" s="2" t="inlineStr"/>
    </row>
    <row r="7995" ht="15" customHeight="1">
      <c r="A7995" t="inlineStr">
        <is>
          <t>A 59715-2024</t>
        </is>
      </c>
      <c r="B7995" s="1" t="n">
        <v>45639.45652777778</v>
      </c>
      <c r="C7995" s="1" t="n">
        <v>46185</v>
      </c>
      <c r="D7995" t="inlineStr">
        <is>
          <t>VÄSTERNORRLANDS LÄN</t>
        </is>
      </c>
      <c r="E7995" t="inlineStr">
        <is>
          <t>HÄRNÖSAND</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18107-2026</t>
        </is>
      </c>
      <c r="B7996" s="1" t="n">
        <v>46125.56900462963</v>
      </c>
      <c r="C7996" s="1" t="n">
        <v>46185</v>
      </c>
      <c r="D7996" t="inlineStr">
        <is>
          <t>VÄSTERNORRLANDS LÄN</t>
        </is>
      </c>
      <c r="E7996" t="inlineStr">
        <is>
          <t>TIMRÅ</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24019-2026</t>
        </is>
      </c>
      <c r="B7997" s="1" t="n">
        <v>46167.6700462963</v>
      </c>
      <c r="C7997" s="1" t="n">
        <v>46185</v>
      </c>
      <c r="D7997" t="inlineStr">
        <is>
          <t>VÄSTERNORRLANDS LÄN</t>
        </is>
      </c>
      <c r="E7997" t="inlineStr">
        <is>
          <t>ÖRNSKÖLDSVIK</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59563-2024</t>
        </is>
      </c>
      <c r="B7998" s="1" t="n">
        <v>45638.63733796297</v>
      </c>
      <c r="C7998" s="1" t="n">
        <v>46185</v>
      </c>
      <c r="D7998" t="inlineStr">
        <is>
          <t>VÄSTERNORRLANDS LÄN</t>
        </is>
      </c>
      <c r="E7998" t="inlineStr">
        <is>
          <t>SOLLEFTEÅ</t>
        </is>
      </c>
      <c r="F7998" t="inlineStr">
        <is>
          <t>SCA</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24010-2026</t>
        </is>
      </c>
      <c r="B7999" s="1" t="n">
        <v>46167.65674768519</v>
      </c>
      <c r="C7999" s="1" t="n">
        <v>46185</v>
      </c>
      <c r="D7999" t="inlineStr">
        <is>
          <t>VÄSTERNORRLANDS LÄN</t>
        </is>
      </c>
      <c r="E7999" t="inlineStr">
        <is>
          <t>SOLLEFTEÅ</t>
        </is>
      </c>
      <c r="F7999" t="inlineStr">
        <is>
          <t>SCA</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13568-2026</t>
        </is>
      </c>
      <c r="B8000" s="1" t="n">
        <v>46095</v>
      </c>
      <c r="C8000" s="1" t="n">
        <v>46185</v>
      </c>
      <c r="D8000" t="inlineStr">
        <is>
          <t>VÄSTERNORRLANDS LÄN</t>
        </is>
      </c>
      <c r="E8000" t="inlineStr">
        <is>
          <t>TIMRÅ</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23782-2026</t>
        </is>
      </c>
      <c r="B8001" s="1" t="n">
        <v>46164.59462962963</v>
      </c>
      <c r="C8001" s="1" t="n">
        <v>46185</v>
      </c>
      <c r="D8001" t="inlineStr">
        <is>
          <t>VÄSTERNORRLANDS LÄN</t>
        </is>
      </c>
      <c r="E8001" t="inlineStr">
        <is>
          <t>SOLLEFTEÅ</t>
        </is>
      </c>
      <c r="F8001" t="inlineStr">
        <is>
          <t>SCA</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12806-2025</t>
        </is>
      </c>
      <c r="B8002" s="1" t="n">
        <v>45733.61518518518</v>
      </c>
      <c r="C8002" s="1" t="n">
        <v>46185</v>
      </c>
      <c r="D8002" t="inlineStr">
        <is>
          <t>VÄSTERNORRLANDS LÄN</t>
        </is>
      </c>
      <c r="E8002" t="inlineStr">
        <is>
          <t>ÅNGE</t>
        </is>
      </c>
      <c r="F8002" t="inlineStr">
        <is>
          <t>SCA</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20024-2023</t>
        </is>
      </c>
      <c r="B8003" s="1" t="n">
        <v>45051</v>
      </c>
      <c r="C8003" s="1" t="n">
        <v>46185</v>
      </c>
      <c r="D8003" t="inlineStr">
        <is>
          <t>VÄSTERNORRLANDS LÄN</t>
        </is>
      </c>
      <c r="E8003" t="inlineStr">
        <is>
          <t>ÅNGE</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18370-2026</t>
        </is>
      </c>
      <c r="B8004" s="1" t="n">
        <v>46125</v>
      </c>
      <c r="C8004" s="1" t="n">
        <v>46185</v>
      </c>
      <c r="D8004" t="inlineStr">
        <is>
          <t>VÄSTERNORRLANDS LÄN</t>
        </is>
      </c>
      <c r="E8004" t="inlineStr">
        <is>
          <t>ÖRNSKÖLDSVIK</t>
        </is>
      </c>
      <c r="G8004" t="n">
        <v>10.9</v>
      </c>
      <c r="H8004" t="n">
        <v>0</v>
      </c>
      <c r="I8004" t="n">
        <v>0</v>
      </c>
      <c r="J8004" t="n">
        <v>0</v>
      </c>
      <c r="K8004" t="n">
        <v>0</v>
      </c>
      <c r="L8004" t="n">
        <v>0</v>
      </c>
      <c r="M8004" t="n">
        <v>0</v>
      </c>
      <c r="N8004" t="n">
        <v>0</v>
      </c>
      <c r="O8004" t="n">
        <v>0</v>
      </c>
      <c r="P8004" t="n">
        <v>0</v>
      </c>
      <c r="Q8004" t="n">
        <v>0</v>
      </c>
      <c r="R8004" s="2" t="inlineStr"/>
    </row>
    <row r="8005" ht="15" customHeight="1">
      <c r="A8005" t="inlineStr">
        <is>
          <t>A 23652-2026</t>
        </is>
      </c>
      <c r="B8005" s="1" t="n">
        <v>46164.35561342593</v>
      </c>
      <c r="C8005" s="1" t="n">
        <v>46185</v>
      </c>
      <c r="D8005" t="inlineStr">
        <is>
          <t>VÄSTERNORRLANDS LÄN</t>
        </is>
      </c>
      <c r="E8005" t="inlineStr">
        <is>
          <t>KRAMFORS</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13909-2025</t>
        </is>
      </c>
      <c r="B8006" s="1" t="n">
        <v>45737.64438657407</v>
      </c>
      <c r="C8006" s="1" t="n">
        <v>46185</v>
      </c>
      <c r="D8006" t="inlineStr">
        <is>
          <t>VÄSTERNORRLANDS LÄN</t>
        </is>
      </c>
      <c r="E8006" t="inlineStr">
        <is>
          <t>ÖRNSKÖLDSVIK</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23688-2026</t>
        </is>
      </c>
      <c r="B8007" s="1" t="n">
        <v>46164.41030092593</v>
      </c>
      <c r="C8007" s="1" t="n">
        <v>46185</v>
      </c>
      <c r="D8007" t="inlineStr">
        <is>
          <t>VÄSTERNORRLANDS LÄN</t>
        </is>
      </c>
      <c r="E8007" t="inlineStr">
        <is>
          <t>KRAMFORS</t>
        </is>
      </c>
      <c r="G8007" t="n">
        <v>6.8</v>
      </c>
      <c r="H8007" t="n">
        <v>0</v>
      </c>
      <c r="I8007" t="n">
        <v>0</v>
      </c>
      <c r="J8007" t="n">
        <v>0</v>
      </c>
      <c r="K8007" t="n">
        <v>0</v>
      </c>
      <c r="L8007" t="n">
        <v>0</v>
      </c>
      <c r="M8007" t="n">
        <v>0</v>
      </c>
      <c r="N8007" t="n">
        <v>0</v>
      </c>
      <c r="O8007" t="n">
        <v>0</v>
      </c>
      <c r="P8007" t="n">
        <v>0</v>
      </c>
      <c r="Q8007" t="n">
        <v>0</v>
      </c>
      <c r="R8007" s="2" t="inlineStr"/>
    </row>
    <row r="8008" ht="15" customHeight="1">
      <c r="A8008" t="inlineStr">
        <is>
          <t>A 49027-2024</t>
        </is>
      </c>
      <c r="B8008" s="1" t="n">
        <v>45594.51758101852</v>
      </c>
      <c r="C8008" s="1" t="n">
        <v>46185</v>
      </c>
      <c r="D8008" t="inlineStr">
        <is>
          <t>VÄSTERNORRLANDS LÄN</t>
        </is>
      </c>
      <c r="E8008" t="inlineStr">
        <is>
          <t>ÖRNSKÖLDSVIK</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23838-2026</t>
        </is>
      </c>
      <c r="B8009" s="1" t="n">
        <v>46167.34450231482</v>
      </c>
      <c r="C8009" s="1" t="n">
        <v>46185</v>
      </c>
      <c r="D8009" t="inlineStr">
        <is>
          <t>VÄSTERNORRLANDS LÄN</t>
        </is>
      </c>
      <c r="E8009" t="inlineStr">
        <is>
          <t>SOLLEFTEÅ</t>
        </is>
      </c>
      <c r="F8009" t="inlineStr">
        <is>
          <t>SCA</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13567-2026</t>
        </is>
      </c>
      <c r="B8010" s="1" t="n">
        <v>46095</v>
      </c>
      <c r="C8010" s="1" t="n">
        <v>46185</v>
      </c>
      <c r="D8010" t="inlineStr">
        <is>
          <t>VÄSTERNORRLANDS LÄN</t>
        </is>
      </c>
      <c r="E8010" t="inlineStr">
        <is>
          <t>TIMRÅ</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18168-2026</t>
        </is>
      </c>
      <c r="B8011" s="1" t="n">
        <v>46125.65699074074</v>
      </c>
      <c r="C8011" s="1" t="n">
        <v>46185</v>
      </c>
      <c r="D8011" t="inlineStr">
        <is>
          <t>VÄSTERNORRLANDS LÄN</t>
        </is>
      </c>
      <c r="E8011" t="inlineStr">
        <is>
          <t>SOLLEFTEÅ</t>
        </is>
      </c>
      <c r="F8011" t="inlineStr">
        <is>
          <t>SCA</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18169-2026</t>
        </is>
      </c>
      <c r="B8012" s="1" t="n">
        <v>46125.6571875</v>
      </c>
      <c r="C8012" s="1" t="n">
        <v>46185</v>
      </c>
      <c r="D8012" t="inlineStr">
        <is>
          <t>VÄSTERNORRLANDS LÄN</t>
        </is>
      </c>
      <c r="E8012" t="inlineStr">
        <is>
          <t>SOLLEFTEÅ</t>
        </is>
      </c>
      <c r="F8012" t="inlineStr">
        <is>
          <t>SCA</t>
        </is>
      </c>
      <c r="G8012" t="n">
        <v>13.4</v>
      </c>
      <c r="H8012" t="n">
        <v>0</v>
      </c>
      <c r="I8012" t="n">
        <v>0</v>
      </c>
      <c r="J8012" t="n">
        <v>0</v>
      </c>
      <c r="K8012" t="n">
        <v>0</v>
      </c>
      <c r="L8012" t="n">
        <v>0</v>
      </c>
      <c r="M8012" t="n">
        <v>0</v>
      </c>
      <c r="N8012" t="n">
        <v>0</v>
      </c>
      <c r="O8012" t="n">
        <v>0</v>
      </c>
      <c r="P8012" t="n">
        <v>0</v>
      </c>
      <c r="Q8012" t="n">
        <v>0</v>
      </c>
      <c r="R8012" s="2" t="inlineStr"/>
    </row>
    <row r="8013" ht="15" customHeight="1">
      <c r="A8013" t="inlineStr">
        <is>
          <t>A 53705-2024</t>
        </is>
      </c>
      <c r="B8013" s="1" t="n">
        <v>45615.40802083333</v>
      </c>
      <c r="C8013" s="1" t="n">
        <v>46185</v>
      </c>
      <c r="D8013" t="inlineStr">
        <is>
          <t>VÄSTERNORRLANDS LÄN</t>
        </is>
      </c>
      <c r="E8013" t="inlineStr">
        <is>
          <t>ÖRNSKÖLDSVIK</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40354-2024</t>
        </is>
      </c>
      <c r="B8014" s="1" t="n">
        <v>45555.36525462963</v>
      </c>
      <c r="C8014" s="1" t="n">
        <v>46185</v>
      </c>
      <c r="D8014" t="inlineStr">
        <is>
          <t>VÄSTERNORRLANDS LÄN</t>
        </is>
      </c>
      <c r="E8014" t="inlineStr">
        <is>
          <t>SOLLEFTEÅ</t>
        </is>
      </c>
      <c r="F8014" t="inlineStr">
        <is>
          <t>SCA</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23749-2026</t>
        </is>
      </c>
      <c r="B8015" s="1" t="n">
        <v>46164.52800925926</v>
      </c>
      <c r="C8015" s="1" t="n">
        <v>46185</v>
      </c>
      <c r="D8015" t="inlineStr">
        <is>
          <t>VÄSTERNORRLANDS LÄN</t>
        </is>
      </c>
      <c r="E8015" t="inlineStr">
        <is>
          <t>KRAMFORS</t>
        </is>
      </c>
      <c r="G8015" t="n">
        <v>8.1</v>
      </c>
      <c r="H8015" t="n">
        <v>0</v>
      </c>
      <c r="I8015" t="n">
        <v>0</v>
      </c>
      <c r="J8015" t="n">
        <v>0</v>
      </c>
      <c r="K8015" t="n">
        <v>0</v>
      </c>
      <c r="L8015" t="n">
        <v>0</v>
      </c>
      <c r="M8015" t="n">
        <v>0</v>
      </c>
      <c r="N8015" t="n">
        <v>0</v>
      </c>
      <c r="O8015" t="n">
        <v>0</v>
      </c>
      <c r="P8015" t="n">
        <v>0</v>
      </c>
      <c r="Q8015" t="n">
        <v>0</v>
      </c>
      <c r="R8015" s="2" t="inlineStr"/>
    </row>
    <row r="8016" ht="15" customHeight="1">
      <c r="A8016" t="inlineStr">
        <is>
          <t>A 23802-2026</t>
        </is>
      </c>
      <c r="B8016" s="1" t="n">
        <v>46164.62810185185</v>
      </c>
      <c r="C8016" s="1" t="n">
        <v>46185</v>
      </c>
      <c r="D8016" t="inlineStr">
        <is>
          <t>VÄSTERNORRLANDS LÄN</t>
        </is>
      </c>
      <c r="E8016" t="inlineStr">
        <is>
          <t>SUNDSVALL</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23805-2026</t>
        </is>
      </c>
      <c r="B8017" s="1" t="n">
        <v>46164.63591435185</v>
      </c>
      <c r="C8017" s="1" t="n">
        <v>46185</v>
      </c>
      <c r="D8017" t="inlineStr">
        <is>
          <t>VÄSTERNORRLANDS LÄN</t>
        </is>
      </c>
      <c r="E8017" t="inlineStr">
        <is>
          <t>SUNDSVALL</t>
        </is>
      </c>
      <c r="F8017" t="inlineStr">
        <is>
          <t>SCA</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17964-2026</t>
        </is>
      </c>
      <c r="B8018" s="1" t="n">
        <v>46123.34440972222</v>
      </c>
      <c r="C8018" s="1" t="n">
        <v>46185</v>
      </c>
      <c r="D8018" t="inlineStr">
        <is>
          <t>VÄSTERNORRLANDS LÄN</t>
        </is>
      </c>
      <c r="E8018" t="inlineStr">
        <is>
          <t>SUNDSVALL</t>
        </is>
      </c>
      <c r="F8018" t="inlineStr">
        <is>
          <t>SCA</t>
        </is>
      </c>
      <c r="G8018" t="n">
        <v>4.8</v>
      </c>
      <c r="H8018" t="n">
        <v>0</v>
      </c>
      <c r="I8018" t="n">
        <v>0</v>
      </c>
      <c r="J8018" t="n">
        <v>0</v>
      </c>
      <c r="K8018" t="n">
        <v>0</v>
      </c>
      <c r="L8018" t="n">
        <v>0</v>
      </c>
      <c r="M8018" t="n">
        <v>0</v>
      </c>
      <c r="N8018" t="n">
        <v>0</v>
      </c>
      <c r="O8018" t="n">
        <v>0</v>
      </c>
      <c r="P8018" t="n">
        <v>0</v>
      </c>
      <c r="Q8018" t="n">
        <v>0</v>
      </c>
      <c r="R8018" s="2" t="inlineStr"/>
    </row>
    <row r="8019" ht="15" customHeight="1">
      <c r="A8019" t="inlineStr">
        <is>
          <t>A 17922-2026</t>
        </is>
      </c>
      <c r="B8019" s="1" t="n">
        <v>46122.61457175926</v>
      </c>
      <c r="C8019" s="1" t="n">
        <v>46185</v>
      </c>
      <c r="D8019" t="inlineStr">
        <is>
          <t>VÄSTERNORRLANDS LÄN</t>
        </is>
      </c>
      <c r="E8019" t="inlineStr">
        <is>
          <t>ÅNGE</t>
        </is>
      </c>
      <c r="F8019" t="inlineStr">
        <is>
          <t>Sveaskog</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18074-2026</t>
        </is>
      </c>
      <c r="B8020" s="1" t="n">
        <v>46125.49201388889</v>
      </c>
      <c r="C8020" s="1" t="n">
        <v>46185</v>
      </c>
      <c r="D8020" t="inlineStr">
        <is>
          <t>VÄSTERNORRLANDS LÄN</t>
        </is>
      </c>
      <c r="E8020" t="inlineStr">
        <is>
          <t>TIMRÅ</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13164-2022</t>
        </is>
      </c>
      <c r="B8021" s="1" t="n">
        <v>44644</v>
      </c>
      <c r="C8021" s="1" t="n">
        <v>46185</v>
      </c>
      <c r="D8021" t="inlineStr">
        <is>
          <t>VÄSTERNORRLANDS LÄN</t>
        </is>
      </c>
      <c r="E8021" t="inlineStr">
        <is>
          <t>ÅNGE</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381-2025</t>
        </is>
      </c>
      <c r="B8022" s="1" t="n">
        <v>45662.4591087963</v>
      </c>
      <c r="C8022" s="1" t="n">
        <v>46185</v>
      </c>
      <c r="D8022" t="inlineStr">
        <is>
          <t>VÄSTERNORRLANDS LÄN</t>
        </is>
      </c>
      <c r="E8022" t="inlineStr">
        <is>
          <t>SUNDSVALL</t>
        </is>
      </c>
      <c r="G8022" t="n">
        <v>6.5</v>
      </c>
      <c r="H8022" t="n">
        <v>0</v>
      </c>
      <c r="I8022" t="n">
        <v>0</v>
      </c>
      <c r="J8022" t="n">
        <v>0</v>
      </c>
      <c r="K8022" t="n">
        <v>0</v>
      </c>
      <c r="L8022" t="n">
        <v>0</v>
      </c>
      <c r="M8022" t="n">
        <v>0</v>
      </c>
      <c r="N8022" t="n">
        <v>0</v>
      </c>
      <c r="O8022" t="n">
        <v>0</v>
      </c>
      <c r="P8022" t="n">
        <v>0</v>
      </c>
      <c r="Q8022" t="n">
        <v>0</v>
      </c>
      <c r="R8022" s="2" t="inlineStr"/>
    </row>
    <row r="8023" ht="15" customHeight="1">
      <c r="A8023" t="inlineStr">
        <is>
          <t>A 382-2025</t>
        </is>
      </c>
      <c r="B8023" s="1" t="n">
        <v>45662.46572916667</v>
      </c>
      <c r="C8023" s="1" t="n">
        <v>46185</v>
      </c>
      <c r="D8023" t="inlineStr">
        <is>
          <t>VÄSTERNORRLANDS LÄN</t>
        </is>
      </c>
      <c r="E8023" t="inlineStr">
        <is>
          <t>SUNDSVALL</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5456-2024</t>
        </is>
      </c>
      <c r="B8024" s="1" t="n">
        <v>45331</v>
      </c>
      <c r="C8024" s="1" t="n">
        <v>46185</v>
      </c>
      <c r="D8024" t="inlineStr">
        <is>
          <t>VÄSTERNORRLANDS LÄN</t>
        </is>
      </c>
      <c r="E8024" t="inlineStr">
        <is>
          <t>ÅNGE</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18167-2026</t>
        </is>
      </c>
      <c r="B8025" s="1" t="n">
        <v>46125.65689814815</v>
      </c>
      <c r="C8025" s="1" t="n">
        <v>46185</v>
      </c>
      <c r="D8025" t="inlineStr">
        <is>
          <t>VÄSTERNORRLANDS LÄN</t>
        </is>
      </c>
      <c r="E8025" t="inlineStr">
        <is>
          <t>SOLLEFTEÅ</t>
        </is>
      </c>
      <c r="F8025" t="inlineStr">
        <is>
          <t>SCA</t>
        </is>
      </c>
      <c r="G8025" t="n">
        <v>0.3</v>
      </c>
      <c r="H8025" t="n">
        <v>0</v>
      </c>
      <c r="I8025" t="n">
        <v>0</v>
      </c>
      <c r="J8025" t="n">
        <v>0</v>
      </c>
      <c r="K8025" t="n">
        <v>0</v>
      </c>
      <c r="L8025" t="n">
        <v>0</v>
      </c>
      <c r="M8025" t="n">
        <v>0</v>
      </c>
      <c r="N8025" t="n">
        <v>0</v>
      </c>
      <c r="O8025" t="n">
        <v>0</v>
      </c>
      <c r="P8025" t="n">
        <v>0</v>
      </c>
      <c r="Q8025" t="n">
        <v>0</v>
      </c>
      <c r="R8025" s="2" t="inlineStr"/>
    </row>
    <row r="8026" ht="15" customHeight="1">
      <c r="A8026" t="inlineStr">
        <is>
          <t>A 18155-2026</t>
        </is>
      </c>
      <c r="B8026" s="1" t="n">
        <v>46125.63591435185</v>
      </c>
      <c r="C8026" s="1" t="n">
        <v>46185</v>
      </c>
      <c r="D8026" t="inlineStr">
        <is>
          <t>VÄSTERNORRLANDS LÄN</t>
        </is>
      </c>
      <c r="E8026" t="inlineStr">
        <is>
          <t>SOLLEFTEÅ</t>
        </is>
      </c>
      <c r="F8026" t="inlineStr">
        <is>
          <t>SCA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41999-2023</t>
        </is>
      </c>
      <c r="B8027" s="1" t="n">
        <v>45174</v>
      </c>
      <c r="C8027" s="1" t="n">
        <v>46185</v>
      </c>
      <c r="D8027" t="inlineStr">
        <is>
          <t>VÄSTERNORRLANDS LÄN</t>
        </is>
      </c>
      <c r="E8027" t="inlineStr">
        <is>
          <t>ÖRNSKÖLDSVIK</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17874-2026</t>
        </is>
      </c>
      <c r="B8028" s="1" t="n">
        <v>46122</v>
      </c>
      <c r="C8028" s="1" t="n">
        <v>46185</v>
      </c>
      <c r="D8028" t="inlineStr">
        <is>
          <t>VÄSTERNORRLANDS LÄN</t>
        </is>
      </c>
      <c r="E8028" t="inlineStr">
        <is>
          <t>HÄRNÖSAND</t>
        </is>
      </c>
      <c r="G8028" t="n">
        <v>8.300000000000001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30474-2024</t>
        </is>
      </c>
      <c r="B8029" s="1" t="n">
        <v>45491</v>
      </c>
      <c r="C8029" s="1" t="n">
        <v>46185</v>
      </c>
      <c r="D8029" t="inlineStr">
        <is>
          <t>VÄSTERNORRLANDS LÄN</t>
        </is>
      </c>
      <c r="E8029" t="inlineStr">
        <is>
          <t>ÅNGE</t>
        </is>
      </c>
      <c r="F8029" t="inlineStr">
        <is>
          <t>SCA</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17917-2026</t>
        </is>
      </c>
      <c r="B8030" s="1" t="n">
        <v>46122.60832175926</v>
      </c>
      <c r="C8030" s="1" t="n">
        <v>46185</v>
      </c>
      <c r="D8030" t="inlineStr">
        <is>
          <t>VÄSTERNORRLANDS LÄN</t>
        </is>
      </c>
      <c r="E8030" t="inlineStr">
        <is>
          <t>ÅNGE</t>
        </is>
      </c>
      <c r="F8030" t="inlineStr">
        <is>
          <t>Sveaskog</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27319-2024</t>
        </is>
      </c>
      <c r="B8031" s="1" t="n">
        <v>45471</v>
      </c>
      <c r="C8031" s="1" t="n">
        <v>46185</v>
      </c>
      <c r="D8031" t="inlineStr">
        <is>
          <t>VÄSTERNORRLANDS LÄN</t>
        </is>
      </c>
      <c r="E8031" t="inlineStr">
        <is>
          <t>SUNDSVALL</t>
        </is>
      </c>
      <c r="F8031" t="inlineStr">
        <is>
          <t>SCA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49789-2024</t>
        </is>
      </c>
      <c r="B8032" s="1" t="n">
        <v>45597.36646990741</v>
      </c>
      <c r="C8032" s="1" t="n">
        <v>46185</v>
      </c>
      <c r="D8032" t="inlineStr">
        <is>
          <t>VÄSTERNORRLANDS LÄN</t>
        </is>
      </c>
      <c r="E8032" t="inlineStr">
        <is>
          <t>SUNDSVALL</t>
        </is>
      </c>
      <c r="F8032" t="inlineStr">
        <is>
          <t>SCA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49790-2024</t>
        </is>
      </c>
      <c r="B8033" s="1" t="n">
        <v>45597.36650462963</v>
      </c>
      <c r="C8033" s="1" t="n">
        <v>46185</v>
      </c>
      <c r="D8033" t="inlineStr">
        <is>
          <t>VÄSTERNORRLANDS LÄN</t>
        </is>
      </c>
      <c r="E8033" t="inlineStr">
        <is>
          <t>ÖRNSKÖLDSVIK</t>
        </is>
      </c>
      <c r="F8033" t="inlineStr">
        <is>
          <t>Holmen skog AB</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18344-2026</t>
        </is>
      </c>
      <c r="B8034" s="1" t="n">
        <v>46125</v>
      </c>
      <c r="C8034" s="1" t="n">
        <v>46185</v>
      </c>
      <c r="D8034" t="inlineStr">
        <is>
          <t>VÄSTERNORRLANDS LÄN</t>
        </is>
      </c>
      <c r="E8034" t="inlineStr">
        <is>
          <t>ÖRNSKÖLDSVIK</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23896-2026</t>
        </is>
      </c>
      <c r="B8035" s="1" t="n">
        <v>46167.46474537037</v>
      </c>
      <c r="C8035" s="1" t="n">
        <v>46185</v>
      </c>
      <c r="D8035" t="inlineStr">
        <is>
          <t>VÄSTERNORRLANDS LÄN</t>
        </is>
      </c>
      <c r="E8035" t="inlineStr">
        <is>
          <t>HÄRNÖSAND</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55684-2024</t>
        </is>
      </c>
      <c r="B8036" s="1" t="n">
        <v>45622.66326388889</v>
      </c>
      <c r="C8036" s="1" t="n">
        <v>46185</v>
      </c>
      <c r="D8036" t="inlineStr">
        <is>
          <t>VÄSTERNORRLANDS LÄN</t>
        </is>
      </c>
      <c r="E8036" t="inlineStr">
        <is>
          <t>ÖRNSKÖLDSVIK</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55692-2024</t>
        </is>
      </c>
      <c r="B8037" s="1" t="n">
        <v>45622</v>
      </c>
      <c r="C8037" s="1" t="n">
        <v>46185</v>
      </c>
      <c r="D8037" t="inlineStr">
        <is>
          <t>VÄSTERNORRLANDS LÄN</t>
        </is>
      </c>
      <c r="E8037" t="inlineStr">
        <is>
          <t>SOLLEFTEÅ</t>
        </is>
      </c>
      <c r="F8037" t="inlineStr">
        <is>
          <t>SCA</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35939-2023</t>
        </is>
      </c>
      <c r="B8038" s="1" t="n">
        <v>45148</v>
      </c>
      <c r="C8038" s="1" t="n">
        <v>46185</v>
      </c>
      <c r="D8038" t="inlineStr">
        <is>
          <t>VÄSTERNORRLANDS LÄN</t>
        </is>
      </c>
      <c r="E8038" t="inlineStr">
        <is>
          <t>TIMRÅ</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17947-2026</t>
        </is>
      </c>
      <c r="B8039" s="1" t="n">
        <v>46122.65401620371</v>
      </c>
      <c r="C8039" s="1" t="n">
        <v>46185</v>
      </c>
      <c r="D8039" t="inlineStr">
        <is>
          <t>VÄSTERNORRLANDS LÄN</t>
        </is>
      </c>
      <c r="E8039" t="inlineStr">
        <is>
          <t>ÖRNSKÖLDSVIK</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55792-2024</t>
        </is>
      </c>
      <c r="B8040" s="1" t="n">
        <v>45623</v>
      </c>
      <c r="C8040" s="1" t="n">
        <v>46185</v>
      </c>
      <c r="D8040" t="inlineStr">
        <is>
          <t>VÄSTERNORRLANDS LÄN</t>
        </is>
      </c>
      <c r="E8040" t="inlineStr">
        <is>
          <t>SOLLEFTEÅ</t>
        </is>
      </c>
      <c r="F8040" t="inlineStr">
        <is>
          <t>SCA</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23840-2026</t>
        </is>
      </c>
      <c r="B8041" s="1" t="n">
        <v>46167.34458333333</v>
      </c>
      <c r="C8041" s="1" t="n">
        <v>46185</v>
      </c>
      <c r="D8041" t="inlineStr">
        <is>
          <t>VÄSTERNORRLANDS LÄN</t>
        </is>
      </c>
      <c r="E8041" t="inlineStr">
        <is>
          <t>SOLLEFTEÅ</t>
        </is>
      </c>
      <c r="F8041" t="inlineStr">
        <is>
          <t>SCA</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71965-2021</t>
        </is>
      </c>
      <c r="B8042" s="1" t="n">
        <v>44544.32483796297</v>
      </c>
      <c r="C8042" s="1" t="n">
        <v>46185</v>
      </c>
      <c r="D8042" t="inlineStr">
        <is>
          <t>VÄSTERNORRLANDS LÄN</t>
        </is>
      </c>
      <c r="E8042" t="inlineStr">
        <is>
          <t>ÅNGE</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56566-2024</t>
        </is>
      </c>
      <c r="B8043" s="1" t="n">
        <v>45625.5858912037</v>
      </c>
      <c r="C8043" s="1" t="n">
        <v>46185</v>
      </c>
      <c r="D8043" t="inlineStr">
        <is>
          <t>VÄSTERNORRLANDS LÄN</t>
        </is>
      </c>
      <c r="E8043" t="inlineStr">
        <is>
          <t>ÖRNSKÖLDSVIK</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56574-2024</t>
        </is>
      </c>
      <c r="B8044" s="1" t="n">
        <v>45625.59616898148</v>
      </c>
      <c r="C8044" s="1" t="n">
        <v>46185</v>
      </c>
      <c r="D8044" t="inlineStr">
        <is>
          <t>VÄSTERNORRLANDS LÄN</t>
        </is>
      </c>
      <c r="E8044" t="inlineStr">
        <is>
          <t>ÅNGE</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3001-2022</t>
        </is>
      </c>
      <c r="B8045" s="1" t="n">
        <v>44581</v>
      </c>
      <c r="C8045" s="1" t="n">
        <v>46185</v>
      </c>
      <c r="D8045" t="inlineStr">
        <is>
          <t>VÄSTERNORRLANDS LÄN</t>
        </is>
      </c>
      <c r="E8045" t="inlineStr">
        <is>
          <t>SOLLEFTEÅ</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18112-2026</t>
        </is>
      </c>
      <c r="B8046" s="1" t="n">
        <v>46125.57349537037</v>
      </c>
      <c r="C8046" s="1" t="n">
        <v>46185</v>
      </c>
      <c r="D8046" t="inlineStr">
        <is>
          <t>VÄSTERNORRLANDS LÄN</t>
        </is>
      </c>
      <c r="E8046" t="inlineStr">
        <is>
          <t>ÅNGE</t>
        </is>
      </c>
      <c r="F8046" t="inlineStr">
        <is>
          <t>SCA</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18170-2026</t>
        </is>
      </c>
      <c r="B8047" s="1" t="n">
        <v>46125.65731481482</v>
      </c>
      <c r="C8047" s="1" t="n">
        <v>46185</v>
      </c>
      <c r="D8047" t="inlineStr">
        <is>
          <t>VÄSTERNORRLANDS LÄN</t>
        </is>
      </c>
      <c r="E8047" t="inlineStr">
        <is>
          <t>ÖRNSKÖLDSVIK</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28763-2024</t>
        </is>
      </c>
      <c r="B8048" s="1" t="n">
        <v>45478.59087962963</v>
      </c>
      <c r="C8048" s="1" t="n">
        <v>46185</v>
      </c>
      <c r="D8048" t="inlineStr">
        <is>
          <t>VÄSTERNORRLANDS LÄN</t>
        </is>
      </c>
      <c r="E8048" t="inlineStr">
        <is>
          <t>ÖRNSKÖLDSVIK</t>
        </is>
      </c>
      <c r="F8048" t="inlineStr">
        <is>
          <t>Holmen skog AB</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23797-2026</t>
        </is>
      </c>
      <c r="B8049" s="1" t="n">
        <v>46164.61508101852</v>
      </c>
      <c r="C8049" s="1" t="n">
        <v>46185</v>
      </c>
      <c r="D8049" t="inlineStr">
        <is>
          <t>VÄSTERNORRLANDS LÄN</t>
        </is>
      </c>
      <c r="E8049" t="inlineStr">
        <is>
          <t>SOLLEFTEÅ</t>
        </is>
      </c>
      <c r="F8049" t="inlineStr">
        <is>
          <t>SCA</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23799-2026</t>
        </is>
      </c>
      <c r="B8050" s="1" t="n">
        <v>46164.61543981481</v>
      </c>
      <c r="C8050" s="1" t="n">
        <v>46185</v>
      </c>
      <c r="D8050" t="inlineStr">
        <is>
          <t>VÄSTERNORRLANDS LÄN</t>
        </is>
      </c>
      <c r="E8050" t="inlineStr">
        <is>
          <t>SUNDSVALL</t>
        </is>
      </c>
      <c r="F8050" t="inlineStr">
        <is>
          <t>SCA</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31188-2023</t>
        </is>
      </c>
      <c r="B8051" s="1" t="n">
        <v>45113.94945601852</v>
      </c>
      <c r="C8051" s="1" t="n">
        <v>46185</v>
      </c>
      <c r="D8051" t="inlineStr">
        <is>
          <t>VÄSTERNORRLANDS LÄN</t>
        </is>
      </c>
      <c r="E8051" t="inlineStr">
        <is>
          <t>ÖRNSKÖLDSVIK</t>
        </is>
      </c>
      <c r="F8051" t="inlineStr">
        <is>
          <t>SCA</t>
        </is>
      </c>
      <c r="G8051" t="n">
        <v>8.699999999999999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23810-2026</t>
        </is>
      </c>
      <c r="B8052" s="1" t="n">
        <v>46164.65672453704</v>
      </c>
      <c r="C8052" s="1" t="n">
        <v>46185</v>
      </c>
      <c r="D8052" t="inlineStr">
        <is>
          <t>VÄSTERNORRLANDS LÄN</t>
        </is>
      </c>
      <c r="E8052" t="inlineStr">
        <is>
          <t>ÖRNSKÖLDSVIK</t>
        </is>
      </c>
      <c r="F8052" t="inlineStr">
        <is>
          <t>SCA</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58087-2024</t>
        </is>
      </c>
      <c r="B8053" s="1" t="n">
        <v>45632.34502314815</v>
      </c>
      <c r="C8053" s="1" t="n">
        <v>46185</v>
      </c>
      <c r="D8053" t="inlineStr">
        <is>
          <t>VÄSTERNORRLANDS LÄN</t>
        </is>
      </c>
      <c r="E8053" t="inlineStr">
        <is>
          <t>ÅNGE</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24461-2024</t>
        </is>
      </c>
      <c r="B8054" s="1" t="n">
        <v>45457.96806712963</v>
      </c>
      <c r="C8054" s="1" t="n">
        <v>46185</v>
      </c>
      <c r="D8054" t="inlineStr">
        <is>
          <t>VÄSTERNORRLANDS LÄN</t>
        </is>
      </c>
      <c r="E8054" t="inlineStr">
        <is>
          <t>SOLLEFTEÅ</t>
        </is>
      </c>
      <c r="F8054" t="inlineStr">
        <is>
          <t>SCA</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31670-2024</t>
        </is>
      </c>
      <c r="B8055" s="1" t="n">
        <v>45506.94805555556</v>
      </c>
      <c r="C8055" s="1" t="n">
        <v>46185</v>
      </c>
      <c r="D8055" t="inlineStr">
        <is>
          <t>VÄSTERNORRLANDS LÄN</t>
        </is>
      </c>
      <c r="E8055" t="inlineStr">
        <is>
          <t>SOLLEFTEÅ</t>
        </is>
      </c>
      <c r="F8055" t="inlineStr">
        <is>
          <t>SCA</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31681-2024</t>
        </is>
      </c>
      <c r="B8056" s="1" t="n">
        <v>45506.94902777778</v>
      </c>
      <c r="C8056" s="1" t="n">
        <v>46185</v>
      </c>
      <c r="D8056" t="inlineStr">
        <is>
          <t>VÄSTERNORRLANDS LÄN</t>
        </is>
      </c>
      <c r="E8056" t="inlineStr">
        <is>
          <t>SOLLEFTEÅ</t>
        </is>
      </c>
      <c r="F8056" t="inlineStr">
        <is>
          <t>SCA</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57487-2024</t>
        </is>
      </c>
      <c r="B8057" s="1" t="n">
        <v>45630.36166666666</v>
      </c>
      <c r="C8057" s="1" t="n">
        <v>46185</v>
      </c>
      <c r="D8057" t="inlineStr">
        <is>
          <t>VÄSTERNORRLANDS LÄN</t>
        </is>
      </c>
      <c r="E8057" t="inlineStr">
        <is>
          <t>SOLLEFTEÅ</t>
        </is>
      </c>
      <c r="F8057" t="inlineStr">
        <is>
          <t>Holmen skog AB</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35808-2023</t>
        </is>
      </c>
      <c r="B8058" s="1" t="n">
        <v>45147</v>
      </c>
      <c r="C8058" s="1" t="n">
        <v>46185</v>
      </c>
      <c r="D8058" t="inlineStr">
        <is>
          <t>VÄSTERNORRLANDS LÄN</t>
        </is>
      </c>
      <c r="E8058" t="inlineStr">
        <is>
          <t>HÄRNÖSAND</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50223-2024</t>
        </is>
      </c>
      <c r="B8059" s="1" t="n">
        <v>45600.53878472222</v>
      </c>
      <c r="C8059" s="1" t="n">
        <v>46185</v>
      </c>
      <c r="D8059" t="inlineStr">
        <is>
          <t>VÄSTERNORRLANDS LÄN</t>
        </is>
      </c>
      <c r="E8059" t="inlineStr">
        <is>
          <t>ÖRNSKÖLDSVIK</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50231-2024</t>
        </is>
      </c>
      <c r="B8060" s="1" t="n">
        <v>45600.55251157407</v>
      </c>
      <c r="C8060" s="1" t="n">
        <v>46185</v>
      </c>
      <c r="D8060" t="inlineStr">
        <is>
          <t>VÄSTERNORRLANDS LÄN</t>
        </is>
      </c>
      <c r="E8060" t="inlineStr">
        <is>
          <t>ÅNGE</t>
        </is>
      </c>
      <c r="F8060" t="inlineStr">
        <is>
          <t>SCA</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23655-2026</t>
        </is>
      </c>
      <c r="B8061" s="1" t="n">
        <v>46164.3640625</v>
      </c>
      <c r="C8061" s="1" t="n">
        <v>46185</v>
      </c>
      <c r="D8061" t="inlineStr">
        <is>
          <t>VÄSTERNORRLANDS LÄN</t>
        </is>
      </c>
      <c r="E8061" t="inlineStr">
        <is>
          <t>KRAMFORS</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23668-2026</t>
        </is>
      </c>
      <c r="B8062" s="1" t="n">
        <v>46164.38342592592</v>
      </c>
      <c r="C8062" s="1" t="n">
        <v>46185</v>
      </c>
      <c r="D8062" t="inlineStr">
        <is>
          <t>VÄSTERNORRLANDS LÄN</t>
        </is>
      </c>
      <c r="E8062" t="inlineStr">
        <is>
          <t>KRAMFORS</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4116-2024</t>
        </is>
      </c>
      <c r="B8063" s="1" t="n">
        <v>45323</v>
      </c>
      <c r="C8063" s="1" t="n">
        <v>46185</v>
      </c>
      <c r="D8063" t="inlineStr">
        <is>
          <t>VÄSTERNORRLANDS LÄN</t>
        </is>
      </c>
      <c r="E8063" t="inlineStr">
        <is>
          <t>SUNDSVALL</t>
        </is>
      </c>
      <c r="F8063" t="inlineStr">
        <is>
          <t>Kommuner</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15702-2022</t>
        </is>
      </c>
      <c r="B8064" s="1" t="n">
        <v>44663</v>
      </c>
      <c r="C8064" s="1" t="n">
        <v>46185</v>
      </c>
      <c r="D8064" t="inlineStr">
        <is>
          <t>VÄSTERNORRLANDS LÄN</t>
        </is>
      </c>
      <c r="E8064" t="inlineStr">
        <is>
          <t>ÖRNSKÖLDSVIK</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18064-2026</t>
        </is>
      </c>
      <c r="B8065" s="1" t="n">
        <v>46125.46353009259</v>
      </c>
      <c r="C8065" s="1" t="n">
        <v>46185</v>
      </c>
      <c r="D8065" t="inlineStr">
        <is>
          <t>VÄSTERNORRLANDS LÄN</t>
        </is>
      </c>
      <c r="E8065" t="inlineStr">
        <is>
          <t>SUNDSVALL</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24007-2026</t>
        </is>
      </c>
      <c r="B8066" s="1" t="n">
        <v>46167.6508912037</v>
      </c>
      <c r="C8066" s="1" t="n">
        <v>46185</v>
      </c>
      <c r="D8066" t="inlineStr">
        <is>
          <t>VÄSTERNORRLANDS LÄN</t>
        </is>
      </c>
      <c r="E8066" t="inlineStr">
        <is>
          <t>ÖRNSKÖLDSVIK</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18144-2026</t>
        </is>
      </c>
      <c r="B8067" s="1" t="n">
        <v>46125.61525462963</v>
      </c>
      <c r="C8067" s="1" t="n">
        <v>46185</v>
      </c>
      <c r="D8067" t="inlineStr">
        <is>
          <t>VÄSTERNORRLANDS LÄN</t>
        </is>
      </c>
      <c r="E8067" t="inlineStr">
        <is>
          <t>ÅNGE</t>
        </is>
      </c>
      <c r="F8067" t="inlineStr">
        <is>
          <t>SCA</t>
        </is>
      </c>
      <c r="G8067" t="n">
        <v>6.8</v>
      </c>
      <c r="H8067" t="n">
        <v>0</v>
      </c>
      <c r="I8067" t="n">
        <v>0</v>
      </c>
      <c r="J8067" t="n">
        <v>0</v>
      </c>
      <c r="K8067" t="n">
        <v>0</v>
      </c>
      <c r="L8067" t="n">
        <v>0</v>
      </c>
      <c r="M8067" t="n">
        <v>0</v>
      </c>
      <c r="N8067" t="n">
        <v>0</v>
      </c>
      <c r="O8067" t="n">
        <v>0</v>
      </c>
      <c r="P8067" t="n">
        <v>0</v>
      </c>
      <c r="Q8067" t="n">
        <v>0</v>
      </c>
      <c r="R8067" s="2" t="inlineStr"/>
    </row>
    <row r="8068" ht="15" customHeight="1">
      <c r="A8068" t="inlineStr">
        <is>
          <t>A 48396-2024</t>
        </is>
      </c>
      <c r="B8068" s="1" t="n">
        <v>45590.61503472222</v>
      </c>
      <c r="C8068" s="1" t="n">
        <v>46185</v>
      </c>
      <c r="D8068" t="inlineStr">
        <is>
          <t>VÄSTERNORRLANDS LÄN</t>
        </is>
      </c>
      <c r="E8068" t="inlineStr">
        <is>
          <t>SOLLEFTEÅ</t>
        </is>
      </c>
      <c r="F8068" t="inlineStr">
        <is>
          <t>SCA</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52035-2024</t>
        </is>
      </c>
      <c r="B8069" s="1" t="n">
        <v>45608.30585648148</v>
      </c>
      <c r="C8069" s="1" t="n">
        <v>46185</v>
      </c>
      <c r="D8069" t="inlineStr">
        <is>
          <t>VÄSTERNORRLANDS LÄN</t>
        </is>
      </c>
      <c r="E8069" t="inlineStr">
        <is>
          <t>SUNDSVALL</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17726-2026</t>
        </is>
      </c>
      <c r="B8070" s="1" t="n">
        <v>46121</v>
      </c>
      <c r="C8070" s="1" t="n">
        <v>46185</v>
      </c>
      <c r="D8070" t="inlineStr">
        <is>
          <t>VÄSTERNORRLANDS LÄN</t>
        </is>
      </c>
      <c r="E8070" t="inlineStr">
        <is>
          <t>KRAMFORS</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23814-2026</t>
        </is>
      </c>
      <c r="B8071" s="1" t="n">
        <v>46164.67923611111</v>
      </c>
      <c r="C8071" s="1" t="n">
        <v>46185</v>
      </c>
      <c r="D8071" t="inlineStr">
        <is>
          <t>VÄSTERNORRLANDS LÄN</t>
        </is>
      </c>
      <c r="E8071" t="inlineStr">
        <is>
          <t>KRAMFORS</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45720-2024</t>
        </is>
      </c>
      <c r="B8072" s="1" t="n">
        <v>45579.59424768519</v>
      </c>
      <c r="C8072" s="1" t="n">
        <v>46185</v>
      </c>
      <c r="D8072" t="inlineStr">
        <is>
          <t>VÄSTERNORRLANDS LÄN</t>
        </is>
      </c>
      <c r="E8072" t="inlineStr">
        <is>
          <t>TIMRÅ</t>
        </is>
      </c>
      <c r="F8072" t="inlineStr">
        <is>
          <t>SCA</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18026-2026</t>
        </is>
      </c>
      <c r="B8073" s="1" t="n">
        <v>46125.37658564815</v>
      </c>
      <c r="C8073" s="1" t="n">
        <v>46185</v>
      </c>
      <c r="D8073" t="inlineStr">
        <is>
          <t>VÄSTERNORRLANDS LÄN</t>
        </is>
      </c>
      <c r="E8073" t="inlineStr">
        <is>
          <t>ÖRNSKÖLDSVIK</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24514-2022</t>
        </is>
      </c>
      <c r="B8074" s="1" t="n">
        <v>44726</v>
      </c>
      <c r="C8074" s="1" t="n">
        <v>46185</v>
      </c>
      <c r="D8074" t="inlineStr">
        <is>
          <t>VÄSTERNORRLANDS LÄN</t>
        </is>
      </c>
      <c r="E8074" t="inlineStr">
        <is>
          <t>SUNDSVALL</t>
        </is>
      </c>
      <c r="G8074" t="n">
        <v>10.5</v>
      </c>
      <c r="H8074" t="n">
        <v>0</v>
      </c>
      <c r="I8074" t="n">
        <v>0</v>
      </c>
      <c r="J8074" t="n">
        <v>0</v>
      </c>
      <c r="K8074" t="n">
        <v>0</v>
      </c>
      <c r="L8074" t="n">
        <v>0</v>
      </c>
      <c r="M8074" t="n">
        <v>0</v>
      </c>
      <c r="N8074" t="n">
        <v>0</v>
      </c>
      <c r="O8074" t="n">
        <v>0</v>
      </c>
      <c r="P8074" t="n">
        <v>0</v>
      </c>
      <c r="Q8074" t="n">
        <v>0</v>
      </c>
      <c r="R8074" s="2" t="inlineStr"/>
    </row>
    <row r="8075" ht="15" customHeight="1">
      <c r="A8075" t="inlineStr">
        <is>
          <t>A 21606-2026</t>
        </is>
      </c>
      <c r="B8075" s="1" t="n">
        <v>46149</v>
      </c>
      <c r="C8075" s="1" t="n">
        <v>46185</v>
      </c>
      <c r="D8075" t="inlineStr">
        <is>
          <t>VÄSTERNORRLANDS LÄN</t>
        </is>
      </c>
      <c r="E8075" t="inlineStr">
        <is>
          <t>SOLLEFTEÅ</t>
        </is>
      </c>
      <c r="F8075" t="inlineStr">
        <is>
          <t>SCA</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10554-2022</t>
        </is>
      </c>
      <c r="B8076" s="1" t="n">
        <v>44623.93775462963</v>
      </c>
      <c r="C8076" s="1" t="n">
        <v>46185</v>
      </c>
      <c r="D8076" t="inlineStr">
        <is>
          <t>VÄSTERNORRLANDS LÄN</t>
        </is>
      </c>
      <c r="E8076" t="inlineStr">
        <is>
          <t>SOLLEFTEÅ</t>
        </is>
      </c>
      <c r="F8076" t="inlineStr">
        <is>
          <t>SCA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24075-2026</t>
        </is>
      </c>
      <c r="B8077" s="1" t="n">
        <v>46168.36527777778</v>
      </c>
      <c r="C8077" s="1" t="n">
        <v>46185</v>
      </c>
      <c r="D8077" t="inlineStr">
        <is>
          <t>VÄSTERNORRLANDS LÄN</t>
        </is>
      </c>
      <c r="E8077" t="inlineStr">
        <is>
          <t>SOLLEFTEÅ</t>
        </is>
      </c>
      <c r="F8077" t="inlineStr">
        <is>
          <t>SCA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44202-2023</t>
        </is>
      </c>
      <c r="B8078" s="1" t="n">
        <v>45188.54469907407</v>
      </c>
      <c r="C8078" s="1" t="n">
        <v>46185</v>
      </c>
      <c r="D8078" t="inlineStr">
        <is>
          <t>VÄSTERNORRLANDS LÄN</t>
        </is>
      </c>
      <c r="E8078" t="inlineStr">
        <is>
          <t>ÖRNSKÖLDSVIK</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24219-2026</t>
        </is>
      </c>
      <c r="B8079" s="1" t="n">
        <v>46168.6362037037</v>
      </c>
      <c r="C8079" s="1" t="n">
        <v>46185</v>
      </c>
      <c r="D8079" t="inlineStr">
        <is>
          <t>VÄSTERNORRLANDS LÄN</t>
        </is>
      </c>
      <c r="E8079" t="inlineStr">
        <is>
          <t>SOLLEFTEÅ</t>
        </is>
      </c>
      <c r="F8079" t="inlineStr">
        <is>
          <t>SCA</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44210-2023</t>
        </is>
      </c>
      <c r="B8080" s="1" t="n">
        <v>45188</v>
      </c>
      <c r="C8080" s="1" t="n">
        <v>46185</v>
      </c>
      <c r="D8080" t="inlineStr">
        <is>
          <t>VÄSTERNORRLANDS LÄN</t>
        </is>
      </c>
      <c r="E8080" t="inlineStr">
        <is>
          <t>ÖRNSKÖLDSVIK</t>
        </is>
      </c>
      <c r="F8080" t="inlineStr">
        <is>
          <t>Holmen skog AB</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40384-2024</t>
        </is>
      </c>
      <c r="B8081" s="1" t="n">
        <v>45555.4275462963</v>
      </c>
      <c r="C8081" s="1" t="n">
        <v>46185</v>
      </c>
      <c r="D8081" t="inlineStr">
        <is>
          <t>VÄSTERNORRLANDS LÄN</t>
        </is>
      </c>
      <c r="E8081" t="inlineStr">
        <is>
          <t>SUNDSVALL</t>
        </is>
      </c>
      <c r="F8081" t="inlineStr">
        <is>
          <t>SCA</t>
        </is>
      </c>
      <c r="G8081" t="n">
        <v>5.6</v>
      </c>
      <c r="H8081" t="n">
        <v>0</v>
      </c>
      <c r="I8081" t="n">
        <v>0</v>
      </c>
      <c r="J8081" t="n">
        <v>0</v>
      </c>
      <c r="K8081" t="n">
        <v>0</v>
      </c>
      <c r="L8081" t="n">
        <v>0</v>
      </c>
      <c r="M8081" t="n">
        <v>0</v>
      </c>
      <c r="N8081" t="n">
        <v>0</v>
      </c>
      <c r="O8081" t="n">
        <v>0</v>
      </c>
      <c r="P8081" t="n">
        <v>0</v>
      </c>
      <c r="Q8081" t="n">
        <v>0</v>
      </c>
      <c r="R8081" s="2" t="inlineStr"/>
    </row>
    <row r="8082" ht="15" customHeight="1">
      <c r="A8082" t="inlineStr">
        <is>
          <t>A 24180-2026</t>
        </is>
      </c>
      <c r="B8082" s="1" t="n">
        <v>46168.59449074074</v>
      </c>
      <c r="C8082" s="1" t="n">
        <v>46185</v>
      </c>
      <c r="D8082" t="inlineStr">
        <is>
          <t>VÄSTERNORRLANDS LÄN</t>
        </is>
      </c>
      <c r="E8082" t="inlineStr">
        <is>
          <t>ÅNGE</t>
        </is>
      </c>
      <c r="F8082" t="inlineStr">
        <is>
          <t>SCA</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24189-2026</t>
        </is>
      </c>
      <c r="B8083" s="1" t="n">
        <v>46168.60273148148</v>
      </c>
      <c r="C8083" s="1" t="n">
        <v>46185</v>
      </c>
      <c r="D8083" t="inlineStr">
        <is>
          <t>VÄSTERNORRLANDS LÄN</t>
        </is>
      </c>
      <c r="E8083" t="inlineStr">
        <is>
          <t>ÅNGE</t>
        </is>
      </c>
      <c r="F8083" t="inlineStr">
        <is>
          <t>Sveaskog</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24216-2026</t>
        </is>
      </c>
      <c r="B8084" s="1" t="n">
        <v>46168.63591435185</v>
      </c>
      <c r="C8084" s="1" t="n">
        <v>46185</v>
      </c>
      <c r="D8084" t="inlineStr">
        <is>
          <t>VÄSTERNORRLANDS LÄN</t>
        </is>
      </c>
      <c r="E8084" t="inlineStr">
        <is>
          <t>SOLLEFTEÅ</t>
        </is>
      </c>
      <c r="F8084" t="inlineStr">
        <is>
          <t>SCA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24218-2026</t>
        </is>
      </c>
      <c r="B8085" s="1" t="n">
        <v>46168.63607638889</v>
      </c>
      <c r="C8085" s="1" t="n">
        <v>46185</v>
      </c>
      <c r="D8085" t="inlineStr">
        <is>
          <t>VÄSTERNORRLANDS LÄN</t>
        </is>
      </c>
      <c r="E8085" t="inlineStr">
        <is>
          <t>SOLLEFTEÅ</t>
        </is>
      </c>
      <c r="F8085" t="inlineStr">
        <is>
          <t>SCA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18570-2026</t>
        </is>
      </c>
      <c r="B8086" s="1" t="n">
        <v>46127.59449074074</v>
      </c>
      <c r="C8086" s="1" t="n">
        <v>46185</v>
      </c>
      <c r="D8086" t="inlineStr">
        <is>
          <t>VÄSTERNORRLANDS LÄN</t>
        </is>
      </c>
      <c r="E8086" t="inlineStr">
        <is>
          <t>SUNDSVALL</t>
        </is>
      </c>
      <c r="F8086" t="inlineStr">
        <is>
          <t>SCA</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24378-2026</t>
        </is>
      </c>
      <c r="B8087" s="1" t="n">
        <v>46169.60549768519</v>
      </c>
      <c r="C8087" s="1" t="n">
        <v>46185</v>
      </c>
      <c r="D8087" t="inlineStr">
        <is>
          <t>VÄSTERNORRLANDS LÄN</t>
        </is>
      </c>
      <c r="E8087" t="inlineStr">
        <is>
          <t>KRAMFORS</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40828-2022</t>
        </is>
      </c>
      <c r="B8088" s="1" t="n">
        <v>44824.92512731482</v>
      </c>
      <c r="C8088" s="1" t="n">
        <v>46185</v>
      </c>
      <c r="D8088" t="inlineStr">
        <is>
          <t>VÄSTERNORRLANDS LÄN</t>
        </is>
      </c>
      <c r="E8088" t="inlineStr">
        <is>
          <t>SUNDSVALL</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44498-2023</t>
        </is>
      </c>
      <c r="B8089" s="1" t="n">
        <v>45189.45719907407</v>
      </c>
      <c r="C8089" s="1" t="n">
        <v>46185</v>
      </c>
      <c r="D8089" t="inlineStr">
        <is>
          <t>VÄSTERNORRLANDS LÄN</t>
        </is>
      </c>
      <c r="E8089" t="inlineStr">
        <is>
          <t>ÖRNSKÖLDSVIK</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18390-2026</t>
        </is>
      </c>
      <c r="B8090" s="1" t="n">
        <v>46126.65739583333</v>
      </c>
      <c r="C8090" s="1" t="n">
        <v>46185</v>
      </c>
      <c r="D8090" t="inlineStr">
        <is>
          <t>VÄSTERNORRLANDS LÄN</t>
        </is>
      </c>
      <c r="E8090" t="inlineStr">
        <is>
          <t>ÅNGE</t>
        </is>
      </c>
      <c r="F8090" t="inlineStr">
        <is>
          <t>SCA</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49346-2024</t>
        </is>
      </c>
      <c r="B8091" s="1" t="n">
        <v>45595.6062962963</v>
      </c>
      <c r="C8091" s="1" t="n">
        <v>46185</v>
      </c>
      <c r="D8091" t="inlineStr">
        <is>
          <t>VÄSTERNORRLANDS LÄN</t>
        </is>
      </c>
      <c r="E8091" t="inlineStr">
        <is>
          <t>HÄRNÖSAND</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49364-2024</t>
        </is>
      </c>
      <c r="B8092" s="1" t="n">
        <v>45595.63494212963</v>
      </c>
      <c r="C8092" s="1" t="n">
        <v>46185</v>
      </c>
      <c r="D8092" t="inlineStr">
        <is>
          <t>VÄSTERNORRLANDS LÄN</t>
        </is>
      </c>
      <c r="E8092" t="inlineStr">
        <is>
          <t>HÄRNÖSAND</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18293-2026</t>
        </is>
      </c>
      <c r="B8093" s="1" t="n">
        <v>46126.43950231482</v>
      </c>
      <c r="C8093" s="1" t="n">
        <v>46185</v>
      </c>
      <c r="D8093" t="inlineStr">
        <is>
          <t>VÄSTERNORRLANDS LÄN</t>
        </is>
      </c>
      <c r="E8093" t="inlineStr">
        <is>
          <t>SOLLEFTEÅ</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59600-2024</t>
        </is>
      </c>
      <c r="B8094" s="1" t="n">
        <v>45638.71763888889</v>
      </c>
      <c r="C8094" s="1" t="n">
        <v>46185</v>
      </c>
      <c r="D8094" t="inlineStr">
        <is>
          <t>VÄSTERNORRLANDS LÄN</t>
        </is>
      </c>
      <c r="E8094" t="inlineStr">
        <is>
          <t>ÅNGE</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2044-2025</t>
        </is>
      </c>
      <c r="B8095" s="1" t="n">
        <v>45672</v>
      </c>
      <c r="C8095" s="1" t="n">
        <v>46185</v>
      </c>
      <c r="D8095" t="inlineStr">
        <is>
          <t>VÄSTERNORRLANDS LÄN</t>
        </is>
      </c>
      <c r="E8095" t="inlineStr">
        <is>
          <t>SOLLEFTEÅ</t>
        </is>
      </c>
      <c r="F8095" t="inlineStr">
        <is>
          <t>SCA</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24166-2026</t>
        </is>
      </c>
      <c r="B8096" s="1" t="n">
        <v>46168.55581018519</v>
      </c>
      <c r="C8096" s="1" t="n">
        <v>46185</v>
      </c>
      <c r="D8096" t="inlineStr">
        <is>
          <t>VÄSTERNORRLANDS LÄN</t>
        </is>
      </c>
      <c r="E8096" t="inlineStr">
        <is>
          <t>ÖRNSKÖLDSVIK</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18571-2026</t>
        </is>
      </c>
      <c r="B8097" s="1" t="n">
        <v>46127.59474537037</v>
      </c>
      <c r="C8097" s="1" t="n">
        <v>46185</v>
      </c>
      <c r="D8097" t="inlineStr">
        <is>
          <t>VÄSTERNORRLANDS LÄN</t>
        </is>
      </c>
      <c r="E8097" t="inlineStr">
        <is>
          <t>SUNDSVALL</t>
        </is>
      </c>
      <c r="F8097" t="inlineStr">
        <is>
          <t>SCA</t>
        </is>
      </c>
      <c r="G8097" t="n">
        <v>6</v>
      </c>
      <c r="H8097" t="n">
        <v>0</v>
      </c>
      <c r="I8097" t="n">
        <v>0</v>
      </c>
      <c r="J8097" t="n">
        <v>0</v>
      </c>
      <c r="K8097" t="n">
        <v>0</v>
      </c>
      <c r="L8097" t="n">
        <v>0</v>
      </c>
      <c r="M8097" t="n">
        <v>0</v>
      </c>
      <c r="N8097" t="n">
        <v>0</v>
      </c>
      <c r="O8097" t="n">
        <v>0</v>
      </c>
      <c r="P8097" t="n">
        <v>0</v>
      </c>
      <c r="Q8097" t="n">
        <v>0</v>
      </c>
      <c r="R8097" s="2" t="inlineStr"/>
    </row>
    <row r="8098" ht="15" customHeight="1">
      <c r="A8098" t="inlineStr">
        <is>
          <t>A 18602-2026</t>
        </is>
      </c>
      <c r="B8098" s="1" t="n">
        <v>46127.65782407407</v>
      </c>
      <c r="C8098" s="1" t="n">
        <v>46185</v>
      </c>
      <c r="D8098" t="inlineStr">
        <is>
          <t>VÄSTERNORRLANDS LÄN</t>
        </is>
      </c>
      <c r="E8098" t="inlineStr">
        <is>
          <t>ÅNGE</t>
        </is>
      </c>
      <c r="F8098" t="inlineStr">
        <is>
          <t>SCA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54091-2024</t>
        </is>
      </c>
      <c r="B8099" s="1" t="n">
        <v>45616.5107175926</v>
      </c>
      <c r="C8099" s="1" t="n">
        <v>46185</v>
      </c>
      <c r="D8099" t="inlineStr">
        <is>
          <t>VÄSTERNORRLANDS LÄN</t>
        </is>
      </c>
      <c r="E8099" t="inlineStr">
        <is>
          <t>HÄRNÖSAND</t>
        </is>
      </c>
      <c r="F8099" t="inlineStr">
        <is>
          <t>SCA</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3942-2022</t>
        </is>
      </c>
      <c r="B8100" s="1" t="n">
        <v>44587</v>
      </c>
      <c r="C8100" s="1" t="n">
        <v>46185</v>
      </c>
      <c r="D8100" t="inlineStr">
        <is>
          <t>VÄSTERNORRLANDS LÄN</t>
        </is>
      </c>
      <c r="E8100" t="inlineStr">
        <is>
          <t>ÖRNSKÖLDSVIK</t>
        </is>
      </c>
      <c r="G8100" t="n">
        <v>5</v>
      </c>
      <c r="H8100" t="n">
        <v>0</v>
      </c>
      <c r="I8100" t="n">
        <v>0</v>
      </c>
      <c r="J8100" t="n">
        <v>0</v>
      </c>
      <c r="K8100" t="n">
        <v>0</v>
      </c>
      <c r="L8100" t="n">
        <v>0</v>
      </c>
      <c r="M8100" t="n">
        <v>0</v>
      </c>
      <c r="N8100" t="n">
        <v>0</v>
      </c>
      <c r="O8100" t="n">
        <v>0</v>
      </c>
      <c r="P8100" t="n">
        <v>0</v>
      </c>
      <c r="Q8100" t="n">
        <v>0</v>
      </c>
      <c r="R8100" s="2" t="inlineStr"/>
    </row>
    <row r="8101" ht="15" customHeight="1">
      <c r="A8101" t="inlineStr">
        <is>
          <t>A 35254-2023</t>
        </is>
      </c>
      <c r="B8101" s="1" t="n">
        <v>45145</v>
      </c>
      <c r="C8101" s="1" t="n">
        <v>46185</v>
      </c>
      <c r="D8101" t="inlineStr">
        <is>
          <t>VÄSTERNORRLANDS LÄN</t>
        </is>
      </c>
      <c r="E8101" t="inlineStr">
        <is>
          <t>SUNDSVALL</t>
        </is>
      </c>
      <c r="F8101" t="inlineStr">
        <is>
          <t>SCA</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51084-2024</t>
        </is>
      </c>
      <c r="B8102" s="1" t="n">
        <v>45603.46280092592</v>
      </c>
      <c r="C8102" s="1" t="n">
        <v>46185</v>
      </c>
      <c r="D8102" t="inlineStr">
        <is>
          <t>VÄSTERNORRLANDS LÄN</t>
        </is>
      </c>
      <c r="E8102" t="inlineStr">
        <is>
          <t>SUNDSVALL</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18551-2026</t>
        </is>
      </c>
      <c r="B8103" s="1" t="n">
        <v>46127.57387731481</v>
      </c>
      <c r="C8103" s="1" t="n">
        <v>46185</v>
      </c>
      <c r="D8103" t="inlineStr">
        <is>
          <t>VÄSTERNORRLANDS LÄN</t>
        </is>
      </c>
      <c r="E8103" t="inlineStr">
        <is>
          <t>ÅNGE</t>
        </is>
      </c>
      <c r="F8103" t="inlineStr">
        <is>
          <t>SCA</t>
        </is>
      </c>
      <c r="G8103" t="n">
        <v>11.1</v>
      </c>
      <c r="H8103" t="n">
        <v>0</v>
      </c>
      <c r="I8103" t="n">
        <v>0</v>
      </c>
      <c r="J8103" t="n">
        <v>0</v>
      </c>
      <c r="K8103" t="n">
        <v>0</v>
      </c>
      <c r="L8103" t="n">
        <v>0</v>
      </c>
      <c r="M8103" t="n">
        <v>0</v>
      </c>
      <c r="N8103" t="n">
        <v>0</v>
      </c>
      <c r="O8103" t="n">
        <v>0</v>
      </c>
      <c r="P8103" t="n">
        <v>0</v>
      </c>
      <c r="Q8103" t="n">
        <v>0</v>
      </c>
      <c r="R8103" s="2" t="inlineStr"/>
    </row>
    <row r="8104" ht="15" customHeight="1">
      <c r="A8104" t="inlineStr">
        <is>
          <t>A 18575-2026</t>
        </is>
      </c>
      <c r="B8104" s="1" t="n">
        <v>46127.60241898148</v>
      </c>
      <c r="C8104" s="1" t="n">
        <v>46185</v>
      </c>
      <c r="D8104" t="inlineStr">
        <is>
          <t>VÄSTERNORRLANDS LÄN</t>
        </is>
      </c>
      <c r="E8104" t="inlineStr">
        <is>
          <t>HÄRNÖSAND</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18820-2026</t>
        </is>
      </c>
      <c r="B8105" s="1" t="n">
        <v>46127</v>
      </c>
      <c r="C8105" s="1" t="n">
        <v>46185</v>
      </c>
      <c r="D8105" t="inlineStr">
        <is>
          <t>VÄSTERNORRLANDS LÄN</t>
        </is>
      </c>
      <c r="E8105" t="inlineStr">
        <is>
          <t>KRAMFORS</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3133-2024</t>
        </is>
      </c>
      <c r="B8106" s="1" t="n">
        <v>45316.55885416667</v>
      </c>
      <c r="C8106" s="1" t="n">
        <v>46185</v>
      </c>
      <c r="D8106" t="inlineStr">
        <is>
          <t>VÄSTERNORRLANDS LÄN</t>
        </is>
      </c>
      <c r="E8106" t="inlineStr">
        <is>
          <t>ÅNGE</t>
        </is>
      </c>
      <c r="F8106" t="inlineStr">
        <is>
          <t>Holmen skog AB</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18603-2026</t>
        </is>
      </c>
      <c r="B8107" s="1" t="n">
        <v>46127.65785879629</v>
      </c>
      <c r="C8107" s="1" t="n">
        <v>46185</v>
      </c>
      <c r="D8107" t="inlineStr">
        <is>
          <t>VÄSTERNORRLANDS LÄN</t>
        </is>
      </c>
      <c r="E8107" t="inlineStr">
        <is>
          <t>ÅNGE</t>
        </is>
      </c>
      <c r="F8107" t="inlineStr">
        <is>
          <t>SCA</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18212-2026</t>
        </is>
      </c>
      <c r="B8108" s="1" t="n">
        <v>46126</v>
      </c>
      <c r="C8108" s="1" t="n">
        <v>46185</v>
      </c>
      <c r="D8108" t="inlineStr">
        <is>
          <t>VÄSTERNORRLANDS LÄN</t>
        </is>
      </c>
      <c r="E8108" t="inlineStr">
        <is>
          <t>ÅNGE</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18373-2026</t>
        </is>
      </c>
      <c r="B8109" s="1" t="n">
        <v>46126.61762731482</v>
      </c>
      <c r="C8109" s="1" t="n">
        <v>46185</v>
      </c>
      <c r="D8109" t="inlineStr">
        <is>
          <t>VÄSTERNORRLANDS LÄN</t>
        </is>
      </c>
      <c r="E8109" t="inlineStr">
        <is>
          <t>TIMRÅ</t>
        </is>
      </c>
      <c r="G8109" t="n">
        <v>8.5</v>
      </c>
      <c r="H8109" t="n">
        <v>0</v>
      </c>
      <c r="I8109" t="n">
        <v>0</v>
      </c>
      <c r="J8109" t="n">
        <v>0</v>
      </c>
      <c r="K8109" t="n">
        <v>0</v>
      </c>
      <c r="L8109" t="n">
        <v>0</v>
      </c>
      <c r="M8109" t="n">
        <v>0</v>
      </c>
      <c r="N8109" t="n">
        <v>0</v>
      </c>
      <c r="O8109" t="n">
        <v>0</v>
      </c>
      <c r="P8109" t="n">
        <v>0</v>
      </c>
      <c r="Q8109" t="n">
        <v>0</v>
      </c>
      <c r="R8109" s="2" t="inlineStr"/>
    </row>
    <row r="8110" ht="15" customHeight="1">
      <c r="A8110" t="inlineStr">
        <is>
          <t>A 23514-2023</t>
        </is>
      </c>
      <c r="B8110" s="1" t="n">
        <v>45076</v>
      </c>
      <c r="C8110" s="1" t="n">
        <v>46185</v>
      </c>
      <c r="D8110" t="inlineStr">
        <is>
          <t>VÄSTERNORRLANDS LÄN</t>
        </is>
      </c>
      <c r="E8110" t="inlineStr">
        <is>
          <t>SUNDSVALL</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46212-2023</t>
        </is>
      </c>
      <c r="B8111" s="1" t="n">
        <v>45190</v>
      </c>
      <c r="C8111" s="1" t="n">
        <v>46185</v>
      </c>
      <c r="D8111" t="inlineStr">
        <is>
          <t>VÄSTERNORRLANDS LÄN</t>
        </is>
      </c>
      <c r="E8111" t="inlineStr">
        <is>
          <t>SOLLEFTEÅ</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18452-2026</t>
        </is>
      </c>
      <c r="B8112" s="1" t="n">
        <v>46127.38768518518</v>
      </c>
      <c r="C8112" s="1" t="n">
        <v>46185</v>
      </c>
      <c r="D8112" t="inlineStr">
        <is>
          <t>VÄSTERNORRLANDS LÄN</t>
        </is>
      </c>
      <c r="E8112" t="inlineStr">
        <is>
          <t>SOLLEFTEÅ</t>
        </is>
      </c>
      <c r="F8112" t="inlineStr">
        <is>
          <t>SCA</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46902-2023</t>
        </is>
      </c>
      <c r="B8113" s="1" t="n">
        <v>45201</v>
      </c>
      <c r="C8113" s="1" t="n">
        <v>46185</v>
      </c>
      <c r="D8113" t="inlineStr">
        <is>
          <t>VÄSTERNORRLANDS LÄN</t>
        </is>
      </c>
      <c r="E8113" t="inlineStr">
        <is>
          <t>SUNDSVALL</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17210-2022</t>
        </is>
      </c>
      <c r="B8114" s="1" t="n">
        <v>44677.92701388889</v>
      </c>
      <c r="C8114" s="1" t="n">
        <v>46185</v>
      </c>
      <c r="D8114" t="inlineStr">
        <is>
          <t>VÄSTERNORRLANDS LÄN</t>
        </is>
      </c>
      <c r="E8114" t="inlineStr">
        <is>
          <t>ÅNGE</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183-2022</t>
        </is>
      </c>
      <c r="B8115" s="1" t="n">
        <v>44564</v>
      </c>
      <c r="C8115" s="1" t="n">
        <v>46185</v>
      </c>
      <c r="D8115" t="inlineStr">
        <is>
          <t>VÄSTERNORRLANDS LÄN</t>
        </is>
      </c>
      <c r="E8115" t="inlineStr">
        <is>
          <t>KRAMFORS</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227-2022</t>
        </is>
      </c>
      <c r="B8116" s="1" t="n">
        <v>44564</v>
      </c>
      <c r="C8116" s="1" t="n">
        <v>46185</v>
      </c>
      <c r="D8116" t="inlineStr">
        <is>
          <t>VÄSTERNORRLANDS LÄN</t>
        </is>
      </c>
      <c r="E8116" t="inlineStr">
        <is>
          <t>SUNDSVALL</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18239-2024</t>
        </is>
      </c>
      <c r="B8117" s="1" t="n">
        <v>45420.96635416667</v>
      </c>
      <c r="C8117" s="1" t="n">
        <v>46185</v>
      </c>
      <c r="D8117" t="inlineStr">
        <is>
          <t>VÄSTERNORRLANDS LÄN</t>
        </is>
      </c>
      <c r="E8117" t="inlineStr">
        <is>
          <t>ÖRNSKÖLDSVIK</t>
        </is>
      </c>
      <c r="F8117" t="inlineStr">
        <is>
          <t>SCA</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24044-2026</t>
        </is>
      </c>
      <c r="B8118" s="1" t="n">
        <v>46168.30333333334</v>
      </c>
      <c r="C8118" s="1" t="n">
        <v>46185</v>
      </c>
      <c r="D8118" t="inlineStr">
        <is>
          <t>VÄSTERNORRLANDS LÄN</t>
        </is>
      </c>
      <c r="E8118" t="inlineStr">
        <is>
          <t>ÖRNSKÖLDSVIK</t>
        </is>
      </c>
      <c r="F8118" t="inlineStr">
        <is>
          <t>Holmen skog AB</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24086-2026</t>
        </is>
      </c>
      <c r="B8119" s="1" t="n">
        <v>46164</v>
      </c>
      <c r="C8119" s="1" t="n">
        <v>46185</v>
      </c>
      <c r="D8119" t="inlineStr">
        <is>
          <t>VÄSTERNORRLANDS LÄN</t>
        </is>
      </c>
      <c r="E8119" t="inlineStr">
        <is>
          <t>ÖRNSKÖLDSVIK</t>
        </is>
      </c>
      <c r="G8119" t="n">
        <v>13.5</v>
      </c>
      <c r="H8119" t="n">
        <v>0</v>
      </c>
      <c r="I8119" t="n">
        <v>0</v>
      </c>
      <c r="J8119" t="n">
        <v>0</v>
      </c>
      <c r="K8119" t="n">
        <v>0</v>
      </c>
      <c r="L8119" t="n">
        <v>0</v>
      </c>
      <c r="M8119" t="n">
        <v>0</v>
      </c>
      <c r="N8119" t="n">
        <v>0</v>
      </c>
      <c r="O8119" t="n">
        <v>0</v>
      </c>
      <c r="P8119" t="n">
        <v>0</v>
      </c>
      <c r="Q8119" t="n">
        <v>0</v>
      </c>
      <c r="R8119" s="2" t="inlineStr"/>
    </row>
    <row r="8120" ht="15" customHeight="1">
      <c r="A8120" t="inlineStr">
        <is>
          <t>A 10195-2024</t>
        </is>
      </c>
      <c r="B8120" s="1" t="n">
        <v>45364</v>
      </c>
      <c r="C8120" s="1" t="n">
        <v>46185</v>
      </c>
      <c r="D8120" t="inlineStr">
        <is>
          <t>VÄSTERNORRLANDS LÄN</t>
        </is>
      </c>
      <c r="E8120" t="inlineStr">
        <is>
          <t>ÅNGE</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24346-2026</t>
        </is>
      </c>
      <c r="B8121" s="1" t="n">
        <v>46169.55244212963</v>
      </c>
      <c r="C8121" s="1" t="n">
        <v>46185</v>
      </c>
      <c r="D8121" t="inlineStr">
        <is>
          <t>VÄSTERNORRLANDS LÄN</t>
        </is>
      </c>
      <c r="E8121" t="inlineStr">
        <is>
          <t>SOLLEFTEÅ</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2428-2025</t>
        </is>
      </c>
      <c r="B8122" s="1" t="n">
        <v>45674</v>
      </c>
      <c r="C8122" s="1" t="n">
        <v>46185</v>
      </c>
      <c r="D8122" t="inlineStr">
        <is>
          <t>VÄSTERNORRLANDS LÄN</t>
        </is>
      </c>
      <c r="E8122" t="inlineStr">
        <is>
          <t>KRAMFORS</t>
        </is>
      </c>
      <c r="G8122" t="n">
        <v>12.3</v>
      </c>
      <c r="H8122" t="n">
        <v>0</v>
      </c>
      <c r="I8122" t="n">
        <v>0</v>
      </c>
      <c r="J8122" t="n">
        <v>0</v>
      </c>
      <c r="K8122" t="n">
        <v>0</v>
      </c>
      <c r="L8122" t="n">
        <v>0</v>
      </c>
      <c r="M8122" t="n">
        <v>0</v>
      </c>
      <c r="N8122" t="n">
        <v>0</v>
      </c>
      <c r="O8122" t="n">
        <v>0</v>
      </c>
      <c r="P8122" t="n">
        <v>0</v>
      </c>
      <c r="Q8122" t="n">
        <v>0</v>
      </c>
      <c r="R8122" s="2" t="inlineStr"/>
    </row>
    <row r="8123" ht="15" customHeight="1">
      <c r="A8123" t="inlineStr">
        <is>
          <t>A 2456-2025</t>
        </is>
      </c>
      <c r="B8123" s="1" t="n">
        <v>45673</v>
      </c>
      <c r="C8123" s="1" t="n">
        <v>46185</v>
      </c>
      <c r="D8123" t="inlineStr">
        <is>
          <t>VÄSTERNORRLANDS LÄN</t>
        </is>
      </c>
      <c r="E8123" t="inlineStr">
        <is>
          <t>SOLLEFTEÅ</t>
        </is>
      </c>
      <c r="F8123" t="inlineStr">
        <is>
          <t>Kommuner</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18255-2026</t>
        </is>
      </c>
      <c r="B8124" s="1" t="n">
        <v>46126.36520833334</v>
      </c>
      <c r="C8124" s="1" t="n">
        <v>46185</v>
      </c>
      <c r="D8124" t="inlineStr">
        <is>
          <t>VÄSTERNORRLANDS LÄN</t>
        </is>
      </c>
      <c r="E8124" t="inlineStr">
        <is>
          <t>SOLLEFTEÅ</t>
        </is>
      </c>
      <c r="F8124" t="inlineStr">
        <is>
          <t>SCA</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1398-2025</t>
        </is>
      </c>
      <c r="B8125" s="1" t="n">
        <v>45667</v>
      </c>
      <c r="C8125" s="1" t="n">
        <v>46185</v>
      </c>
      <c r="D8125" t="inlineStr">
        <is>
          <t>VÄSTERNORRLANDS LÄN</t>
        </is>
      </c>
      <c r="E8125" t="inlineStr">
        <is>
          <t>SUNDSVALL</t>
        </is>
      </c>
      <c r="G8125" t="n">
        <v>7.5</v>
      </c>
      <c r="H8125" t="n">
        <v>0</v>
      </c>
      <c r="I8125" t="n">
        <v>0</v>
      </c>
      <c r="J8125" t="n">
        <v>0</v>
      </c>
      <c r="K8125" t="n">
        <v>0</v>
      </c>
      <c r="L8125" t="n">
        <v>0</v>
      </c>
      <c r="M8125" t="n">
        <v>0</v>
      </c>
      <c r="N8125" t="n">
        <v>0</v>
      </c>
      <c r="O8125" t="n">
        <v>0</v>
      </c>
      <c r="P8125" t="n">
        <v>0</v>
      </c>
      <c r="Q8125" t="n">
        <v>0</v>
      </c>
      <c r="R8125" s="2" t="inlineStr"/>
    </row>
    <row r="8126" ht="15" customHeight="1">
      <c r="A8126" t="inlineStr">
        <is>
          <t>A 24103-2026</t>
        </is>
      </c>
      <c r="B8126" s="1" t="n">
        <v>46168.40692129629</v>
      </c>
      <c r="C8126" s="1" t="n">
        <v>46185</v>
      </c>
      <c r="D8126" t="inlineStr">
        <is>
          <t>VÄSTERNORRLANDS LÄN</t>
        </is>
      </c>
      <c r="E8126" t="inlineStr">
        <is>
          <t>SOLLEFTEÅ</t>
        </is>
      </c>
      <c r="F8126" t="inlineStr">
        <is>
          <t>SCA</t>
        </is>
      </c>
      <c r="G8126" t="n">
        <v>0.2</v>
      </c>
      <c r="H8126" t="n">
        <v>0</v>
      </c>
      <c r="I8126" t="n">
        <v>0</v>
      </c>
      <c r="J8126" t="n">
        <v>0</v>
      </c>
      <c r="K8126" t="n">
        <v>0</v>
      </c>
      <c r="L8126" t="n">
        <v>0</v>
      </c>
      <c r="M8126" t="n">
        <v>0</v>
      </c>
      <c r="N8126" t="n">
        <v>0</v>
      </c>
      <c r="O8126" t="n">
        <v>0</v>
      </c>
      <c r="P8126" t="n">
        <v>0</v>
      </c>
      <c r="Q8126" t="n">
        <v>0</v>
      </c>
      <c r="R8126" s="2" t="inlineStr"/>
    </row>
    <row r="8127" ht="15" customHeight="1">
      <c r="A8127" t="inlineStr">
        <is>
          <t>A 18874-2024</t>
        </is>
      </c>
      <c r="B8127" s="1" t="n">
        <v>45426.98122685185</v>
      </c>
      <c r="C8127" s="1" t="n">
        <v>46185</v>
      </c>
      <c r="D8127" t="inlineStr">
        <is>
          <t>VÄSTERNORRLANDS LÄN</t>
        </is>
      </c>
      <c r="E8127" t="inlineStr">
        <is>
          <t>SUNDSVALL</t>
        </is>
      </c>
      <c r="F8127" t="inlineStr">
        <is>
          <t>SCA</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21621-2026</t>
        </is>
      </c>
      <c r="B8128" s="1" t="n">
        <v>46149</v>
      </c>
      <c r="C8128" s="1" t="n">
        <v>46185</v>
      </c>
      <c r="D8128" t="inlineStr">
        <is>
          <t>VÄSTERNORRLANDS LÄN</t>
        </is>
      </c>
      <c r="E8128" t="inlineStr">
        <is>
          <t>SOLLEFTEÅ</t>
        </is>
      </c>
      <c r="F8128" t="inlineStr">
        <is>
          <t>SCA</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21649-2026</t>
        </is>
      </c>
      <c r="B8129" s="1" t="n">
        <v>46149</v>
      </c>
      <c r="C8129" s="1" t="n">
        <v>46185</v>
      </c>
      <c r="D8129" t="inlineStr">
        <is>
          <t>VÄSTERNORRLANDS LÄN</t>
        </is>
      </c>
      <c r="E8129" t="inlineStr">
        <is>
          <t>SOLLEFTEÅ</t>
        </is>
      </c>
      <c r="F8129" t="inlineStr">
        <is>
          <t>SCA</t>
        </is>
      </c>
      <c r="G8129" t="n">
        <v>0.2</v>
      </c>
      <c r="H8129" t="n">
        <v>0</v>
      </c>
      <c r="I8129" t="n">
        <v>0</v>
      </c>
      <c r="J8129" t="n">
        <v>0</v>
      </c>
      <c r="K8129" t="n">
        <v>0</v>
      </c>
      <c r="L8129" t="n">
        <v>0</v>
      </c>
      <c r="M8129" t="n">
        <v>0</v>
      </c>
      <c r="N8129" t="n">
        <v>0</v>
      </c>
      <c r="O8129" t="n">
        <v>0</v>
      </c>
      <c r="P8129" t="n">
        <v>0</v>
      </c>
      <c r="Q8129" t="n">
        <v>0</v>
      </c>
      <c r="R8129" s="2" t="inlineStr"/>
    </row>
    <row r="8130" ht="15" customHeight="1">
      <c r="A8130" t="inlineStr">
        <is>
          <t>A 18450-2026</t>
        </is>
      </c>
      <c r="B8130" s="1" t="n">
        <v>46127.38667824074</v>
      </c>
      <c r="C8130" s="1" t="n">
        <v>46185</v>
      </c>
      <c r="D8130" t="inlineStr">
        <is>
          <t>VÄSTERNORRLANDS LÄN</t>
        </is>
      </c>
      <c r="E8130" t="inlineStr">
        <is>
          <t>SUNDSVALL</t>
        </is>
      </c>
      <c r="F8130" t="inlineStr">
        <is>
          <t>SCA</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48760-2022</t>
        </is>
      </c>
      <c r="B8131" s="1" t="n">
        <v>44859.58365740741</v>
      </c>
      <c r="C8131" s="1" t="n">
        <v>46185</v>
      </c>
      <c r="D8131" t="inlineStr">
        <is>
          <t>VÄSTERNORRLANDS LÄN</t>
        </is>
      </c>
      <c r="E8131" t="inlineStr">
        <is>
          <t>ÖRNSKÖLDSVIK</t>
        </is>
      </c>
      <c r="F8131" t="inlineStr">
        <is>
          <t>Holmen skog AB</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24196-2026</t>
        </is>
      </c>
      <c r="B8132" s="1" t="n">
        <v>46168.61530092593</v>
      </c>
      <c r="C8132" s="1" t="n">
        <v>46185</v>
      </c>
      <c r="D8132" t="inlineStr">
        <is>
          <t>VÄSTERNORRLANDS LÄN</t>
        </is>
      </c>
      <c r="E8132" t="inlineStr">
        <is>
          <t>ÅNGE</t>
        </is>
      </c>
      <c r="F8132" t="inlineStr">
        <is>
          <t>SCA</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352-2025</t>
        </is>
      </c>
      <c r="B8133" s="1" t="n">
        <v>45659</v>
      </c>
      <c r="C8133" s="1" t="n">
        <v>46185</v>
      </c>
      <c r="D8133" t="inlineStr">
        <is>
          <t>VÄSTERNORRLANDS LÄN</t>
        </is>
      </c>
      <c r="E8133" t="inlineStr">
        <is>
          <t>ÖRNSKÖLDSVIK</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7245-2024</t>
        </is>
      </c>
      <c r="B8134" s="1" t="n">
        <v>45344</v>
      </c>
      <c r="C8134" s="1" t="n">
        <v>46185</v>
      </c>
      <c r="D8134" t="inlineStr">
        <is>
          <t>VÄSTERNORRLANDS LÄN</t>
        </is>
      </c>
      <c r="E8134" t="inlineStr">
        <is>
          <t>SUNDSVALL</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29951-2023</t>
        </is>
      </c>
      <c r="B8135" s="1" t="n">
        <v>45107.93866898148</v>
      </c>
      <c r="C8135" s="1" t="n">
        <v>46185</v>
      </c>
      <c r="D8135" t="inlineStr">
        <is>
          <t>VÄSTERNORRLANDS LÄN</t>
        </is>
      </c>
      <c r="E8135" t="inlineStr">
        <is>
          <t>SUNDSVALL</t>
        </is>
      </c>
      <c r="F8135" t="inlineStr">
        <is>
          <t>SCA</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12021-2022</t>
        </is>
      </c>
      <c r="B8136" s="1" t="n">
        <v>44635</v>
      </c>
      <c r="C8136" s="1" t="n">
        <v>46185</v>
      </c>
      <c r="D8136" t="inlineStr">
        <is>
          <t>VÄSTERNORRLANDS LÄN</t>
        </is>
      </c>
      <c r="E8136" t="inlineStr">
        <is>
          <t>ÅNGE</t>
        </is>
      </c>
      <c r="F8136" t="inlineStr">
        <is>
          <t>SCA</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8656-2024</t>
        </is>
      </c>
      <c r="B8137" s="1" t="n">
        <v>45356</v>
      </c>
      <c r="C8137" s="1" t="n">
        <v>46185</v>
      </c>
      <c r="D8137" t="inlineStr">
        <is>
          <t>VÄSTERNORRLANDS LÄN</t>
        </is>
      </c>
      <c r="E8137" t="inlineStr">
        <is>
          <t>SOLLEFTEÅ</t>
        </is>
      </c>
      <c r="F8137" t="inlineStr">
        <is>
          <t>SCA</t>
        </is>
      </c>
      <c r="G8137" t="n">
        <v>18.4</v>
      </c>
      <c r="H8137" t="n">
        <v>0</v>
      </c>
      <c r="I8137" t="n">
        <v>0</v>
      </c>
      <c r="J8137" t="n">
        <v>0</v>
      </c>
      <c r="K8137" t="n">
        <v>0</v>
      </c>
      <c r="L8137" t="n">
        <v>0</v>
      </c>
      <c r="M8137" t="n">
        <v>0</v>
      </c>
      <c r="N8137" t="n">
        <v>0</v>
      </c>
      <c r="O8137" t="n">
        <v>0</v>
      </c>
      <c r="P8137" t="n">
        <v>0</v>
      </c>
      <c r="Q8137" t="n">
        <v>0</v>
      </c>
      <c r="R8137" s="2" t="inlineStr"/>
    </row>
    <row r="8138" ht="15" customHeight="1">
      <c r="A8138" t="inlineStr">
        <is>
          <t>A 18573-2026</t>
        </is>
      </c>
      <c r="B8138" s="1" t="n">
        <v>46127.59502314815</v>
      </c>
      <c r="C8138" s="1" t="n">
        <v>46185</v>
      </c>
      <c r="D8138" t="inlineStr">
        <is>
          <t>VÄSTERNORRLANDS LÄN</t>
        </is>
      </c>
      <c r="E8138" t="inlineStr">
        <is>
          <t>ÅNGE</t>
        </is>
      </c>
      <c r="G8138" t="n">
        <v>5.9</v>
      </c>
      <c r="H8138" t="n">
        <v>0</v>
      </c>
      <c r="I8138" t="n">
        <v>0</v>
      </c>
      <c r="J8138" t="n">
        <v>0</v>
      </c>
      <c r="K8138" t="n">
        <v>0</v>
      </c>
      <c r="L8138" t="n">
        <v>0</v>
      </c>
      <c r="M8138" t="n">
        <v>0</v>
      </c>
      <c r="N8138" t="n">
        <v>0</v>
      </c>
      <c r="O8138" t="n">
        <v>0</v>
      </c>
      <c r="P8138" t="n">
        <v>0</v>
      </c>
      <c r="Q8138" t="n">
        <v>0</v>
      </c>
      <c r="R8138" s="2" t="inlineStr"/>
    </row>
    <row r="8139" ht="15" customHeight="1">
      <c r="A8139" t="inlineStr">
        <is>
          <t>A 41028-2023</t>
        </is>
      </c>
      <c r="B8139" s="1" t="n">
        <v>45169</v>
      </c>
      <c r="C8139" s="1" t="n">
        <v>46185</v>
      </c>
      <c r="D8139" t="inlineStr">
        <is>
          <t>VÄSTERNORRLANDS LÄN</t>
        </is>
      </c>
      <c r="E8139" t="inlineStr">
        <is>
          <t>SUNDSVALL</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20628-2023</t>
        </is>
      </c>
      <c r="B8140" s="1" t="n">
        <v>45057.94373842593</v>
      </c>
      <c r="C8140" s="1" t="n">
        <v>46185</v>
      </c>
      <c r="D8140" t="inlineStr">
        <is>
          <t>VÄSTERNORRLANDS LÄN</t>
        </is>
      </c>
      <c r="E8140" t="inlineStr">
        <is>
          <t>SOLLEFTEÅ</t>
        </is>
      </c>
      <c r="F8140" t="inlineStr">
        <is>
          <t>SCA</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11247-2025</t>
        </is>
      </c>
      <c r="B8141" s="1" t="n">
        <v>45726.38591435185</v>
      </c>
      <c r="C8141" s="1" t="n">
        <v>46185</v>
      </c>
      <c r="D8141" t="inlineStr">
        <is>
          <t>VÄSTERNORRLANDS LÄN</t>
        </is>
      </c>
      <c r="E8141" t="inlineStr">
        <is>
          <t>KRAMFORS</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16531-2026</t>
        </is>
      </c>
      <c r="B8142" s="1" t="n">
        <v>46112</v>
      </c>
      <c r="C8142" s="1" t="n">
        <v>46185</v>
      </c>
      <c r="D8142" t="inlineStr">
        <is>
          <t>VÄSTERNORRLANDS LÄN</t>
        </is>
      </c>
      <c r="E8142" t="inlineStr">
        <is>
          <t>KRAMFORS</t>
        </is>
      </c>
      <c r="G8142" t="n">
        <v>5.6</v>
      </c>
      <c r="H8142" t="n">
        <v>0</v>
      </c>
      <c r="I8142" t="n">
        <v>0</v>
      </c>
      <c r="J8142" t="n">
        <v>0</v>
      </c>
      <c r="K8142" t="n">
        <v>0</v>
      </c>
      <c r="L8142" t="n">
        <v>0</v>
      </c>
      <c r="M8142" t="n">
        <v>0</v>
      </c>
      <c r="N8142" t="n">
        <v>0</v>
      </c>
      <c r="O8142" t="n">
        <v>0</v>
      </c>
      <c r="P8142" t="n">
        <v>0</v>
      </c>
      <c r="Q8142" t="n">
        <v>0</v>
      </c>
      <c r="R8142" s="2" t="inlineStr"/>
    </row>
    <row r="8143" ht="15" customHeight="1">
      <c r="A8143" t="inlineStr">
        <is>
          <t>A 9389-2026</t>
        </is>
      </c>
      <c r="B8143" s="1" t="n">
        <v>46071</v>
      </c>
      <c r="C8143" s="1" t="n">
        <v>46185</v>
      </c>
      <c r="D8143" t="inlineStr">
        <is>
          <t>VÄSTERNORRLANDS LÄN</t>
        </is>
      </c>
      <c r="E8143" t="inlineStr">
        <is>
          <t>KRAMFORS</t>
        </is>
      </c>
      <c r="G8143" t="n">
        <v>6.1</v>
      </c>
      <c r="H8143" t="n">
        <v>0</v>
      </c>
      <c r="I8143" t="n">
        <v>0</v>
      </c>
      <c r="J8143" t="n">
        <v>0</v>
      </c>
      <c r="K8143" t="n">
        <v>0</v>
      </c>
      <c r="L8143" t="n">
        <v>0</v>
      </c>
      <c r="M8143" t="n">
        <v>0</v>
      </c>
      <c r="N8143" t="n">
        <v>0</v>
      </c>
      <c r="O8143" t="n">
        <v>0</v>
      </c>
      <c r="P8143" t="n">
        <v>0</v>
      </c>
      <c r="Q8143" t="n">
        <v>0</v>
      </c>
      <c r="R8143" s="2" t="inlineStr"/>
    </row>
    <row r="8144" ht="15" customHeight="1">
      <c r="A8144" t="inlineStr">
        <is>
          <t>A 18451-2026</t>
        </is>
      </c>
      <c r="B8144" s="1" t="n">
        <v>46127.38747685185</v>
      </c>
      <c r="C8144" s="1" t="n">
        <v>46185</v>
      </c>
      <c r="D8144" t="inlineStr">
        <is>
          <t>VÄSTERNORRLANDS LÄN</t>
        </is>
      </c>
      <c r="E8144" t="inlineStr">
        <is>
          <t>KRAMFORS</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18453-2026</t>
        </is>
      </c>
      <c r="B8145" s="1" t="n">
        <v>46127</v>
      </c>
      <c r="C8145" s="1" t="n">
        <v>46185</v>
      </c>
      <c r="D8145" t="inlineStr">
        <is>
          <t>VÄSTERNORRLANDS LÄN</t>
        </is>
      </c>
      <c r="E8145" t="inlineStr">
        <is>
          <t>SOLLEFTEÅ</t>
        </is>
      </c>
      <c r="F8145" t="inlineStr">
        <is>
          <t>SCA</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18454-2026</t>
        </is>
      </c>
      <c r="B8146" s="1" t="n">
        <v>46127.38815972222</v>
      </c>
      <c r="C8146" s="1" t="n">
        <v>46185</v>
      </c>
      <c r="D8146" t="inlineStr">
        <is>
          <t>VÄSTERNORRLANDS LÄN</t>
        </is>
      </c>
      <c r="E8146" t="inlineStr">
        <is>
          <t>SUNDSVALL</t>
        </is>
      </c>
      <c r="F8146" t="inlineStr">
        <is>
          <t>SCA</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19295-2022</t>
        </is>
      </c>
      <c r="B8147" s="1" t="n">
        <v>44692</v>
      </c>
      <c r="C8147" s="1" t="n">
        <v>46185</v>
      </c>
      <c r="D8147" t="inlineStr">
        <is>
          <t>VÄSTERNORRLANDS LÄN</t>
        </is>
      </c>
      <c r="E8147" t="inlineStr">
        <is>
          <t>SOLLEFTEÅ</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24120-2026</t>
        </is>
      </c>
      <c r="B8148" s="1" t="n">
        <v>46168.43956018519</v>
      </c>
      <c r="C8148" s="1" t="n">
        <v>46185</v>
      </c>
      <c r="D8148" t="inlineStr">
        <is>
          <t>VÄSTERNORRLANDS LÄN</t>
        </is>
      </c>
      <c r="E8148" t="inlineStr">
        <is>
          <t>HÄRNÖSAND</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18393-2026</t>
        </is>
      </c>
      <c r="B8149" s="1" t="n">
        <v>46126.65840277778</v>
      </c>
      <c r="C8149" s="1" t="n">
        <v>46185</v>
      </c>
      <c r="D8149" t="inlineStr">
        <is>
          <t>VÄSTERNORRLANDS LÄN</t>
        </is>
      </c>
      <c r="E8149" t="inlineStr">
        <is>
          <t>HÄRNÖSAND</t>
        </is>
      </c>
      <c r="F8149" t="inlineStr">
        <is>
          <t>SCA</t>
        </is>
      </c>
      <c r="G8149" t="n">
        <v>31.9</v>
      </c>
      <c r="H8149" t="n">
        <v>0</v>
      </c>
      <c r="I8149" t="n">
        <v>0</v>
      </c>
      <c r="J8149" t="n">
        <v>0</v>
      </c>
      <c r="K8149" t="n">
        <v>0</v>
      </c>
      <c r="L8149" t="n">
        <v>0</v>
      </c>
      <c r="M8149" t="n">
        <v>0</v>
      </c>
      <c r="N8149" t="n">
        <v>0</v>
      </c>
      <c r="O8149" t="n">
        <v>0</v>
      </c>
      <c r="P8149" t="n">
        <v>0</v>
      </c>
      <c r="Q8149" t="n">
        <v>0</v>
      </c>
      <c r="R8149" s="2" t="inlineStr"/>
    </row>
    <row r="8150" ht="15" customHeight="1">
      <c r="A8150" t="inlineStr">
        <is>
          <t>A 18604-2026</t>
        </is>
      </c>
      <c r="B8150" s="1" t="n">
        <v>46127.65800925926</v>
      </c>
      <c r="C8150" s="1" t="n">
        <v>46185</v>
      </c>
      <c r="D8150" t="inlineStr">
        <is>
          <t>VÄSTERNORRLANDS LÄN</t>
        </is>
      </c>
      <c r="E8150" t="inlineStr">
        <is>
          <t>ÅNGE</t>
        </is>
      </c>
      <c r="F8150" t="inlineStr">
        <is>
          <t>SCA</t>
        </is>
      </c>
      <c r="G8150" t="n">
        <v>6.5</v>
      </c>
      <c r="H8150" t="n">
        <v>0</v>
      </c>
      <c r="I8150" t="n">
        <v>0</v>
      </c>
      <c r="J8150" t="n">
        <v>0</v>
      </c>
      <c r="K8150" t="n">
        <v>0</v>
      </c>
      <c r="L8150" t="n">
        <v>0</v>
      </c>
      <c r="M8150" t="n">
        <v>0</v>
      </c>
      <c r="N8150" t="n">
        <v>0</v>
      </c>
      <c r="O8150" t="n">
        <v>0</v>
      </c>
      <c r="P8150" t="n">
        <v>0</v>
      </c>
      <c r="Q8150" t="n">
        <v>0</v>
      </c>
      <c r="R8150" s="2" t="inlineStr"/>
    </row>
    <row r="8151" ht="15" customHeight="1">
      <c r="A8151" t="inlineStr">
        <is>
          <t>A 18607-2026</t>
        </is>
      </c>
      <c r="B8151" s="1" t="n">
        <v>46127.65846064815</v>
      </c>
      <c r="C8151" s="1" t="n">
        <v>46185</v>
      </c>
      <c r="D8151" t="inlineStr">
        <is>
          <t>VÄSTERNORRLANDS LÄN</t>
        </is>
      </c>
      <c r="E8151" t="inlineStr">
        <is>
          <t>SUNDSVALL</t>
        </is>
      </c>
      <c r="F8151" t="inlineStr">
        <is>
          <t>SCA</t>
        </is>
      </c>
      <c r="G8151" t="n">
        <v>8.300000000000001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1080-2022</t>
        </is>
      </c>
      <c r="B8152" s="1" t="n">
        <v>44571.92100694445</v>
      </c>
      <c r="C8152" s="1" t="n">
        <v>46185</v>
      </c>
      <c r="D8152" t="inlineStr">
        <is>
          <t>VÄSTERNORRLANDS LÄN</t>
        </is>
      </c>
      <c r="E8152" t="inlineStr">
        <is>
          <t>SUNDSVALL</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18532-2026</t>
        </is>
      </c>
      <c r="B8153" s="1" t="n">
        <v>46126</v>
      </c>
      <c r="C8153" s="1" t="n">
        <v>46185</v>
      </c>
      <c r="D8153" t="inlineStr">
        <is>
          <t>VÄSTERNORRLANDS LÄN</t>
        </is>
      </c>
      <c r="E8153" t="inlineStr">
        <is>
          <t>ÖRNSKÖLDSVIK</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6690-2024</t>
        </is>
      </c>
      <c r="B8154" s="1" t="n">
        <v>45341</v>
      </c>
      <c r="C8154" s="1" t="n">
        <v>46185</v>
      </c>
      <c r="D8154" t="inlineStr">
        <is>
          <t>VÄSTERNORRLANDS LÄN</t>
        </is>
      </c>
      <c r="E8154" t="inlineStr">
        <is>
          <t>ÅNGE</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3856-2025</t>
        </is>
      </c>
      <c r="B8155" s="1" t="n">
        <v>45682</v>
      </c>
      <c r="C8155" s="1" t="n">
        <v>46185</v>
      </c>
      <c r="D8155" t="inlineStr">
        <is>
          <t>VÄSTERNORRLANDS LÄN</t>
        </is>
      </c>
      <c r="E8155" t="inlineStr">
        <is>
          <t>ÖRNSKÖLDSVIK</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18287-2026</t>
        </is>
      </c>
      <c r="B8156" s="1" t="n">
        <v>46126.42769675926</v>
      </c>
      <c r="C8156" s="1" t="n">
        <v>46185</v>
      </c>
      <c r="D8156" t="inlineStr">
        <is>
          <t>VÄSTERNORRLANDS LÄN</t>
        </is>
      </c>
      <c r="E8156" t="inlineStr">
        <is>
          <t>SOLLEFTEÅ</t>
        </is>
      </c>
      <c r="F8156" t="inlineStr">
        <is>
          <t>SCA</t>
        </is>
      </c>
      <c r="G8156" t="n">
        <v>9.300000000000001</v>
      </c>
      <c r="H8156" t="n">
        <v>0</v>
      </c>
      <c r="I8156" t="n">
        <v>0</v>
      </c>
      <c r="J8156" t="n">
        <v>0</v>
      </c>
      <c r="K8156" t="n">
        <v>0</v>
      </c>
      <c r="L8156" t="n">
        <v>0</v>
      </c>
      <c r="M8156" t="n">
        <v>0</v>
      </c>
      <c r="N8156" t="n">
        <v>0</v>
      </c>
      <c r="O8156" t="n">
        <v>0</v>
      </c>
      <c r="P8156" t="n">
        <v>0</v>
      </c>
      <c r="Q8156" t="n">
        <v>0</v>
      </c>
      <c r="R8156" s="2" t="inlineStr"/>
    </row>
    <row r="8157" ht="15" customHeight="1">
      <c r="A8157" t="inlineStr">
        <is>
          <t>A 18288-2026</t>
        </is>
      </c>
      <c r="B8157" s="1" t="n">
        <v>46126.42790509259</v>
      </c>
      <c r="C8157" s="1" t="n">
        <v>46185</v>
      </c>
      <c r="D8157" t="inlineStr">
        <is>
          <t>VÄSTERNORRLANDS LÄN</t>
        </is>
      </c>
      <c r="E8157" t="inlineStr">
        <is>
          <t>HÄRNÖSAND</t>
        </is>
      </c>
      <c r="F8157" t="inlineStr">
        <is>
          <t>SCA</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55272-2024</t>
        </is>
      </c>
      <c r="B8158" s="1" t="n">
        <v>45621</v>
      </c>
      <c r="C8158" s="1" t="n">
        <v>46185</v>
      </c>
      <c r="D8158" t="inlineStr">
        <is>
          <t>VÄSTERNORRLANDS LÄN</t>
        </is>
      </c>
      <c r="E8158" t="inlineStr">
        <is>
          <t>SOLLEFTEÅ</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18296-2026</t>
        </is>
      </c>
      <c r="B8159" s="1" t="n">
        <v>46126.44241898148</v>
      </c>
      <c r="C8159" s="1" t="n">
        <v>46185</v>
      </c>
      <c r="D8159" t="inlineStr">
        <is>
          <t>VÄSTERNORRLANDS LÄN</t>
        </is>
      </c>
      <c r="E8159" t="inlineStr">
        <is>
          <t>SOLLEFTEÅ</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24197-2026</t>
        </is>
      </c>
      <c r="B8160" s="1" t="n">
        <v>46168.61546296296</v>
      </c>
      <c r="C8160" s="1" t="n">
        <v>46185</v>
      </c>
      <c r="D8160" t="inlineStr">
        <is>
          <t>VÄSTERNORRLANDS LÄN</t>
        </is>
      </c>
      <c r="E8160" t="inlineStr">
        <is>
          <t>SOLLEFTEÅ</t>
        </is>
      </c>
      <c r="F8160" t="inlineStr">
        <is>
          <t>SCA</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43128-2024</t>
        </is>
      </c>
      <c r="B8161" s="1" t="n">
        <v>45567</v>
      </c>
      <c r="C8161" s="1" t="n">
        <v>46185</v>
      </c>
      <c r="D8161" t="inlineStr">
        <is>
          <t>VÄSTERNORRLANDS LÄN</t>
        </is>
      </c>
      <c r="E8161" t="inlineStr">
        <is>
          <t>SUNDSVALL</t>
        </is>
      </c>
      <c r="F8161" t="inlineStr">
        <is>
          <t>SCA</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42603-2023</t>
        </is>
      </c>
      <c r="B8162" s="1" t="n">
        <v>45181.4537037037</v>
      </c>
      <c r="C8162" s="1" t="n">
        <v>46185</v>
      </c>
      <c r="D8162" t="inlineStr">
        <is>
          <t>VÄSTERNORRLANDS LÄN</t>
        </is>
      </c>
      <c r="E8162" t="inlineStr">
        <is>
          <t>ÖRNSKÖLDSVIK</t>
        </is>
      </c>
      <c r="F8162" t="inlineStr">
        <is>
          <t>Holmen skog AB</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51790-2023</t>
        </is>
      </c>
      <c r="B8163" s="1" t="n">
        <v>45222</v>
      </c>
      <c r="C8163" s="1" t="n">
        <v>46185</v>
      </c>
      <c r="D8163" t="inlineStr">
        <is>
          <t>VÄSTERNORRLANDS LÄN</t>
        </is>
      </c>
      <c r="E8163" t="inlineStr">
        <is>
          <t>SUNDSVALL</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51791-2023</t>
        </is>
      </c>
      <c r="B8164" s="1" t="n">
        <v>45222</v>
      </c>
      <c r="C8164" s="1" t="n">
        <v>46185</v>
      </c>
      <c r="D8164" t="inlineStr">
        <is>
          <t>VÄSTERNORRLANDS LÄN</t>
        </is>
      </c>
      <c r="E8164" t="inlineStr">
        <is>
          <t>SUNDSVALL</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43138-2024</t>
        </is>
      </c>
      <c r="B8165" s="1" t="n">
        <v>45567</v>
      </c>
      <c r="C8165" s="1" t="n">
        <v>46185</v>
      </c>
      <c r="D8165" t="inlineStr">
        <is>
          <t>VÄSTERNORRLANDS LÄN</t>
        </is>
      </c>
      <c r="E8165" t="inlineStr">
        <is>
          <t>ÖRNSKÖLDSVIK</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24154-2026</t>
        </is>
      </c>
      <c r="B8166" s="1" t="n">
        <v>46168.51104166666</v>
      </c>
      <c r="C8166" s="1" t="n">
        <v>46185</v>
      </c>
      <c r="D8166" t="inlineStr">
        <is>
          <t>VÄSTERNORRLANDS LÄN</t>
        </is>
      </c>
      <c r="E8166" t="inlineStr">
        <is>
          <t>ÅNGE</t>
        </is>
      </c>
      <c r="F8166" t="inlineStr">
        <is>
          <t>SCA</t>
        </is>
      </c>
      <c r="G8166" t="n">
        <v>6.4</v>
      </c>
      <c r="H8166" t="n">
        <v>0</v>
      </c>
      <c r="I8166" t="n">
        <v>0</v>
      </c>
      <c r="J8166" t="n">
        <v>0</v>
      </c>
      <c r="K8166" t="n">
        <v>0</v>
      </c>
      <c r="L8166" t="n">
        <v>0</v>
      </c>
      <c r="M8166" t="n">
        <v>0</v>
      </c>
      <c r="N8166" t="n">
        <v>0</v>
      </c>
      <c r="O8166" t="n">
        <v>0</v>
      </c>
      <c r="P8166" t="n">
        <v>0</v>
      </c>
      <c r="Q8166" t="n">
        <v>0</v>
      </c>
      <c r="R8166" s="2" t="inlineStr"/>
    </row>
    <row r="8167" ht="15" customHeight="1">
      <c r="A8167" t="inlineStr">
        <is>
          <t>A 5359-2025</t>
        </is>
      </c>
      <c r="B8167" s="1" t="n">
        <v>45692</v>
      </c>
      <c r="C8167" s="1" t="n">
        <v>46185</v>
      </c>
      <c r="D8167" t="inlineStr">
        <is>
          <t>VÄSTERNORRLANDS LÄN</t>
        </is>
      </c>
      <c r="E8167" t="inlineStr">
        <is>
          <t>SOLLEFTEÅ</t>
        </is>
      </c>
      <c r="F8167" t="inlineStr">
        <is>
          <t>Övriga statliga verk och myndigheter</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24164-2026</t>
        </is>
      </c>
      <c r="B8168" s="1" t="n">
        <v>46168.55268518518</v>
      </c>
      <c r="C8168" s="1" t="n">
        <v>46185</v>
      </c>
      <c r="D8168" t="inlineStr">
        <is>
          <t>VÄSTERNORRLANDS LÄN</t>
        </is>
      </c>
      <c r="E8168" t="inlineStr">
        <is>
          <t>ÅNGE</t>
        </is>
      </c>
      <c r="F8168" t="inlineStr">
        <is>
          <t>SCA</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24165-2026</t>
        </is>
      </c>
      <c r="B8169" s="1" t="n">
        <v>46168.5528587963</v>
      </c>
      <c r="C8169" s="1" t="n">
        <v>46185</v>
      </c>
      <c r="D8169" t="inlineStr">
        <is>
          <t>VÄSTERNORRLANDS LÄN</t>
        </is>
      </c>
      <c r="E8169" t="inlineStr">
        <is>
          <t>SOLLEFTEÅ</t>
        </is>
      </c>
      <c r="G8169" t="n">
        <v>8.300000000000001</v>
      </c>
      <c r="H8169" t="n">
        <v>0</v>
      </c>
      <c r="I8169" t="n">
        <v>0</v>
      </c>
      <c r="J8169" t="n">
        <v>0</v>
      </c>
      <c r="K8169" t="n">
        <v>0</v>
      </c>
      <c r="L8169" t="n">
        <v>0</v>
      </c>
      <c r="M8169" t="n">
        <v>0</v>
      </c>
      <c r="N8169" t="n">
        <v>0</v>
      </c>
      <c r="O8169" t="n">
        <v>0</v>
      </c>
      <c r="P8169" t="n">
        <v>0</v>
      </c>
      <c r="Q8169" t="n">
        <v>0</v>
      </c>
      <c r="R8169" s="2" t="inlineStr"/>
    </row>
    <row r="8170" ht="15" customHeight="1">
      <c r="A8170" t="inlineStr">
        <is>
          <t>A 2777-2025</t>
        </is>
      </c>
      <c r="B8170" s="1" t="n">
        <v>45677.52034722222</v>
      </c>
      <c r="C8170" s="1" t="n">
        <v>46185</v>
      </c>
      <c r="D8170" t="inlineStr">
        <is>
          <t>VÄSTERNORRLANDS LÄN</t>
        </is>
      </c>
      <c r="E8170" t="inlineStr">
        <is>
          <t>KRAMFORS</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24222-2026</t>
        </is>
      </c>
      <c r="B8171" s="1" t="n">
        <v>46168.63900462963</v>
      </c>
      <c r="C8171" s="1" t="n">
        <v>46185</v>
      </c>
      <c r="D8171" t="inlineStr">
        <is>
          <t>VÄSTERNORRLANDS LÄN</t>
        </is>
      </c>
      <c r="E8171" t="inlineStr">
        <is>
          <t>SOLLEFTEÅ</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16979-2022</t>
        </is>
      </c>
      <c r="B8172" s="1" t="n">
        <v>44676</v>
      </c>
      <c r="C8172" s="1" t="n">
        <v>46185</v>
      </c>
      <c r="D8172" t="inlineStr">
        <is>
          <t>VÄSTERNORRLANDS LÄN</t>
        </is>
      </c>
      <c r="E8172" t="inlineStr">
        <is>
          <t>HÄRNÖSAND</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18315-2026</t>
        </is>
      </c>
      <c r="B8173" s="1" t="n">
        <v>46126</v>
      </c>
      <c r="C8173" s="1" t="n">
        <v>46185</v>
      </c>
      <c r="D8173" t="inlineStr">
        <is>
          <t>VÄSTERNORRLANDS LÄN</t>
        </is>
      </c>
      <c r="E8173" t="inlineStr">
        <is>
          <t>SUNDSVALL</t>
        </is>
      </c>
      <c r="G8173" t="n">
        <v>9.1</v>
      </c>
      <c r="H8173" t="n">
        <v>0</v>
      </c>
      <c r="I8173" t="n">
        <v>0</v>
      </c>
      <c r="J8173" t="n">
        <v>0</v>
      </c>
      <c r="K8173" t="n">
        <v>0</v>
      </c>
      <c r="L8173" t="n">
        <v>0</v>
      </c>
      <c r="M8173" t="n">
        <v>0</v>
      </c>
      <c r="N8173" t="n">
        <v>0</v>
      </c>
      <c r="O8173" t="n">
        <v>0</v>
      </c>
      <c r="P8173" t="n">
        <v>0</v>
      </c>
      <c r="Q8173" t="n">
        <v>0</v>
      </c>
      <c r="R8173" s="2" t="inlineStr"/>
    </row>
    <row r="8174" ht="15" customHeight="1">
      <c r="A8174" t="inlineStr">
        <is>
          <t>A 55787-2024</t>
        </is>
      </c>
      <c r="B8174" s="1" t="n">
        <v>45623</v>
      </c>
      <c r="C8174" s="1" t="n">
        <v>46185</v>
      </c>
      <c r="D8174" t="inlineStr">
        <is>
          <t>VÄSTERNORRLANDS LÄN</t>
        </is>
      </c>
      <c r="E8174" t="inlineStr">
        <is>
          <t>KRAMFORS</t>
        </is>
      </c>
      <c r="G8174" t="n">
        <v>5.7</v>
      </c>
      <c r="H8174" t="n">
        <v>0</v>
      </c>
      <c r="I8174" t="n">
        <v>0</v>
      </c>
      <c r="J8174" t="n">
        <v>0</v>
      </c>
      <c r="K8174" t="n">
        <v>0</v>
      </c>
      <c r="L8174" t="n">
        <v>0</v>
      </c>
      <c r="M8174" t="n">
        <v>0</v>
      </c>
      <c r="N8174" t="n">
        <v>0</v>
      </c>
      <c r="O8174" t="n">
        <v>0</v>
      </c>
      <c r="P8174" t="n">
        <v>0</v>
      </c>
      <c r="Q8174" t="n">
        <v>0</v>
      </c>
      <c r="R8174" s="2" t="inlineStr"/>
    </row>
    <row r="8175" ht="15" customHeight="1">
      <c r="A8175" t="inlineStr">
        <is>
          <t>A 55790-2024</t>
        </is>
      </c>
      <c r="B8175" s="1" t="n">
        <v>45623.42818287037</v>
      </c>
      <c r="C8175" s="1" t="n">
        <v>46185</v>
      </c>
      <c r="D8175" t="inlineStr">
        <is>
          <t>VÄSTERNORRLANDS LÄN</t>
        </is>
      </c>
      <c r="E8175" t="inlineStr">
        <is>
          <t>SUNDSVALL</t>
        </is>
      </c>
      <c r="F8175" t="inlineStr">
        <is>
          <t>Naturvårdsverket</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18333-2026</t>
        </is>
      </c>
      <c r="B8176" s="1" t="n">
        <v>46126.53193287037</v>
      </c>
      <c r="C8176" s="1" t="n">
        <v>46185</v>
      </c>
      <c r="D8176" t="inlineStr">
        <is>
          <t>VÄSTERNORRLANDS LÄN</t>
        </is>
      </c>
      <c r="E8176" t="inlineStr">
        <is>
          <t>SOLLEFTEÅ</t>
        </is>
      </c>
      <c r="F8176" t="inlineStr">
        <is>
          <t>SCA</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51942-2024</t>
        </is>
      </c>
      <c r="B8177" s="1" t="n">
        <v>45607.63592592593</v>
      </c>
      <c r="C8177" s="1" t="n">
        <v>46185</v>
      </c>
      <c r="D8177" t="inlineStr">
        <is>
          <t>VÄSTERNORRLANDS LÄN</t>
        </is>
      </c>
      <c r="E8177" t="inlineStr">
        <is>
          <t>SOLLEFTEÅ</t>
        </is>
      </c>
      <c r="F8177" t="inlineStr">
        <is>
          <t>SCA</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3962-2025</t>
        </is>
      </c>
      <c r="B8178" s="1" t="n">
        <v>45684.50478009259</v>
      </c>
      <c r="C8178" s="1" t="n">
        <v>46185</v>
      </c>
      <c r="D8178" t="inlineStr">
        <is>
          <t>VÄSTERNORRLANDS LÄN</t>
        </is>
      </c>
      <c r="E8178" t="inlineStr">
        <is>
          <t>SUNDSVALL</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18435-2026</t>
        </is>
      </c>
      <c r="B8179" s="1" t="n">
        <v>46127.34512731482</v>
      </c>
      <c r="C8179" s="1" t="n">
        <v>46185</v>
      </c>
      <c r="D8179" t="inlineStr">
        <is>
          <t>VÄSTERNORRLANDS LÄN</t>
        </is>
      </c>
      <c r="E8179" t="inlineStr">
        <is>
          <t>SOLLEFTEÅ</t>
        </is>
      </c>
      <c r="F8179" t="inlineStr">
        <is>
          <t>SCA</t>
        </is>
      </c>
      <c r="G8179" t="n">
        <v>5.6</v>
      </c>
      <c r="H8179" t="n">
        <v>0</v>
      </c>
      <c r="I8179" t="n">
        <v>0</v>
      </c>
      <c r="J8179" t="n">
        <v>0</v>
      </c>
      <c r="K8179" t="n">
        <v>0</v>
      </c>
      <c r="L8179" t="n">
        <v>0</v>
      </c>
      <c r="M8179" t="n">
        <v>0</v>
      </c>
      <c r="N8179" t="n">
        <v>0</v>
      </c>
      <c r="O8179" t="n">
        <v>0</v>
      </c>
      <c r="P8179" t="n">
        <v>0</v>
      </c>
      <c r="Q8179" t="n">
        <v>0</v>
      </c>
      <c r="R8179" s="2" t="inlineStr"/>
    </row>
    <row r="8180" ht="15" customHeight="1">
      <c r="A8180" t="inlineStr">
        <is>
          <t>A 3977-2025</t>
        </is>
      </c>
      <c r="B8180" s="1" t="n">
        <v>45684</v>
      </c>
      <c r="C8180" s="1" t="n">
        <v>46185</v>
      </c>
      <c r="D8180" t="inlineStr">
        <is>
          <t>VÄSTERNORRLANDS LÄN</t>
        </is>
      </c>
      <c r="E8180" t="inlineStr">
        <is>
          <t>ÅNGE</t>
        </is>
      </c>
      <c r="F8180" t="inlineStr">
        <is>
          <t>Holmen skog AB</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24301-2026</t>
        </is>
      </c>
      <c r="B8181" s="1" t="n">
        <v>46169.44715277778</v>
      </c>
      <c r="C8181" s="1" t="n">
        <v>46185</v>
      </c>
      <c r="D8181" t="inlineStr">
        <is>
          <t>VÄSTERNORRLANDS LÄN</t>
        </is>
      </c>
      <c r="E8181" t="inlineStr">
        <is>
          <t>ÖRNSKÖLDSVIK</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21604-2026</t>
        </is>
      </c>
      <c r="B8182" s="1" t="n">
        <v>46149</v>
      </c>
      <c r="C8182" s="1" t="n">
        <v>46185</v>
      </c>
      <c r="D8182" t="inlineStr">
        <is>
          <t>VÄSTERNORRLANDS LÄN</t>
        </is>
      </c>
      <c r="E8182" t="inlineStr">
        <is>
          <t>SOLLEFTEÅ</t>
        </is>
      </c>
      <c r="F8182" t="inlineStr">
        <is>
          <t>SCA</t>
        </is>
      </c>
      <c r="G8182" t="n">
        <v>0.2</v>
      </c>
      <c r="H8182" t="n">
        <v>0</v>
      </c>
      <c r="I8182" t="n">
        <v>0</v>
      </c>
      <c r="J8182" t="n">
        <v>0</v>
      </c>
      <c r="K8182" t="n">
        <v>0</v>
      </c>
      <c r="L8182" t="n">
        <v>0</v>
      </c>
      <c r="M8182" t="n">
        <v>0</v>
      </c>
      <c r="N8182" t="n">
        <v>0</v>
      </c>
      <c r="O8182" t="n">
        <v>0</v>
      </c>
      <c r="P8182" t="n">
        <v>0</v>
      </c>
      <c r="Q8182" t="n">
        <v>0</v>
      </c>
      <c r="R8182" s="2" t="inlineStr"/>
    </row>
    <row r="8183" ht="15" customHeight="1">
      <c r="A8183" t="inlineStr">
        <is>
          <t>A 12179-2025</t>
        </is>
      </c>
      <c r="B8183" s="1" t="n">
        <v>45729.45498842592</v>
      </c>
      <c r="C8183" s="1" t="n">
        <v>46185</v>
      </c>
      <c r="D8183" t="inlineStr">
        <is>
          <t>VÄSTERNORRLANDS LÄN</t>
        </is>
      </c>
      <c r="E8183" t="inlineStr">
        <is>
          <t>ÖRNSKÖLDSVIK</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7367-2022</t>
        </is>
      </c>
      <c r="B8184" s="1" t="n">
        <v>44606</v>
      </c>
      <c r="C8184" s="1" t="n">
        <v>46185</v>
      </c>
      <c r="D8184" t="inlineStr">
        <is>
          <t>VÄSTERNORRLANDS LÄN</t>
        </is>
      </c>
      <c r="E8184" t="inlineStr">
        <is>
          <t>KRAMFORS</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18953-2026</t>
        </is>
      </c>
      <c r="B8185" s="1" t="n">
        <v>46127</v>
      </c>
      <c r="C8185" s="1" t="n">
        <v>46185</v>
      </c>
      <c r="D8185" t="inlineStr">
        <is>
          <t>VÄSTERNORRLANDS LÄN</t>
        </is>
      </c>
      <c r="E8185" t="inlineStr">
        <is>
          <t>ÖRNSKÖLDSVIK</t>
        </is>
      </c>
      <c r="G8185" t="n">
        <v>13.4</v>
      </c>
      <c r="H8185" t="n">
        <v>0</v>
      </c>
      <c r="I8185" t="n">
        <v>0</v>
      </c>
      <c r="J8185" t="n">
        <v>0</v>
      </c>
      <c r="K8185" t="n">
        <v>0</v>
      </c>
      <c r="L8185" t="n">
        <v>0</v>
      </c>
      <c r="M8185" t="n">
        <v>0</v>
      </c>
      <c r="N8185" t="n">
        <v>0</v>
      </c>
      <c r="O8185" t="n">
        <v>0</v>
      </c>
      <c r="P8185" t="n">
        <v>0</v>
      </c>
      <c r="Q8185" t="n">
        <v>0</v>
      </c>
      <c r="R8185" s="2" t="inlineStr"/>
    </row>
    <row r="8186" ht="15" customHeight="1">
      <c r="A8186" t="inlineStr">
        <is>
          <t>A 23994-2026</t>
        </is>
      </c>
      <c r="B8186" s="1" t="n">
        <v>46167.62482638889</v>
      </c>
      <c r="C8186" s="1" t="n">
        <v>46185</v>
      </c>
      <c r="D8186" t="inlineStr">
        <is>
          <t>VÄSTERNORRLANDS LÄN</t>
        </is>
      </c>
      <c r="E8186" t="inlineStr">
        <is>
          <t>KRAMFORS</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11414-2024</t>
        </is>
      </c>
      <c r="B8187" s="1" t="n">
        <v>45372.47179398148</v>
      </c>
      <c r="C8187" s="1" t="n">
        <v>46185</v>
      </c>
      <c r="D8187" t="inlineStr">
        <is>
          <t>VÄSTERNORRLANDS LÄN</t>
        </is>
      </c>
      <c r="E8187" t="inlineStr">
        <is>
          <t>SUNDSVALL</t>
        </is>
      </c>
      <c r="F8187" t="inlineStr">
        <is>
          <t>Kommuner</t>
        </is>
      </c>
      <c r="G8187" t="n">
        <v>5.9</v>
      </c>
      <c r="H8187" t="n">
        <v>0</v>
      </c>
      <c r="I8187" t="n">
        <v>0</v>
      </c>
      <c r="J8187" t="n">
        <v>0</v>
      </c>
      <c r="K8187" t="n">
        <v>0</v>
      </c>
      <c r="L8187" t="n">
        <v>0</v>
      </c>
      <c r="M8187" t="n">
        <v>0</v>
      </c>
      <c r="N8187" t="n">
        <v>0</v>
      </c>
      <c r="O8187" t="n">
        <v>0</v>
      </c>
      <c r="P8187" t="n">
        <v>0</v>
      </c>
      <c r="Q8187" t="n">
        <v>0</v>
      </c>
      <c r="R8187" s="2" t="inlineStr"/>
    </row>
    <row r="8188" ht="15" customHeight="1">
      <c r="A8188" t="inlineStr">
        <is>
          <t>A 24230-2026</t>
        </is>
      </c>
      <c r="B8188" s="1" t="n">
        <v>46168.6568287037</v>
      </c>
      <c r="C8188" s="1" t="n">
        <v>46185</v>
      </c>
      <c r="D8188" t="inlineStr">
        <is>
          <t>VÄSTERNORRLANDS LÄN</t>
        </is>
      </c>
      <c r="E8188" t="inlineStr">
        <is>
          <t>SOLLEFTEÅ</t>
        </is>
      </c>
      <c r="F8188" t="inlineStr">
        <is>
          <t>SCA</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24255-2026</t>
        </is>
      </c>
      <c r="B8189" s="1" t="n">
        <v>46168.99130787037</v>
      </c>
      <c r="C8189" s="1" t="n">
        <v>46185</v>
      </c>
      <c r="D8189" t="inlineStr">
        <is>
          <t>VÄSTERNORRLANDS LÄN</t>
        </is>
      </c>
      <c r="E8189" t="inlineStr">
        <is>
          <t>KRAMFORS</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45024-2023</t>
        </is>
      </c>
      <c r="B8190" s="1" t="n">
        <v>45190.96283564815</v>
      </c>
      <c r="C8190" s="1" t="n">
        <v>46185</v>
      </c>
      <c r="D8190" t="inlineStr">
        <is>
          <t>VÄSTERNORRLANDS LÄN</t>
        </is>
      </c>
      <c r="E8190" t="inlineStr">
        <is>
          <t>SUNDSVALL</t>
        </is>
      </c>
      <c r="F8190" t="inlineStr">
        <is>
          <t>SCA</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45105-2023</t>
        </is>
      </c>
      <c r="B8191" s="1" t="n">
        <v>45191</v>
      </c>
      <c r="C8191" s="1" t="n">
        <v>46185</v>
      </c>
      <c r="D8191" t="inlineStr">
        <is>
          <t>VÄSTERNORRLANDS LÄN</t>
        </is>
      </c>
      <c r="E8191" t="inlineStr">
        <is>
          <t>ÖRNSKÖLDSVIK</t>
        </is>
      </c>
      <c r="F8191" t="inlineStr">
        <is>
          <t>Holmen skog AB</t>
        </is>
      </c>
      <c r="G8191" t="n">
        <v>5.5</v>
      </c>
      <c r="H8191" t="n">
        <v>0</v>
      </c>
      <c r="I8191" t="n">
        <v>0</v>
      </c>
      <c r="J8191" t="n">
        <v>0</v>
      </c>
      <c r="K8191" t="n">
        <v>0</v>
      </c>
      <c r="L8191" t="n">
        <v>0</v>
      </c>
      <c r="M8191" t="n">
        <v>0</v>
      </c>
      <c r="N8191" t="n">
        <v>0</v>
      </c>
      <c r="O8191" t="n">
        <v>0</v>
      </c>
      <c r="P8191" t="n">
        <v>0</v>
      </c>
      <c r="Q8191" t="n">
        <v>0</v>
      </c>
      <c r="R8191" s="2" t="inlineStr"/>
    </row>
    <row r="8192" ht="15" customHeight="1">
      <c r="A8192" t="inlineStr">
        <is>
          <t>A 43006-2024</t>
        </is>
      </c>
      <c r="B8192" s="1" t="n">
        <v>45567.38202546296</v>
      </c>
      <c r="C8192" s="1" t="n">
        <v>46185</v>
      </c>
      <c r="D8192" t="inlineStr">
        <is>
          <t>VÄSTERNORRLANDS LÄN</t>
        </is>
      </c>
      <c r="E8192" t="inlineStr">
        <is>
          <t>TIMRÅ</t>
        </is>
      </c>
      <c r="F8192" t="inlineStr">
        <is>
          <t>SCA</t>
        </is>
      </c>
      <c r="G8192" t="n">
        <v>6</v>
      </c>
      <c r="H8192" t="n">
        <v>0</v>
      </c>
      <c r="I8192" t="n">
        <v>0</v>
      </c>
      <c r="J8192" t="n">
        <v>0</v>
      </c>
      <c r="K8192" t="n">
        <v>0</v>
      </c>
      <c r="L8192" t="n">
        <v>0</v>
      </c>
      <c r="M8192" t="n">
        <v>0</v>
      </c>
      <c r="N8192" t="n">
        <v>0</v>
      </c>
      <c r="O8192" t="n">
        <v>0</v>
      </c>
      <c r="P8192" t="n">
        <v>0</v>
      </c>
      <c r="Q8192" t="n">
        <v>0</v>
      </c>
      <c r="R8192" s="2" t="inlineStr"/>
    </row>
    <row r="8193" ht="15" customHeight="1">
      <c r="A8193" t="inlineStr">
        <is>
          <t>A 24078-2026</t>
        </is>
      </c>
      <c r="B8193" s="1" t="n">
        <v>46168.36675925926</v>
      </c>
      <c r="C8193" s="1" t="n">
        <v>46185</v>
      </c>
      <c r="D8193" t="inlineStr">
        <is>
          <t>VÄSTERNORRLANDS LÄN</t>
        </is>
      </c>
      <c r="E8193" t="inlineStr">
        <is>
          <t>ÖRNSKÖLDSVIK</t>
        </is>
      </c>
      <c r="F8193" t="inlineStr">
        <is>
          <t>Holmen skog AB</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20057-2023</t>
        </is>
      </c>
      <c r="B8194" s="1" t="n">
        <v>45051</v>
      </c>
      <c r="C8194" s="1" t="n">
        <v>46185</v>
      </c>
      <c r="D8194" t="inlineStr">
        <is>
          <t>VÄSTERNORRLANDS LÄN</t>
        </is>
      </c>
      <c r="E8194" t="inlineStr">
        <is>
          <t>SUNDSVALL</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38374-2022</t>
        </is>
      </c>
      <c r="B8195" s="1" t="n">
        <v>44812.68200231482</v>
      </c>
      <c r="C8195" s="1" t="n">
        <v>46185</v>
      </c>
      <c r="D8195" t="inlineStr">
        <is>
          <t>VÄSTERNORRLANDS LÄN</t>
        </is>
      </c>
      <c r="E8195" t="inlineStr">
        <is>
          <t>ÖRNSKÖLDSVIK</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18439-2026</t>
        </is>
      </c>
      <c r="B8196" s="1" t="n">
        <v>46127.365</v>
      </c>
      <c r="C8196" s="1" t="n">
        <v>46185</v>
      </c>
      <c r="D8196" t="inlineStr">
        <is>
          <t>VÄSTERNORRLANDS LÄN</t>
        </is>
      </c>
      <c r="E8196" t="inlineStr">
        <is>
          <t>KRAMFORS</t>
        </is>
      </c>
      <c r="G8196" t="n">
        <v>6.6</v>
      </c>
      <c r="H8196" t="n">
        <v>0</v>
      </c>
      <c r="I8196" t="n">
        <v>0</v>
      </c>
      <c r="J8196" t="n">
        <v>0</v>
      </c>
      <c r="K8196" t="n">
        <v>0</v>
      </c>
      <c r="L8196" t="n">
        <v>0</v>
      </c>
      <c r="M8196" t="n">
        <v>0</v>
      </c>
      <c r="N8196" t="n">
        <v>0</v>
      </c>
      <c r="O8196" t="n">
        <v>0</v>
      </c>
      <c r="P8196" t="n">
        <v>0</v>
      </c>
      <c r="Q8196" t="n">
        <v>0</v>
      </c>
      <c r="R8196" s="2" t="inlineStr"/>
    </row>
    <row r="8197" ht="15" customHeight="1">
      <c r="A8197" t="inlineStr">
        <is>
          <t>A 20837-2023</t>
        </is>
      </c>
      <c r="B8197" s="1" t="n">
        <v>45058.68621527778</v>
      </c>
      <c r="C8197" s="1" t="n">
        <v>46185</v>
      </c>
      <c r="D8197" t="inlineStr">
        <is>
          <t>VÄSTERNORRLANDS LÄN</t>
        </is>
      </c>
      <c r="E8197" t="inlineStr">
        <is>
          <t>TIMRÅ</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24327-2026</t>
        </is>
      </c>
      <c r="B8198" s="1" t="n">
        <v>46169.51112268519</v>
      </c>
      <c r="C8198" s="1" t="n">
        <v>46185</v>
      </c>
      <c r="D8198" t="inlineStr">
        <is>
          <t>VÄSTERNORRLANDS LÄN</t>
        </is>
      </c>
      <c r="E8198" t="inlineStr">
        <is>
          <t>SUNDSVALL</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34692-2022</t>
        </is>
      </c>
      <c r="B8199" s="1" t="n">
        <v>44795</v>
      </c>
      <c r="C8199" s="1" t="n">
        <v>46185</v>
      </c>
      <c r="D8199" t="inlineStr">
        <is>
          <t>VÄSTERNORRLANDS LÄN</t>
        </is>
      </c>
      <c r="E8199" t="inlineStr">
        <is>
          <t>ÖRNSKÖLDSVIK</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31274-2023</t>
        </is>
      </c>
      <c r="B8200" s="1" t="n">
        <v>45114.3946412037</v>
      </c>
      <c r="C8200" s="1" t="n">
        <v>46185</v>
      </c>
      <c r="D8200" t="inlineStr">
        <is>
          <t>VÄSTERNORRLANDS LÄN</t>
        </is>
      </c>
      <c r="E8200" t="inlineStr">
        <is>
          <t>SUNDSVALL</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31278-2023</t>
        </is>
      </c>
      <c r="B8201" s="1" t="n">
        <v>45114.39721064815</v>
      </c>
      <c r="C8201" s="1" t="n">
        <v>46185</v>
      </c>
      <c r="D8201" t="inlineStr">
        <is>
          <t>VÄSTERNORRLANDS LÄN</t>
        </is>
      </c>
      <c r="E8201" t="inlineStr">
        <is>
          <t>SUNDSVALL</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24079-2026</t>
        </is>
      </c>
      <c r="B8202" s="1" t="n">
        <v>46168.36811342592</v>
      </c>
      <c r="C8202" s="1" t="n">
        <v>46185</v>
      </c>
      <c r="D8202" t="inlineStr">
        <is>
          <t>VÄSTERNORRLANDS LÄN</t>
        </is>
      </c>
      <c r="E8202" t="inlineStr">
        <is>
          <t>ÖRNSKÖLDSVIK</t>
        </is>
      </c>
      <c r="F8202" t="inlineStr">
        <is>
          <t>Holmen skog AB</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24108-2026</t>
        </is>
      </c>
      <c r="B8203" s="1" t="n">
        <v>46168.42776620371</v>
      </c>
      <c r="C8203" s="1" t="n">
        <v>46185</v>
      </c>
      <c r="D8203" t="inlineStr">
        <is>
          <t>VÄSTERNORRLANDS LÄN</t>
        </is>
      </c>
      <c r="E8203" t="inlineStr">
        <is>
          <t>ÅNGE</t>
        </is>
      </c>
      <c r="F8203" t="inlineStr">
        <is>
          <t>SCA</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24252-2026</t>
        </is>
      </c>
      <c r="B8204" s="1" t="n">
        <v>46168.90844907407</v>
      </c>
      <c r="C8204" s="1" t="n">
        <v>46185</v>
      </c>
      <c r="D8204" t="inlineStr">
        <is>
          <t>VÄSTERNORRLANDS LÄN</t>
        </is>
      </c>
      <c r="E8204" t="inlineStr">
        <is>
          <t>ÖRNSKÖLDSVIK</t>
        </is>
      </c>
      <c r="F8204" t="inlineStr">
        <is>
          <t>Holmen skog AB</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24070-2026</t>
        </is>
      </c>
      <c r="B8205" s="1" t="n">
        <v>46168.3602662037</v>
      </c>
      <c r="C8205" s="1" t="n">
        <v>46185</v>
      </c>
      <c r="D8205" t="inlineStr">
        <is>
          <t>VÄSTERNORRLANDS LÄN</t>
        </is>
      </c>
      <c r="E8205" t="inlineStr">
        <is>
          <t>ÖRNSKÖLDSVIK</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40071-2023</t>
        </is>
      </c>
      <c r="B8206" s="1" t="n">
        <v>45168.86712962963</v>
      </c>
      <c r="C8206" s="1" t="n">
        <v>46185</v>
      </c>
      <c r="D8206" t="inlineStr">
        <is>
          <t>VÄSTERNORRLANDS LÄN</t>
        </is>
      </c>
      <c r="E8206" t="inlineStr">
        <is>
          <t>ÖRNSKÖLDSVIK</t>
        </is>
      </c>
      <c r="F8206" t="inlineStr">
        <is>
          <t>Holmen skog AB</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24074-2026</t>
        </is>
      </c>
      <c r="B8207" s="1" t="n">
        <v>46168.36519675926</v>
      </c>
      <c r="C8207" s="1" t="n">
        <v>46185</v>
      </c>
      <c r="D8207" t="inlineStr">
        <is>
          <t>VÄSTERNORRLANDS LÄN</t>
        </is>
      </c>
      <c r="E8207" t="inlineStr">
        <is>
          <t>SOLLEFTEÅ</t>
        </is>
      </c>
      <c r="F8207" t="inlineStr">
        <is>
          <t>SCA</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40590-2023</t>
        </is>
      </c>
      <c r="B8208" s="1" t="n">
        <v>45170</v>
      </c>
      <c r="C8208" s="1" t="n">
        <v>46185</v>
      </c>
      <c r="D8208" t="inlineStr">
        <is>
          <t>VÄSTERNORRLANDS LÄN</t>
        </is>
      </c>
      <c r="E8208" t="inlineStr">
        <is>
          <t>ÖRNSKÖLDSVIK</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52264-2024</t>
        </is>
      </c>
      <c r="B8209" s="1" t="n">
        <v>45608</v>
      </c>
      <c r="C8209" s="1" t="n">
        <v>46185</v>
      </c>
      <c r="D8209" t="inlineStr">
        <is>
          <t>VÄSTERNORRLANDS LÄN</t>
        </is>
      </c>
      <c r="E8209" t="inlineStr">
        <is>
          <t>ÖRNSKÖLDSVIK</t>
        </is>
      </c>
      <c r="G8209" t="n">
        <v>0.3</v>
      </c>
      <c r="H8209" t="n">
        <v>0</v>
      </c>
      <c r="I8209" t="n">
        <v>0</v>
      </c>
      <c r="J8209" t="n">
        <v>0</v>
      </c>
      <c r="K8209" t="n">
        <v>0</v>
      </c>
      <c r="L8209" t="n">
        <v>0</v>
      </c>
      <c r="M8209" t="n">
        <v>0</v>
      </c>
      <c r="N8209" t="n">
        <v>0</v>
      </c>
      <c r="O8209" t="n">
        <v>0</v>
      </c>
      <c r="P8209" t="n">
        <v>0</v>
      </c>
      <c r="Q8209" t="n">
        <v>0</v>
      </c>
      <c r="R8209" s="2" t="inlineStr"/>
    </row>
    <row r="8210" ht="15" customHeight="1">
      <c r="A8210" t="inlineStr">
        <is>
          <t>A 18852-2026</t>
        </is>
      </c>
      <c r="B8210" s="1" t="n">
        <v>46129</v>
      </c>
      <c r="C8210" s="1" t="n">
        <v>46185</v>
      </c>
      <c r="D8210" t="inlineStr">
        <is>
          <t>VÄSTERNORRLANDS LÄN</t>
        </is>
      </c>
      <c r="E8210" t="inlineStr">
        <is>
          <t>ÅNGE</t>
        </is>
      </c>
      <c r="F8210" t="inlineStr">
        <is>
          <t>SCA</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18933-2026</t>
        </is>
      </c>
      <c r="B8211" s="1" t="n">
        <v>46129</v>
      </c>
      <c r="C8211" s="1" t="n">
        <v>46185</v>
      </c>
      <c r="D8211" t="inlineStr">
        <is>
          <t>VÄSTERNORRLANDS LÄN</t>
        </is>
      </c>
      <c r="E8211" t="inlineStr">
        <is>
          <t>ÖRNSKÖLDSVIK</t>
        </is>
      </c>
      <c r="G8211" t="n">
        <v>23.2</v>
      </c>
      <c r="H8211" t="n">
        <v>0</v>
      </c>
      <c r="I8211" t="n">
        <v>0</v>
      </c>
      <c r="J8211" t="n">
        <v>0</v>
      </c>
      <c r="K8211" t="n">
        <v>0</v>
      </c>
      <c r="L8211" t="n">
        <v>0</v>
      </c>
      <c r="M8211" t="n">
        <v>0</v>
      </c>
      <c r="N8211" t="n">
        <v>0</v>
      </c>
      <c r="O8211" t="n">
        <v>0</v>
      </c>
      <c r="P8211" t="n">
        <v>0</v>
      </c>
      <c r="Q8211" t="n">
        <v>0</v>
      </c>
      <c r="R8211" s="2" t="inlineStr"/>
    </row>
    <row r="8212" ht="15" customHeight="1">
      <c r="A8212" t="inlineStr">
        <is>
          <t>A 23734-2026</t>
        </is>
      </c>
      <c r="B8212" s="1" t="n">
        <v>46164</v>
      </c>
      <c r="C8212" s="1" t="n">
        <v>46185</v>
      </c>
      <c r="D8212" t="inlineStr">
        <is>
          <t>VÄSTERNORRLANDS LÄN</t>
        </is>
      </c>
      <c r="E8212" t="inlineStr">
        <is>
          <t>SUNDSVALL</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24881-2026</t>
        </is>
      </c>
      <c r="B8213" s="1" t="n">
        <v>46174.44199074074</v>
      </c>
      <c r="C8213" s="1" t="n">
        <v>46185</v>
      </c>
      <c r="D8213" t="inlineStr">
        <is>
          <t>VÄSTERNORRLANDS LÄN</t>
        </is>
      </c>
      <c r="E8213" t="inlineStr">
        <is>
          <t>ÖRNSKÖLDSVIK</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21888-2024</t>
        </is>
      </c>
      <c r="B8214" s="1" t="n">
        <v>45443</v>
      </c>
      <c r="C8214" s="1" t="n">
        <v>46185</v>
      </c>
      <c r="D8214" t="inlineStr">
        <is>
          <t>VÄSTERNORRLANDS LÄN</t>
        </is>
      </c>
      <c r="E8214" t="inlineStr">
        <is>
          <t>ÖRNSKÖLDSVIK</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24961-2026</t>
        </is>
      </c>
      <c r="B8215" s="1" t="n">
        <v>46174.57349537037</v>
      </c>
      <c r="C8215" s="1" t="n">
        <v>46185</v>
      </c>
      <c r="D8215" t="inlineStr">
        <is>
          <t>VÄSTERNORRLANDS LÄN</t>
        </is>
      </c>
      <c r="E8215" t="inlineStr">
        <is>
          <t>KRAMFORS</t>
        </is>
      </c>
      <c r="G8215" t="n">
        <v>5.9</v>
      </c>
      <c r="H8215" t="n">
        <v>0</v>
      </c>
      <c r="I8215" t="n">
        <v>0</v>
      </c>
      <c r="J8215" t="n">
        <v>0</v>
      </c>
      <c r="K8215" t="n">
        <v>0</v>
      </c>
      <c r="L8215" t="n">
        <v>0</v>
      </c>
      <c r="M8215" t="n">
        <v>0</v>
      </c>
      <c r="N8215" t="n">
        <v>0</v>
      </c>
      <c r="O8215" t="n">
        <v>0</v>
      </c>
      <c r="P8215" t="n">
        <v>0</v>
      </c>
      <c r="Q8215" t="n">
        <v>0</v>
      </c>
      <c r="R8215" s="2" t="inlineStr"/>
    </row>
    <row r="8216" ht="15" customHeight="1">
      <c r="A8216" t="inlineStr">
        <is>
          <t>A 12064-2025</t>
        </is>
      </c>
      <c r="B8216" s="1" t="n">
        <v>45728.69861111111</v>
      </c>
      <c r="C8216" s="1" t="n">
        <v>46185</v>
      </c>
      <c r="D8216" t="inlineStr">
        <is>
          <t>VÄSTERNORRLANDS LÄN</t>
        </is>
      </c>
      <c r="E8216" t="inlineStr">
        <is>
          <t>SOLLEFTEÅ</t>
        </is>
      </c>
      <c r="F8216" t="inlineStr">
        <is>
          <t>SCA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23747-2026</t>
        </is>
      </c>
      <c r="B8217" s="1" t="n">
        <v>46164</v>
      </c>
      <c r="C8217" s="1" t="n">
        <v>46185</v>
      </c>
      <c r="D8217" t="inlineStr">
        <is>
          <t>VÄSTERNORRLANDS LÄN</t>
        </is>
      </c>
      <c r="E8217" t="inlineStr">
        <is>
          <t>ÅNGE</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46497-2023</t>
        </is>
      </c>
      <c r="B8218" s="1" t="n">
        <v>45197.65950231482</v>
      </c>
      <c r="C8218" s="1" t="n">
        <v>46185</v>
      </c>
      <c r="D8218" t="inlineStr">
        <is>
          <t>VÄSTERNORRLANDS LÄN</t>
        </is>
      </c>
      <c r="E8218" t="inlineStr">
        <is>
          <t>SUNDSVALL</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24979-2026</t>
        </is>
      </c>
      <c r="B8219" s="1" t="n">
        <v>46174.59447916667</v>
      </c>
      <c r="C8219" s="1" t="n">
        <v>46185</v>
      </c>
      <c r="D8219" t="inlineStr">
        <is>
          <t>VÄSTERNORRLANDS LÄN</t>
        </is>
      </c>
      <c r="E8219" t="inlineStr">
        <is>
          <t>SOLLEFTEÅ</t>
        </is>
      </c>
      <c r="F8219" t="inlineStr">
        <is>
          <t>SCA</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48333-2024</t>
        </is>
      </c>
      <c r="B8220" s="1" t="n">
        <v>45590.53158564815</v>
      </c>
      <c r="C8220" s="1" t="n">
        <v>46185</v>
      </c>
      <c r="D8220" t="inlineStr">
        <is>
          <t>VÄSTERNORRLANDS LÄN</t>
        </is>
      </c>
      <c r="E8220" t="inlineStr">
        <is>
          <t>SUNDSVALL</t>
        </is>
      </c>
      <c r="F8220" t="inlineStr">
        <is>
          <t>SCA</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50698-2023</t>
        </is>
      </c>
      <c r="B8221" s="1" t="n">
        <v>45210</v>
      </c>
      <c r="C8221" s="1" t="n">
        <v>46185</v>
      </c>
      <c r="D8221" t="inlineStr">
        <is>
          <t>VÄSTERNORRLANDS LÄN</t>
        </is>
      </c>
      <c r="E8221" t="inlineStr">
        <is>
          <t>SOLLEFTEÅ</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59424-2024</t>
        </is>
      </c>
      <c r="B8222" s="1" t="n">
        <v>45638</v>
      </c>
      <c r="C8222" s="1" t="n">
        <v>46185</v>
      </c>
      <c r="D8222" t="inlineStr">
        <is>
          <t>VÄSTERNORRLANDS LÄN</t>
        </is>
      </c>
      <c r="E8222" t="inlineStr">
        <is>
          <t>SOLLEFTEÅ</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52709-2024</t>
        </is>
      </c>
      <c r="B8223" s="1" t="n">
        <v>45610.42753472222</v>
      </c>
      <c r="C8223" s="1" t="n">
        <v>46185</v>
      </c>
      <c r="D8223" t="inlineStr">
        <is>
          <t>VÄSTERNORRLANDS LÄN</t>
        </is>
      </c>
      <c r="E8223" t="inlineStr">
        <is>
          <t>SOLLEFTEÅ</t>
        </is>
      </c>
      <c r="F8223" t="inlineStr">
        <is>
          <t>SCA</t>
        </is>
      </c>
      <c r="G8223" t="n">
        <v>11.6</v>
      </c>
      <c r="H8223" t="n">
        <v>0</v>
      </c>
      <c r="I8223" t="n">
        <v>0</v>
      </c>
      <c r="J8223" t="n">
        <v>0</v>
      </c>
      <c r="K8223" t="n">
        <v>0</v>
      </c>
      <c r="L8223" t="n">
        <v>0</v>
      </c>
      <c r="M8223" t="n">
        <v>0</v>
      </c>
      <c r="N8223" t="n">
        <v>0</v>
      </c>
      <c r="O8223" t="n">
        <v>0</v>
      </c>
      <c r="P8223" t="n">
        <v>0</v>
      </c>
      <c r="Q8223" t="n">
        <v>0</v>
      </c>
      <c r="R8223" s="2" t="inlineStr"/>
    </row>
    <row r="8224" ht="15" customHeight="1">
      <c r="A8224" t="inlineStr">
        <is>
          <t>A 45644-2023</t>
        </is>
      </c>
      <c r="B8224" s="1" t="n">
        <v>45188</v>
      </c>
      <c r="C8224" s="1" t="n">
        <v>46185</v>
      </c>
      <c r="D8224" t="inlineStr">
        <is>
          <t>VÄSTERNORRLANDS LÄN</t>
        </is>
      </c>
      <c r="E8224" t="inlineStr">
        <is>
          <t>SOLLEFTEÅ</t>
        </is>
      </c>
      <c r="F8224" t="inlineStr">
        <is>
          <t>SCA</t>
        </is>
      </c>
      <c r="G8224" t="n">
        <v>1</v>
      </c>
      <c r="H8224" t="n">
        <v>0</v>
      </c>
      <c r="I8224" t="n">
        <v>0</v>
      </c>
      <c r="J8224" t="n">
        <v>0</v>
      </c>
      <c r="K8224" t="n">
        <v>0</v>
      </c>
      <c r="L8224" t="n">
        <v>0</v>
      </c>
      <c r="M8224" t="n">
        <v>0</v>
      </c>
      <c r="N8224" t="n">
        <v>0</v>
      </c>
      <c r="O8224" t="n">
        <v>0</v>
      </c>
      <c r="P8224" t="n">
        <v>0</v>
      </c>
      <c r="Q8224" t="n">
        <v>0</v>
      </c>
      <c r="R8224" s="2" t="inlineStr"/>
      <c r="U8224">
        <f>HYPERLINK("https://klasma.github.io/Logging_2283/knärot/A 45644-2023 karta knärot.png", "A 45644-2023")</f>
        <v/>
      </c>
      <c r="V8224">
        <f>HYPERLINK("https://klasma.github.io/Logging_2283/klagomål/A 45644-2023 FSC-klagomål.docx", "A 45644-2023")</f>
        <v/>
      </c>
      <c r="W8224">
        <f>HYPERLINK("https://klasma.github.io/Logging_2283/klagomålsmail/A 45644-2023 FSC-klagomål mail.docx", "A 45644-2023")</f>
        <v/>
      </c>
      <c r="X8224">
        <f>HYPERLINK("https://klasma.github.io/Logging_2283/tillsyn/A 45644-2023 tillsynsbegäran.docx", "A 45644-2023")</f>
        <v/>
      </c>
      <c r="Y8224">
        <f>HYPERLINK("https://klasma.github.io/Logging_2283/tillsynsmail/A 45644-2023 tillsynsbegäran mail.docx", "A 45644-2023")</f>
        <v/>
      </c>
    </row>
    <row r="8225" ht="15" customHeight="1">
      <c r="A8225" t="inlineStr">
        <is>
          <t>A 24470-2026</t>
        </is>
      </c>
      <c r="B8225" s="1" t="n">
        <v>46170.4143287037</v>
      </c>
      <c r="C8225" s="1" t="n">
        <v>46185</v>
      </c>
      <c r="D8225" t="inlineStr">
        <is>
          <t>VÄSTERNORRLANDS LÄN</t>
        </is>
      </c>
      <c r="E8225" t="inlineStr">
        <is>
          <t>ÅNGE</t>
        </is>
      </c>
      <c r="F8225" t="inlineStr">
        <is>
          <t>SCA</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13341-2024</t>
        </is>
      </c>
      <c r="B8226" s="1" t="n">
        <v>45386.94486111111</v>
      </c>
      <c r="C8226" s="1" t="n">
        <v>46185</v>
      </c>
      <c r="D8226" t="inlineStr">
        <is>
          <t>VÄSTERNORRLANDS LÄN</t>
        </is>
      </c>
      <c r="E8226" t="inlineStr">
        <is>
          <t>TIMRÅ</t>
        </is>
      </c>
      <c r="F8226" t="inlineStr">
        <is>
          <t>SCA</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13360-2024</t>
        </is>
      </c>
      <c r="B8227" s="1" t="n">
        <v>45387.35157407408</v>
      </c>
      <c r="C8227" s="1" t="n">
        <v>46185</v>
      </c>
      <c r="D8227" t="inlineStr">
        <is>
          <t>VÄSTERNORRLANDS LÄN</t>
        </is>
      </c>
      <c r="E8227" t="inlineStr">
        <is>
          <t>SUNDSVALL</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15339-2025</t>
        </is>
      </c>
      <c r="B8228" s="1" t="n">
        <v>45747.36695601852</v>
      </c>
      <c r="C8228" s="1" t="n">
        <v>46185</v>
      </c>
      <c r="D8228" t="inlineStr">
        <is>
          <t>VÄSTERNORRLANDS LÄN</t>
        </is>
      </c>
      <c r="E8228" t="inlineStr">
        <is>
          <t>ÖRNSKÖLDSVIK</t>
        </is>
      </c>
      <c r="F8228" t="inlineStr">
        <is>
          <t>Holmen skog AB</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18681-2026</t>
        </is>
      </c>
      <c r="B8229" s="1" t="n">
        <v>46128.38604166666</v>
      </c>
      <c r="C8229" s="1" t="n">
        <v>46185</v>
      </c>
      <c r="D8229" t="inlineStr">
        <is>
          <t>VÄSTERNORRLANDS LÄN</t>
        </is>
      </c>
      <c r="E8229" t="inlineStr">
        <is>
          <t>SOLLEFTEÅ</t>
        </is>
      </c>
      <c r="F8229" t="inlineStr">
        <is>
          <t>SCA</t>
        </is>
      </c>
      <c r="G8229" t="n">
        <v>6.2</v>
      </c>
      <c r="H8229" t="n">
        <v>0</v>
      </c>
      <c r="I8229" t="n">
        <v>0</v>
      </c>
      <c r="J8229" t="n">
        <v>0</v>
      </c>
      <c r="K8229" t="n">
        <v>0</v>
      </c>
      <c r="L8229" t="n">
        <v>0</v>
      </c>
      <c r="M8229" t="n">
        <v>0</v>
      </c>
      <c r="N8229" t="n">
        <v>0</v>
      </c>
      <c r="O8229" t="n">
        <v>0</v>
      </c>
      <c r="P8229" t="n">
        <v>0</v>
      </c>
      <c r="Q8229" t="n">
        <v>0</v>
      </c>
      <c r="R8229" s="2" t="inlineStr"/>
    </row>
    <row r="8230" ht="15" customHeight="1">
      <c r="A8230" t="inlineStr">
        <is>
          <t>A 18682-2026</t>
        </is>
      </c>
      <c r="B8230" s="1" t="n">
        <v>46128.38626157407</v>
      </c>
      <c r="C8230" s="1" t="n">
        <v>46185</v>
      </c>
      <c r="D8230" t="inlineStr">
        <is>
          <t>VÄSTERNORRLANDS LÄN</t>
        </is>
      </c>
      <c r="E8230" t="inlineStr">
        <is>
          <t>SOLLEFTEÅ</t>
        </is>
      </c>
      <c r="F8230" t="inlineStr">
        <is>
          <t>SCA</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24865-2026</t>
        </is>
      </c>
      <c r="B8231" s="1" t="n">
        <v>46174.40719907408</v>
      </c>
      <c r="C8231" s="1" t="n">
        <v>46185</v>
      </c>
      <c r="D8231" t="inlineStr">
        <is>
          <t>VÄSTERNORRLANDS LÄN</t>
        </is>
      </c>
      <c r="E8231" t="inlineStr">
        <is>
          <t>SUNDSVALL</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48083-2023</t>
        </is>
      </c>
      <c r="B8232" s="1" t="n">
        <v>45204</v>
      </c>
      <c r="C8232" s="1" t="n">
        <v>46185</v>
      </c>
      <c r="D8232" t="inlineStr">
        <is>
          <t>VÄSTERNORRLANDS LÄN</t>
        </is>
      </c>
      <c r="E8232" t="inlineStr">
        <is>
          <t>SOLLEFTEÅ</t>
        </is>
      </c>
      <c r="F8232" t="inlineStr">
        <is>
          <t>SCA</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61484-2024</t>
        </is>
      </c>
      <c r="B8233" s="1" t="n">
        <v>45646.53160879629</v>
      </c>
      <c r="C8233" s="1" t="n">
        <v>46185</v>
      </c>
      <c r="D8233" t="inlineStr">
        <is>
          <t>VÄSTERNORRLANDS LÄN</t>
        </is>
      </c>
      <c r="E8233" t="inlineStr">
        <is>
          <t>TIMRÅ</t>
        </is>
      </c>
      <c r="F8233" t="inlineStr">
        <is>
          <t>SCA</t>
        </is>
      </c>
      <c r="G8233" t="n">
        <v>8.699999999999999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24510-2026</t>
        </is>
      </c>
      <c r="B8234" s="1" t="n">
        <v>46170.49042824074</v>
      </c>
      <c r="C8234" s="1" t="n">
        <v>46185</v>
      </c>
      <c r="D8234" t="inlineStr">
        <is>
          <t>VÄSTERNORRLANDS LÄN</t>
        </is>
      </c>
      <c r="E8234" t="inlineStr">
        <is>
          <t>ÖRNSKÖLDSVIK</t>
        </is>
      </c>
      <c r="F8234" t="inlineStr">
        <is>
          <t>Holmen skog AB</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24553-2026</t>
        </is>
      </c>
      <c r="B8235" s="1" t="n">
        <v>46170.59429398148</v>
      </c>
      <c r="C8235" s="1" t="n">
        <v>46185</v>
      </c>
      <c r="D8235" t="inlineStr">
        <is>
          <t>VÄSTERNORRLANDS LÄN</t>
        </is>
      </c>
      <c r="E8235" t="inlineStr">
        <is>
          <t>ÅNGE</t>
        </is>
      </c>
      <c r="F8235" t="inlineStr">
        <is>
          <t>SCA</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39506-2023</t>
        </is>
      </c>
      <c r="B8236" s="1" t="n">
        <v>45166.95797453704</v>
      </c>
      <c r="C8236" s="1" t="n">
        <v>46185</v>
      </c>
      <c r="D8236" t="inlineStr">
        <is>
          <t>VÄSTERNORRLANDS LÄN</t>
        </is>
      </c>
      <c r="E8236" t="inlineStr">
        <is>
          <t>SUNDSVALL</t>
        </is>
      </c>
      <c r="F8236" t="inlineStr">
        <is>
          <t>SCA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24883-2026</t>
        </is>
      </c>
      <c r="B8237" s="1" t="n">
        <v>46174.44444444445</v>
      </c>
      <c r="C8237" s="1" t="n">
        <v>46185</v>
      </c>
      <c r="D8237" t="inlineStr">
        <is>
          <t>VÄSTERNORRLANDS LÄN</t>
        </is>
      </c>
      <c r="E8237" t="inlineStr">
        <is>
          <t>ÖRNSKÖLDSVIK</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22853-2026</t>
        </is>
      </c>
      <c r="B8238" s="1" t="n">
        <v>46160</v>
      </c>
      <c r="C8238" s="1" t="n">
        <v>46185</v>
      </c>
      <c r="D8238" t="inlineStr">
        <is>
          <t>VÄSTERNORRLANDS LÄN</t>
        </is>
      </c>
      <c r="E8238" t="inlineStr">
        <is>
          <t>SOLLEFTEÅ</t>
        </is>
      </c>
      <c r="F8238" t="inlineStr">
        <is>
          <t>Kyrkan</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52461-2024</t>
        </is>
      </c>
      <c r="B8239" s="1" t="n">
        <v>45609.51947916667</v>
      </c>
      <c r="C8239" s="1" t="n">
        <v>46185</v>
      </c>
      <c r="D8239" t="inlineStr">
        <is>
          <t>VÄSTERNORRLANDS LÄN</t>
        </is>
      </c>
      <c r="E8239" t="inlineStr">
        <is>
          <t>SOLLEFTEÅ</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18824-2026</t>
        </is>
      </c>
      <c r="B8240" s="1" t="n">
        <v>46128.67763888889</v>
      </c>
      <c r="C8240" s="1" t="n">
        <v>46185</v>
      </c>
      <c r="D8240" t="inlineStr">
        <is>
          <t>VÄSTERNORRLANDS LÄN</t>
        </is>
      </c>
      <c r="E8240" t="inlineStr">
        <is>
          <t>SOLLEFTEÅ</t>
        </is>
      </c>
      <c r="F8240" t="inlineStr">
        <is>
          <t>SCA</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18828-2026</t>
        </is>
      </c>
      <c r="B8241" s="1" t="n">
        <v>46128</v>
      </c>
      <c r="C8241" s="1" t="n">
        <v>46185</v>
      </c>
      <c r="D8241" t="inlineStr">
        <is>
          <t>VÄSTERNORRLANDS LÄN</t>
        </is>
      </c>
      <c r="E8241" t="inlineStr">
        <is>
          <t>KRAMFORS</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19021-2025</t>
        </is>
      </c>
      <c r="B8242" s="1" t="n">
        <v>45764.61802083333</v>
      </c>
      <c r="C8242" s="1" t="n">
        <v>46185</v>
      </c>
      <c r="D8242" t="inlineStr">
        <is>
          <t>VÄSTERNORRLANDS LÄN</t>
        </is>
      </c>
      <c r="E8242" t="inlineStr">
        <is>
          <t>KRAMFORS</t>
        </is>
      </c>
      <c r="G8242" t="n">
        <v>3.9</v>
      </c>
      <c r="H8242" t="n">
        <v>0</v>
      </c>
      <c r="I8242" t="n">
        <v>0</v>
      </c>
      <c r="J8242" t="n">
        <v>0</v>
      </c>
      <c r="K8242" t="n">
        <v>0</v>
      </c>
      <c r="L8242" t="n">
        <v>0</v>
      </c>
      <c r="M8242" t="n">
        <v>0</v>
      </c>
      <c r="N8242" t="n">
        <v>0</v>
      </c>
      <c r="O8242" t="n">
        <v>0</v>
      </c>
      <c r="P8242" t="n">
        <v>0</v>
      </c>
      <c r="Q8242" t="n">
        <v>0</v>
      </c>
      <c r="R8242" s="2" t="inlineStr"/>
    </row>
    <row r="8243" ht="15" customHeight="1">
      <c r="A8243" t="inlineStr">
        <is>
          <t>A 24434-2026</t>
        </is>
      </c>
      <c r="B8243" s="1" t="n">
        <v>46169</v>
      </c>
      <c r="C8243" s="1" t="n">
        <v>46185</v>
      </c>
      <c r="D8243" t="inlineStr">
        <is>
          <t>VÄSTERNORRLANDS LÄN</t>
        </is>
      </c>
      <c r="E8243" t="inlineStr">
        <is>
          <t>ÅNGE</t>
        </is>
      </c>
      <c r="G8243" t="n">
        <v>0.3</v>
      </c>
      <c r="H8243" t="n">
        <v>0</v>
      </c>
      <c r="I8243" t="n">
        <v>0</v>
      </c>
      <c r="J8243" t="n">
        <v>0</v>
      </c>
      <c r="K8243" t="n">
        <v>0</v>
      </c>
      <c r="L8243" t="n">
        <v>0</v>
      </c>
      <c r="M8243" t="n">
        <v>0</v>
      </c>
      <c r="N8243" t="n">
        <v>0</v>
      </c>
      <c r="O8243" t="n">
        <v>0</v>
      </c>
      <c r="P8243" t="n">
        <v>0</v>
      </c>
      <c r="Q8243" t="n">
        <v>0</v>
      </c>
      <c r="R8243" s="2" t="inlineStr"/>
    </row>
    <row r="8244" ht="15" customHeight="1">
      <c r="A8244" t="inlineStr">
        <is>
          <t>A 31925-2023</t>
        </is>
      </c>
      <c r="B8244" s="1" t="n">
        <v>45118</v>
      </c>
      <c r="C8244" s="1" t="n">
        <v>46185</v>
      </c>
      <c r="D8244" t="inlineStr">
        <is>
          <t>VÄSTERNORRLANDS LÄN</t>
        </is>
      </c>
      <c r="E8244" t="inlineStr">
        <is>
          <t>SOLLEFTEÅ</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53689-2023</t>
        </is>
      </c>
      <c r="B8245" s="1" t="n">
        <v>45230</v>
      </c>
      <c r="C8245" s="1" t="n">
        <v>46185</v>
      </c>
      <c r="D8245" t="inlineStr">
        <is>
          <t>VÄSTERNORRLANDS LÄN</t>
        </is>
      </c>
      <c r="E8245" t="inlineStr">
        <is>
          <t>ÖRNSKÖLDSVIK</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57271-2024</t>
        </is>
      </c>
      <c r="B8246" s="1" t="n">
        <v>45629.57364583333</v>
      </c>
      <c r="C8246" s="1" t="n">
        <v>46185</v>
      </c>
      <c r="D8246" t="inlineStr">
        <is>
          <t>VÄSTERNORRLANDS LÄN</t>
        </is>
      </c>
      <c r="E8246" t="inlineStr">
        <is>
          <t>ÅNGE</t>
        </is>
      </c>
      <c r="F8246" t="inlineStr">
        <is>
          <t>SCA</t>
        </is>
      </c>
      <c r="G8246" t="n">
        <v>5.3</v>
      </c>
      <c r="H8246" t="n">
        <v>0</v>
      </c>
      <c r="I8246" t="n">
        <v>0</v>
      </c>
      <c r="J8246" t="n">
        <v>0</v>
      </c>
      <c r="K8246" t="n">
        <v>0</v>
      </c>
      <c r="L8246" t="n">
        <v>0</v>
      </c>
      <c r="M8246" t="n">
        <v>0</v>
      </c>
      <c r="N8246" t="n">
        <v>0</v>
      </c>
      <c r="O8246" t="n">
        <v>0</v>
      </c>
      <c r="P8246" t="n">
        <v>0</v>
      </c>
      <c r="Q8246" t="n">
        <v>0</v>
      </c>
      <c r="R8246" s="2" t="inlineStr"/>
    </row>
    <row r="8247" ht="15" customHeight="1">
      <c r="A8247" t="inlineStr">
        <is>
          <t>A 39435-2023</t>
        </is>
      </c>
      <c r="B8247" s="1" t="n">
        <v>45163</v>
      </c>
      <c r="C8247" s="1" t="n">
        <v>46185</v>
      </c>
      <c r="D8247" t="inlineStr">
        <is>
          <t>VÄSTERNORRLANDS LÄN</t>
        </is>
      </c>
      <c r="E8247" t="inlineStr">
        <is>
          <t>ÖRNSKÖLDSVIK</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38536-2022</t>
        </is>
      </c>
      <c r="B8248" s="1" t="n">
        <v>44813</v>
      </c>
      <c r="C8248" s="1" t="n">
        <v>46185</v>
      </c>
      <c r="D8248" t="inlineStr">
        <is>
          <t>VÄSTERNORRLANDS LÄN</t>
        </is>
      </c>
      <c r="E8248" t="inlineStr">
        <is>
          <t>KRAMFORS</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18809-2026</t>
        </is>
      </c>
      <c r="B8249" s="1" t="n">
        <v>46128</v>
      </c>
      <c r="C8249" s="1" t="n">
        <v>46185</v>
      </c>
      <c r="D8249" t="inlineStr">
        <is>
          <t>VÄSTERNORRLANDS LÄN</t>
        </is>
      </c>
      <c r="E8249" t="inlineStr">
        <is>
          <t>SUNDSVALL</t>
        </is>
      </c>
      <c r="F8249" t="inlineStr">
        <is>
          <t>SCA</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57343-2024</t>
        </is>
      </c>
      <c r="B8250" s="1" t="n">
        <v>45629.63747685185</v>
      </c>
      <c r="C8250" s="1" t="n">
        <v>46185</v>
      </c>
      <c r="D8250" t="inlineStr">
        <is>
          <t>VÄSTERNORRLANDS LÄN</t>
        </is>
      </c>
      <c r="E8250" t="inlineStr">
        <is>
          <t>HÄRNÖSAND</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12164-2023</t>
        </is>
      </c>
      <c r="B8251" s="1" t="n">
        <v>44995</v>
      </c>
      <c r="C8251" s="1" t="n">
        <v>46185</v>
      </c>
      <c r="D8251" t="inlineStr">
        <is>
          <t>VÄSTERNORRLANDS LÄN</t>
        </is>
      </c>
      <c r="E8251" t="inlineStr">
        <is>
          <t>SOLLEFTEÅ</t>
        </is>
      </c>
      <c r="G8251" t="n">
        <v>18.3</v>
      </c>
      <c r="H8251" t="n">
        <v>0</v>
      </c>
      <c r="I8251" t="n">
        <v>0</v>
      </c>
      <c r="J8251" t="n">
        <v>0</v>
      </c>
      <c r="K8251" t="n">
        <v>0</v>
      </c>
      <c r="L8251" t="n">
        <v>0</v>
      </c>
      <c r="M8251" t="n">
        <v>0</v>
      </c>
      <c r="N8251" t="n">
        <v>0</v>
      </c>
      <c r="O8251" t="n">
        <v>0</v>
      </c>
      <c r="P8251" t="n">
        <v>0</v>
      </c>
      <c r="Q8251" t="n">
        <v>0</v>
      </c>
      <c r="R8251" s="2" t="inlineStr"/>
    </row>
    <row r="8252" ht="15" customHeight="1">
      <c r="A8252" t="inlineStr">
        <is>
          <t>A 44551-2023</t>
        </is>
      </c>
      <c r="B8252" s="1" t="n">
        <v>45183</v>
      </c>
      <c r="C8252" s="1" t="n">
        <v>46185</v>
      </c>
      <c r="D8252" t="inlineStr">
        <is>
          <t>VÄSTERNORRLANDS LÄN</t>
        </is>
      </c>
      <c r="E8252" t="inlineStr">
        <is>
          <t>SUNDSVALL</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5369-2022</t>
        </is>
      </c>
      <c r="B8253" s="1" t="n">
        <v>44594.92113425926</v>
      </c>
      <c r="C8253" s="1" t="n">
        <v>46185</v>
      </c>
      <c r="D8253" t="inlineStr">
        <is>
          <t>VÄSTERNORRLANDS LÄN</t>
        </is>
      </c>
      <c r="E8253" t="inlineStr">
        <is>
          <t>ÅNGE</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24943-2026</t>
        </is>
      </c>
      <c r="B8254" s="1" t="n">
        <v>46174.55253472222</v>
      </c>
      <c r="C8254" s="1" t="n">
        <v>46185</v>
      </c>
      <c r="D8254" t="inlineStr">
        <is>
          <t>VÄSTERNORRLANDS LÄN</t>
        </is>
      </c>
      <c r="E8254" t="inlineStr">
        <is>
          <t>HÄRNÖSAND</t>
        </is>
      </c>
      <c r="G8254" t="n">
        <v>5.6</v>
      </c>
      <c r="H8254" t="n">
        <v>0</v>
      </c>
      <c r="I8254" t="n">
        <v>0</v>
      </c>
      <c r="J8254" t="n">
        <v>0</v>
      </c>
      <c r="K8254" t="n">
        <v>0</v>
      </c>
      <c r="L8254" t="n">
        <v>0</v>
      </c>
      <c r="M8254" t="n">
        <v>0</v>
      </c>
      <c r="N8254" t="n">
        <v>0</v>
      </c>
      <c r="O8254" t="n">
        <v>0</v>
      </c>
      <c r="P8254" t="n">
        <v>0</v>
      </c>
      <c r="Q8254" t="n">
        <v>0</v>
      </c>
      <c r="R8254" s="2" t="inlineStr"/>
    </row>
    <row r="8255" ht="15" customHeight="1">
      <c r="A8255" t="inlineStr">
        <is>
          <t>A 11989-2024</t>
        </is>
      </c>
      <c r="B8255" s="1" t="n">
        <v>45376.95318287037</v>
      </c>
      <c r="C8255" s="1" t="n">
        <v>46185</v>
      </c>
      <c r="D8255" t="inlineStr">
        <is>
          <t>VÄSTERNORRLANDS LÄN</t>
        </is>
      </c>
      <c r="E8255" t="inlineStr">
        <is>
          <t>SUNDSVALL</t>
        </is>
      </c>
      <c r="F8255" t="inlineStr">
        <is>
          <t>SCA</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28472-2023</t>
        </is>
      </c>
      <c r="B8256" s="1" t="n">
        <v>45103.41283564815</v>
      </c>
      <c r="C8256" s="1" t="n">
        <v>46185</v>
      </c>
      <c r="D8256" t="inlineStr">
        <is>
          <t>VÄSTERNORRLANDS LÄN</t>
        </is>
      </c>
      <c r="E8256" t="inlineStr">
        <is>
          <t>ÖRNSKÖLDSVIK</t>
        </is>
      </c>
      <c r="F8256" t="inlineStr">
        <is>
          <t>Holmen skog AB</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49701-2023</t>
        </is>
      </c>
      <c r="B8257" s="1" t="n">
        <v>45212</v>
      </c>
      <c r="C8257" s="1" t="n">
        <v>46185</v>
      </c>
      <c r="D8257" t="inlineStr">
        <is>
          <t>VÄSTERNORRLANDS LÄN</t>
        </is>
      </c>
      <c r="E8257" t="inlineStr">
        <is>
          <t>ÖRNSKÖLDSVIK</t>
        </is>
      </c>
      <c r="F8257" t="inlineStr">
        <is>
          <t>Holmen skog AB</t>
        </is>
      </c>
      <c r="G8257" t="n">
        <v>11.8</v>
      </c>
      <c r="H8257" t="n">
        <v>0</v>
      </c>
      <c r="I8257" t="n">
        <v>0</v>
      </c>
      <c r="J8257" t="n">
        <v>0</v>
      </c>
      <c r="K8257" t="n">
        <v>0</v>
      </c>
      <c r="L8257" t="n">
        <v>0</v>
      </c>
      <c r="M8257" t="n">
        <v>0</v>
      </c>
      <c r="N8257" t="n">
        <v>0</v>
      </c>
      <c r="O8257" t="n">
        <v>0</v>
      </c>
      <c r="P8257" t="n">
        <v>0</v>
      </c>
      <c r="Q8257" t="n">
        <v>0</v>
      </c>
      <c r="R8257" s="2" t="inlineStr"/>
    </row>
    <row r="8258" ht="15" customHeight="1">
      <c r="A8258" t="inlineStr">
        <is>
          <t>A 4895-2025</t>
        </is>
      </c>
      <c r="B8258" s="1" t="n">
        <v>45688.67891203704</v>
      </c>
      <c r="C8258" s="1" t="n">
        <v>46185</v>
      </c>
      <c r="D8258" t="inlineStr">
        <is>
          <t>VÄSTERNORRLANDS LÄN</t>
        </is>
      </c>
      <c r="E8258" t="inlineStr">
        <is>
          <t>SOLLEFTEÅ</t>
        </is>
      </c>
      <c r="F8258" t="inlineStr">
        <is>
          <t>SCA</t>
        </is>
      </c>
      <c r="G8258" t="n">
        <v>0.3</v>
      </c>
      <c r="H8258" t="n">
        <v>0</v>
      </c>
      <c r="I8258" t="n">
        <v>0</v>
      </c>
      <c r="J8258" t="n">
        <v>0</v>
      </c>
      <c r="K8258" t="n">
        <v>0</v>
      </c>
      <c r="L8258" t="n">
        <v>0</v>
      </c>
      <c r="M8258" t="n">
        <v>0</v>
      </c>
      <c r="N8258" t="n">
        <v>0</v>
      </c>
      <c r="O8258" t="n">
        <v>0</v>
      </c>
      <c r="P8258" t="n">
        <v>0</v>
      </c>
      <c r="Q8258" t="n">
        <v>0</v>
      </c>
      <c r="R8258" s="2" t="inlineStr"/>
    </row>
    <row r="8259" ht="15" customHeight="1">
      <c r="A8259" t="inlineStr">
        <is>
          <t>A 9616-2025</t>
        </is>
      </c>
      <c r="B8259" s="1" t="n">
        <v>45715.66296296296</v>
      </c>
      <c r="C8259" s="1" t="n">
        <v>46185</v>
      </c>
      <c r="D8259" t="inlineStr">
        <is>
          <t>VÄSTERNORRLANDS LÄN</t>
        </is>
      </c>
      <c r="E8259" t="inlineStr">
        <is>
          <t>SUNDSVALL</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9632-2025</t>
        </is>
      </c>
      <c r="B8260" s="1" t="n">
        <v>45715.71921296296</v>
      </c>
      <c r="C8260" s="1" t="n">
        <v>46185</v>
      </c>
      <c r="D8260" t="inlineStr">
        <is>
          <t>VÄSTERNORRLANDS LÄN</t>
        </is>
      </c>
      <c r="E8260" t="inlineStr">
        <is>
          <t>SOLLEFTEÅ</t>
        </is>
      </c>
      <c r="F8260" t="inlineStr">
        <is>
          <t>SCA</t>
        </is>
      </c>
      <c r="G8260" t="n">
        <v>21.6</v>
      </c>
      <c r="H8260" t="n">
        <v>0</v>
      </c>
      <c r="I8260" t="n">
        <v>0</v>
      </c>
      <c r="J8260" t="n">
        <v>0</v>
      </c>
      <c r="K8260" t="n">
        <v>0</v>
      </c>
      <c r="L8260" t="n">
        <v>0</v>
      </c>
      <c r="M8260" t="n">
        <v>0</v>
      </c>
      <c r="N8260" t="n">
        <v>0</v>
      </c>
      <c r="O8260" t="n">
        <v>0</v>
      </c>
      <c r="P8260" t="n">
        <v>0</v>
      </c>
      <c r="Q8260" t="n">
        <v>0</v>
      </c>
      <c r="R8260" s="2" t="inlineStr"/>
    </row>
    <row r="8261" ht="15" customHeight="1">
      <c r="A8261" t="inlineStr">
        <is>
          <t>A 18941-2026</t>
        </is>
      </c>
      <c r="B8261" s="1" t="n">
        <v>46129.57335648148</v>
      </c>
      <c r="C8261" s="1" t="n">
        <v>46185</v>
      </c>
      <c r="D8261" t="inlineStr">
        <is>
          <t>VÄSTERNORRLANDS LÄN</t>
        </is>
      </c>
      <c r="E8261" t="inlineStr">
        <is>
          <t>SUNDSVALL</t>
        </is>
      </c>
      <c r="F8261" t="inlineStr">
        <is>
          <t>SCA</t>
        </is>
      </c>
      <c r="G8261" t="n">
        <v>4.6</v>
      </c>
      <c r="H8261" t="n">
        <v>0</v>
      </c>
      <c r="I8261" t="n">
        <v>0</v>
      </c>
      <c r="J8261" t="n">
        <v>0</v>
      </c>
      <c r="K8261" t="n">
        <v>0</v>
      </c>
      <c r="L8261" t="n">
        <v>0</v>
      </c>
      <c r="M8261" t="n">
        <v>0</v>
      </c>
      <c r="N8261" t="n">
        <v>0</v>
      </c>
      <c r="O8261" t="n">
        <v>0</v>
      </c>
      <c r="P8261" t="n">
        <v>0</v>
      </c>
      <c r="Q8261" t="n">
        <v>0</v>
      </c>
      <c r="R8261" s="2" t="inlineStr"/>
    </row>
    <row r="8262" ht="15" customHeight="1">
      <c r="A8262" t="inlineStr">
        <is>
          <t>A 18647-2026</t>
        </is>
      </c>
      <c r="B8262" s="1" t="n">
        <v>46128.34453703704</v>
      </c>
      <c r="C8262" s="1" t="n">
        <v>46185</v>
      </c>
      <c r="D8262" t="inlineStr">
        <is>
          <t>VÄSTERNORRLANDS LÄN</t>
        </is>
      </c>
      <c r="E8262" t="inlineStr">
        <is>
          <t>ÅNGE</t>
        </is>
      </c>
      <c r="F8262" t="inlineStr">
        <is>
          <t>SCA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18648-2026</t>
        </is>
      </c>
      <c r="B8263" s="1" t="n">
        <v>46128.34461805555</v>
      </c>
      <c r="C8263" s="1" t="n">
        <v>46185</v>
      </c>
      <c r="D8263" t="inlineStr">
        <is>
          <t>VÄSTERNORRLANDS LÄN</t>
        </is>
      </c>
      <c r="E8263" t="inlineStr">
        <is>
          <t>ÅNGE</t>
        </is>
      </c>
      <c r="F8263" t="inlineStr">
        <is>
          <t>SCA</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19105-2026</t>
        </is>
      </c>
      <c r="B8264" s="1" t="n">
        <v>46132.44585648148</v>
      </c>
      <c r="C8264" s="1" t="n">
        <v>46185</v>
      </c>
      <c r="D8264" t="inlineStr">
        <is>
          <t>VÄSTERNORRLANDS LÄN</t>
        </is>
      </c>
      <c r="E8264" t="inlineStr">
        <is>
          <t>ÖRNSKÖLDSVIK</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19204-2026</t>
        </is>
      </c>
      <c r="B8265" s="1" t="n">
        <v>46132.61618055555</v>
      </c>
      <c r="C8265" s="1" t="n">
        <v>46185</v>
      </c>
      <c r="D8265" t="inlineStr">
        <is>
          <t>VÄSTERNORRLANDS LÄN</t>
        </is>
      </c>
      <c r="E8265" t="inlineStr">
        <is>
          <t>ÅNGE</t>
        </is>
      </c>
      <c r="F8265" t="inlineStr">
        <is>
          <t>SCA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19209-2026</t>
        </is>
      </c>
      <c r="B8266" s="1" t="n">
        <v>46132.62471064815</v>
      </c>
      <c r="C8266" s="1" t="n">
        <v>46185</v>
      </c>
      <c r="D8266" t="inlineStr">
        <is>
          <t>VÄSTERNORRLANDS LÄN</t>
        </is>
      </c>
      <c r="E8266" t="inlineStr">
        <is>
          <t>ÅNGE</t>
        </is>
      </c>
      <c r="G8266" t="n">
        <v>0.3</v>
      </c>
      <c r="H8266" t="n">
        <v>0</v>
      </c>
      <c r="I8266" t="n">
        <v>0</v>
      </c>
      <c r="J8266" t="n">
        <v>0</v>
      </c>
      <c r="K8266" t="n">
        <v>0</v>
      </c>
      <c r="L8266" t="n">
        <v>0</v>
      </c>
      <c r="M8266" t="n">
        <v>0</v>
      </c>
      <c r="N8266" t="n">
        <v>0</v>
      </c>
      <c r="O8266" t="n">
        <v>0</v>
      </c>
      <c r="P8266" t="n">
        <v>0</v>
      </c>
      <c r="Q8266" t="n">
        <v>0</v>
      </c>
      <c r="R8266" s="2" t="inlineStr"/>
    </row>
    <row r="8267" ht="15" customHeight="1">
      <c r="A8267" t="inlineStr">
        <is>
          <t>A 13138-2024</t>
        </is>
      </c>
      <c r="B8267" s="1" t="n">
        <v>45386</v>
      </c>
      <c r="C8267" s="1" t="n">
        <v>46185</v>
      </c>
      <c r="D8267" t="inlineStr">
        <is>
          <t>VÄSTERNORRLANDS LÄN</t>
        </is>
      </c>
      <c r="E8267" t="inlineStr">
        <is>
          <t>SOLLEFTEÅ</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24555-2026</t>
        </is>
      </c>
      <c r="B8268" s="1" t="n">
        <v>46170.59833333334</v>
      </c>
      <c r="C8268" s="1" t="n">
        <v>46185</v>
      </c>
      <c r="D8268" t="inlineStr">
        <is>
          <t>VÄSTERNORRLANDS LÄN</t>
        </is>
      </c>
      <c r="E8268" t="inlineStr">
        <is>
          <t>SUNDSVALL</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12561-2022</t>
        </is>
      </c>
      <c r="B8269" s="1" t="n">
        <v>44638</v>
      </c>
      <c r="C8269" s="1" t="n">
        <v>46185</v>
      </c>
      <c r="D8269" t="inlineStr">
        <is>
          <t>VÄSTERNORRLANDS LÄN</t>
        </is>
      </c>
      <c r="E8269" t="inlineStr">
        <is>
          <t>SOLLEFTEÅ</t>
        </is>
      </c>
      <c r="F8269" t="inlineStr">
        <is>
          <t>SCA</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42048-2022</t>
        </is>
      </c>
      <c r="B8270" s="1" t="n">
        <v>44830.49101851852</v>
      </c>
      <c r="C8270" s="1" t="n">
        <v>46185</v>
      </c>
      <c r="D8270" t="inlineStr">
        <is>
          <t>VÄSTERNORRLANDS LÄN</t>
        </is>
      </c>
      <c r="E8270" t="inlineStr">
        <is>
          <t>ÖRNSKÖLDSVIK</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24854-2026</t>
        </is>
      </c>
      <c r="B8271" s="1" t="n">
        <v>46174.38912037037</v>
      </c>
      <c r="C8271" s="1" t="n">
        <v>46185</v>
      </c>
      <c r="D8271" t="inlineStr">
        <is>
          <t>VÄSTERNORRLANDS LÄN</t>
        </is>
      </c>
      <c r="E8271" t="inlineStr">
        <is>
          <t>KRAMFORS</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24502-2026</t>
        </is>
      </c>
      <c r="B8272" s="1" t="n">
        <v>46170.46658564815</v>
      </c>
      <c r="C8272" s="1" t="n">
        <v>46185</v>
      </c>
      <c r="D8272" t="inlineStr">
        <is>
          <t>VÄSTERNORRLANDS LÄN</t>
        </is>
      </c>
      <c r="E8272" t="inlineStr">
        <is>
          <t>HÄRNÖSAND</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53806-2023</t>
        </is>
      </c>
      <c r="B8273" s="1" t="n">
        <v>45231</v>
      </c>
      <c r="C8273" s="1" t="n">
        <v>46185</v>
      </c>
      <c r="D8273" t="inlineStr">
        <is>
          <t>VÄSTERNORRLANDS LÄN</t>
        </is>
      </c>
      <c r="E8273" t="inlineStr">
        <is>
          <t>ÖRNSKÖLDSVIK</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27392-2023</t>
        </is>
      </c>
      <c r="B8274" s="1" t="n">
        <v>45096.93997685185</v>
      </c>
      <c r="C8274" s="1" t="n">
        <v>46185</v>
      </c>
      <c r="D8274" t="inlineStr">
        <is>
          <t>VÄSTERNORRLANDS LÄN</t>
        </is>
      </c>
      <c r="E8274" t="inlineStr">
        <is>
          <t>SOLLEFTEÅ</t>
        </is>
      </c>
      <c r="F8274" t="inlineStr">
        <is>
          <t>SCA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19214-2026</t>
        </is>
      </c>
      <c r="B8275" s="1" t="n">
        <v>46132.62857638889</v>
      </c>
      <c r="C8275" s="1" t="n">
        <v>46185</v>
      </c>
      <c r="D8275" t="inlineStr">
        <is>
          <t>VÄSTERNORRLANDS LÄN</t>
        </is>
      </c>
      <c r="E8275" t="inlineStr">
        <is>
          <t>ÅNGE</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13300-2022</t>
        </is>
      </c>
      <c r="B8276" s="1" t="n">
        <v>44644</v>
      </c>
      <c r="C8276" s="1" t="n">
        <v>46185</v>
      </c>
      <c r="D8276" t="inlineStr">
        <is>
          <t>VÄSTERNORRLANDS LÄN</t>
        </is>
      </c>
      <c r="E8276" t="inlineStr">
        <is>
          <t>SOLLEFTEÅ</t>
        </is>
      </c>
      <c r="F8276" t="inlineStr">
        <is>
          <t>SCA</t>
        </is>
      </c>
      <c r="G8276" t="n">
        <v>9.9</v>
      </c>
      <c r="H8276" t="n">
        <v>0</v>
      </c>
      <c r="I8276" t="n">
        <v>0</v>
      </c>
      <c r="J8276" t="n">
        <v>0</v>
      </c>
      <c r="K8276" t="n">
        <v>0</v>
      </c>
      <c r="L8276" t="n">
        <v>0</v>
      </c>
      <c r="M8276" t="n">
        <v>0</v>
      </c>
      <c r="N8276" t="n">
        <v>0</v>
      </c>
      <c r="O8276" t="n">
        <v>0</v>
      </c>
      <c r="P8276" t="n">
        <v>0</v>
      </c>
      <c r="Q8276" t="n">
        <v>0</v>
      </c>
      <c r="R8276" s="2" t="inlineStr"/>
    </row>
    <row r="8277" ht="15" customHeight="1">
      <c r="A8277" t="inlineStr">
        <is>
          <t>A 18710-2026</t>
        </is>
      </c>
      <c r="B8277" s="1" t="n">
        <v>46128</v>
      </c>
      <c r="C8277" s="1" t="n">
        <v>46185</v>
      </c>
      <c r="D8277" t="inlineStr">
        <is>
          <t>VÄSTERNORRLANDS LÄN</t>
        </is>
      </c>
      <c r="E8277" t="inlineStr">
        <is>
          <t>KRAMFORS</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18732-2026</t>
        </is>
      </c>
      <c r="B8278" s="1" t="n">
        <v>46128.49086805555</v>
      </c>
      <c r="C8278" s="1" t="n">
        <v>46185</v>
      </c>
      <c r="D8278" t="inlineStr">
        <is>
          <t>VÄSTERNORRLANDS LÄN</t>
        </is>
      </c>
      <c r="E8278" t="inlineStr">
        <is>
          <t>SUNDSVALL</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22750-2023</t>
        </is>
      </c>
      <c r="B8279" s="1" t="n">
        <v>45071.94090277778</v>
      </c>
      <c r="C8279" s="1" t="n">
        <v>46185</v>
      </c>
      <c r="D8279" t="inlineStr">
        <is>
          <t>VÄSTERNORRLANDS LÄN</t>
        </is>
      </c>
      <c r="E8279" t="inlineStr">
        <is>
          <t>SOLLEFTEÅ</t>
        </is>
      </c>
      <c r="F8279" t="inlineStr">
        <is>
          <t>SCA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22755-2023</t>
        </is>
      </c>
      <c r="B8280" s="1" t="n">
        <v>45071.94127314815</v>
      </c>
      <c r="C8280" s="1" t="n">
        <v>46185</v>
      </c>
      <c r="D8280" t="inlineStr">
        <is>
          <t>VÄSTERNORRLANDS LÄN</t>
        </is>
      </c>
      <c r="E8280" t="inlineStr">
        <is>
          <t>ÅNGE</t>
        </is>
      </c>
      <c r="F8280" t="inlineStr">
        <is>
          <t>SCA</t>
        </is>
      </c>
      <c r="G8280" t="n">
        <v>12.6</v>
      </c>
      <c r="H8280" t="n">
        <v>0</v>
      </c>
      <c r="I8280" t="n">
        <v>0</v>
      </c>
      <c r="J8280" t="n">
        <v>0</v>
      </c>
      <c r="K8280" t="n">
        <v>0</v>
      </c>
      <c r="L8280" t="n">
        <v>0</v>
      </c>
      <c r="M8280" t="n">
        <v>0</v>
      </c>
      <c r="N8280" t="n">
        <v>0</v>
      </c>
      <c r="O8280" t="n">
        <v>0</v>
      </c>
      <c r="P8280" t="n">
        <v>0</v>
      </c>
      <c r="Q8280" t="n">
        <v>0</v>
      </c>
      <c r="R8280" s="2" t="inlineStr"/>
    </row>
    <row r="8281" ht="15" customHeight="1">
      <c r="A8281" t="inlineStr">
        <is>
          <t>A 19047-2026</t>
        </is>
      </c>
      <c r="B8281" s="1" t="n">
        <v>46132.34450231482</v>
      </c>
      <c r="C8281" s="1" t="n">
        <v>46185</v>
      </c>
      <c r="D8281" t="inlineStr">
        <is>
          <t>VÄSTERNORRLANDS LÄN</t>
        </is>
      </c>
      <c r="E8281" t="inlineStr">
        <is>
          <t>SOLLEFTEÅ</t>
        </is>
      </c>
      <c r="F8281" t="inlineStr">
        <is>
          <t>SCA</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19060-2026</t>
        </is>
      </c>
      <c r="B8282" s="1" t="n">
        <v>46132.36563657408</v>
      </c>
      <c r="C8282" s="1" t="n">
        <v>46185</v>
      </c>
      <c r="D8282" t="inlineStr">
        <is>
          <t>VÄSTERNORRLANDS LÄN</t>
        </is>
      </c>
      <c r="E8282" t="inlineStr">
        <is>
          <t>SUNDSVALL</t>
        </is>
      </c>
      <c r="F8282" t="inlineStr">
        <is>
          <t>SCA</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52231-2023</t>
        </is>
      </c>
      <c r="B8283" s="1" t="n">
        <v>45217</v>
      </c>
      <c r="C8283" s="1" t="n">
        <v>46185</v>
      </c>
      <c r="D8283" t="inlineStr">
        <is>
          <t>VÄSTERNORRLANDS LÄN</t>
        </is>
      </c>
      <c r="E8283" t="inlineStr">
        <is>
          <t>SUNDSVALL</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19181-2026</t>
        </is>
      </c>
      <c r="B8284" s="1" t="n">
        <v>46132.59607638889</v>
      </c>
      <c r="C8284" s="1" t="n">
        <v>46185</v>
      </c>
      <c r="D8284" t="inlineStr">
        <is>
          <t>VÄSTERNORRLANDS LÄN</t>
        </is>
      </c>
      <c r="E8284" t="inlineStr">
        <is>
          <t>SOLLEFTEÅ</t>
        </is>
      </c>
      <c r="F8284" t="inlineStr">
        <is>
          <t>SCA</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7966-2022</t>
        </is>
      </c>
      <c r="B8285" s="1" t="n">
        <v>44608</v>
      </c>
      <c r="C8285" s="1" t="n">
        <v>46185</v>
      </c>
      <c r="D8285" t="inlineStr">
        <is>
          <t>VÄSTERNORRLANDS LÄN</t>
        </is>
      </c>
      <c r="E8285" t="inlineStr">
        <is>
          <t>TIMRÅ</t>
        </is>
      </c>
      <c r="F8285" t="inlineStr">
        <is>
          <t>SCA</t>
        </is>
      </c>
      <c r="G8285" t="n">
        <v>8.199999999999999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9202-2022</t>
        </is>
      </c>
      <c r="B8286" s="1" t="n">
        <v>44615</v>
      </c>
      <c r="C8286" s="1" t="n">
        <v>46185</v>
      </c>
      <c r="D8286" t="inlineStr">
        <is>
          <t>VÄSTERNORRLANDS LÄN</t>
        </is>
      </c>
      <c r="E8286" t="inlineStr">
        <is>
          <t>TIMRÅ</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9203-2022</t>
        </is>
      </c>
      <c r="B8287" s="1" t="n">
        <v>44615</v>
      </c>
      <c r="C8287" s="1" t="n">
        <v>46185</v>
      </c>
      <c r="D8287" t="inlineStr">
        <is>
          <t>VÄSTERNORRLANDS LÄN</t>
        </is>
      </c>
      <c r="E8287" t="inlineStr">
        <is>
          <t>TIMRÅ</t>
        </is>
      </c>
      <c r="G8287" t="n">
        <v>5.5</v>
      </c>
      <c r="H8287" t="n">
        <v>0</v>
      </c>
      <c r="I8287" t="n">
        <v>0</v>
      </c>
      <c r="J8287" t="n">
        <v>0</v>
      </c>
      <c r="K8287" t="n">
        <v>0</v>
      </c>
      <c r="L8287" t="n">
        <v>0</v>
      </c>
      <c r="M8287" t="n">
        <v>0</v>
      </c>
      <c r="N8287" t="n">
        <v>0</v>
      </c>
      <c r="O8287" t="n">
        <v>0</v>
      </c>
      <c r="P8287" t="n">
        <v>0</v>
      </c>
      <c r="Q8287" t="n">
        <v>0</v>
      </c>
      <c r="R8287" s="2" t="inlineStr"/>
    </row>
    <row r="8288" ht="15" customHeight="1">
      <c r="A8288" t="inlineStr">
        <is>
          <t>A 24750-2026</t>
        </is>
      </c>
      <c r="B8288" s="1" t="n">
        <v>46171.59932870371</v>
      </c>
      <c r="C8288" s="1" t="n">
        <v>46185</v>
      </c>
      <c r="D8288" t="inlineStr">
        <is>
          <t>VÄSTERNORRLANDS LÄN</t>
        </is>
      </c>
      <c r="E8288" t="inlineStr">
        <is>
          <t>SUNDSVALL</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24758-2026</t>
        </is>
      </c>
      <c r="B8289" s="1" t="n">
        <v>46171.61543981481</v>
      </c>
      <c r="C8289" s="1" t="n">
        <v>46185</v>
      </c>
      <c r="D8289" t="inlineStr">
        <is>
          <t>VÄSTERNORRLANDS LÄN</t>
        </is>
      </c>
      <c r="E8289" t="inlineStr">
        <is>
          <t>ÅNGE</t>
        </is>
      </c>
      <c r="F8289" t="inlineStr">
        <is>
          <t>SCA</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50419-2022</t>
        </is>
      </c>
      <c r="B8290" s="1" t="n">
        <v>44861</v>
      </c>
      <c r="C8290" s="1" t="n">
        <v>46185</v>
      </c>
      <c r="D8290" t="inlineStr">
        <is>
          <t>VÄSTERNORRLANDS LÄN</t>
        </is>
      </c>
      <c r="E8290" t="inlineStr">
        <is>
          <t>ÅNGE</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18649-2026</t>
        </is>
      </c>
      <c r="B8291" s="1" t="n">
        <v>46128.34479166667</v>
      </c>
      <c r="C8291" s="1" t="n">
        <v>46185</v>
      </c>
      <c r="D8291" t="inlineStr">
        <is>
          <t>VÄSTERNORRLANDS LÄN</t>
        </is>
      </c>
      <c r="E8291" t="inlineStr">
        <is>
          <t>SOLLEFTEÅ</t>
        </is>
      </c>
      <c r="F8291" t="inlineStr">
        <is>
          <t>SCA</t>
        </is>
      </c>
      <c r="G8291" t="n">
        <v>8.699999999999999</v>
      </c>
      <c r="H8291" t="n">
        <v>0</v>
      </c>
      <c r="I8291" t="n">
        <v>0</v>
      </c>
      <c r="J8291" t="n">
        <v>0</v>
      </c>
      <c r="K8291" t="n">
        <v>0</v>
      </c>
      <c r="L8291" t="n">
        <v>0</v>
      </c>
      <c r="M8291" t="n">
        <v>0</v>
      </c>
      <c r="N8291" t="n">
        <v>0</v>
      </c>
      <c r="O8291" t="n">
        <v>0</v>
      </c>
      <c r="P8291" t="n">
        <v>0</v>
      </c>
      <c r="Q8291" t="n">
        <v>0</v>
      </c>
      <c r="R8291" s="2" t="inlineStr"/>
    </row>
    <row r="8292" ht="15" customHeight="1">
      <c r="A8292" t="inlineStr">
        <is>
          <t>A 18641-2026</t>
        </is>
      </c>
      <c r="B8292" s="1" t="n">
        <v>46128.32653935185</v>
      </c>
      <c r="C8292" s="1" t="n">
        <v>46185</v>
      </c>
      <c r="D8292" t="inlineStr">
        <is>
          <t>VÄSTERNORRLANDS LÄN</t>
        </is>
      </c>
      <c r="E8292" t="inlineStr">
        <is>
          <t>ÖRNSKÖLDSVIK</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42881-2023</t>
        </is>
      </c>
      <c r="B8293" s="1" t="n">
        <v>45182.45256944445</v>
      </c>
      <c r="C8293" s="1" t="n">
        <v>46185</v>
      </c>
      <c r="D8293" t="inlineStr">
        <is>
          <t>VÄSTERNORRLANDS LÄN</t>
        </is>
      </c>
      <c r="E8293" t="inlineStr">
        <is>
          <t>ÅNGE</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42916-2023</t>
        </is>
      </c>
      <c r="B8294" s="1" t="n">
        <v>45182.51847222223</v>
      </c>
      <c r="C8294" s="1" t="n">
        <v>46185</v>
      </c>
      <c r="D8294" t="inlineStr">
        <is>
          <t>VÄSTERNORRLANDS LÄN</t>
        </is>
      </c>
      <c r="E8294" t="inlineStr">
        <is>
          <t>KRAMFORS</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18715-2026</t>
        </is>
      </c>
      <c r="B8295" s="1" t="n">
        <v>46128.46392361111</v>
      </c>
      <c r="C8295" s="1" t="n">
        <v>46185</v>
      </c>
      <c r="D8295" t="inlineStr">
        <is>
          <t>VÄSTERNORRLANDS LÄN</t>
        </is>
      </c>
      <c r="E8295" t="inlineStr">
        <is>
          <t>ÖRNSKÖLDSVIK</t>
        </is>
      </c>
      <c r="F8295" t="inlineStr">
        <is>
          <t>Holmen skog AB</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46821-2023</t>
        </is>
      </c>
      <c r="B8296" s="1" t="n">
        <v>45198</v>
      </c>
      <c r="C8296" s="1" t="n">
        <v>46185</v>
      </c>
      <c r="D8296" t="inlineStr">
        <is>
          <t>VÄSTERNORRLANDS LÄN</t>
        </is>
      </c>
      <c r="E8296" t="inlineStr">
        <is>
          <t>ÖRNSKÖLDSVIK</t>
        </is>
      </c>
      <c r="F8296" t="inlineStr">
        <is>
          <t>SCA</t>
        </is>
      </c>
      <c r="G8296" t="n">
        <v>4.8</v>
      </c>
      <c r="H8296" t="n">
        <v>0</v>
      </c>
      <c r="I8296" t="n">
        <v>0</v>
      </c>
      <c r="J8296" t="n">
        <v>0</v>
      </c>
      <c r="K8296" t="n">
        <v>0</v>
      </c>
      <c r="L8296" t="n">
        <v>0</v>
      </c>
      <c r="M8296" t="n">
        <v>0</v>
      </c>
      <c r="N8296" t="n">
        <v>0</v>
      </c>
      <c r="O8296" t="n">
        <v>0</v>
      </c>
      <c r="P8296" t="n">
        <v>0</v>
      </c>
      <c r="Q8296" t="n">
        <v>0</v>
      </c>
      <c r="R8296" s="2" t="inlineStr"/>
    </row>
    <row r="8297" ht="15" customHeight="1">
      <c r="A8297" t="inlineStr">
        <is>
          <t>A 22854-2026</t>
        </is>
      </c>
      <c r="B8297" s="1" t="n">
        <v>46160</v>
      </c>
      <c r="C8297" s="1" t="n">
        <v>46185</v>
      </c>
      <c r="D8297" t="inlineStr">
        <is>
          <t>VÄSTERNORRLANDS LÄN</t>
        </is>
      </c>
      <c r="E8297" t="inlineStr">
        <is>
          <t>SOLLEFTEÅ</t>
        </is>
      </c>
      <c r="F8297" t="inlineStr">
        <is>
          <t>Kyrkan</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24503-2026</t>
        </is>
      </c>
      <c r="B8298" s="1" t="n">
        <v>46170.4666087963</v>
      </c>
      <c r="C8298" s="1" t="n">
        <v>46185</v>
      </c>
      <c r="D8298" t="inlineStr">
        <is>
          <t>VÄSTERNORRLANDS LÄN</t>
        </is>
      </c>
      <c r="E8298" t="inlineStr">
        <is>
          <t>HÄRNÖSAND</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18630-2026</t>
        </is>
      </c>
      <c r="B8299" s="1" t="n">
        <v>46127.93202546296</v>
      </c>
      <c r="C8299" s="1" t="n">
        <v>46185</v>
      </c>
      <c r="D8299" t="inlineStr">
        <is>
          <t>VÄSTERNORRLANDS LÄN</t>
        </is>
      </c>
      <c r="E8299" t="inlineStr">
        <is>
          <t>ÖRNSKÖLDSVIK</t>
        </is>
      </c>
      <c r="G8299" t="n">
        <v>5.8</v>
      </c>
      <c r="H8299" t="n">
        <v>0</v>
      </c>
      <c r="I8299" t="n">
        <v>0</v>
      </c>
      <c r="J8299" t="n">
        <v>0</v>
      </c>
      <c r="K8299" t="n">
        <v>0</v>
      </c>
      <c r="L8299" t="n">
        <v>0</v>
      </c>
      <c r="M8299" t="n">
        <v>0</v>
      </c>
      <c r="N8299" t="n">
        <v>0</v>
      </c>
      <c r="O8299" t="n">
        <v>0</v>
      </c>
      <c r="P8299" t="n">
        <v>0</v>
      </c>
      <c r="Q8299" t="n">
        <v>0</v>
      </c>
      <c r="R8299" s="2" t="inlineStr"/>
    </row>
    <row r="8300" ht="15" customHeight="1">
      <c r="A8300" t="inlineStr">
        <is>
          <t>A 59761-2024</t>
        </is>
      </c>
      <c r="B8300" s="1" t="n">
        <v>45639.55269675926</v>
      </c>
      <c r="C8300" s="1" t="n">
        <v>46185</v>
      </c>
      <c r="D8300" t="inlineStr">
        <is>
          <t>VÄSTERNORRLANDS LÄN</t>
        </is>
      </c>
      <c r="E8300" t="inlineStr">
        <is>
          <t>SUNDSVALL</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16313-2025</t>
        </is>
      </c>
      <c r="B8301" s="1" t="n">
        <v>45751.34751157407</v>
      </c>
      <c r="C8301" s="1" t="n">
        <v>46185</v>
      </c>
      <c r="D8301" t="inlineStr">
        <is>
          <t>VÄSTERNORRLANDS LÄN</t>
        </is>
      </c>
      <c r="E8301" t="inlineStr">
        <is>
          <t>SUNDSVALL</t>
        </is>
      </c>
      <c r="F8301" t="inlineStr">
        <is>
          <t>SCA</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60165-2022</t>
        </is>
      </c>
      <c r="B8302" s="1" t="n">
        <v>44909</v>
      </c>
      <c r="C8302" s="1" t="n">
        <v>46185</v>
      </c>
      <c r="D8302" t="inlineStr">
        <is>
          <t>VÄSTERNORRLANDS LÄN</t>
        </is>
      </c>
      <c r="E8302" t="inlineStr">
        <is>
          <t>SUNDSVALL</t>
        </is>
      </c>
      <c r="G8302" t="n">
        <v>6.2</v>
      </c>
      <c r="H8302" t="n">
        <v>0</v>
      </c>
      <c r="I8302" t="n">
        <v>0</v>
      </c>
      <c r="J8302" t="n">
        <v>0</v>
      </c>
      <c r="K8302" t="n">
        <v>0</v>
      </c>
      <c r="L8302" t="n">
        <v>0</v>
      </c>
      <c r="M8302" t="n">
        <v>0</v>
      </c>
      <c r="N8302" t="n">
        <v>0</v>
      </c>
      <c r="O8302" t="n">
        <v>0</v>
      </c>
      <c r="P8302" t="n">
        <v>0</v>
      </c>
      <c r="Q8302" t="n">
        <v>0</v>
      </c>
      <c r="R8302" s="2" t="inlineStr"/>
    </row>
    <row r="8303" ht="15" customHeight="1">
      <c r="A8303" t="inlineStr">
        <is>
          <t>A 18430-2025</t>
        </is>
      </c>
      <c r="B8303" s="1" t="n">
        <v>45762.63576388889</v>
      </c>
      <c r="C8303" s="1" t="n">
        <v>46185</v>
      </c>
      <c r="D8303" t="inlineStr">
        <is>
          <t>VÄSTERNORRLANDS LÄN</t>
        </is>
      </c>
      <c r="E8303" t="inlineStr">
        <is>
          <t>ÅNGE</t>
        </is>
      </c>
      <c r="F8303" t="inlineStr">
        <is>
          <t>SCA</t>
        </is>
      </c>
      <c r="G8303" t="n">
        <v>4.5</v>
      </c>
      <c r="H8303" t="n">
        <v>0</v>
      </c>
      <c r="I8303" t="n">
        <v>0</v>
      </c>
      <c r="J8303" t="n">
        <v>0</v>
      </c>
      <c r="K8303" t="n">
        <v>0</v>
      </c>
      <c r="L8303" t="n">
        <v>0</v>
      </c>
      <c r="M8303" t="n">
        <v>0</v>
      </c>
      <c r="N8303" t="n">
        <v>0</v>
      </c>
      <c r="O8303" t="n">
        <v>0</v>
      </c>
      <c r="P8303" t="n">
        <v>0</v>
      </c>
      <c r="Q8303" t="n">
        <v>0</v>
      </c>
      <c r="R8303" s="2" t="inlineStr"/>
    </row>
    <row r="8304" ht="15" customHeight="1">
      <c r="A8304" t="inlineStr">
        <is>
          <t>A 24910-2026</t>
        </is>
      </c>
      <c r="B8304" s="1" t="n">
        <v>46174.49</v>
      </c>
      <c r="C8304" s="1" t="n">
        <v>46185</v>
      </c>
      <c r="D8304" t="inlineStr">
        <is>
          <t>VÄSTERNORRLANDS LÄN</t>
        </is>
      </c>
      <c r="E8304" t="inlineStr">
        <is>
          <t>SUNDSVALL</t>
        </is>
      </c>
      <c r="F8304" t="inlineStr">
        <is>
          <t>SCA</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24962-2026</t>
        </is>
      </c>
      <c r="B8305" s="1" t="n">
        <v>46174.57354166666</v>
      </c>
      <c r="C8305" s="1" t="n">
        <v>46185</v>
      </c>
      <c r="D8305" t="inlineStr">
        <is>
          <t>VÄSTERNORRLANDS LÄN</t>
        </is>
      </c>
      <c r="E8305" t="inlineStr">
        <is>
          <t>KRAMFORS</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25003-2026</t>
        </is>
      </c>
      <c r="B8306" s="1" t="n">
        <v>46174.6159375</v>
      </c>
      <c r="C8306" s="1" t="n">
        <v>46185</v>
      </c>
      <c r="D8306" t="inlineStr">
        <is>
          <t>VÄSTERNORRLANDS LÄN</t>
        </is>
      </c>
      <c r="E8306" t="inlineStr">
        <is>
          <t>SOLLEFTEÅ</t>
        </is>
      </c>
      <c r="F8306" t="inlineStr">
        <is>
          <t>SCA</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43916-2023</t>
        </is>
      </c>
      <c r="B8307" s="1" t="n">
        <v>45187.72152777778</v>
      </c>
      <c r="C8307" s="1" t="n">
        <v>46185</v>
      </c>
      <c r="D8307" t="inlineStr">
        <is>
          <t>VÄSTERNORRLANDS LÄN</t>
        </is>
      </c>
      <c r="E8307" t="inlineStr">
        <is>
          <t>ÅNGE</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52326-2024</t>
        </is>
      </c>
      <c r="B8308" s="1" t="n">
        <v>45609.29506944444</v>
      </c>
      <c r="C8308" s="1" t="n">
        <v>46185</v>
      </c>
      <c r="D8308" t="inlineStr">
        <is>
          <t>VÄSTERNORRLANDS LÄN</t>
        </is>
      </c>
      <c r="E8308" t="inlineStr">
        <is>
          <t>ÖRNSKÖLDSVIK</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14464-2022</t>
        </is>
      </c>
      <c r="B8309" s="1" t="n">
        <v>44654</v>
      </c>
      <c r="C8309" s="1" t="n">
        <v>46185</v>
      </c>
      <c r="D8309" t="inlineStr">
        <is>
          <t>VÄSTERNORRLANDS LÄN</t>
        </is>
      </c>
      <c r="E8309" t="inlineStr">
        <is>
          <t>SUNDSVALL</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14466-2022</t>
        </is>
      </c>
      <c r="B8310" s="1" t="n">
        <v>44654</v>
      </c>
      <c r="C8310" s="1" t="n">
        <v>46185</v>
      </c>
      <c r="D8310" t="inlineStr">
        <is>
          <t>VÄSTERNORRLANDS LÄN</t>
        </is>
      </c>
      <c r="E8310" t="inlineStr">
        <is>
          <t>SUNDSVALL</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25002-2026</t>
        </is>
      </c>
      <c r="B8311" s="1" t="n">
        <v>46174.61587962963</v>
      </c>
      <c r="C8311" s="1" t="n">
        <v>46185</v>
      </c>
      <c r="D8311" t="inlineStr">
        <is>
          <t>VÄSTERNORRLANDS LÄN</t>
        </is>
      </c>
      <c r="E8311" t="inlineStr">
        <is>
          <t>SOLLEFTEÅ</t>
        </is>
      </c>
      <c r="F8311" t="inlineStr">
        <is>
          <t>SCA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25073-2026</t>
        </is>
      </c>
      <c r="B8312" s="1" t="n">
        <v>46174.73180555556</v>
      </c>
      <c r="C8312" s="1" t="n">
        <v>46185</v>
      </c>
      <c r="D8312" t="inlineStr">
        <is>
          <t>VÄSTERNORRLANDS LÄN</t>
        </is>
      </c>
      <c r="E8312" t="inlineStr">
        <is>
          <t>ÖRNSKÖLDSVIK</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54532-2024</t>
        </is>
      </c>
      <c r="B8313" s="1" t="n">
        <v>45617.60480324074</v>
      </c>
      <c r="C8313" s="1" t="n">
        <v>46185</v>
      </c>
      <c r="D8313" t="inlineStr">
        <is>
          <t>VÄSTERNORRLANDS LÄN</t>
        </is>
      </c>
      <c r="E8313" t="inlineStr">
        <is>
          <t>SOLLEFTEÅ</t>
        </is>
      </c>
      <c r="G8313" t="n">
        <v>8.199999999999999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54560-2024</t>
        </is>
      </c>
      <c r="B8314" s="1" t="n">
        <v>45617</v>
      </c>
      <c r="C8314" s="1" t="n">
        <v>46185</v>
      </c>
      <c r="D8314" t="inlineStr">
        <is>
          <t>VÄSTERNORRLANDS LÄN</t>
        </is>
      </c>
      <c r="E8314" t="inlineStr">
        <is>
          <t>HÄRNÖSAND</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54561-2024</t>
        </is>
      </c>
      <c r="B8315" s="1" t="n">
        <v>45617.63383101852</v>
      </c>
      <c r="C8315" s="1" t="n">
        <v>46185</v>
      </c>
      <c r="D8315" t="inlineStr">
        <is>
          <t>VÄSTERNORRLANDS LÄN</t>
        </is>
      </c>
      <c r="E8315" t="inlineStr">
        <is>
          <t>ÖRNSKÖLDSVIK</t>
        </is>
      </c>
      <c r="F8315" t="inlineStr">
        <is>
          <t>Holmen skog AB</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16060-2022</t>
        </is>
      </c>
      <c r="B8316" s="1" t="n">
        <v>44665</v>
      </c>
      <c r="C8316" s="1" t="n">
        <v>46185</v>
      </c>
      <c r="D8316" t="inlineStr">
        <is>
          <t>VÄSTERNORRLANDS LÄN</t>
        </is>
      </c>
      <c r="E8316" t="inlineStr">
        <is>
          <t>ÖRNSKÖLDSVIK</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24644-2026</t>
        </is>
      </c>
      <c r="B8317" s="1" t="n">
        <v>46171.40755787037</v>
      </c>
      <c r="C8317" s="1" t="n">
        <v>46185</v>
      </c>
      <c r="D8317" t="inlineStr">
        <is>
          <t>VÄSTERNORRLANDS LÄN</t>
        </is>
      </c>
      <c r="E8317" t="inlineStr">
        <is>
          <t>ÅNGE</t>
        </is>
      </c>
      <c r="F8317" t="inlineStr">
        <is>
          <t>SCA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22861-2023</t>
        </is>
      </c>
      <c r="B8318" s="1" t="n">
        <v>45070</v>
      </c>
      <c r="C8318" s="1" t="n">
        <v>46185</v>
      </c>
      <c r="D8318" t="inlineStr">
        <is>
          <t>VÄSTERNORRLANDS LÄN</t>
        </is>
      </c>
      <c r="E8318" t="inlineStr">
        <is>
          <t>ÖRNSKÖLDSVIK</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24681-2026</t>
        </is>
      </c>
      <c r="B8319" s="1" t="n">
        <v>46171.46056712963</v>
      </c>
      <c r="C8319" s="1" t="n">
        <v>46185</v>
      </c>
      <c r="D8319" t="inlineStr">
        <is>
          <t>VÄSTERNORRLANDS LÄN</t>
        </is>
      </c>
      <c r="E8319" t="inlineStr">
        <is>
          <t>ÖRNSKÖLDSVIK</t>
        </is>
      </c>
      <c r="F8319" t="inlineStr">
        <is>
          <t>Holmen skog AB</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51823-2023</t>
        </is>
      </c>
      <c r="B8320" s="1" t="n">
        <v>45222.96744212963</v>
      </c>
      <c r="C8320" s="1" t="n">
        <v>46185</v>
      </c>
      <c r="D8320" t="inlineStr">
        <is>
          <t>VÄSTERNORRLANDS LÄN</t>
        </is>
      </c>
      <c r="E8320" t="inlineStr">
        <is>
          <t>SUNDSVALL</t>
        </is>
      </c>
      <c r="F8320" t="inlineStr">
        <is>
          <t>SCA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18348-2025</t>
        </is>
      </c>
      <c r="B8321" s="1" t="n">
        <v>45762.52983796296</v>
      </c>
      <c r="C8321" s="1" t="n">
        <v>46185</v>
      </c>
      <c r="D8321" t="inlineStr">
        <is>
          <t>VÄSTERNORRLANDS LÄN</t>
        </is>
      </c>
      <c r="E8321" t="inlineStr">
        <is>
          <t>HÄRNÖSAND</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48558-2023</t>
        </is>
      </c>
      <c r="B8322" s="1" t="n">
        <v>45202</v>
      </c>
      <c r="C8322" s="1" t="n">
        <v>46185</v>
      </c>
      <c r="D8322" t="inlineStr">
        <is>
          <t>VÄSTERNORRLANDS LÄN</t>
        </is>
      </c>
      <c r="E8322" t="inlineStr">
        <is>
          <t>KRAMFORS</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20255-2023</t>
        </is>
      </c>
      <c r="B8323" s="1" t="n">
        <v>45055</v>
      </c>
      <c r="C8323" s="1" t="n">
        <v>46185</v>
      </c>
      <c r="D8323" t="inlineStr">
        <is>
          <t>VÄSTERNORRLANDS LÄN</t>
        </is>
      </c>
      <c r="E8323" t="inlineStr">
        <is>
          <t>ÅNGE</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18860-2026</t>
        </is>
      </c>
      <c r="B8324" s="1" t="n">
        <v>46129</v>
      </c>
      <c r="C8324" s="1" t="n">
        <v>46185</v>
      </c>
      <c r="D8324" t="inlineStr">
        <is>
          <t>VÄSTERNORRLANDS LÄN</t>
        </is>
      </c>
      <c r="E8324" t="inlineStr">
        <is>
          <t>ÖRNSKÖLDSVIK</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18887-2026</t>
        </is>
      </c>
      <c r="B8325" s="1" t="n">
        <v>46129.44881944444</v>
      </c>
      <c r="C8325" s="1" t="n">
        <v>46185</v>
      </c>
      <c r="D8325" t="inlineStr">
        <is>
          <t>VÄSTERNORRLANDS LÄN</t>
        </is>
      </c>
      <c r="E8325" t="inlineStr">
        <is>
          <t>SOLLEFTEÅ</t>
        </is>
      </c>
      <c r="F8325" t="inlineStr">
        <is>
          <t>SCA</t>
        </is>
      </c>
      <c r="G8325" t="n">
        <v>8.800000000000001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18906-2026</t>
        </is>
      </c>
      <c r="B8326" s="1" t="n">
        <v>46129.50202546296</v>
      </c>
      <c r="C8326" s="1" t="n">
        <v>46185</v>
      </c>
      <c r="D8326" t="inlineStr">
        <is>
          <t>VÄSTERNORRLANDS LÄN</t>
        </is>
      </c>
      <c r="E8326" t="inlineStr">
        <is>
          <t>ÖRNSKÖLDSVIK</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24744-2026</t>
        </is>
      </c>
      <c r="B8327" s="1" t="n">
        <v>46171.59267361111</v>
      </c>
      <c r="C8327" s="1" t="n">
        <v>46185</v>
      </c>
      <c r="D8327" t="inlineStr">
        <is>
          <t>VÄSTERNORRLANDS LÄN</t>
        </is>
      </c>
      <c r="E8327" t="inlineStr">
        <is>
          <t>TIMRÅ</t>
        </is>
      </c>
      <c r="F8327" t="inlineStr">
        <is>
          <t>Kommuner</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45966-2023</t>
        </is>
      </c>
      <c r="B8328" s="1" t="n">
        <v>45195</v>
      </c>
      <c r="C8328" s="1" t="n">
        <v>46185</v>
      </c>
      <c r="D8328" t="inlineStr">
        <is>
          <t>VÄSTERNORRLANDS LÄN</t>
        </is>
      </c>
      <c r="E8328" t="inlineStr">
        <is>
          <t>ÖRNSKÖLDSVIK</t>
        </is>
      </c>
      <c r="F8328" t="inlineStr">
        <is>
          <t>SCA</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21092-2024</t>
        </is>
      </c>
      <c r="B8329" s="1" t="n">
        <v>45439.95009259259</v>
      </c>
      <c r="C8329" s="1" t="n">
        <v>46185</v>
      </c>
      <c r="D8329" t="inlineStr">
        <is>
          <t>VÄSTERNORRLANDS LÄN</t>
        </is>
      </c>
      <c r="E8329" t="inlineStr">
        <is>
          <t>SOLLEFTEÅ</t>
        </is>
      </c>
      <c r="F8329" t="inlineStr">
        <is>
          <t>SCA</t>
        </is>
      </c>
      <c r="G8329" t="n">
        <v>5.5</v>
      </c>
      <c r="H8329" t="n">
        <v>0</v>
      </c>
      <c r="I8329" t="n">
        <v>0</v>
      </c>
      <c r="J8329" t="n">
        <v>0</v>
      </c>
      <c r="K8329" t="n">
        <v>0</v>
      </c>
      <c r="L8329" t="n">
        <v>0</v>
      </c>
      <c r="M8329" t="n">
        <v>0</v>
      </c>
      <c r="N8329" t="n">
        <v>0</v>
      </c>
      <c r="O8329" t="n">
        <v>0</v>
      </c>
      <c r="P8329" t="n">
        <v>0</v>
      </c>
      <c r="Q8329" t="n">
        <v>0</v>
      </c>
      <c r="R8329" s="2" t="inlineStr"/>
    </row>
    <row r="8330" ht="15" customHeight="1">
      <c r="A8330" t="inlineStr">
        <is>
          <t>A 24544-2026</t>
        </is>
      </c>
      <c r="B8330" s="1" t="n">
        <v>46170.56802083334</v>
      </c>
      <c r="C8330" s="1" t="n">
        <v>46185</v>
      </c>
      <c r="D8330" t="inlineStr">
        <is>
          <t>VÄSTERNORRLANDS LÄN</t>
        </is>
      </c>
      <c r="E8330" t="inlineStr">
        <is>
          <t>KRAMFORS</t>
        </is>
      </c>
      <c r="G8330" t="n">
        <v>9.199999999999999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24575-2026</t>
        </is>
      </c>
      <c r="B8331" s="1" t="n">
        <v>46170.6434375</v>
      </c>
      <c r="C8331" s="1" t="n">
        <v>46185</v>
      </c>
      <c r="D8331" t="inlineStr">
        <is>
          <t>VÄSTERNORRLANDS LÄN</t>
        </is>
      </c>
      <c r="E8331" t="inlineStr">
        <is>
          <t>ÖRNSKÖLDSVIK</t>
        </is>
      </c>
      <c r="F8331" t="inlineStr">
        <is>
          <t>Holmen skog AB</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19596-2026</t>
        </is>
      </c>
      <c r="B8332" s="1" t="n">
        <v>46132</v>
      </c>
      <c r="C8332" s="1" t="n">
        <v>46185</v>
      </c>
      <c r="D8332" t="inlineStr">
        <is>
          <t>VÄSTERNORRLANDS LÄN</t>
        </is>
      </c>
      <c r="E8332" t="inlineStr">
        <is>
          <t>SOLLEFTEÅ</t>
        </is>
      </c>
      <c r="F8332" t="inlineStr">
        <is>
          <t>Kommuner</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21122-2024</t>
        </is>
      </c>
      <c r="B8333" s="1" t="n">
        <v>45440</v>
      </c>
      <c r="C8333" s="1" t="n">
        <v>46185</v>
      </c>
      <c r="D8333" t="inlineStr">
        <is>
          <t>VÄSTERNORRLANDS LÄN</t>
        </is>
      </c>
      <c r="E8333" t="inlineStr">
        <is>
          <t>ÖRNSKÖLDSVIK</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21125-2024</t>
        </is>
      </c>
      <c r="B8334" s="1" t="n">
        <v>45440.34047453704</v>
      </c>
      <c r="C8334" s="1" t="n">
        <v>46185</v>
      </c>
      <c r="D8334" t="inlineStr">
        <is>
          <t>VÄSTERNORRLANDS LÄN</t>
        </is>
      </c>
      <c r="E8334" t="inlineStr">
        <is>
          <t>ÖRNSKÖLDSVIK</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21133-2024</t>
        </is>
      </c>
      <c r="B8335" s="1" t="n">
        <v>45440.37265046296</v>
      </c>
      <c r="C8335" s="1" t="n">
        <v>46185</v>
      </c>
      <c r="D8335" t="inlineStr">
        <is>
          <t>VÄSTERNORRLANDS LÄN</t>
        </is>
      </c>
      <c r="E8335" t="inlineStr">
        <is>
          <t>ÖRNSKÖLDSVIK</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19120-2026</t>
        </is>
      </c>
      <c r="B8336" s="1" t="n">
        <v>46132.47065972222</v>
      </c>
      <c r="C8336" s="1" t="n">
        <v>46185</v>
      </c>
      <c r="D8336" t="inlineStr">
        <is>
          <t>VÄSTERNORRLANDS LÄN</t>
        </is>
      </c>
      <c r="E8336" t="inlineStr">
        <is>
          <t>ÅNGE</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27875-2023</t>
        </is>
      </c>
      <c r="B8337" s="1" t="n">
        <v>45098.59216435185</v>
      </c>
      <c r="C8337" s="1" t="n">
        <v>46185</v>
      </c>
      <c r="D8337" t="inlineStr">
        <is>
          <t>VÄSTERNORRLANDS LÄN</t>
        </is>
      </c>
      <c r="E8337" t="inlineStr">
        <is>
          <t>SUNDSVALL</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19588-2026</t>
        </is>
      </c>
      <c r="B8338" s="1" t="n">
        <v>46132</v>
      </c>
      <c r="C8338" s="1" t="n">
        <v>46185</v>
      </c>
      <c r="D8338" t="inlineStr">
        <is>
          <t>VÄSTERNORRLANDS LÄN</t>
        </is>
      </c>
      <c r="E8338" t="inlineStr">
        <is>
          <t>ÖRNSKÖLDSVIK</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53272-2022</t>
        </is>
      </c>
      <c r="B8339" s="1" t="n">
        <v>44876</v>
      </c>
      <c r="C8339" s="1" t="n">
        <v>46185</v>
      </c>
      <c r="D8339" t="inlineStr">
        <is>
          <t>VÄSTERNORRLANDS LÄN</t>
        </is>
      </c>
      <c r="E8339" t="inlineStr">
        <is>
          <t>SUNDSVALL</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9727-2022</t>
        </is>
      </c>
      <c r="B8340" s="1" t="n">
        <v>44617.92136574074</v>
      </c>
      <c r="C8340" s="1" t="n">
        <v>46185</v>
      </c>
      <c r="D8340" t="inlineStr">
        <is>
          <t>VÄSTERNORRLANDS LÄN</t>
        </is>
      </c>
      <c r="E8340" t="inlineStr">
        <is>
          <t>HÄRNÖSAND</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9896-2024</t>
        </is>
      </c>
      <c r="B8341" s="1" t="n">
        <v>45363.51038194444</v>
      </c>
      <c r="C8341" s="1" t="n">
        <v>46185</v>
      </c>
      <c r="D8341" t="inlineStr">
        <is>
          <t>VÄSTERNORRLANDS LÄN</t>
        </is>
      </c>
      <c r="E8341" t="inlineStr">
        <is>
          <t>ÖRNSKÖLDSVIK</t>
        </is>
      </c>
      <c r="F8341" t="inlineStr">
        <is>
          <t>Holmen skog AB</t>
        </is>
      </c>
      <c r="G8341" t="n">
        <v>14.9</v>
      </c>
      <c r="H8341" t="n">
        <v>0</v>
      </c>
      <c r="I8341" t="n">
        <v>0</v>
      </c>
      <c r="J8341" t="n">
        <v>0</v>
      </c>
      <c r="K8341" t="n">
        <v>0</v>
      </c>
      <c r="L8341" t="n">
        <v>0</v>
      </c>
      <c r="M8341" t="n">
        <v>0</v>
      </c>
      <c r="N8341" t="n">
        <v>0</v>
      </c>
      <c r="O8341" t="n">
        <v>0</v>
      </c>
      <c r="P8341" t="n">
        <v>0</v>
      </c>
      <c r="Q8341" t="n">
        <v>0</v>
      </c>
      <c r="R8341" s="2" t="inlineStr"/>
    </row>
    <row r="8342" ht="15" customHeight="1">
      <c r="A8342" t="inlineStr">
        <is>
          <t>A 24871-2026</t>
        </is>
      </c>
      <c r="B8342" s="1" t="n">
        <v>46174.42761574074</v>
      </c>
      <c r="C8342" s="1" t="n">
        <v>46185</v>
      </c>
      <c r="D8342" t="inlineStr">
        <is>
          <t>VÄSTERNORRLANDS LÄN</t>
        </is>
      </c>
      <c r="E8342" t="inlineStr">
        <is>
          <t>SOLLEFTEÅ</t>
        </is>
      </c>
      <c r="F8342" t="inlineStr">
        <is>
          <t>SCA</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2931-2025</t>
        </is>
      </c>
      <c r="B8343" s="1" t="n">
        <v>45678.359375</v>
      </c>
      <c r="C8343" s="1" t="n">
        <v>46185</v>
      </c>
      <c r="D8343" t="inlineStr">
        <is>
          <t>VÄSTERNORRLANDS LÄN</t>
        </is>
      </c>
      <c r="E8343" t="inlineStr">
        <is>
          <t>ÖRNSKÖLDSVIK</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18775-2026</t>
        </is>
      </c>
      <c r="B8344" s="1" t="n">
        <v>46128.57349537037</v>
      </c>
      <c r="C8344" s="1" t="n">
        <v>46185</v>
      </c>
      <c r="D8344" t="inlineStr">
        <is>
          <t>VÄSTERNORRLANDS LÄN</t>
        </is>
      </c>
      <c r="E8344" t="inlineStr">
        <is>
          <t>ÅNGE</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24564-2026</t>
        </is>
      </c>
      <c r="B8345" s="1" t="n">
        <v>46170.61510416667</v>
      </c>
      <c r="C8345" s="1" t="n">
        <v>46185</v>
      </c>
      <c r="D8345" t="inlineStr">
        <is>
          <t>VÄSTERNORRLANDS LÄN</t>
        </is>
      </c>
      <c r="E8345" t="inlineStr">
        <is>
          <t>SOLLEFTEÅ</t>
        </is>
      </c>
      <c r="F8345" t="inlineStr">
        <is>
          <t>SCA</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24566-2026</t>
        </is>
      </c>
      <c r="B8346" s="1" t="n">
        <v>46170.61553240741</v>
      </c>
      <c r="C8346" s="1" t="n">
        <v>46185</v>
      </c>
      <c r="D8346" t="inlineStr">
        <is>
          <t>VÄSTERNORRLANDS LÄN</t>
        </is>
      </c>
      <c r="E8346" t="inlineStr">
        <is>
          <t>ÅNGE</t>
        </is>
      </c>
      <c r="F8346" t="inlineStr">
        <is>
          <t>SCA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19121-2024</t>
        </is>
      </c>
      <c r="B8347" s="1" t="n">
        <v>45427</v>
      </c>
      <c r="C8347" s="1" t="n">
        <v>46185</v>
      </c>
      <c r="D8347" t="inlineStr">
        <is>
          <t>VÄSTERNORRLANDS LÄN</t>
        </is>
      </c>
      <c r="E8347" t="inlineStr">
        <is>
          <t>ÖRNSKÖLDSVIK</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19122-2024</t>
        </is>
      </c>
      <c r="B8348" s="1" t="n">
        <v>45428</v>
      </c>
      <c r="C8348" s="1" t="n">
        <v>46185</v>
      </c>
      <c r="D8348" t="inlineStr">
        <is>
          <t>VÄSTERNORRLANDS LÄN</t>
        </is>
      </c>
      <c r="E8348" t="inlineStr">
        <is>
          <t>HÄRNÖSAND</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24773-2026</t>
        </is>
      </c>
      <c r="B8349" s="1" t="n">
        <v>46171.63614583333</v>
      </c>
      <c r="C8349" s="1" t="n">
        <v>46185</v>
      </c>
      <c r="D8349" t="inlineStr">
        <is>
          <t>VÄSTERNORRLANDS LÄN</t>
        </is>
      </c>
      <c r="E8349" t="inlineStr">
        <is>
          <t>ÅNGE</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24848-2026</t>
        </is>
      </c>
      <c r="B8350" s="1" t="n">
        <v>46174.38164351852</v>
      </c>
      <c r="C8350" s="1" t="n">
        <v>46185</v>
      </c>
      <c r="D8350" t="inlineStr">
        <is>
          <t>VÄSTERNORRLANDS LÄN</t>
        </is>
      </c>
      <c r="E8350" t="inlineStr">
        <is>
          <t>KRAMFORS</t>
        </is>
      </c>
      <c r="G8350" t="n">
        <v>4.1</v>
      </c>
      <c r="H8350" t="n">
        <v>0</v>
      </c>
      <c r="I8350" t="n">
        <v>0</v>
      </c>
      <c r="J8350" t="n">
        <v>0</v>
      </c>
      <c r="K8350" t="n">
        <v>0</v>
      </c>
      <c r="L8350" t="n">
        <v>0</v>
      </c>
      <c r="M8350" t="n">
        <v>0</v>
      </c>
      <c r="N8350" t="n">
        <v>0</v>
      </c>
      <c r="O8350" t="n">
        <v>0</v>
      </c>
      <c r="P8350" t="n">
        <v>0</v>
      </c>
      <c r="Q8350" t="n">
        <v>0</v>
      </c>
      <c r="R8350" s="2" t="inlineStr"/>
    </row>
    <row r="8351" ht="15" customHeight="1">
      <c r="A8351" t="inlineStr">
        <is>
          <t>A 49476-2023</t>
        </is>
      </c>
      <c r="B8351" s="1" t="n">
        <v>45211</v>
      </c>
      <c r="C8351" s="1" t="n">
        <v>46185</v>
      </c>
      <c r="D8351" t="inlineStr">
        <is>
          <t>VÄSTERNORRLANDS LÄN</t>
        </is>
      </c>
      <c r="E8351" t="inlineStr">
        <is>
          <t>ÖRNSKÖLDSVIK</t>
        </is>
      </c>
      <c r="F8351" t="inlineStr">
        <is>
          <t>Holmen skog AB</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2346-2025</t>
        </is>
      </c>
      <c r="B8352" s="1" t="n">
        <v>45673.67767361111</v>
      </c>
      <c r="C8352" s="1" t="n">
        <v>46185</v>
      </c>
      <c r="D8352" t="inlineStr">
        <is>
          <t>VÄSTERNORRLANDS LÄN</t>
        </is>
      </c>
      <c r="E8352" t="inlineStr">
        <is>
          <t>SOLLEFTEÅ</t>
        </is>
      </c>
      <c r="F8352" t="inlineStr">
        <is>
          <t>SCA</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39044-2023</t>
        </is>
      </c>
      <c r="B8353" s="1" t="n">
        <v>45163.92689814815</v>
      </c>
      <c r="C8353" s="1" t="n">
        <v>46185</v>
      </c>
      <c r="D8353" t="inlineStr">
        <is>
          <t>VÄSTERNORRLANDS LÄN</t>
        </is>
      </c>
      <c r="E8353" t="inlineStr">
        <is>
          <t>HÄRNÖSAND</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25050-2026</t>
        </is>
      </c>
      <c r="B8354" s="1" t="n">
        <v>46174.66355324074</v>
      </c>
      <c r="C8354" s="1" t="n">
        <v>46185</v>
      </c>
      <c r="D8354" t="inlineStr">
        <is>
          <t>VÄSTERNORRLANDS LÄN</t>
        </is>
      </c>
      <c r="E8354" t="inlineStr">
        <is>
          <t>ÖRNSKÖLDSVIK</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24728-2026</t>
        </is>
      </c>
      <c r="B8355" s="1" t="n">
        <v>46171.56435185186</v>
      </c>
      <c r="C8355" s="1" t="n">
        <v>46185</v>
      </c>
      <c r="D8355" t="inlineStr">
        <is>
          <t>VÄSTERNORRLANDS LÄN</t>
        </is>
      </c>
      <c r="E8355" t="inlineStr">
        <is>
          <t>ÅNGE</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3437-2025</t>
        </is>
      </c>
      <c r="B8356" s="1" t="n">
        <v>45680</v>
      </c>
      <c r="C8356" s="1" t="n">
        <v>46185</v>
      </c>
      <c r="D8356" t="inlineStr">
        <is>
          <t>VÄSTERNORRLANDS LÄN</t>
        </is>
      </c>
      <c r="E8356" t="inlineStr">
        <is>
          <t>ÖRNSKÖLDSVIK</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56134-2023</t>
        </is>
      </c>
      <c r="B8357" s="1" t="n">
        <v>45240</v>
      </c>
      <c r="C8357" s="1" t="n">
        <v>46185</v>
      </c>
      <c r="D8357" t="inlineStr">
        <is>
          <t>VÄSTERNORRLANDS LÄN</t>
        </is>
      </c>
      <c r="E8357" t="inlineStr">
        <is>
          <t>SOLLEFTEÅ</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56137-2023</t>
        </is>
      </c>
      <c r="B8358" s="1" t="n">
        <v>45240.59096064815</v>
      </c>
      <c r="C8358" s="1" t="n">
        <v>46185</v>
      </c>
      <c r="D8358" t="inlineStr">
        <is>
          <t>VÄSTERNORRLANDS LÄN</t>
        </is>
      </c>
      <c r="E8358" t="inlineStr">
        <is>
          <t>SOLLEFTEÅ</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48115-2023</t>
        </is>
      </c>
      <c r="B8359" s="1" t="n">
        <v>45205.34935185185</v>
      </c>
      <c r="C8359" s="1" t="n">
        <v>46185</v>
      </c>
      <c r="D8359" t="inlineStr">
        <is>
          <t>VÄSTERNORRLANDS LÄN</t>
        </is>
      </c>
      <c r="E8359" t="inlineStr">
        <is>
          <t>ÖRNSKÖLDSVIK</t>
        </is>
      </c>
      <c r="F8359" t="inlineStr">
        <is>
          <t>Holmen skog AB</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55188-2024</t>
        </is>
      </c>
      <c r="B8360" s="1" t="n">
        <v>45621.5429050926</v>
      </c>
      <c r="C8360" s="1" t="n">
        <v>46185</v>
      </c>
      <c r="D8360" t="inlineStr">
        <is>
          <t>VÄSTERNORRLANDS LÄN</t>
        </is>
      </c>
      <c r="E8360" t="inlineStr">
        <is>
          <t>SUNDSVALL</t>
        </is>
      </c>
      <c r="G8360" t="n">
        <v>6.8</v>
      </c>
      <c r="H8360" t="n">
        <v>0</v>
      </c>
      <c r="I8360" t="n">
        <v>0</v>
      </c>
      <c r="J8360" t="n">
        <v>0</v>
      </c>
      <c r="K8360" t="n">
        <v>0</v>
      </c>
      <c r="L8360" t="n">
        <v>0</v>
      </c>
      <c r="M8360" t="n">
        <v>0</v>
      </c>
      <c r="N8360" t="n">
        <v>0</v>
      </c>
      <c r="O8360" t="n">
        <v>0</v>
      </c>
      <c r="P8360" t="n">
        <v>0</v>
      </c>
      <c r="Q8360" t="n">
        <v>0</v>
      </c>
      <c r="R8360" s="2" t="inlineStr"/>
    </row>
    <row r="8361" ht="15" customHeight="1">
      <c r="A8361" t="inlineStr">
        <is>
          <t>A 31562-2023</t>
        </is>
      </c>
      <c r="B8361" s="1" t="n">
        <v>45117</v>
      </c>
      <c r="C8361" s="1" t="n">
        <v>46185</v>
      </c>
      <c r="D8361" t="inlineStr">
        <is>
          <t>VÄSTERNORRLANDS LÄN</t>
        </is>
      </c>
      <c r="E8361" t="inlineStr">
        <is>
          <t>TIMRÅ</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24864-2026</t>
        </is>
      </c>
      <c r="B8362" s="1" t="n">
        <v>46174.40700231482</v>
      </c>
      <c r="C8362" s="1" t="n">
        <v>46185</v>
      </c>
      <c r="D8362" t="inlineStr">
        <is>
          <t>VÄSTERNORRLANDS LÄN</t>
        </is>
      </c>
      <c r="E8362" t="inlineStr">
        <is>
          <t>SUNDSVALL</t>
        </is>
      </c>
      <c r="F8362" t="inlineStr">
        <is>
          <t>SCA</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2583-2025</t>
        </is>
      </c>
      <c r="B8363" s="1" t="n">
        <v>45674.67803240741</v>
      </c>
      <c r="C8363" s="1" t="n">
        <v>46185</v>
      </c>
      <c r="D8363" t="inlineStr">
        <is>
          <t>VÄSTERNORRLANDS LÄN</t>
        </is>
      </c>
      <c r="E8363" t="inlineStr">
        <is>
          <t>SOLLEFTEÅ</t>
        </is>
      </c>
      <c r="F8363" t="inlineStr">
        <is>
          <t>SCA</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30680-2024</t>
        </is>
      </c>
      <c r="B8364" s="1" t="n">
        <v>45495</v>
      </c>
      <c r="C8364" s="1" t="n">
        <v>46185</v>
      </c>
      <c r="D8364" t="inlineStr">
        <is>
          <t>VÄSTERNORRLANDS LÄN</t>
        </is>
      </c>
      <c r="E8364" t="inlineStr">
        <is>
          <t>TIMRÅ</t>
        </is>
      </c>
      <c r="F8364" t="inlineStr">
        <is>
          <t>SCA</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19245-2026</t>
        </is>
      </c>
      <c r="B8365" s="1" t="n">
        <v>46132</v>
      </c>
      <c r="C8365" s="1" t="n">
        <v>46185</v>
      </c>
      <c r="D8365" t="inlineStr">
        <is>
          <t>VÄSTERNORRLANDS LÄN</t>
        </is>
      </c>
      <c r="E8365" t="inlineStr">
        <is>
          <t>HÄRNÖSAND</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22563-2022</t>
        </is>
      </c>
      <c r="B8366" s="1" t="n">
        <v>44713.9384375</v>
      </c>
      <c r="C8366" s="1" t="n">
        <v>46185</v>
      </c>
      <c r="D8366" t="inlineStr">
        <is>
          <t>VÄSTERNORRLANDS LÄN</t>
        </is>
      </c>
      <c r="E8366" t="inlineStr">
        <is>
          <t>SUNDSVALL</t>
        </is>
      </c>
      <c r="F8366" t="inlineStr">
        <is>
          <t>SCA</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24878-2026</t>
        </is>
      </c>
      <c r="B8367" s="1" t="n">
        <v>46174.43699074074</v>
      </c>
      <c r="C8367" s="1" t="n">
        <v>46185</v>
      </c>
      <c r="D8367" t="inlineStr">
        <is>
          <t>VÄSTERNORRLANDS LÄN</t>
        </is>
      </c>
      <c r="E8367" t="inlineStr">
        <is>
          <t>ÖRNSKÖLDSVIK</t>
        </is>
      </c>
      <c r="G8367" t="n">
        <v>6.9</v>
      </c>
      <c r="H8367" t="n">
        <v>0</v>
      </c>
      <c r="I8367" t="n">
        <v>0</v>
      </c>
      <c r="J8367" t="n">
        <v>0</v>
      </c>
      <c r="K8367" t="n">
        <v>0</v>
      </c>
      <c r="L8367" t="n">
        <v>0</v>
      </c>
      <c r="M8367" t="n">
        <v>0</v>
      </c>
      <c r="N8367" t="n">
        <v>0</v>
      </c>
      <c r="O8367" t="n">
        <v>0</v>
      </c>
      <c r="P8367" t="n">
        <v>0</v>
      </c>
      <c r="Q8367" t="n">
        <v>0</v>
      </c>
      <c r="R8367" s="2" t="inlineStr"/>
    </row>
    <row r="8368" ht="15" customHeight="1">
      <c r="A8368" t="inlineStr">
        <is>
          <t>A 24960-2026</t>
        </is>
      </c>
      <c r="B8368" s="1" t="n">
        <v>46174.57346064815</v>
      </c>
      <c r="C8368" s="1" t="n">
        <v>46185</v>
      </c>
      <c r="D8368" t="inlineStr">
        <is>
          <t>VÄSTERNORRLANDS LÄN</t>
        </is>
      </c>
      <c r="E8368" t="inlineStr">
        <is>
          <t>KRAMFORS</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48778-2023</t>
        </is>
      </c>
      <c r="B8369" s="1" t="n">
        <v>45208</v>
      </c>
      <c r="C8369" s="1" t="n">
        <v>46185</v>
      </c>
      <c r="D8369" t="inlineStr">
        <is>
          <t>VÄSTERNORRLANDS LÄN</t>
        </is>
      </c>
      <c r="E8369" t="inlineStr">
        <is>
          <t>SUNDSVALL</t>
        </is>
      </c>
      <c r="F8369" t="inlineStr">
        <is>
          <t>SCA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49074-2023</t>
        </is>
      </c>
      <c r="B8370" s="1" t="n">
        <v>45210</v>
      </c>
      <c r="C8370" s="1" t="n">
        <v>46185</v>
      </c>
      <c r="D8370" t="inlineStr">
        <is>
          <t>VÄSTERNORRLANDS LÄN</t>
        </is>
      </c>
      <c r="E8370" t="inlineStr">
        <is>
          <t>ÖRNSKÖLDSVIK</t>
        </is>
      </c>
      <c r="F8370" t="inlineStr">
        <is>
          <t>Holmen skog AB</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55441-2023</t>
        </is>
      </c>
      <c r="B8371" s="1" t="n">
        <v>45231</v>
      </c>
      <c r="C8371" s="1" t="n">
        <v>46185</v>
      </c>
      <c r="D8371" t="inlineStr">
        <is>
          <t>VÄSTERNORRLANDS LÄN</t>
        </is>
      </c>
      <c r="E8371" t="inlineStr">
        <is>
          <t>TIMRÅ</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24655-2026</t>
        </is>
      </c>
      <c r="B8372" s="1" t="n">
        <v>46171</v>
      </c>
      <c r="C8372" s="1" t="n">
        <v>46185</v>
      </c>
      <c r="D8372" t="inlineStr">
        <is>
          <t>VÄSTERNORRLANDS LÄN</t>
        </is>
      </c>
      <c r="E8372" t="inlineStr">
        <is>
          <t>SUNDSVALL</t>
        </is>
      </c>
      <c r="F8372" t="inlineStr">
        <is>
          <t>SCA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25052-2026</t>
        </is>
      </c>
      <c r="B8373" s="1" t="n">
        <v>46174.66483796296</v>
      </c>
      <c r="C8373" s="1" t="n">
        <v>46185</v>
      </c>
      <c r="D8373" t="inlineStr">
        <is>
          <t>VÄSTERNORRLANDS LÄN</t>
        </is>
      </c>
      <c r="E8373" t="inlineStr">
        <is>
          <t>ÖRNSKÖLDSVIK</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48785-2023</t>
        </is>
      </c>
      <c r="B8374" s="1" t="n">
        <v>45208</v>
      </c>
      <c r="C8374" s="1" t="n">
        <v>46185</v>
      </c>
      <c r="D8374" t="inlineStr">
        <is>
          <t>VÄSTERNORRLANDS LÄN</t>
        </is>
      </c>
      <c r="E8374" t="inlineStr">
        <is>
          <t>TIMRÅ</t>
        </is>
      </c>
      <c r="F8374" t="inlineStr">
        <is>
          <t>SCA</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39739-2022</t>
        </is>
      </c>
      <c r="B8375" s="1" t="n">
        <v>44819</v>
      </c>
      <c r="C8375" s="1" t="n">
        <v>46185</v>
      </c>
      <c r="D8375" t="inlineStr">
        <is>
          <t>VÄSTERNORRLANDS LÄN</t>
        </is>
      </c>
      <c r="E8375" t="inlineStr">
        <is>
          <t>ÖRNSKÖLDSVIK</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56249-2023</t>
        </is>
      </c>
      <c r="B8376" s="1" t="n">
        <v>45240.9468287037</v>
      </c>
      <c r="C8376" s="1" t="n">
        <v>46185</v>
      </c>
      <c r="D8376" t="inlineStr">
        <is>
          <t>VÄSTERNORRLANDS LÄN</t>
        </is>
      </c>
      <c r="E8376" t="inlineStr">
        <is>
          <t>SOLLEFTEÅ</t>
        </is>
      </c>
      <c r="F8376" t="inlineStr">
        <is>
          <t>SCA</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12475-2022</t>
        </is>
      </c>
      <c r="B8377" s="1" t="n">
        <v>44638</v>
      </c>
      <c r="C8377" s="1" t="n">
        <v>46185</v>
      </c>
      <c r="D8377" t="inlineStr">
        <is>
          <t>VÄSTERNORRLANDS LÄN</t>
        </is>
      </c>
      <c r="E8377" t="inlineStr">
        <is>
          <t>ÖRNSKÖLDSVIK</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12494-2022</t>
        </is>
      </c>
      <c r="B8378" s="1" t="n">
        <v>44638.50601851852</v>
      </c>
      <c r="C8378" s="1" t="n">
        <v>46185</v>
      </c>
      <c r="D8378" t="inlineStr">
        <is>
          <t>VÄSTERNORRLANDS LÄN</t>
        </is>
      </c>
      <c r="E8378" t="inlineStr">
        <is>
          <t>SUNDSVALL</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19225-2026</t>
        </is>
      </c>
      <c r="B8379" s="1" t="n">
        <v>46132</v>
      </c>
      <c r="C8379" s="1" t="n">
        <v>46185</v>
      </c>
      <c r="D8379" t="inlineStr">
        <is>
          <t>VÄSTERNORRLANDS LÄN</t>
        </is>
      </c>
      <c r="E8379" t="inlineStr">
        <is>
          <t>HÄRNÖSAND</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24648-2026</t>
        </is>
      </c>
      <c r="B8380" s="1" t="n">
        <v>46171.41550925926</v>
      </c>
      <c r="C8380" s="1" t="n">
        <v>46185</v>
      </c>
      <c r="D8380" t="inlineStr">
        <is>
          <t>VÄSTERNORRLANDS LÄN</t>
        </is>
      </c>
      <c r="E8380" t="inlineStr">
        <is>
          <t>ÖRNSKÖLDSVIK</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24656-2026</t>
        </is>
      </c>
      <c r="B8381" s="1" t="n">
        <v>46171.42824074074</v>
      </c>
      <c r="C8381" s="1" t="n">
        <v>46185</v>
      </c>
      <c r="D8381" t="inlineStr">
        <is>
          <t>VÄSTERNORRLANDS LÄN</t>
        </is>
      </c>
      <c r="E8381" t="inlineStr">
        <is>
          <t>ÖRNSKÖLDSVIK</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20856-2024</t>
        </is>
      </c>
      <c r="B8382" s="1" t="n">
        <v>45439.42201388889</v>
      </c>
      <c r="C8382" s="1" t="n">
        <v>46185</v>
      </c>
      <c r="D8382" t="inlineStr">
        <is>
          <t>VÄSTERNORRLANDS LÄN</t>
        </is>
      </c>
      <c r="E8382" t="inlineStr">
        <is>
          <t>ÖRNSKÖLDSVIK</t>
        </is>
      </c>
      <c r="F8382" t="inlineStr">
        <is>
          <t>Holmen skog AB</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36492-2023</t>
        </is>
      </c>
      <c r="B8383" s="1" t="n">
        <v>45152.92479166666</v>
      </c>
      <c r="C8383" s="1" t="n">
        <v>46185</v>
      </c>
      <c r="D8383" t="inlineStr">
        <is>
          <t>VÄSTERNORRLANDS LÄN</t>
        </is>
      </c>
      <c r="E8383" t="inlineStr">
        <is>
          <t>ÅNGE</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36496-2023</t>
        </is>
      </c>
      <c r="B8384" s="1" t="n">
        <v>45152</v>
      </c>
      <c r="C8384" s="1" t="n">
        <v>46185</v>
      </c>
      <c r="D8384" t="inlineStr">
        <is>
          <t>VÄSTERNORRLANDS LÄN</t>
        </is>
      </c>
      <c r="E8384" t="inlineStr">
        <is>
          <t>HÄRNÖSAND</t>
        </is>
      </c>
      <c r="G8384" t="n">
        <v>5.5</v>
      </c>
      <c r="H8384" t="n">
        <v>0</v>
      </c>
      <c r="I8384" t="n">
        <v>0</v>
      </c>
      <c r="J8384" t="n">
        <v>0</v>
      </c>
      <c r="K8384" t="n">
        <v>0</v>
      </c>
      <c r="L8384" t="n">
        <v>0</v>
      </c>
      <c r="M8384" t="n">
        <v>0</v>
      </c>
      <c r="N8384" t="n">
        <v>0</v>
      </c>
      <c r="O8384" t="n">
        <v>0</v>
      </c>
      <c r="P8384" t="n">
        <v>0</v>
      </c>
      <c r="Q8384" t="n">
        <v>0</v>
      </c>
      <c r="R8384" s="2" t="inlineStr"/>
    </row>
    <row r="8385" ht="15" customHeight="1">
      <c r="A8385" t="inlineStr">
        <is>
          <t>A 35854-2025</t>
        </is>
      </c>
      <c r="B8385" s="1" t="n">
        <v>45861</v>
      </c>
      <c r="C8385" s="1" t="n">
        <v>46185</v>
      </c>
      <c r="D8385" t="inlineStr">
        <is>
          <t>VÄSTERNORRLANDS LÄN</t>
        </is>
      </c>
      <c r="E8385" t="inlineStr">
        <is>
          <t>TIMRÅ</t>
        </is>
      </c>
      <c r="F8385" t="inlineStr">
        <is>
          <t>SCA</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18975-2026</t>
        </is>
      </c>
      <c r="B8386" s="1" t="n">
        <v>46129.61513888889</v>
      </c>
      <c r="C8386" s="1" t="n">
        <v>46185</v>
      </c>
      <c r="D8386" t="inlineStr">
        <is>
          <t>VÄSTERNORRLANDS LÄN</t>
        </is>
      </c>
      <c r="E8386" t="inlineStr">
        <is>
          <t>ÅNGE</t>
        </is>
      </c>
      <c r="F8386" t="inlineStr">
        <is>
          <t>SCA</t>
        </is>
      </c>
      <c r="G8386" t="n">
        <v>7.3</v>
      </c>
      <c r="H8386" t="n">
        <v>0</v>
      </c>
      <c r="I8386" t="n">
        <v>0</v>
      </c>
      <c r="J8386" t="n">
        <v>0</v>
      </c>
      <c r="K8386" t="n">
        <v>0</v>
      </c>
      <c r="L8386" t="n">
        <v>0</v>
      </c>
      <c r="M8386" t="n">
        <v>0</v>
      </c>
      <c r="N8386" t="n">
        <v>0</v>
      </c>
      <c r="O8386" t="n">
        <v>0</v>
      </c>
      <c r="P8386" t="n">
        <v>0</v>
      </c>
      <c r="Q8386" t="n">
        <v>0</v>
      </c>
      <c r="R8386" s="2" t="inlineStr"/>
    </row>
    <row r="8387" ht="15" customHeight="1">
      <c r="A8387" t="inlineStr">
        <is>
          <t>A 24729-2026</t>
        </is>
      </c>
      <c r="B8387" s="1" t="n">
        <v>46171.56641203703</v>
      </c>
      <c r="C8387" s="1" t="n">
        <v>46185</v>
      </c>
      <c r="D8387" t="inlineStr">
        <is>
          <t>VÄSTERNORRLANDS LÄN</t>
        </is>
      </c>
      <c r="E8387" t="inlineStr">
        <is>
          <t>ÅNGE</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8033-2024</t>
        </is>
      </c>
      <c r="B8388" s="1" t="n">
        <v>45350.95284722222</v>
      </c>
      <c r="C8388" s="1" t="n">
        <v>46185</v>
      </c>
      <c r="D8388" t="inlineStr">
        <is>
          <t>VÄSTERNORRLANDS LÄN</t>
        </is>
      </c>
      <c r="E8388" t="inlineStr">
        <is>
          <t>SOLLEFTEÅ</t>
        </is>
      </c>
      <c r="F8388" t="inlineStr">
        <is>
          <t>SCA</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8038-2024</t>
        </is>
      </c>
      <c r="B8389" s="1" t="n">
        <v>45350</v>
      </c>
      <c r="C8389" s="1" t="n">
        <v>46185</v>
      </c>
      <c r="D8389" t="inlineStr">
        <is>
          <t>VÄSTERNORRLANDS LÄN</t>
        </is>
      </c>
      <c r="E8389" t="inlineStr">
        <is>
          <t>SOLLEFTEÅ</t>
        </is>
      </c>
      <c r="F8389" t="inlineStr">
        <is>
          <t>SCA</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8039-2024</t>
        </is>
      </c>
      <c r="B8390" s="1" t="n">
        <v>45350</v>
      </c>
      <c r="C8390" s="1" t="n">
        <v>46185</v>
      </c>
      <c r="D8390" t="inlineStr">
        <is>
          <t>VÄSTERNORRLANDS LÄN</t>
        </is>
      </c>
      <c r="E8390" t="inlineStr">
        <is>
          <t>SOLLEFTEÅ</t>
        </is>
      </c>
      <c r="F8390" t="inlineStr">
        <is>
          <t>SCA</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14117-2024</t>
        </is>
      </c>
      <c r="B8391" s="1" t="n">
        <v>45392</v>
      </c>
      <c r="C8391" s="1" t="n">
        <v>46185</v>
      </c>
      <c r="D8391" t="inlineStr">
        <is>
          <t>VÄSTERNORRLANDS LÄN</t>
        </is>
      </c>
      <c r="E8391" t="inlineStr">
        <is>
          <t>ÖRNSKÖLDSVIK</t>
        </is>
      </c>
      <c r="F8391" t="inlineStr">
        <is>
          <t>Holmen skog AB</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14124-2024</t>
        </is>
      </c>
      <c r="B8392" s="1" t="n">
        <v>45392</v>
      </c>
      <c r="C8392" s="1" t="n">
        <v>46185</v>
      </c>
      <c r="D8392" t="inlineStr">
        <is>
          <t>VÄSTERNORRLANDS LÄN</t>
        </is>
      </c>
      <c r="E8392" t="inlineStr">
        <is>
          <t>ÖRNSKÖLDSVIK</t>
        </is>
      </c>
      <c r="F8392" t="inlineStr">
        <is>
          <t>Holmen skog AB</t>
        </is>
      </c>
      <c r="G8392" t="n">
        <v>5.5</v>
      </c>
      <c r="H8392" t="n">
        <v>0</v>
      </c>
      <c r="I8392" t="n">
        <v>0</v>
      </c>
      <c r="J8392" t="n">
        <v>0</v>
      </c>
      <c r="K8392" t="n">
        <v>0</v>
      </c>
      <c r="L8392" t="n">
        <v>0</v>
      </c>
      <c r="M8392" t="n">
        <v>0</v>
      </c>
      <c r="N8392" t="n">
        <v>0</v>
      </c>
      <c r="O8392" t="n">
        <v>0</v>
      </c>
      <c r="P8392" t="n">
        <v>0</v>
      </c>
      <c r="Q8392" t="n">
        <v>0</v>
      </c>
      <c r="R8392" s="2" t="inlineStr"/>
    </row>
    <row r="8393" ht="15" customHeight="1">
      <c r="A8393" t="inlineStr">
        <is>
          <t>A 18693-2026</t>
        </is>
      </c>
      <c r="B8393" s="1" t="n">
        <v>46128.40671296296</v>
      </c>
      <c r="C8393" s="1" t="n">
        <v>46185</v>
      </c>
      <c r="D8393" t="inlineStr">
        <is>
          <t>VÄSTERNORRLANDS LÄN</t>
        </is>
      </c>
      <c r="E8393" t="inlineStr">
        <is>
          <t>SUNDSVALL</t>
        </is>
      </c>
      <c r="F8393" t="inlineStr">
        <is>
          <t>SCA</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25078-2026</t>
        </is>
      </c>
      <c r="B8394" s="1" t="n">
        <v>46174.76613425926</v>
      </c>
      <c r="C8394" s="1" t="n">
        <v>46185</v>
      </c>
      <c r="D8394" t="inlineStr">
        <is>
          <t>VÄSTERNORRLANDS LÄN</t>
        </is>
      </c>
      <c r="E8394" t="inlineStr">
        <is>
          <t>ÖRNSKÖLDSVIK</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18862-2026</t>
        </is>
      </c>
      <c r="B8395" s="1" t="n">
        <v>46129</v>
      </c>
      <c r="C8395" s="1" t="n">
        <v>46185</v>
      </c>
      <c r="D8395" t="inlineStr">
        <is>
          <t>VÄSTERNORRLANDS LÄN</t>
        </is>
      </c>
      <c r="E8395" t="inlineStr">
        <is>
          <t>ÖRNSKÖLDSVIK</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18796-2026</t>
        </is>
      </c>
      <c r="B8396" s="1" t="n">
        <v>46128.61502314815</v>
      </c>
      <c r="C8396" s="1" t="n">
        <v>46185</v>
      </c>
      <c r="D8396" t="inlineStr">
        <is>
          <t>VÄSTERNORRLANDS LÄN</t>
        </is>
      </c>
      <c r="E8396" t="inlineStr">
        <is>
          <t>SUNDSVALL</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21389-2022</t>
        </is>
      </c>
      <c r="B8397" s="1" t="n">
        <v>44705</v>
      </c>
      <c r="C8397" s="1" t="n">
        <v>46185</v>
      </c>
      <c r="D8397" t="inlineStr">
        <is>
          <t>VÄSTERNORRLANDS LÄN</t>
        </is>
      </c>
      <c r="E8397" t="inlineStr">
        <is>
          <t>SUNDSVALL</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9435-2024</t>
        </is>
      </c>
      <c r="B8398" s="1" t="n">
        <v>45359</v>
      </c>
      <c r="C8398" s="1" t="n">
        <v>46185</v>
      </c>
      <c r="D8398" t="inlineStr">
        <is>
          <t>VÄSTERNORRLANDS LÄN</t>
        </is>
      </c>
      <c r="E8398" t="inlineStr">
        <is>
          <t>SUNDSVALL</t>
        </is>
      </c>
      <c r="F8398" t="inlineStr">
        <is>
          <t>Holmen skog AB</t>
        </is>
      </c>
      <c r="G8398" t="n">
        <v>24.7</v>
      </c>
      <c r="H8398" t="n">
        <v>0</v>
      </c>
      <c r="I8398" t="n">
        <v>0</v>
      </c>
      <c r="J8398" t="n">
        <v>0</v>
      </c>
      <c r="K8398" t="n">
        <v>0</v>
      </c>
      <c r="L8398" t="n">
        <v>0</v>
      </c>
      <c r="M8398" t="n">
        <v>0</v>
      </c>
      <c r="N8398" t="n">
        <v>0</v>
      </c>
      <c r="O8398" t="n">
        <v>0</v>
      </c>
      <c r="P8398" t="n">
        <v>0</v>
      </c>
      <c r="Q8398" t="n">
        <v>0</v>
      </c>
      <c r="R8398" s="2" t="inlineStr"/>
    </row>
    <row r="8399" ht="15" customHeight="1">
      <c r="A8399" t="inlineStr">
        <is>
          <t>A 18807-2026</t>
        </is>
      </c>
      <c r="B8399" s="1" t="n">
        <v>46128.63599537037</v>
      </c>
      <c r="C8399" s="1" t="n">
        <v>46185</v>
      </c>
      <c r="D8399" t="inlineStr">
        <is>
          <t>VÄSTERNORRLANDS LÄN</t>
        </is>
      </c>
      <c r="E8399" t="inlineStr">
        <is>
          <t>SUNDSVALL</t>
        </is>
      </c>
      <c r="F8399" t="inlineStr">
        <is>
          <t>SCA</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19020-2026</t>
        </is>
      </c>
      <c r="B8400" s="1" t="n">
        <v>46130</v>
      </c>
      <c r="C8400" s="1" t="n">
        <v>46185</v>
      </c>
      <c r="D8400" t="inlineStr">
        <is>
          <t>VÄSTERNORRLANDS LÄN</t>
        </is>
      </c>
      <c r="E8400" t="inlineStr">
        <is>
          <t>SUNDSVALL</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19021-2026</t>
        </is>
      </c>
      <c r="B8401" s="1" t="n">
        <v>46131.34442129629</v>
      </c>
      <c r="C8401" s="1" t="n">
        <v>46185</v>
      </c>
      <c r="D8401" t="inlineStr">
        <is>
          <t>VÄSTERNORRLANDS LÄN</t>
        </is>
      </c>
      <c r="E8401" t="inlineStr">
        <is>
          <t>ÅNGE</t>
        </is>
      </c>
      <c r="F8401" t="inlineStr">
        <is>
          <t>SCA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8650-2024</t>
        </is>
      </c>
      <c r="B8402" s="1" t="n">
        <v>45356</v>
      </c>
      <c r="C8402" s="1" t="n">
        <v>46185</v>
      </c>
      <c r="D8402" t="inlineStr">
        <is>
          <t>VÄSTERNORRLANDS LÄN</t>
        </is>
      </c>
      <c r="E8402" t="inlineStr">
        <is>
          <t>ÅNGE</t>
        </is>
      </c>
      <c r="F8402" t="inlineStr">
        <is>
          <t>SCA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8653-2024</t>
        </is>
      </c>
      <c r="B8403" s="1" t="n">
        <v>45356</v>
      </c>
      <c r="C8403" s="1" t="n">
        <v>46185</v>
      </c>
      <c r="D8403" t="inlineStr">
        <is>
          <t>VÄSTERNORRLANDS LÄN</t>
        </is>
      </c>
      <c r="E8403" t="inlineStr">
        <is>
          <t>SOLLEFTEÅ</t>
        </is>
      </c>
      <c r="F8403" t="inlineStr">
        <is>
          <t>SCA</t>
        </is>
      </c>
      <c r="G8403" t="n">
        <v>67.8</v>
      </c>
      <c r="H8403" t="n">
        <v>0</v>
      </c>
      <c r="I8403" t="n">
        <v>0</v>
      </c>
      <c r="J8403" t="n">
        <v>0</v>
      </c>
      <c r="K8403" t="n">
        <v>0</v>
      </c>
      <c r="L8403" t="n">
        <v>0</v>
      </c>
      <c r="M8403" t="n">
        <v>0</v>
      </c>
      <c r="N8403" t="n">
        <v>0</v>
      </c>
      <c r="O8403" t="n">
        <v>0</v>
      </c>
      <c r="P8403" t="n">
        <v>0</v>
      </c>
      <c r="Q8403" t="n">
        <v>0</v>
      </c>
      <c r="R8403" s="2" t="inlineStr"/>
    </row>
    <row r="8404" ht="15" customHeight="1">
      <c r="A8404" t="inlineStr">
        <is>
          <t>A 24945-2026</t>
        </is>
      </c>
      <c r="B8404" s="1" t="n">
        <v>46174.55260416667</v>
      </c>
      <c r="C8404" s="1" t="n">
        <v>46185</v>
      </c>
      <c r="D8404" t="inlineStr">
        <is>
          <t>VÄSTERNORRLANDS LÄN</t>
        </is>
      </c>
      <c r="E8404" t="inlineStr">
        <is>
          <t>KRAMFORS</t>
        </is>
      </c>
      <c r="G8404" t="n">
        <v>8.1</v>
      </c>
      <c r="H8404" t="n">
        <v>0</v>
      </c>
      <c r="I8404" t="n">
        <v>0</v>
      </c>
      <c r="J8404" t="n">
        <v>0</v>
      </c>
      <c r="K8404" t="n">
        <v>0</v>
      </c>
      <c r="L8404" t="n">
        <v>0</v>
      </c>
      <c r="M8404" t="n">
        <v>0</v>
      </c>
      <c r="N8404" t="n">
        <v>0</v>
      </c>
      <c r="O8404" t="n">
        <v>0</v>
      </c>
      <c r="P8404" t="n">
        <v>0</v>
      </c>
      <c r="Q8404" t="n">
        <v>0</v>
      </c>
      <c r="R8404" s="2" t="inlineStr"/>
    </row>
    <row r="8405" ht="15" customHeight="1">
      <c r="A8405" t="inlineStr">
        <is>
          <t>A 18976-2026</t>
        </is>
      </c>
      <c r="B8405" s="1" t="n">
        <v>46129.61527777778</v>
      </c>
      <c r="C8405" s="1" t="n">
        <v>46185</v>
      </c>
      <c r="D8405" t="inlineStr">
        <is>
          <t>VÄSTERNORRLANDS LÄN</t>
        </is>
      </c>
      <c r="E8405" t="inlineStr">
        <is>
          <t>ÖRNSKÖLDSVIK</t>
        </is>
      </c>
      <c r="F8405" t="inlineStr">
        <is>
          <t>Holmen skog AB</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19061-2026</t>
        </is>
      </c>
      <c r="B8406" s="1" t="n">
        <v>46132.36570601852</v>
      </c>
      <c r="C8406" s="1" t="n">
        <v>46185</v>
      </c>
      <c r="D8406" t="inlineStr">
        <is>
          <t>VÄSTERNORRLANDS LÄN</t>
        </is>
      </c>
      <c r="E8406" t="inlineStr">
        <is>
          <t>SUNDSVALL</t>
        </is>
      </c>
      <c r="F8406" t="inlineStr">
        <is>
          <t>SCA</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24772-2026</t>
        </is>
      </c>
      <c r="B8407" s="1" t="n">
        <v>46171.63611111111</v>
      </c>
      <c r="C8407" s="1" t="n">
        <v>46185</v>
      </c>
      <c r="D8407" t="inlineStr">
        <is>
          <t>VÄSTERNORRLANDS LÄN</t>
        </is>
      </c>
      <c r="E8407" t="inlineStr">
        <is>
          <t>ÅNGE</t>
        </is>
      </c>
      <c r="G8407" t="n">
        <v>11.4</v>
      </c>
      <c r="H8407" t="n">
        <v>0</v>
      </c>
      <c r="I8407" t="n">
        <v>0</v>
      </c>
      <c r="J8407" t="n">
        <v>0</v>
      </c>
      <c r="K8407" t="n">
        <v>0</v>
      </c>
      <c r="L8407" t="n">
        <v>0</v>
      </c>
      <c r="M8407" t="n">
        <v>0</v>
      </c>
      <c r="N8407" t="n">
        <v>0</v>
      </c>
      <c r="O8407" t="n">
        <v>0</v>
      </c>
      <c r="P8407" t="n">
        <v>0</v>
      </c>
      <c r="Q8407" t="n">
        <v>0</v>
      </c>
      <c r="R8407" s="2" t="inlineStr"/>
    </row>
    <row r="8408" ht="15" customHeight="1">
      <c r="A8408" t="inlineStr">
        <is>
          <t>A 24828-2026</t>
        </is>
      </c>
      <c r="B8408" s="1" t="n">
        <v>46174.34496527778</v>
      </c>
      <c r="C8408" s="1" t="n">
        <v>46185</v>
      </c>
      <c r="D8408" t="inlineStr">
        <is>
          <t>VÄSTERNORRLANDS LÄN</t>
        </is>
      </c>
      <c r="E8408" t="inlineStr">
        <is>
          <t>SOLLEFTEÅ</t>
        </is>
      </c>
      <c r="F8408" t="inlineStr">
        <is>
          <t>SCA</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19179-2026</t>
        </is>
      </c>
      <c r="B8409" s="1" t="n">
        <v>46132.59571759259</v>
      </c>
      <c r="C8409" s="1" t="n">
        <v>46185</v>
      </c>
      <c r="D8409" t="inlineStr">
        <is>
          <t>VÄSTERNORRLANDS LÄN</t>
        </is>
      </c>
      <c r="E8409" t="inlineStr">
        <is>
          <t>SOLLEFTEÅ</t>
        </is>
      </c>
      <c r="F8409" t="inlineStr">
        <is>
          <t>SCA</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19212-2026</t>
        </is>
      </c>
      <c r="B8410" s="1" t="n">
        <v>46132.62708333333</v>
      </c>
      <c r="C8410" s="1" t="n">
        <v>46185</v>
      </c>
      <c r="D8410" t="inlineStr">
        <is>
          <t>VÄSTERNORRLANDS LÄN</t>
        </is>
      </c>
      <c r="E8410" t="inlineStr">
        <is>
          <t>ÅNGE</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24516-2026</t>
        </is>
      </c>
      <c r="B8411" s="1" t="n">
        <v>46170.49733796297</v>
      </c>
      <c r="C8411" s="1" t="n">
        <v>46185</v>
      </c>
      <c r="D8411" t="inlineStr">
        <is>
          <t>VÄSTERNORRLANDS LÄN</t>
        </is>
      </c>
      <c r="E8411" t="inlineStr">
        <is>
          <t>ÖRNSKÖLDSVIK</t>
        </is>
      </c>
      <c r="F8411" t="inlineStr">
        <is>
          <t>Holmen skog AB</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24827-2026</t>
        </is>
      </c>
      <c r="B8412" s="1" t="n">
        <v>46174.34451388889</v>
      </c>
      <c r="C8412" s="1" t="n">
        <v>46185</v>
      </c>
      <c r="D8412" t="inlineStr">
        <is>
          <t>VÄSTERNORRLANDS LÄN</t>
        </is>
      </c>
      <c r="E8412" t="inlineStr">
        <is>
          <t>ÅNGE</t>
        </is>
      </c>
      <c r="F8412" t="inlineStr">
        <is>
          <t>SCA</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25644-2022</t>
        </is>
      </c>
      <c r="B8413" s="1" t="n">
        <v>44732</v>
      </c>
      <c r="C8413" s="1" t="n">
        <v>46185</v>
      </c>
      <c r="D8413" t="inlineStr">
        <is>
          <t>VÄSTERNORRLANDS LÄN</t>
        </is>
      </c>
      <c r="E8413" t="inlineStr">
        <is>
          <t>TIMRÅ</t>
        </is>
      </c>
      <c r="F8413" t="inlineStr">
        <is>
          <t>SCA</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11813-2022</t>
        </is>
      </c>
      <c r="B8414" s="1" t="n">
        <v>44634.68443287037</v>
      </c>
      <c r="C8414" s="1" t="n">
        <v>46185</v>
      </c>
      <c r="D8414" t="inlineStr">
        <is>
          <t>VÄSTERNORRLANDS LÄN</t>
        </is>
      </c>
      <c r="E8414" t="inlineStr">
        <is>
          <t>SUNDSVALL</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24860-2026</t>
        </is>
      </c>
      <c r="B8415" s="1" t="n">
        <v>46174.39858796296</v>
      </c>
      <c r="C8415" s="1" t="n">
        <v>46185</v>
      </c>
      <c r="D8415" t="inlineStr">
        <is>
          <t>VÄSTERNORRLANDS LÄN</t>
        </is>
      </c>
      <c r="E8415" t="inlineStr">
        <is>
          <t>ÖRNSKÖLDSVIK</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18861-2026</t>
        </is>
      </c>
      <c r="B8416" s="1" t="n">
        <v>46129</v>
      </c>
      <c r="C8416" s="1" t="n">
        <v>46185</v>
      </c>
      <c r="D8416" t="inlineStr">
        <is>
          <t>VÄSTERNORRLANDS LÄN</t>
        </is>
      </c>
      <c r="E8416" t="inlineStr">
        <is>
          <t>ÖRNSKÖLDSVIK</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19048-2026</t>
        </is>
      </c>
      <c r="B8417" s="1" t="n">
        <v>46132.34466435185</v>
      </c>
      <c r="C8417" s="1" t="n">
        <v>46185</v>
      </c>
      <c r="D8417" t="inlineStr">
        <is>
          <t>VÄSTERNORRLANDS LÄN</t>
        </is>
      </c>
      <c r="E8417" t="inlineStr">
        <is>
          <t>SOLLEFTEÅ</t>
        </is>
      </c>
      <c r="F8417" t="inlineStr">
        <is>
          <t>SCA</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49261-2022</t>
        </is>
      </c>
      <c r="B8418" s="1" t="n">
        <v>44858</v>
      </c>
      <c r="C8418" s="1" t="n">
        <v>46185</v>
      </c>
      <c r="D8418" t="inlineStr">
        <is>
          <t>VÄSTERNORRLANDS LÄN</t>
        </is>
      </c>
      <c r="E8418" t="inlineStr">
        <is>
          <t>HÄRNÖSAND</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42164-2023</t>
        </is>
      </c>
      <c r="B8419" s="1" t="n">
        <v>45177.93747685185</v>
      </c>
      <c r="C8419" s="1" t="n">
        <v>46185</v>
      </c>
      <c r="D8419" t="inlineStr">
        <is>
          <t>VÄSTERNORRLANDS LÄN</t>
        </is>
      </c>
      <c r="E8419" t="inlineStr">
        <is>
          <t>SOLLEFTEÅ</t>
        </is>
      </c>
      <c r="F8419" t="inlineStr">
        <is>
          <t>SCA</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48088-2023</t>
        </is>
      </c>
      <c r="B8420" s="1" t="n">
        <v>45204.94657407407</v>
      </c>
      <c r="C8420" s="1" t="n">
        <v>46185</v>
      </c>
      <c r="D8420" t="inlineStr">
        <is>
          <t>VÄSTERNORRLANDS LÄN</t>
        </is>
      </c>
      <c r="E8420" t="inlineStr">
        <is>
          <t>SOLLEFTEÅ</t>
        </is>
      </c>
      <c r="F8420" t="inlineStr">
        <is>
          <t>SCA</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18729-2026</t>
        </is>
      </c>
      <c r="B8421" s="1" t="n">
        <v>46128.49038194444</v>
      </c>
      <c r="C8421" s="1" t="n">
        <v>46185</v>
      </c>
      <c r="D8421" t="inlineStr">
        <is>
          <t>VÄSTERNORRLANDS LÄN</t>
        </is>
      </c>
      <c r="E8421" t="inlineStr">
        <is>
          <t>SOLLEFTEÅ</t>
        </is>
      </c>
      <c r="F8421" t="inlineStr">
        <is>
          <t>SCA</t>
        </is>
      </c>
      <c r="G8421" t="n">
        <v>21.2</v>
      </c>
      <c r="H8421" t="n">
        <v>0</v>
      </c>
      <c r="I8421" t="n">
        <v>0</v>
      </c>
      <c r="J8421" t="n">
        <v>0</v>
      </c>
      <c r="K8421" t="n">
        <v>0</v>
      </c>
      <c r="L8421" t="n">
        <v>0</v>
      </c>
      <c r="M8421" t="n">
        <v>0</v>
      </c>
      <c r="N8421" t="n">
        <v>0</v>
      </c>
      <c r="O8421" t="n">
        <v>0</v>
      </c>
      <c r="P8421" t="n">
        <v>0</v>
      </c>
      <c r="Q8421" t="n">
        <v>0</v>
      </c>
      <c r="R8421" s="2" t="inlineStr"/>
    </row>
    <row r="8422" ht="15" customHeight="1">
      <c r="A8422" t="inlineStr">
        <is>
          <t>A 24305-2022</t>
        </is>
      </c>
      <c r="B8422" s="1" t="n">
        <v>44725.94373842593</v>
      </c>
      <c r="C8422" s="1" t="n">
        <v>46185</v>
      </c>
      <c r="D8422" t="inlineStr">
        <is>
          <t>VÄSTERNORRLANDS LÄN</t>
        </is>
      </c>
      <c r="E8422" t="inlineStr">
        <is>
          <t>TIMRÅ</t>
        </is>
      </c>
      <c r="F8422" t="inlineStr">
        <is>
          <t>SCA</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18888-2026</t>
        </is>
      </c>
      <c r="B8423" s="1" t="n">
        <v>46129.44924768519</v>
      </c>
      <c r="C8423" s="1" t="n">
        <v>46185</v>
      </c>
      <c r="D8423" t="inlineStr">
        <is>
          <t>VÄSTERNORRLANDS LÄN</t>
        </is>
      </c>
      <c r="E8423" t="inlineStr">
        <is>
          <t>SOLLEFTEÅ</t>
        </is>
      </c>
      <c r="F8423" t="inlineStr">
        <is>
          <t>SCA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19615-2026</t>
        </is>
      </c>
      <c r="B8424" s="1" t="n">
        <v>46134.51099537037</v>
      </c>
      <c r="C8424" s="1" t="n">
        <v>46185</v>
      </c>
      <c r="D8424" t="inlineStr">
        <is>
          <t>VÄSTERNORRLANDS LÄN</t>
        </is>
      </c>
      <c r="E8424" t="inlineStr">
        <is>
          <t>SOLLEFTEÅ</t>
        </is>
      </c>
      <c r="F8424" t="inlineStr">
        <is>
          <t>SCA</t>
        </is>
      </c>
      <c r="G8424" t="n">
        <v>13.7</v>
      </c>
      <c r="H8424" t="n">
        <v>0</v>
      </c>
      <c r="I8424" t="n">
        <v>0</v>
      </c>
      <c r="J8424" t="n">
        <v>0</v>
      </c>
      <c r="K8424" t="n">
        <v>0</v>
      </c>
      <c r="L8424" t="n">
        <v>0</v>
      </c>
      <c r="M8424" t="n">
        <v>0</v>
      </c>
      <c r="N8424" t="n">
        <v>0</v>
      </c>
      <c r="O8424" t="n">
        <v>0</v>
      </c>
      <c r="P8424" t="n">
        <v>0</v>
      </c>
      <c r="Q8424" t="n">
        <v>0</v>
      </c>
      <c r="R8424" s="2" t="inlineStr"/>
    </row>
    <row r="8425" ht="15" customHeight="1">
      <c r="A8425" t="inlineStr">
        <is>
          <t>A 19334-2026</t>
        </is>
      </c>
      <c r="B8425" s="1" t="n">
        <v>46133.43344907407</v>
      </c>
      <c r="C8425" s="1" t="n">
        <v>46185</v>
      </c>
      <c r="D8425" t="inlineStr">
        <is>
          <t>VÄSTERNORRLANDS LÄN</t>
        </is>
      </c>
      <c r="E8425" t="inlineStr">
        <is>
          <t>SOLLEFTEÅ</t>
        </is>
      </c>
      <c r="G8425" t="n">
        <v>26.3</v>
      </c>
      <c r="H8425" t="n">
        <v>0</v>
      </c>
      <c r="I8425" t="n">
        <v>0</v>
      </c>
      <c r="J8425" t="n">
        <v>0</v>
      </c>
      <c r="K8425" t="n">
        <v>0</v>
      </c>
      <c r="L8425" t="n">
        <v>0</v>
      </c>
      <c r="M8425" t="n">
        <v>0</v>
      </c>
      <c r="N8425" t="n">
        <v>0</v>
      </c>
      <c r="O8425" t="n">
        <v>0</v>
      </c>
      <c r="P8425" t="n">
        <v>0</v>
      </c>
      <c r="Q8425" t="n">
        <v>0</v>
      </c>
      <c r="R8425" s="2" t="inlineStr"/>
    </row>
    <row r="8426" ht="15" customHeight="1">
      <c r="A8426" t="inlineStr">
        <is>
          <t>A 12107-2025</t>
        </is>
      </c>
      <c r="B8426" s="1" t="n">
        <v>45729.34447916667</v>
      </c>
      <c r="C8426" s="1" t="n">
        <v>46185</v>
      </c>
      <c r="D8426" t="inlineStr">
        <is>
          <t>VÄSTERNORRLANDS LÄN</t>
        </is>
      </c>
      <c r="E8426" t="inlineStr">
        <is>
          <t>KRAMFORS</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33922-2023</t>
        </is>
      </c>
      <c r="B8427" s="1" t="n">
        <v>45122</v>
      </c>
      <c r="C8427" s="1" t="n">
        <v>46185</v>
      </c>
      <c r="D8427" t="inlineStr">
        <is>
          <t>VÄSTERNORRLANDS LÄN</t>
        </is>
      </c>
      <c r="E8427" t="inlineStr">
        <is>
          <t>ÖRNSKÖLDSVIK</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20333-2025</t>
        </is>
      </c>
      <c r="B8428" s="1" t="n">
        <v>45775.3646875</v>
      </c>
      <c r="C8428" s="1" t="n">
        <v>46185</v>
      </c>
      <c r="D8428" t="inlineStr">
        <is>
          <t>VÄSTERNORRLANDS LÄN</t>
        </is>
      </c>
      <c r="E8428" t="inlineStr">
        <is>
          <t>ÖRNSKÖLDSVIK</t>
        </is>
      </c>
      <c r="F8428" t="inlineStr">
        <is>
          <t>Holmen skog AB</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20335-2025</t>
        </is>
      </c>
      <c r="B8429" s="1" t="n">
        <v>45775.36510416667</v>
      </c>
      <c r="C8429" s="1" t="n">
        <v>46185</v>
      </c>
      <c r="D8429" t="inlineStr">
        <is>
          <t>VÄSTERNORRLANDS LÄN</t>
        </is>
      </c>
      <c r="E8429" t="inlineStr">
        <is>
          <t>SOLLEFTEÅ</t>
        </is>
      </c>
      <c r="F8429" t="inlineStr">
        <is>
          <t>SCA</t>
        </is>
      </c>
      <c r="G8429" t="n">
        <v>7</v>
      </c>
      <c r="H8429" t="n">
        <v>0</v>
      </c>
      <c r="I8429" t="n">
        <v>0</v>
      </c>
      <c r="J8429" t="n">
        <v>0</v>
      </c>
      <c r="K8429" t="n">
        <v>0</v>
      </c>
      <c r="L8429" t="n">
        <v>0</v>
      </c>
      <c r="M8429" t="n">
        <v>0</v>
      </c>
      <c r="N8429" t="n">
        <v>0</v>
      </c>
      <c r="O8429" t="n">
        <v>0</v>
      </c>
      <c r="P8429" t="n">
        <v>0</v>
      </c>
      <c r="Q8429" t="n">
        <v>0</v>
      </c>
      <c r="R8429" s="2" t="inlineStr"/>
    </row>
    <row r="8430" ht="15" customHeight="1">
      <c r="A8430" t="inlineStr">
        <is>
          <t>A 25100-2026</t>
        </is>
      </c>
      <c r="B8430" s="1" t="n">
        <v>46175.34491898148</v>
      </c>
      <c r="C8430" s="1" t="n">
        <v>46185</v>
      </c>
      <c r="D8430" t="inlineStr">
        <is>
          <t>VÄSTERNORRLANDS LÄN</t>
        </is>
      </c>
      <c r="E8430" t="inlineStr">
        <is>
          <t>ÅNGE</t>
        </is>
      </c>
      <c r="F8430" t="inlineStr">
        <is>
          <t>SCA</t>
        </is>
      </c>
      <c r="G8430" t="n">
        <v>4.1</v>
      </c>
      <c r="H8430" t="n">
        <v>0</v>
      </c>
      <c r="I8430" t="n">
        <v>0</v>
      </c>
      <c r="J8430" t="n">
        <v>0</v>
      </c>
      <c r="K8430" t="n">
        <v>0</v>
      </c>
      <c r="L8430" t="n">
        <v>0</v>
      </c>
      <c r="M8430" t="n">
        <v>0</v>
      </c>
      <c r="N8430" t="n">
        <v>0</v>
      </c>
      <c r="O8430" t="n">
        <v>0</v>
      </c>
      <c r="P8430" t="n">
        <v>0</v>
      </c>
      <c r="Q8430" t="n">
        <v>0</v>
      </c>
      <c r="R8430" s="2" t="inlineStr"/>
    </row>
    <row r="8431" ht="15" customHeight="1">
      <c r="A8431" t="inlineStr">
        <is>
          <t>A 23818-2026</t>
        </is>
      </c>
      <c r="B8431" s="1" t="n">
        <v>46165</v>
      </c>
      <c r="C8431" s="1" t="n">
        <v>46185</v>
      </c>
      <c r="D8431" t="inlineStr">
        <is>
          <t>VÄSTERNORRLANDS LÄN</t>
        </is>
      </c>
      <c r="E8431" t="inlineStr">
        <is>
          <t>HÄRNÖSAND</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24012-2026</t>
        </is>
      </c>
      <c r="B8432" s="1" t="n">
        <v>46167.65738425926</v>
      </c>
      <c r="C8432" s="1" t="n">
        <v>46185</v>
      </c>
      <c r="D8432" t="inlineStr">
        <is>
          <t>VÄSTERNORRLANDS LÄN</t>
        </is>
      </c>
      <c r="E8432" t="inlineStr">
        <is>
          <t>SUNDSVALL</t>
        </is>
      </c>
      <c r="F8432" t="inlineStr">
        <is>
          <t>SCA</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24596-2023</t>
        </is>
      </c>
      <c r="B8433" s="1" t="n">
        <v>45083.94011574074</v>
      </c>
      <c r="C8433" s="1" t="n">
        <v>46185</v>
      </c>
      <c r="D8433" t="inlineStr">
        <is>
          <t>VÄSTERNORRLANDS LÄN</t>
        </is>
      </c>
      <c r="E8433" t="inlineStr">
        <is>
          <t>SOLLEFTEÅ</t>
        </is>
      </c>
      <c r="F8433" t="inlineStr">
        <is>
          <t>SCA</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58845-2024</t>
        </is>
      </c>
      <c r="B8434" s="1" t="n">
        <v>45636.3862037037</v>
      </c>
      <c r="C8434" s="1" t="n">
        <v>46185</v>
      </c>
      <c r="D8434" t="inlineStr">
        <is>
          <t>VÄSTERNORRLANDS LÄN</t>
        </is>
      </c>
      <c r="E8434" t="inlineStr">
        <is>
          <t>SOLLEFTEÅ</t>
        </is>
      </c>
      <c r="F8434" t="inlineStr">
        <is>
          <t>SCA</t>
        </is>
      </c>
      <c r="G8434" t="n">
        <v>11.3</v>
      </c>
      <c r="H8434" t="n">
        <v>0</v>
      </c>
      <c r="I8434" t="n">
        <v>0</v>
      </c>
      <c r="J8434" t="n">
        <v>0</v>
      </c>
      <c r="K8434" t="n">
        <v>0</v>
      </c>
      <c r="L8434" t="n">
        <v>0</v>
      </c>
      <c r="M8434" t="n">
        <v>0</v>
      </c>
      <c r="N8434" t="n">
        <v>0</v>
      </c>
      <c r="O8434" t="n">
        <v>0</v>
      </c>
      <c r="P8434" t="n">
        <v>0</v>
      </c>
      <c r="Q8434" t="n">
        <v>0</v>
      </c>
      <c r="R8434" s="2" t="inlineStr"/>
    </row>
    <row r="8435" ht="15" customHeight="1">
      <c r="A8435" t="inlineStr">
        <is>
          <t>A 25244-2026</t>
        </is>
      </c>
      <c r="B8435" s="1" t="n">
        <v>46175.67803240741</v>
      </c>
      <c r="C8435" s="1" t="n">
        <v>46185</v>
      </c>
      <c r="D8435" t="inlineStr">
        <is>
          <t>VÄSTERNORRLANDS LÄN</t>
        </is>
      </c>
      <c r="E8435" t="inlineStr">
        <is>
          <t>ÖRNSKÖLDSVIK</t>
        </is>
      </c>
      <c r="F8435" t="inlineStr">
        <is>
          <t>SCA</t>
        </is>
      </c>
      <c r="G8435" t="n">
        <v>4.8</v>
      </c>
      <c r="H8435" t="n">
        <v>0</v>
      </c>
      <c r="I8435" t="n">
        <v>0</v>
      </c>
      <c r="J8435" t="n">
        <v>0</v>
      </c>
      <c r="K8435" t="n">
        <v>0</v>
      </c>
      <c r="L8435" t="n">
        <v>0</v>
      </c>
      <c r="M8435" t="n">
        <v>0</v>
      </c>
      <c r="N8435" t="n">
        <v>0</v>
      </c>
      <c r="O8435" t="n">
        <v>0</v>
      </c>
      <c r="P8435" t="n">
        <v>0</v>
      </c>
      <c r="Q8435" t="n">
        <v>0</v>
      </c>
      <c r="R8435" s="2" t="inlineStr"/>
    </row>
    <row r="8436" ht="15" customHeight="1">
      <c r="A8436" t="inlineStr">
        <is>
          <t>A 25248-2026</t>
        </is>
      </c>
      <c r="B8436" s="1" t="n">
        <v>46175.6843287037</v>
      </c>
      <c r="C8436" s="1" t="n">
        <v>46185</v>
      </c>
      <c r="D8436" t="inlineStr">
        <is>
          <t>VÄSTERNORRLANDS LÄN</t>
        </is>
      </c>
      <c r="E8436" t="inlineStr">
        <is>
          <t>HÄRNÖSAND</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5258-2025</t>
        </is>
      </c>
      <c r="B8437" s="1" t="n">
        <v>45692</v>
      </c>
      <c r="C8437" s="1" t="n">
        <v>46185</v>
      </c>
      <c r="D8437" t="inlineStr">
        <is>
          <t>VÄSTERNORRLANDS LÄN</t>
        </is>
      </c>
      <c r="E8437" t="inlineStr">
        <is>
          <t>SOLLEFTEÅ</t>
        </is>
      </c>
      <c r="F8437" t="inlineStr">
        <is>
          <t>SCA</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25224-2026</t>
        </is>
      </c>
      <c r="B8438" s="1" t="n">
        <v>46171</v>
      </c>
      <c r="C8438" s="1" t="n">
        <v>46185</v>
      </c>
      <c r="D8438" t="inlineStr">
        <is>
          <t>VÄSTERNORRLANDS LÄN</t>
        </is>
      </c>
      <c r="E8438" t="inlineStr">
        <is>
          <t>ÖRNSKÖLDSVIK</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17889-2025</t>
        </is>
      </c>
      <c r="B8439" s="1" t="n">
        <v>45758.67746527777</v>
      </c>
      <c r="C8439" s="1" t="n">
        <v>46185</v>
      </c>
      <c r="D8439" t="inlineStr">
        <is>
          <t>VÄSTERNORRLANDS LÄN</t>
        </is>
      </c>
      <c r="E8439" t="inlineStr">
        <is>
          <t>SOLLEFTEÅ</t>
        </is>
      </c>
      <c r="F8439" t="inlineStr">
        <is>
          <t>SCA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7431-2022</t>
        </is>
      </c>
      <c r="B8440" s="1" t="n">
        <v>44606.93319444444</v>
      </c>
      <c r="C8440" s="1" t="n">
        <v>46185</v>
      </c>
      <c r="D8440" t="inlineStr">
        <is>
          <t>VÄSTERNORRLANDS LÄN</t>
        </is>
      </c>
      <c r="E8440" t="inlineStr">
        <is>
          <t>SUNDSVALL</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25243-2026</t>
        </is>
      </c>
      <c r="B8441" s="1" t="n">
        <v>46175.67784722222</v>
      </c>
      <c r="C8441" s="1" t="n">
        <v>46185</v>
      </c>
      <c r="D8441" t="inlineStr">
        <is>
          <t>VÄSTERNORRLANDS LÄN</t>
        </is>
      </c>
      <c r="E8441" t="inlineStr">
        <is>
          <t>SUNDSVALL</t>
        </is>
      </c>
      <c r="F8441" t="inlineStr">
        <is>
          <t>SCA</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19496-2026</t>
        </is>
      </c>
      <c r="B8442" s="1" t="n">
        <v>46134.32422453703</v>
      </c>
      <c r="C8442" s="1" t="n">
        <v>46185</v>
      </c>
      <c r="D8442" t="inlineStr">
        <is>
          <t>VÄSTERNORRLANDS LÄN</t>
        </is>
      </c>
      <c r="E8442" t="inlineStr">
        <is>
          <t>KRAMFORS</t>
        </is>
      </c>
      <c r="G8442" t="n">
        <v>9.300000000000001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19492-2026</t>
        </is>
      </c>
      <c r="B8443" s="1" t="n">
        <v>46134.31856481481</v>
      </c>
      <c r="C8443" s="1" t="n">
        <v>46185</v>
      </c>
      <c r="D8443" t="inlineStr">
        <is>
          <t>VÄSTERNORRLANDS LÄN</t>
        </is>
      </c>
      <c r="E8443" t="inlineStr">
        <is>
          <t>ÖRNSKÖLDSVIK</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19493-2026</t>
        </is>
      </c>
      <c r="B8444" s="1" t="n">
        <v>46134.32127314815</v>
      </c>
      <c r="C8444" s="1" t="n">
        <v>46185</v>
      </c>
      <c r="D8444" t="inlineStr">
        <is>
          <t>VÄSTERNORRLANDS LÄN</t>
        </is>
      </c>
      <c r="E8444" t="inlineStr">
        <is>
          <t>ÖRNSKÖLDSVIK</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45942-2023</t>
        </is>
      </c>
      <c r="B8445" s="1" t="n">
        <v>45195</v>
      </c>
      <c r="C8445" s="1" t="n">
        <v>46185</v>
      </c>
      <c r="D8445" t="inlineStr">
        <is>
          <t>VÄSTERNORRLANDS LÄN</t>
        </is>
      </c>
      <c r="E8445" t="inlineStr">
        <is>
          <t>ÖRNSKÖLDSVIK</t>
        </is>
      </c>
      <c r="F8445" t="inlineStr">
        <is>
          <t>SCA</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19497-2026</t>
        </is>
      </c>
      <c r="B8446" s="1" t="n">
        <v>46134</v>
      </c>
      <c r="C8446" s="1" t="n">
        <v>46185</v>
      </c>
      <c r="D8446" t="inlineStr">
        <is>
          <t>VÄSTERNORRLANDS LÄN</t>
        </is>
      </c>
      <c r="E8446" t="inlineStr">
        <is>
          <t>SUNDSVALL</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18816-2025</t>
        </is>
      </c>
      <c r="B8447" s="1" t="n">
        <v>45764.37059027778</v>
      </c>
      <c r="C8447" s="1" t="n">
        <v>46185</v>
      </c>
      <c r="D8447" t="inlineStr">
        <is>
          <t>VÄSTERNORRLANDS LÄN</t>
        </is>
      </c>
      <c r="E8447" t="inlineStr">
        <is>
          <t>SUNDSVALL</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19657-2026</t>
        </is>
      </c>
      <c r="B8448" s="1" t="n">
        <v>46134.60425925926</v>
      </c>
      <c r="C8448" s="1" t="n">
        <v>46185</v>
      </c>
      <c r="D8448" t="inlineStr">
        <is>
          <t>VÄSTERNORRLANDS LÄN</t>
        </is>
      </c>
      <c r="E8448" t="inlineStr">
        <is>
          <t>ÖRNSKÖLDSVIK</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19660-2026</t>
        </is>
      </c>
      <c r="B8449" s="1" t="n">
        <v>46134.60659722222</v>
      </c>
      <c r="C8449" s="1" t="n">
        <v>46185</v>
      </c>
      <c r="D8449" t="inlineStr">
        <is>
          <t>VÄSTERNORRLANDS LÄN</t>
        </is>
      </c>
      <c r="E8449" t="inlineStr">
        <is>
          <t>ÖRNSKÖLDSVIK</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24013-2026</t>
        </is>
      </c>
      <c r="B8450" s="1" t="n">
        <v>46167.65746527778</v>
      </c>
      <c r="C8450" s="1" t="n">
        <v>46185</v>
      </c>
      <c r="D8450" t="inlineStr">
        <is>
          <t>VÄSTERNORRLANDS LÄN</t>
        </is>
      </c>
      <c r="E8450" t="inlineStr">
        <is>
          <t>SUNDSVALL</t>
        </is>
      </c>
      <c r="F8450" t="inlineStr">
        <is>
          <t>SCA</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25174-2026</t>
        </is>
      </c>
      <c r="B8451" s="1" t="n">
        <v>46175.53189814815</v>
      </c>
      <c r="C8451" s="1" t="n">
        <v>46185</v>
      </c>
      <c r="D8451" t="inlineStr">
        <is>
          <t>VÄSTERNORRLANDS LÄN</t>
        </is>
      </c>
      <c r="E8451" t="inlineStr">
        <is>
          <t>SOLLEFTEÅ</t>
        </is>
      </c>
      <c r="F8451" t="inlineStr">
        <is>
          <t>SCA</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17874-2022</t>
        </is>
      </c>
      <c r="B8452" s="1" t="n">
        <v>44683</v>
      </c>
      <c r="C8452" s="1" t="n">
        <v>46185</v>
      </c>
      <c r="D8452" t="inlineStr">
        <is>
          <t>VÄSTERNORRLANDS LÄN</t>
        </is>
      </c>
      <c r="E8452" t="inlineStr">
        <is>
          <t>ÖRNSKÖLDSVIK</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35923-2022</t>
        </is>
      </c>
      <c r="B8453" s="1" t="n">
        <v>44802</v>
      </c>
      <c r="C8453" s="1" t="n">
        <v>46185</v>
      </c>
      <c r="D8453" t="inlineStr">
        <is>
          <t>VÄSTERNORRLANDS LÄN</t>
        </is>
      </c>
      <c r="E8453" t="inlineStr">
        <is>
          <t>SUNDSVALL</t>
        </is>
      </c>
      <c r="G8453" t="n">
        <v>8.1</v>
      </c>
      <c r="H8453" t="n">
        <v>0</v>
      </c>
      <c r="I8453" t="n">
        <v>0</v>
      </c>
      <c r="J8453" t="n">
        <v>0</v>
      </c>
      <c r="K8453" t="n">
        <v>0</v>
      </c>
      <c r="L8453" t="n">
        <v>0</v>
      </c>
      <c r="M8453" t="n">
        <v>0</v>
      </c>
      <c r="N8453" t="n">
        <v>0</v>
      </c>
      <c r="O8453" t="n">
        <v>0</v>
      </c>
      <c r="P8453" t="n">
        <v>0</v>
      </c>
      <c r="Q8453" t="n">
        <v>0</v>
      </c>
      <c r="R8453" s="2" t="inlineStr"/>
    </row>
    <row r="8454" ht="15" customHeight="1">
      <c r="A8454" t="inlineStr">
        <is>
          <t>A 42235-2023</t>
        </is>
      </c>
      <c r="B8454" s="1" t="n">
        <v>45180</v>
      </c>
      <c r="C8454" s="1" t="n">
        <v>46185</v>
      </c>
      <c r="D8454" t="inlineStr">
        <is>
          <t>VÄSTERNORRLANDS LÄN</t>
        </is>
      </c>
      <c r="E8454" t="inlineStr">
        <is>
          <t>ÖRNSKÖLDSVIK</t>
        </is>
      </c>
      <c r="F8454" t="inlineStr">
        <is>
          <t>Holmen skog AB</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19636-2026</t>
        </is>
      </c>
      <c r="B8455" s="1" t="n">
        <v>46134.57337962963</v>
      </c>
      <c r="C8455" s="1" t="n">
        <v>46185</v>
      </c>
      <c r="D8455" t="inlineStr">
        <is>
          <t>VÄSTERNORRLANDS LÄN</t>
        </is>
      </c>
      <c r="E8455" t="inlineStr">
        <is>
          <t>ÖRNSKÖLDSVIK</t>
        </is>
      </c>
      <c r="F8455" t="inlineStr">
        <is>
          <t>Holmen skog AB</t>
        </is>
      </c>
      <c r="G8455" t="n">
        <v>9.9</v>
      </c>
      <c r="H8455" t="n">
        <v>0</v>
      </c>
      <c r="I8455" t="n">
        <v>0</v>
      </c>
      <c r="J8455" t="n">
        <v>0</v>
      </c>
      <c r="K8455" t="n">
        <v>0</v>
      </c>
      <c r="L8455" t="n">
        <v>0</v>
      </c>
      <c r="M8455" t="n">
        <v>0</v>
      </c>
      <c r="N8455" t="n">
        <v>0</v>
      </c>
      <c r="O8455" t="n">
        <v>0</v>
      </c>
      <c r="P8455" t="n">
        <v>0</v>
      </c>
      <c r="Q8455" t="n">
        <v>0</v>
      </c>
      <c r="R8455" s="2" t="inlineStr"/>
    </row>
    <row r="8456" ht="15" customHeight="1">
      <c r="A8456" t="inlineStr">
        <is>
          <t>A 21619-2026</t>
        </is>
      </c>
      <c r="B8456" s="1" t="n">
        <v>46149</v>
      </c>
      <c r="C8456" s="1" t="n">
        <v>46185</v>
      </c>
      <c r="D8456" t="inlineStr">
        <is>
          <t>VÄSTERNORRLANDS LÄN</t>
        </is>
      </c>
      <c r="E8456" t="inlineStr">
        <is>
          <t>SOLLEFTEÅ</t>
        </is>
      </c>
      <c r="F8456" t="inlineStr">
        <is>
          <t>SCA</t>
        </is>
      </c>
      <c r="G8456" t="n">
        <v>0.2</v>
      </c>
      <c r="H8456" t="n">
        <v>0</v>
      </c>
      <c r="I8456" t="n">
        <v>0</v>
      </c>
      <c r="J8456" t="n">
        <v>0</v>
      </c>
      <c r="K8456" t="n">
        <v>0</v>
      </c>
      <c r="L8456" t="n">
        <v>0</v>
      </c>
      <c r="M8456" t="n">
        <v>0</v>
      </c>
      <c r="N8456" t="n">
        <v>0</v>
      </c>
      <c r="O8456" t="n">
        <v>0</v>
      </c>
      <c r="P8456" t="n">
        <v>0</v>
      </c>
      <c r="Q8456" t="n">
        <v>0</v>
      </c>
      <c r="R8456" s="2" t="inlineStr"/>
    </row>
    <row r="8457" ht="15" customHeight="1">
      <c r="A8457" t="inlineStr">
        <is>
          <t>A 25101-2026</t>
        </is>
      </c>
      <c r="B8457" s="1" t="n">
        <v>46175.34506944445</v>
      </c>
      <c r="C8457" s="1" t="n">
        <v>46185</v>
      </c>
      <c r="D8457" t="inlineStr">
        <is>
          <t>VÄSTERNORRLANDS LÄN</t>
        </is>
      </c>
      <c r="E8457" t="inlineStr">
        <is>
          <t>SOLLEFTEÅ</t>
        </is>
      </c>
      <c r="F8457" t="inlineStr">
        <is>
          <t>SCA</t>
        </is>
      </c>
      <c r="G8457" t="n">
        <v>4.7</v>
      </c>
      <c r="H8457" t="n">
        <v>0</v>
      </c>
      <c r="I8457" t="n">
        <v>0</v>
      </c>
      <c r="J8457" t="n">
        <v>0</v>
      </c>
      <c r="K8457" t="n">
        <v>0</v>
      </c>
      <c r="L8457" t="n">
        <v>0</v>
      </c>
      <c r="M8457" t="n">
        <v>0</v>
      </c>
      <c r="N8457" t="n">
        <v>0</v>
      </c>
      <c r="O8457" t="n">
        <v>0</v>
      </c>
      <c r="P8457" t="n">
        <v>0</v>
      </c>
      <c r="Q8457" t="n">
        <v>0</v>
      </c>
      <c r="R8457" s="2" t="inlineStr"/>
    </row>
    <row r="8458" ht="15" customHeight="1">
      <c r="A8458" t="inlineStr">
        <is>
          <t>A 25150-2026</t>
        </is>
      </c>
      <c r="B8458" s="1" t="n">
        <v>46175.43461805556</v>
      </c>
      <c r="C8458" s="1" t="n">
        <v>46185</v>
      </c>
      <c r="D8458" t="inlineStr">
        <is>
          <t>VÄSTERNORRLANDS LÄN</t>
        </is>
      </c>
      <c r="E8458" t="inlineStr">
        <is>
          <t>ÅNGE</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44506-2022</t>
        </is>
      </c>
      <c r="B8459" s="1" t="n">
        <v>44840</v>
      </c>
      <c r="C8459" s="1" t="n">
        <v>46185</v>
      </c>
      <c r="D8459" t="inlineStr">
        <is>
          <t>VÄSTERNORRLANDS LÄN</t>
        </is>
      </c>
      <c r="E8459" t="inlineStr">
        <is>
          <t>SUNDSVALL</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1116-2025</t>
        </is>
      </c>
      <c r="B8460" s="1" t="n">
        <v>45666</v>
      </c>
      <c r="C8460" s="1" t="n">
        <v>46185</v>
      </c>
      <c r="D8460" t="inlineStr">
        <is>
          <t>VÄSTERNORRLANDS LÄN</t>
        </is>
      </c>
      <c r="E8460" t="inlineStr">
        <is>
          <t>SUNDSVALL</t>
        </is>
      </c>
      <c r="F8460" t="inlineStr">
        <is>
          <t>SCA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56232-2023</t>
        </is>
      </c>
      <c r="B8461" s="1" t="n">
        <v>45240.92402777778</v>
      </c>
      <c r="C8461" s="1" t="n">
        <v>46185</v>
      </c>
      <c r="D8461" t="inlineStr">
        <is>
          <t>VÄSTERNORRLANDS LÄN</t>
        </is>
      </c>
      <c r="E8461" t="inlineStr">
        <is>
          <t>SUNDSVALL</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56233-2023</t>
        </is>
      </c>
      <c r="B8462" s="1" t="n">
        <v>45240.9240625</v>
      </c>
      <c r="C8462" s="1" t="n">
        <v>46185</v>
      </c>
      <c r="D8462" t="inlineStr">
        <is>
          <t>VÄSTERNORRLANDS LÄN</t>
        </is>
      </c>
      <c r="E8462" t="inlineStr">
        <is>
          <t>SUNDSVALL</t>
        </is>
      </c>
      <c r="G8462" t="n">
        <v>6.5</v>
      </c>
      <c r="H8462" t="n">
        <v>0</v>
      </c>
      <c r="I8462" t="n">
        <v>0</v>
      </c>
      <c r="J8462" t="n">
        <v>0</v>
      </c>
      <c r="K8462" t="n">
        <v>0</v>
      </c>
      <c r="L8462" t="n">
        <v>0</v>
      </c>
      <c r="M8462" t="n">
        <v>0</v>
      </c>
      <c r="N8462" t="n">
        <v>0</v>
      </c>
      <c r="O8462" t="n">
        <v>0</v>
      </c>
      <c r="P8462" t="n">
        <v>0</v>
      </c>
      <c r="Q8462" t="n">
        <v>0</v>
      </c>
      <c r="R8462" s="2" t="inlineStr"/>
    </row>
    <row r="8463" ht="15" customHeight="1">
      <c r="A8463" t="inlineStr">
        <is>
          <t>A 56250-2023</t>
        </is>
      </c>
      <c r="B8463" s="1" t="n">
        <v>45240</v>
      </c>
      <c r="C8463" s="1" t="n">
        <v>46185</v>
      </c>
      <c r="D8463" t="inlineStr">
        <is>
          <t>VÄSTERNORRLANDS LÄN</t>
        </is>
      </c>
      <c r="E8463" t="inlineStr">
        <is>
          <t>SUNDSVALL</t>
        </is>
      </c>
      <c r="F8463" t="inlineStr">
        <is>
          <t>SCA</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56261-2023</t>
        </is>
      </c>
      <c r="B8464" s="1" t="n">
        <v>45240</v>
      </c>
      <c r="C8464" s="1" t="n">
        <v>46185</v>
      </c>
      <c r="D8464" t="inlineStr">
        <is>
          <t>VÄSTERNORRLANDS LÄN</t>
        </is>
      </c>
      <c r="E8464" t="inlineStr">
        <is>
          <t>SOLLEFTEÅ</t>
        </is>
      </c>
      <c r="F8464" t="inlineStr">
        <is>
          <t>SCA</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25198-2026</t>
        </is>
      </c>
      <c r="B8465" s="1" t="n">
        <v>46175.59298611111</v>
      </c>
      <c r="C8465" s="1" t="n">
        <v>46185</v>
      </c>
      <c r="D8465" t="inlineStr">
        <is>
          <t>VÄSTERNORRLANDS LÄN</t>
        </is>
      </c>
      <c r="E8465" t="inlineStr">
        <is>
          <t>ÅNGE</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25245-2026</t>
        </is>
      </c>
      <c r="B8466" s="1" t="n">
        <v>46175.67815972222</v>
      </c>
      <c r="C8466" s="1" t="n">
        <v>46185</v>
      </c>
      <c r="D8466" t="inlineStr">
        <is>
          <t>VÄSTERNORRLANDS LÄN</t>
        </is>
      </c>
      <c r="E8466" t="inlineStr">
        <is>
          <t>SOLLEFTEÅ</t>
        </is>
      </c>
      <c r="F8466" t="inlineStr">
        <is>
          <t>SCA</t>
        </is>
      </c>
      <c r="G8466" t="n">
        <v>21.7</v>
      </c>
      <c r="H8466" t="n">
        <v>0</v>
      </c>
      <c r="I8466" t="n">
        <v>0</v>
      </c>
      <c r="J8466" t="n">
        <v>0</v>
      </c>
      <c r="K8466" t="n">
        <v>0</v>
      </c>
      <c r="L8466" t="n">
        <v>0</v>
      </c>
      <c r="M8466" t="n">
        <v>0</v>
      </c>
      <c r="N8466" t="n">
        <v>0</v>
      </c>
      <c r="O8466" t="n">
        <v>0</v>
      </c>
      <c r="P8466" t="n">
        <v>0</v>
      </c>
      <c r="Q8466" t="n">
        <v>0</v>
      </c>
      <c r="R8466" s="2" t="inlineStr"/>
    </row>
    <row r="8467" ht="15" customHeight="1">
      <c r="A8467" t="inlineStr">
        <is>
          <t>A 25316-2026</t>
        </is>
      </c>
      <c r="B8467" s="1" t="n">
        <v>46176.49024305555</v>
      </c>
      <c r="C8467" s="1" t="n">
        <v>46185</v>
      </c>
      <c r="D8467" t="inlineStr">
        <is>
          <t>VÄSTERNORRLANDS LÄN</t>
        </is>
      </c>
      <c r="E8467" t="inlineStr">
        <is>
          <t>ÅNGE</t>
        </is>
      </c>
      <c r="F8467" t="inlineStr">
        <is>
          <t>SCA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24980-2026</t>
        </is>
      </c>
      <c r="B8468" s="1" t="n">
        <v>46174.59471064815</v>
      </c>
      <c r="C8468" s="1" t="n">
        <v>46185</v>
      </c>
      <c r="D8468" t="inlineStr">
        <is>
          <t>VÄSTERNORRLANDS LÄN</t>
        </is>
      </c>
      <c r="E8468" t="inlineStr">
        <is>
          <t>SOLLEFTEÅ</t>
        </is>
      </c>
      <c r="F8468" t="inlineStr">
        <is>
          <t>SCA</t>
        </is>
      </c>
      <c r="G8468" t="n">
        <v>21.9</v>
      </c>
      <c r="H8468" t="n">
        <v>0</v>
      </c>
      <c r="I8468" t="n">
        <v>0</v>
      </c>
      <c r="J8468" t="n">
        <v>0</v>
      </c>
      <c r="K8468" t="n">
        <v>0</v>
      </c>
      <c r="L8468" t="n">
        <v>0</v>
      </c>
      <c r="M8468" t="n">
        <v>0</v>
      </c>
      <c r="N8468" t="n">
        <v>0</v>
      </c>
      <c r="O8468" t="n">
        <v>0</v>
      </c>
      <c r="P8468" t="n">
        <v>0</v>
      </c>
      <c r="Q8468" t="n">
        <v>0</v>
      </c>
      <c r="R8468" s="2" t="inlineStr"/>
    </row>
    <row r="8469" ht="15" customHeight="1">
      <c r="A8469" t="inlineStr">
        <is>
          <t>A 418-2026</t>
        </is>
      </c>
      <c r="B8469" s="1" t="n">
        <v>46028</v>
      </c>
      <c r="C8469" s="1" t="n">
        <v>46185</v>
      </c>
      <c r="D8469" t="inlineStr">
        <is>
          <t>VÄSTERNORRLANDS LÄN</t>
        </is>
      </c>
      <c r="E8469" t="inlineStr">
        <is>
          <t>SUNDSVALL</t>
        </is>
      </c>
      <c r="G8469" t="n">
        <v>0.7</v>
      </c>
      <c r="H8469" t="n">
        <v>0</v>
      </c>
      <c r="I8469" t="n">
        <v>0</v>
      </c>
      <c r="J8469" t="n">
        <v>0</v>
      </c>
      <c r="K8469" t="n">
        <v>0</v>
      </c>
      <c r="L8469" t="n">
        <v>0</v>
      </c>
      <c r="M8469" t="n">
        <v>0</v>
      </c>
      <c r="N8469" t="n">
        <v>0</v>
      </c>
      <c r="O8469" t="n">
        <v>0</v>
      </c>
      <c r="P8469" t="n">
        <v>0</v>
      </c>
      <c r="Q8469" t="n">
        <v>0</v>
      </c>
      <c r="R8469" s="2" t="inlineStr"/>
      <c r="T8469">
        <f>HYPERLINK("https://klasma.github.io/Logging_2281/kartor/A 418-2026 karta.png", "A 418-2026")</f>
        <v/>
      </c>
      <c r="U8469">
        <f>HYPERLINK("https://klasma.github.io/Logging_2281/knärot/A 418-2026 karta knärot.png", "A 418-2026")</f>
        <v/>
      </c>
      <c r="V8469">
        <f>HYPERLINK("https://klasma.github.io/Logging_2281/klagomål/A 418-2026 FSC-klagomål.docx", "A 418-2026")</f>
        <v/>
      </c>
      <c r="W8469">
        <f>HYPERLINK("https://klasma.github.io/Logging_2281/klagomålsmail/A 418-2026 FSC-klagomål mail.docx", "A 418-2026")</f>
        <v/>
      </c>
      <c r="X8469">
        <f>HYPERLINK("https://klasma.github.io/Logging_2281/tillsyn/A 418-2026 tillsynsbegäran.docx", "A 418-2026")</f>
        <v/>
      </c>
      <c r="Y8469">
        <f>HYPERLINK("https://klasma.github.io/Logging_2281/tillsynsmail/A 418-2026 tillsynsbegäran mail.docx", "A 418-2026")</f>
        <v/>
      </c>
      <c r="Z8469">
        <f>HYPERLINK("https://klasma.github.io/Logging_2281/fåglar/A 418-2026 prioriterade fågelarter.docx", "A 418-2026")</f>
        <v/>
      </c>
    </row>
    <row r="8470" ht="15" customHeight="1">
      <c r="A8470" t="inlineStr">
        <is>
          <t>A 54188-2023</t>
        </is>
      </c>
      <c r="B8470" s="1" t="n">
        <v>45232.52178240741</v>
      </c>
      <c r="C8470" s="1" t="n">
        <v>46185</v>
      </c>
      <c r="D8470" t="inlineStr">
        <is>
          <t>VÄSTERNORRLANDS LÄN</t>
        </is>
      </c>
      <c r="E8470" t="inlineStr">
        <is>
          <t>KRAMFORS</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34847-2023</t>
        </is>
      </c>
      <c r="B8471" s="1" t="n">
        <v>45141.95984953704</v>
      </c>
      <c r="C8471" s="1" t="n">
        <v>46185</v>
      </c>
      <c r="D8471" t="inlineStr">
        <is>
          <t>VÄSTERNORRLANDS LÄN</t>
        </is>
      </c>
      <c r="E8471" t="inlineStr">
        <is>
          <t>ÖRNSKÖLDSVIK</t>
        </is>
      </c>
      <c r="F8471" t="inlineStr">
        <is>
          <t>SCA</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20061-2022</t>
        </is>
      </c>
      <c r="B8472" s="1" t="n">
        <v>44697.94140046297</v>
      </c>
      <c r="C8472" s="1" t="n">
        <v>46185</v>
      </c>
      <c r="D8472" t="inlineStr">
        <is>
          <t>VÄSTERNORRLANDS LÄN</t>
        </is>
      </c>
      <c r="E8472" t="inlineStr">
        <is>
          <t>SOLLEFTEÅ</t>
        </is>
      </c>
      <c r="F8472" t="inlineStr">
        <is>
          <t>SCA</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35379-2023</t>
        </is>
      </c>
      <c r="B8473" s="1" t="n">
        <v>45145</v>
      </c>
      <c r="C8473" s="1" t="n">
        <v>46185</v>
      </c>
      <c r="D8473" t="inlineStr">
        <is>
          <t>VÄSTERNORRLANDS LÄN</t>
        </is>
      </c>
      <c r="E8473" t="inlineStr">
        <is>
          <t>ÖRNSKÖLDSVIK</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10510-2024</t>
        </is>
      </c>
      <c r="B8474" s="1" t="n">
        <v>45366</v>
      </c>
      <c r="C8474" s="1" t="n">
        <v>46185</v>
      </c>
      <c r="D8474" t="inlineStr">
        <is>
          <t>VÄSTERNORRLANDS LÄN</t>
        </is>
      </c>
      <c r="E8474" t="inlineStr">
        <is>
          <t>KRAMFORS</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10557-2024</t>
        </is>
      </c>
      <c r="B8475" s="1" t="n">
        <v>45366</v>
      </c>
      <c r="C8475" s="1" t="n">
        <v>46185</v>
      </c>
      <c r="D8475" t="inlineStr">
        <is>
          <t>VÄSTERNORRLANDS LÄN</t>
        </is>
      </c>
      <c r="E8475" t="inlineStr">
        <is>
          <t>SUNDSVALL</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20540-2022</t>
        </is>
      </c>
      <c r="B8476" s="1" t="n">
        <v>44700</v>
      </c>
      <c r="C8476" s="1" t="n">
        <v>46185</v>
      </c>
      <c r="D8476" t="inlineStr">
        <is>
          <t>VÄSTERNORRLANDS LÄN</t>
        </is>
      </c>
      <c r="E8476" t="inlineStr">
        <is>
          <t>ÖRNSKÖLDSVIK</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20551-2022</t>
        </is>
      </c>
      <c r="B8477" s="1" t="n">
        <v>44699</v>
      </c>
      <c r="C8477" s="1" t="n">
        <v>46185</v>
      </c>
      <c r="D8477" t="inlineStr">
        <is>
          <t>VÄSTERNORRLANDS LÄN</t>
        </is>
      </c>
      <c r="E8477" t="inlineStr">
        <is>
          <t>SOLLEFTEÅ</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35555-2023</t>
        </is>
      </c>
      <c r="B8478" s="1" t="n">
        <v>45146</v>
      </c>
      <c r="C8478" s="1" t="n">
        <v>46185</v>
      </c>
      <c r="D8478" t="inlineStr">
        <is>
          <t>VÄSTERNORRLANDS LÄN</t>
        </is>
      </c>
      <c r="E8478" t="inlineStr">
        <is>
          <t>ÖRNSKÖLDSVIK</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35556-2023</t>
        </is>
      </c>
      <c r="B8479" s="1" t="n">
        <v>45147</v>
      </c>
      <c r="C8479" s="1" t="n">
        <v>46185</v>
      </c>
      <c r="D8479" t="inlineStr">
        <is>
          <t>VÄSTERNORRLANDS LÄN</t>
        </is>
      </c>
      <c r="E8479" t="inlineStr">
        <is>
          <t>SOLLEFTEÅ</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30822-2023</t>
        </is>
      </c>
      <c r="B8480" s="1" t="n">
        <v>45112.94289351852</v>
      </c>
      <c r="C8480" s="1" t="n">
        <v>46185</v>
      </c>
      <c r="D8480" t="inlineStr">
        <is>
          <t>VÄSTERNORRLANDS LÄN</t>
        </is>
      </c>
      <c r="E8480" t="inlineStr">
        <is>
          <t>SOLLEFTEÅ</t>
        </is>
      </c>
      <c r="F8480" t="inlineStr">
        <is>
          <t>SCA</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33040-2023</t>
        </is>
      </c>
      <c r="B8481" s="1" t="n">
        <v>45125.95086805556</v>
      </c>
      <c r="C8481" s="1" t="n">
        <v>46185</v>
      </c>
      <c r="D8481" t="inlineStr">
        <is>
          <t>VÄSTERNORRLANDS LÄN</t>
        </is>
      </c>
      <c r="E8481" t="inlineStr">
        <is>
          <t>SUNDSVALL</t>
        </is>
      </c>
      <c r="F8481" t="inlineStr">
        <is>
          <t>SCA</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19308-2026</t>
        </is>
      </c>
      <c r="B8482" s="1" t="n">
        <v>46133.36505787037</v>
      </c>
      <c r="C8482" s="1" t="n">
        <v>46185</v>
      </c>
      <c r="D8482" t="inlineStr">
        <is>
          <t>VÄSTERNORRLANDS LÄN</t>
        </is>
      </c>
      <c r="E8482" t="inlineStr">
        <is>
          <t>SOLLEFTEÅ</t>
        </is>
      </c>
      <c r="F8482" t="inlineStr">
        <is>
          <t>SCA</t>
        </is>
      </c>
      <c r="G8482" t="n">
        <v>8.1</v>
      </c>
      <c r="H8482" t="n">
        <v>0</v>
      </c>
      <c r="I8482" t="n">
        <v>0</v>
      </c>
      <c r="J8482" t="n">
        <v>0</v>
      </c>
      <c r="K8482" t="n">
        <v>0</v>
      </c>
      <c r="L8482" t="n">
        <v>0</v>
      </c>
      <c r="M8482" t="n">
        <v>0</v>
      </c>
      <c r="N8482" t="n">
        <v>0</v>
      </c>
      <c r="O8482" t="n">
        <v>0</v>
      </c>
      <c r="P8482" t="n">
        <v>0</v>
      </c>
      <c r="Q8482" t="n">
        <v>0</v>
      </c>
      <c r="R8482" s="2" t="inlineStr"/>
    </row>
    <row r="8483" ht="15" customHeight="1">
      <c r="A8483" t="inlineStr">
        <is>
          <t>A 25371-2026</t>
        </is>
      </c>
      <c r="B8483" s="1" t="n">
        <v>46176.63304398148</v>
      </c>
      <c r="C8483" s="1" t="n">
        <v>46185</v>
      </c>
      <c r="D8483" t="inlineStr">
        <is>
          <t>VÄSTERNORRLANDS LÄN</t>
        </is>
      </c>
      <c r="E8483" t="inlineStr">
        <is>
          <t>ÖRNSKÖLDSVIK</t>
        </is>
      </c>
      <c r="G8483" t="n">
        <v>8.5</v>
      </c>
      <c r="H8483" t="n">
        <v>0</v>
      </c>
      <c r="I8483" t="n">
        <v>0</v>
      </c>
      <c r="J8483" t="n">
        <v>0</v>
      </c>
      <c r="K8483" t="n">
        <v>0</v>
      </c>
      <c r="L8483" t="n">
        <v>0</v>
      </c>
      <c r="M8483" t="n">
        <v>0</v>
      </c>
      <c r="N8483" t="n">
        <v>0</v>
      </c>
      <c r="O8483" t="n">
        <v>0</v>
      </c>
      <c r="P8483" t="n">
        <v>0</v>
      </c>
      <c r="Q8483" t="n">
        <v>0</v>
      </c>
      <c r="R8483" s="2" t="inlineStr"/>
    </row>
    <row r="8484" ht="15" customHeight="1">
      <c r="A8484" t="inlineStr">
        <is>
          <t>A 25380-2026</t>
        </is>
      </c>
      <c r="B8484" s="1" t="n">
        <v>46176.66355324074</v>
      </c>
      <c r="C8484" s="1" t="n">
        <v>46185</v>
      </c>
      <c r="D8484" t="inlineStr">
        <is>
          <t>VÄSTERNORRLANDS LÄN</t>
        </is>
      </c>
      <c r="E8484" t="inlineStr">
        <is>
          <t>KRAMFORS</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30835-2023</t>
        </is>
      </c>
      <c r="B8485" s="1" t="n">
        <v>45112.94381944444</v>
      </c>
      <c r="C8485" s="1" t="n">
        <v>46185</v>
      </c>
      <c r="D8485" t="inlineStr">
        <is>
          <t>VÄSTERNORRLANDS LÄN</t>
        </is>
      </c>
      <c r="E8485" t="inlineStr">
        <is>
          <t>TIMRÅ</t>
        </is>
      </c>
      <c r="F8485" t="inlineStr">
        <is>
          <t>SCA</t>
        </is>
      </c>
      <c r="G8485" t="n">
        <v>4.6</v>
      </c>
      <c r="H8485" t="n">
        <v>0</v>
      </c>
      <c r="I8485" t="n">
        <v>0</v>
      </c>
      <c r="J8485" t="n">
        <v>0</v>
      </c>
      <c r="K8485" t="n">
        <v>0</v>
      </c>
      <c r="L8485" t="n">
        <v>0</v>
      </c>
      <c r="M8485" t="n">
        <v>0</v>
      </c>
      <c r="N8485" t="n">
        <v>0</v>
      </c>
      <c r="O8485" t="n">
        <v>0</v>
      </c>
      <c r="P8485" t="n">
        <v>0</v>
      </c>
      <c r="Q8485" t="n">
        <v>0</v>
      </c>
      <c r="R8485" s="2" t="inlineStr"/>
    </row>
    <row r="8486" ht="15" customHeight="1">
      <c r="A8486" t="inlineStr">
        <is>
          <t>A 25148-2026</t>
        </is>
      </c>
      <c r="B8486" s="1" t="n">
        <v>46175.43273148148</v>
      </c>
      <c r="C8486" s="1" t="n">
        <v>46185</v>
      </c>
      <c r="D8486" t="inlineStr">
        <is>
          <t>VÄSTERNORRLANDS LÄN</t>
        </is>
      </c>
      <c r="E8486" t="inlineStr">
        <is>
          <t>ÖRNSKÖLDSVIK</t>
        </is>
      </c>
      <c r="F8486" t="inlineStr">
        <is>
          <t>Holmen skog AB</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19427-2026</t>
        </is>
      </c>
      <c r="B8487" s="1" t="n">
        <v>46133.61581018518</v>
      </c>
      <c r="C8487" s="1" t="n">
        <v>46185</v>
      </c>
      <c r="D8487" t="inlineStr">
        <is>
          <t>VÄSTERNORRLANDS LÄN</t>
        </is>
      </c>
      <c r="E8487" t="inlineStr">
        <is>
          <t>SUNDSVALL</t>
        </is>
      </c>
      <c r="F8487" t="inlineStr">
        <is>
          <t>SCA</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19429-2026</t>
        </is>
      </c>
      <c r="B8488" s="1" t="n">
        <v>46133.61697916667</v>
      </c>
      <c r="C8488" s="1" t="n">
        <v>46185</v>
      </c>
      <c r="D8488" t="inlineStr">
        <is>
          <t>VÄSTERNORRLANDS LÄN</t>
        </is>
      </c>
      <c r="E8488" t="inlineStr">
        <is>
          <t>SOLLEFTEÅ</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19437-2026</t>
        </is>
      </c>
      <c r="B8489" s="1" t="n">
        <v>46133.6365162037</v>
      </c>
      <c r="C8489" s="1" t="n">
        <v>46185</v>
      </c>
      <c r="D8489" t="inlineStr">
        <is>
          <t>VÄSTERNORRLANDS LÄN</t>
        </is>
      </c>
      <c r="E8489" t="inlineStr">
        <is>
          <t>ÅNGE</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25178-2026</t>
        </is>
      </c>
      <c r="B8490" s="1" t="n">
        <v>46175.5525</v>
      </c>
      <c r="C8490" s="1" t="n">
        <v>46185</v>
      </c>
      <c r="D8490" t="inlineStr">
        <is>
          <t>VÄSTERNORRLANDS LÄN</t>
        </is>
      </c>
      <c r="E8490" t="inlineStr">
        <is>
          <t>SUNDSVALL</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19655-2026</t>
        </is>
      </c>
      <c r="B8491" s="1" t="n">
        <v>46134.60186342592</v>
      </c>
      <c r="C8491" s="1" t="n">
        <v>46185</v>
      </c>
      <c r="D8491" t="inlineStr">
        <is>
          <t>VÄSTERNORRLANDS LÄN</t>
        </is>
      </c>
      <c r="E8491" t="inlineStr">
        <is>
          <t>ÖRNSKÖLDSVIK</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25083-2026</t>
        </is>
      </c>
      <c r="B8492" s="1" t="n">
        <v>46175.00842592592</v>
      </c>
      <c r="C8492" s="1" t="n">
        <v>46185</v>
      </c>
      <c r="D8492" t="inlineStr">
        <is>
          <t>VÄSTERNORRLANDS LÄN</t>
        </is>
      </c>
      <c r="E8492" t="inlineStr">
        <is>
          <t>ÖRNSKÖLDSVIK</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25085-2026</t>
        </is>
      </c>
      <c r="B8493" s="1" t="n">
        <v>46175.00912037037</v>
      </c>
      <c r="C8493" s="1" t="n">
        <v>46185</v>
      </c>
      <c r="D8493" t="inlineStr">
        <is>
          <t>VÄSTERNORRLANDS LÄN</t>
        </is>
      </c>
      <c r="E8493" t="inlineStr">
        <is>
          <t>ÖRNSKÖLDSVIK</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1624-2022</t>
        </is>
      </c>
      <c r="B8494" s="1" t="n">
        <v>44573</v>
      </c>
      <c r="C8494" s="1" t="n">
        <v>46185</v>
      </c>
      <c r="D8494" t="inlineStr">
        <is>
          <t>VÄSTERNORRLANDS LÄN</t>
        </is>
      </c>
      <c r="E8494" t="inlineStr">
        <is>
          <t>KRAMFORS</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24298-2023</t>
        </is>
      </c>
      <c r="B8495" s="1" t="n">
        <v>45079</v>
      </c>
      <c r="C8495" s="1" t="n">
        <v>46185</v>
      </c>
      <c r="D8495" t="inlineStr">
        <is>
          <t>VÄSTERNORRLANDS LÄN</t>
        </is>
      </c>
      <c r="E8495" t="inlineStr">
        <is>
          <t>SUNDSVALL</t>
        </is>
      </c>
      <c r="F8495" t="inlineStr">
        <is>
          <t>SCA</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33901-2023</t>
        </is>
      </c>
      <c r="B8496" s="1" t="n">
        <v>45122</v>
      </c>
      <c r="C8496" s="1" t="n">
        <v>46185</v>
      </c>
      <c r="D8496" t="inlineStr">
        <is>
          <t>VÄSTERNORRLANDS LÄN</t>
        </is>
      </c>
      <c r="E8496" t="inlineStr">
        <is>
          <t>ÖRNSKÖLDSVIK</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10984-2022</t>
        </is>
      </c>
      <c r="B8497" s="1" t="n">
        <v>44628</v>
      </c>
      <c r="C8497" s="1" t="n">
        <v>46185</v>
      </c>
      <c r="D8497" t="inlineStr">
        <is>
          <t>VÄSTERNORRLANDS LÄN</t>
        </is>
      </c>
      <c r="E8497" t="inlineStr">
        <is>
          <t>SUNDSVALL</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10988-2022</t>
        </is>
      </c>
      <c r="B8498" s="1" t="n">
        <v>44628</v>
      </c>
      <c r="C8498" s="1" t="n">
        <v>46185</v>
      </c>
      <c r="D8498" t="inlineStr">
        <is>
          <t>VÄSTERNORRLANDS LÄN</t>
        </is>
      </c>
      <c r="E8498" t="inlineStr">
        <is>
          <t>SUNDSVALL</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56569-2024</t>
        </is>
      </c>
      <c r="B8499" s="1" t="n">
        <v>45625</v>
      </c>
      <c r="C8499" s="1" t="n">
        <v>46185</v>
      </c>
      <c r="D8499" t="inlineStr">
        <is>
          <t>VÄSTERNORRLANDS LÄN</t>
        </is>
      </c>
      <c r="E8499" t="inlineStr">
        <is>
          <t>ÅNGE</t>
        </is>
      </c>
      <c r="G8499" t="n">
        <v>4.8</v>
      </c>
      <c r="H8499" t="n">
        <v>0</v>
      </c>
      <c r="I8499" t="n">
        <v>0</v>
      </c>
      <c r="J8499" t="n">
        <v>0</v>
      </c>
      <c r="K8499" t="n">
        <v>0</v>
      </c>
      <c r="L8499" t="n">
        <v>0</v>
      </c>
      <c r="M8499" t="n">
        <v>0</v>
      </c>
      <c r="N8499" t="n">
        <v>0</v>
      </c>
      <c r="O8499" t="n">
        <v>0</v>
      </c>
      <c r="P8499" t="n">
        <v>0</v>
      </c>
      <c r="Q8499" t="n">
        <v>0</v>
      </c>
      <c r="R8499" s="2" t="inlineStr"/>
    </row>
    <row r="8500" ht="15" customHeight="1">
      <c r="A8500" t="inlineStr">
        <is>
          <t>A 19332-2026</t>
        </is>
      </c>
      <c r="B8500" s="1" t="n">
        <v>46133.4305787037</v>
      </c>
      <c r="C8500" s="1" t="n">
        <v>46185</v>
      </c>
      <c r="D8500" t="inlineStr">
        <is>
          <t>VÄSTERNORRLANDS LÄN</t>
        </is>
      </c>
      <c r="E8500" t="inlineStr">
        <is>
          <t>SOLLEFTEÅ</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19360-2026</t>
        </is>
      </c>
      <c r="B8501" s="1" t="n">
        <v>46133.51094907407</v>
      </c>
      <c r="C8501" s="1" t="n">
        <v>46185</v>
      </c>
      <c r="D8501" t="inlineStr">
        <is>
          <t>VÄSTERNORRLANDS LÄN</t>
        </is>
      </c>
      <c r="E8501" t="inlineStr">
        <is>
          <t>ÅNGE</t>
        </is>
      </c>
      <c r="F8501" t="inlineStr">
        <is>
          <t>SCA</t>
        </is>
      </c>
      <c r="G8501" t="n">
        <v>4</v>
      </c>
      <c r="H8501" t="n">
        <v>0</v>
      </c>
      <c r="I8501" t="n">
        <v>0</v>
      </c>
      <c r="J8501" t="n">
        <v>0</v>
      </c>
      <c r="K8501" t="n">
        <v>0</v>
      </c>
      <c r="L8501" t="n">
        <v>0</v>
      </c>
      <c r="M8501" t="n">
        <v>0</v>
      </c>
      <c r="N8501" t="n">
        <v>0</v>
      </c>
      <c r="O8501" t="n">
        <v>0</v>
      </c>
      <c r="P8501" t="n">
        <v>0</v>
      </c>
      <c r="Q8501" t="n">
        <v>0</v>
      </c>
      <c r="R8501" s="2" t="inlineStr"/>
    </row>
    <row r="8502" ht="15" customHeight="1">
      <c r="A8502" t="inlineStr">
        <is>
          <t>A 4722-2025</t>
        </is>
      </c>
      <c r="B8502" s="1" t="n">
        <v>45688.41627314815</v>
      </c>
      <c r="C8502" s="1" t="n">
        <v>46185</v>
      </c>
      <c r="D8502" t="inlineStr">
        <is>
          <t>VÄSTERNORRLANDS LÄN</t>
        </is>
      </c>
      <c r="E8502" t="inlineStr">
        <is>
          <t>SOLLEFTEÅ</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4726-2025</t>
        </is>
      </c>
      <c r="B8503" s="1" t="n">
        <v>45688</v>
      </c>
      <c r="C8503" s="1" t="n">
        <v>46185</v>
      </c>
      <c r="D8503" t="inlineStr">
        <is>
          <t>VÄSTERNORRLANDS LÄN</t>
        </is>
      </c>
      <c r="E8503" t="inlineStr">
        <is>
          <t>SOLLEFTEÅ</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24784-2026</t>
        </is>
      </c>
      <c r="B8504" s="1" t="n">
        <v>46170</v>
      </c>
      <c r="C8504" s="1" t="n">
        <v>46185</v>
      </c>
      <c r="D8504" t="inlineStr">
        <is>
          <t>VÄSTERNORRLANDS LÄN</t>
        </is>
      </c>
      <c r="E8504" t="inlineStr">
        <is>
          <t>SUNDSVALL</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57492-2024</t>
        </is>
      </c>
      <c r="B8505" s="1" t="n">
        <v>45630.36827546296</v>
      </c>
      <c r="C8505" s="1" t="n">
        <v>46185</v>
      </c>
      <c r="D8505" t="inlineStr">
        <is>
          <t>VÄSTERNORRLANDS LÄN</t>
        </is>
      </c>
      <c r="E8505" t="inlineStr">
        <is>
          <t>SOLLEFTEÅ</t>
        </is>
      </c>
      <c r="F8505" t="inlineStr">
        <is>
          <t>Holmen skog AB</t>
        </is>
      </c>
      <c r="G8505" t="n">
        <v>0.2</v>
      </c>
      <c r="H8505" t="n">
        <v>0</v>
      </c>
      <c r="I8505" t="n">
        <v>0</v>
      </c>
      <c r="J8505" t="n">
        <v>0</v>
      </c>
      <c r="K8505" t="n">
        <v>0</v>
      </c>
      <c r="L8505" t="n">
        <v>0</v>
      </c>
      <c r="M8505" t="n">
        <v>0</v>
      </c>
      <c r="N8505" t="n">
        <v>0</v>
      </c>
      <c r="O8505" t="n">
        <v>0</v>
      </c>
      <c r="P8505" t="n">
        <v>0</v>
      </c>
      <c r="Q8505" t="n">
        <v>0</v>
      </c>
      <c r="R8505" s="2" t="inlineStr"/>
    </row>
    <row r="8506" ht="15" customHeight="1">
      <c r="A8506" t="inlineStr">
        <is>
          <t>A 57529-2024</t>
        </is>
      </c>
      <c r="B8506" s="1" t="n">
        <v>45630</v>
      </c>
      <c r="C8506" s="1" t="n">
        <v>46185</v>
      </c>
      <c r="D8506" t="inlineStr">
        <is>
          <t>VÄSTERNORRLANDS LÄN</t>
        </is>
      </c>
      <c r="E8506" t="inlineStr">
        <is>
          <t>ÅNGE</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19602-2026</t>
        </is>
      </c>
      <c r="B8507" s="1" t="n">
        <v>46134.48378472222</v>
      </c>
      <c r="C8507" s="1" t="n">
        <v>46185</v>
      </c>
      <c r="D8507" t="inlineStr">
        <is>
          <t>VÄSTERNORRLANDS LÄN</t>
        </is>
      </c>
      <c r="E8507" t="inlineStr">
        <is>
          <t>KRAMFORS</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58226-2024</t>
        </is>
      </c>
      <c r="B8508" s="1" t="n">
        <v>45632.51076388889</v>
      </c>
      <c r="C8508" s="1" t="n">
        <v>46185</v>
      </c>
      <c r="D8508" t="inlineStr">
        <is>
          <t>VÄSTERNORRLANDS LÄN</t>
        </is>
      </c>
      <c r="E8508" t="inlineStr">
        <is>
          <t>SOLLEFTEÅ</t>
        </is>
      </c>
      <c r="F8508" t="inlineStr">
        <is>
          <t>SCA</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19658-2026</t>
        </is>
      </c>
      <c r="B8509" s="1" t="n">
        <v>46134.6054050926</v>
      </c>
      <c r="C8509" s="1" t="n">
        <v>46185</v>
      </c>
      <c r="D8509" t="inlineStr">
        <is>
          <t>VÄSTERNORRLANDS LÄN</t>
        </is>
      </c>
      <c r="E8509" t="inlineStr">
        <is>
          <t>ÖRNSKÖLDSVIK</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19651-2026</t>
        </is>
      </c>
      <c r="B8510" s="1" t="n">
        <v>46134.59922453704</v>
      </c>
      <c r="C8510" s="1" t="n">
        <v>46185</v>
      </c>
      <c r="D8510" t="inlineStr">
        <is>
          <t>VÄSTERNORRLANDS LÄN</t>
        </is>
      </c>
      <c r="E8510" t="inlineStr">
        <is>
          <t>ÖRNSKÖLDSVIK</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19691-2026</t>
        </is>
      </c>
      <c r="B8511" s="1" t="n">
        <v>46134.67791666667</v>
      </c>
      <c r="C8511" s="1" t="n">
        <v>46185</v>
      </c>
      <c r="D8511" t="inlineStr">
        <is>
          <t>VÄSTERNORRLANDS LÄN</t>
        </is>
      </c>
      <c r="E8511" t="inlineStr">
        <is>
          <t>ÅNGE</t>
        </is>
      </c>
      <c r="F8511" t="inlineStr">
        <is>
          <t>SCA</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31481-2024</t>
        </is>
      </c>
      <c r="B8512" s="1" t="n">
        <v>45505</v>
      </c>
      <c r="C8512" s="1" t="n">
        <v>46185</v>
      </c>
      <c r="D8512" t="inlineStr">
        <is>
          <t>VÄSTERNORRLANDS LÄN</t>
        </is>
      </c>
      <c r="E8512" t="inlineStr">
        <is>
          <t>SOLLEFTEÅ</t>
        </is>
      </c>
      <c r="F8512" t="inlineStr">
        <is>
          <t>SCA</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21443-2024</t>
        </is>
      </c>
      <c r="B8513" s="1" t="n">
        <v>45441</v>
      </c>
      <c r="C8513" s="1" t="n">
        <v>46185</v>
      </c>
      <c r="D8513" t="inlineStr">
        <is>
          <t>VÄSTERNORRLANDS LÄN</t>
        </is>
      </c>
      <c r="E8513" t="inlineStr">
        <is>
          <t>TIMRÅ</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19338-2024</t>
        </is>
      </c>
      <c r="B8514" s="1" t="n">
        <v>45428</v>
      </c>
      <c r="C8514" s="1" t="n">
        <v>46185</v>
      </c>
      <c r="D8514" t="inlineStr">
        <is>
          <t>VÄSTERNORRLANDS LÄN</t>
        </is>
      </c>
      <c r="E8514" t="inlineStr">
        <is>
          <t>SUNDSVALL</t>
        </is>
      </c>
      <c r="F8514" t="inlineStr">
        <is>
          <t>SCA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19629-2026</t>
        </is>
      </c>
      <c r="B8515" s="1" t="n">
        <v>46134.55251157407</v>
      </c>
      <c r="C8515" s="1" t="n">
        <v>46185</v>
      </c>
      <c r="D8515" t="inlineStr">
        <is>
          <t>VÄSTERNORRLANDS LÄN</t>
        </is>
      </c>
      <c r="E8515" t="inlineStr">
        <is>
          <t>SUNDSVALL</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25369-2026</t>
        </is>
      </c>
      <c r="B8516" s="1" t="n">
        <v>46176.63204861111</v>
      </c>
      <c r="C8516" s="1" t="n">
        <v>46185</v>
      </c>
      <c r="D8516" t="inlineStr">
        <is>
          <t>VÄSTERNORRLANDS LÄN</t>
        </is>
      </c>
      <c r="E8516" t="inlineStr">
        <is>
          <t>KRAMFORS</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25385-2026</t>
        </is>
      </c>
      <c r="B8517" s="1" t="n">
        <v>46176.6778587963</v>
      </c>
      <c r="C8517" s="1" t="n">
        <v>46185</v>
      </c>
      <c r="D8517" t="inlineStr">
        <is>
          <t>VÄSTERNORRLANDS LÄN</t>
        </is>
      </c>
      <c r="E8517" t="inlineStr">
        <is>
          <t>SOLLEFTEÅ</t>
        </is>
      </c>
      <c r="F8517" t="inlineStr">
        <is>
          <t>SCA</t>
        </is>
      </c>
      <c r="G8517" t="n">
        <v>6.3</v>
      </c>
      <c r="H8517" t="n">
        <v>0</v>
      </c>
      <c r="I8517" t="n">
        <v>0</v>
      </c>
      <c r="J8517" t="n">
        <v>0</v>
      </c>
      <c r="K8517" t="n">
        <v>0</v>
      </c>
      <c r="L8517" t="n">
        <v>0</v>
      </c>
      <c r="M8517" t="n">
        <v>0</v>
      </c>
      <c r="N8517" t="n">
        <v>0</v>
      </c>
      <c r="O8517" t="n">
        <v>0</v>
      </c>
      <c r="P8517" t="n">
        <v>0</v>
      </c>
      <c r="Q8517" t="n">
        <v>0</v>
      </c>
      <c r="R8517" s="2" t="inlineStr"/>
    </row>
    <row r="8518" ht="15" customHeight="1">
      <c r="A8518" t="inlineStr">
        <is>
          <t>A 19346-2026</t>
        </is>
      </c>
      <c r="B8518" s="1" t="n">
        <v>46133</v>
      </c>
      <c r="C8518" s="1" t="n">
        <v>46185</v>
      </c>
      <c r="D8518" t="inlineStr">
        <is>
          <t>VÄSTERNORRLANDS LÄN</t>
        </is>
      </c>
      <c r="E8518" t="inlineStr">
        <is>
          <t>HÄRNÖSAND</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25363-2026</t>
        </is>
      </c>
      <c r="B8519" s="1" t="n">
        <v>46176.61516203704</v>
      </c>
      <c r="C8519" s="1" t="n">
        <v>46185</v>
      </c>
      <c r="D8519" t="inlineStr">
        <is>
          <t>VÄSTERNORRLANDS LÄN</t>
        </is>
      </c>
      <c r="E8519" t="inlineStr">
        <is>
          <t>SOLLEFTEÅ</t>
        </is>
      </c>
      <c r="F8519" t="inlineStr">
        <is>
          <t>SCA</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25390-2026</t>
        </is>
      </c>
      <c r="B8520" s="1" t="n">
        <v>46176.71925925926</v>
      </c>
      <c r="C8520" s="1" t="n">
        <v>46185</v>
      </c>
      <c r="D8520" t="inlineStr">
        <is>
          <t>VÄSTERNORRLANDS LÄN</t>
        </is>
      </c>
      <c r="E8520" t="inlineStr">
        <is>
          <t>ÅNGE</t>
        </is>
      </c>
      <c r="F8520" t="inlineStr">
        <is>
          <t>SCA</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19689-2026</t>
        </is>
      </c>
      <c r="B8521" s="1" t="n">
        <v>46134.67760416667</v>
      </c>
      <c r="C8521" s="1" t="n">
        <v>46185</v>
      </c>
      <c r="D8521" t="inlineStr">
        <is>
          <t>VÄSTERNORRLANDS LÄN</t>
        </is>
      </c>
      <c r="E8521" t="inlineStr">
        <is>
          <t>ÅNGE</t>
        </is>
      </c>
      <c r="F8521" t="inlineStr">
        <is>
          <t>SCA</t>
        </is>
      </c>
      <c r="G8521" t="n">
        <v>28.5</v>
      </c>
      <c r="H8521" t="n">
        <v>0</v>
      </c>
      <c r="I8521" t="n">
        <v>0</v>
      </c>
      <c r="J8521" t="n">
        <v>0</v>
      </c>
      <c r="K8521" t="n">
        <v>0</v>
      </c>
      <c r="L8521" t="n">
        <v>0</v>
      </c>
      <c r="M8521" t="n">
        <v>0</v>
      </c>
      <c r="N8521" t="n">
        <v>0</v>
      </c>
      <c r="O8521" t="n">
        <v>0</v>
      </c>
      <c r="P8521" t="n">
        <v>0</v>
      </c>
      <c r="Q8521" t="n">
        <v>0</v>
      </c>
      <c r="R8521" s="2" t="inlineStr"/>
    </row>
    <row r="8522" ht="15" customHeight="1">
      <c r="A8522" t="inlineStr">
        <is>
          <t>A 25219-2026</t>
        </is>
      </c>
      <c r="B8522" s="1" t="n">
        <v>46171</v>
      </c>
      <c r="C8522" s="1" t="n">
        <v>46185</v>
      </c>
      <c r="D8522" t="inlineStr">
        <is>
          <t>VÄSTERNORRLANDS LÄN</t>
        </is>
      </c>
      <c r="E8522" t="inlineStr">
        <is>
          <t>ÖRNSKÖLDSVIK</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25223-2026</t>
        </is>
      </c>
      <c r="B8523" s="1" t="n">
        <v>46175.63614583333</v>
      </c>
      <c r="C8523" s="1" t="n">
        <v>46185</v>
      </c>
      <c r="D8523" t="inlineStr">
        <is>
          <t>VÄSTERNORRLANDS LÄN</t>
        </is>
      </c>
      <c r="E8523" t="inlineStr">
        <is>
          <t>SUNDSVALL</t>
        </is>
      </c>
      <c r="F8523" t="inlineStr">
        <is>
          <t>SCA</t>
        </is>
      </c>
      <c r="G8523" t="n">
        <v>8.9</v>
      </c>
      <c r="H8523" t="n">
        <v>0</v>
      </c>
      <c r="I8523" t="n">
        <v>0</v>
      </c>
      <c r="J8523" t="n">
        <v>0</v>
      </c>
      <c r="K8523" t="n">
        <v>0</v>
      </c>
      <c r="L8523" t="n">
        <v>0</v>
      </c>
      <c r="M8523" t="n">
        <v>0</v>
      </c>
      <c r="N8523" t="n">
        <v>0</v>
      </c>
      <c r="O8523" t="n">
        <v>0</v>
      </c>
      <c r="P8523" t="n">
        <v>0</v>
      </c>
      <c r="Q8523" t="n">
        <v>0</v>
      </c>
      <c r="R8523" s="2" t="inlineStr"/>
      <c r="U8523">
        <f>HYPERLINK("https://klasma.github.io/Logging_2281/knärot/A 25223-2026 karta knärot.png", "A 25223-2026")</f>
        <v/>
      </c>
      <c r="V8523">
        <f>HYPERLINK("https://klasma.github.io/Logging_2281/klagomål/A 25223-2026 FSC-klagomål.docx", "A 25223-2026")</f>
        <v/>
      </c>
      <c r="W8523">
        <f>HYPERLINK("https://klasma.github.io/Logging_2281/klagomålsmail/A 25223-2026 FSC-klagomål mail.docx", "A 25223-2026")</f>
        <v/>
      </c>
      <c r="X8523">
        <f>HYPERLINK("https://klasma.github.io/Logging_2281/tillsyn/A 25223-2026 tillsynsbegäran.docx", "A 25223-2026")</f>
        <v/>
      </c>
      <c r="Y8523">
        <f>HYPERLINK("https://klasma.github.io/Logging_2281/tillsynsmail/A 25223-2026 tillsynsbegäran mail.docx", "A 25223-2026")</f>
        <v/>
      </c>
    </row>
    <row r="8524" ht="15" customHeight="1">
      <c r="A8524" t="inlineStr">
        <is>
          <t>A 25251-2026</t>
        </is>
      </c>
      <c r="B8524" s="1" t="n">
        <v>46175.69886574074</v>
      </c>
      <c r="C8524" s="1" t="n">
        <v>46185</v>
      </c>
      <c r="D8524" t="inlineStr">
        <is>
          <t>VÄSTERNORRLANDS LÄN</t>
        </is>
      </c>
      <c r="E8524" t="inlineStr">
        <is>
          <t>HÄRNÖSAND</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25254-2026</t>
        </is>
      </c>
      <c r="B8525" s="1" t="n">
        <v>46175.70017361111</v>
      </c>
      <c r="C8525" s="1" t="n">
        <v>46185</v>
      </c>
      <c r="D8525" t="inlineStr">
        <is>
          <t>VÄSTERNORRLANDS LÄN</t>
        </is>
      </c>
      <c r="E8525" t="inlineStr">
        <is>
          <t>HÄRNÖSAND</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16973-2025</t>
        </is>
      </c>
      <c r="B8526" s="1" t="n">
        <v>45755.46967592592</v>
      </c>
      <c r="C8526" s="1" t="n">
        <v>46185</v>
      </c>
      <c r="D8526" t="inlineStr">
        <is>
          <t>VÄSTERNORRLANDS LÄN</t>
        </is>
      </c>
      <c r="E8526" t="inlineStr">
        <is>
          <t>ÅNGE</t>
        </is>
      </c>
      <c r="F8526" t="inlineStr">
        <is>
          <t>SCA</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51070-2023</t>
        </is>
      </c>
      <c r="B8527" s="1" t="n">
        <v>45218</v>
      </c>
      <c r="C8527" s="1" t="n">
        <v>46185</v>
      </c>
      <c r="D8527" t="inlineStr">
        <is>
          <t>VÄSTERNORRLANDS LÄN</t>
        </is>
      </c>
      <c r="E8527" t="inlineStr">
        <is>
          <t>ÖRNSKÖLDSVIK</t>
        </is>
      </c>
      <c r="F8527" t="inlineStr">
        <is>
          <t>Holmen skog AB</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25126-2026</t>
        </is>
      </c>
      <c r="B8528" s="1" t="n">
        <v>46175.39295138889</v>
      </c>
      <c r="C8528" s="1" t="n">
        <v>46185</v>
      </c>
      <c r="D8528" t="inlineStr">
        <is>
          <t>VÄSTERNORRLANDS LÄN</t>
        </is>
      </c>
      <c r="E8528" t="inlineStr">
        <is>
          <t>ÅNGE</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19668-2026</t>
        </is>
      </c>
      <c r="B8529" s="1" t="n">
        <v>46134.61542824074</v>
      </c>
      <c r="C8529" s="1" t="n">
        <v>46185</v>
      </c>
      <c r="D8529" t="inlineStr">
        <is>
          <t>VÄSTERNORRLANDS LÄN</t>
        </is>
      </c>
      <c r="E8529" t="inlineStr">
        <is>
          <t>ÅNGE</t>
        </is>
      </c>
      <c r="F8529" t="inlineStr">
        <is>
          <t>SCA</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19327-2026</t>
        </is>
      </c>
      <c r="B8530" s="1" t="n">
        <v>46133.40712962963</v>
      </c>
      <c r="C8530" s="1" t="n">
        <v>46185</v>
      </c>
      <c r="D8530" t="inlineStr">
        <is>
          <t>VÄSTERNORRLANDS LÄN</t>
        </is>
      </c>
      <c r="E8530" t="inlineStr">
        <is>
          <t>HÄRNÖSAND</t>
        </is>
      </c>
      <c r="G8530" t="n">
        <v>5.7</v>
      </c>
      <c r="H8530" t="n">
        <v>0</v>
      </c>
      <c r="I8530" t="n">
        <v>0</v>
      </c>
      <c r="J8530" t="n">
        <v>0</v>
      </c>
      <c r="K8530" t="n">
        <v>0</v>
      </c>
      <c r="L8530" t="n">
        <v>0</v>
      </c>
      <c r="M8530" t="n">
        <v>0</v>
      </c>
      <c r="N8530" t="n">
        <v>0</v>
      </c>
      <c r="O8530" t="n">
        <v>0</v>
      </c>
      <c r="P8530" t="n">
        <v>0</v>
      </c>
      <c r="Q8530" t="n">
        <v>0</v>
      </c>
      <c r="R8530" s="2" t="inlineStr"/>
    </row>
    <row r="8531" ht="15" customHeight="1">
      <c r="A8531" t="inlineStr">
        <is>
          <t>A 19347-2026</t>
        </is>
      </c>
      <c r="B8531" s="1" t="n">
        <v>46133.44836805556</v>
      </c>
      <c r="C8531" s="1" t="n">
        <v>46185</v>
      </c>
      <c r="D8531" t="inlineStr">
        <is>
          <t>VÄSTERNORRLANDS LÄN</t>
        </is>
      </c>
      <c r="E8531" t="inlineStr">
        <is>
          <t>SUNDSVALL</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39433-2023</t>
        </is>
      </c>
      <c r="B8532" s="1" t="n">
        <v>45163</v>
      </c>
      <c r="C8532" s="1" t="n">
        <v>46185</v>
      </c>
      <c r="D8532" t="inlineStr">
        <is>
          <t>VÄSTERNORRLANDS LÄN</t>
        </is>
      </c>
      <c r="E8532" t="inlineStr">
        <is>
          <t>HÄRNÖSAND</t>
        </is>
      </c>
      <c r="G8532" t="n">
        <v>5.5</v>
      </c>
      <c r="H8532" t="n">
        <v>0</v>
      </c>
      <c r="I8532" t="n">
        <v>0</v>
      </c>
      <c r="J8532" t="n">
        <v>0</v>
      </c>
      <c r="K8532" t="n">
        <v>0</v>
      </c>
      <c r="L8532" t="n">
        <v>0</v>
      </c>
      <c r="M8532" t="n">
        <v>0</v>
      </c>
      <c r="N8532" t="n">
        <v>0</v>
      </c>
      <c r="O8532" t="n">
        <v>0</v>
      </c>
      <c r="P8532" t="n">
        <v>0</v>
      </c>
      <c r="Q8532" t="n">
        <v>0</v>
      </c>
      <c r="R8532" s="2" t="inlineStr"/>
    </row>
    <row r="8533" ht="15" customHeight="1">
      <c r="A8533" t="inlineStr">
        <is>
          <t>A 48704-2023</t>
        </is>
      </c>
      <c r="B8533" s="1" t="n">
        <v>45208</v>
      </c>
      <c r="C8533" s="1" t="n">
        <v>46185</v>
      </c>
      <c r="D8533" t="inlineStr">
        <is>
          <t>VÄSTERNORRLANDS LÄN</t>
        </is>
      </c>
      <c r="E8533" t="inlineStr">
        <is>
          <t>ÖRNSKÖLDSVIK</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19649-2026</t>
        </is>
      </c>
      <c r="B8534" s="1" t="n">
        <v>46134.59440972222</v>
      </c>
      <c r="C8534" s="1" t="n">
        <v>46185</v>
      </c>
      <c r="D8534" t="inlineStr">
        <is>
          <t>VÄSTERNORRLANDS LÄN</t>
        </is>
      </c>
      <c r="E8534" t="inlineStr">
        <is>
          <t>SOLLEFTEÅ</t>
        </is>
      </c>
      <c r="F8534" t="inlineStr">
        <is>
          <t>SCA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19659-2026</t>
        </is>
      </c>
      <c r="B8535" s="1" t="n">
        <v>46134.6056712963</v>
      </c>
      <c r="C8535" s="1" t="n">
        <v>46185</v>
      </c>
      <c r="D8535" t="inlineStr">
        <is>
          <t>VÄSTERNORRLANDS LÄN</t>
        </is>
      </c>
      <c r="E8535" t="inlineStr">
        <is>
          <t>SUNDSVALL</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25374-2026</t>
        </is>
      </c>
      <c r="B8536" s="1" t="n">
        <v>46176.65091435185</v>
      </c>
      <c r="C8536" s="1" t="n">
        <v>46185</v>
      </c>
      <c r="D8536" t="inlineStr">
        <is>
          <t>VÄSTERNORRLANDS LÄN</t>
        </is>
      </c>
      <c r="E8536" t="inlineStr">
        <is>
          <t>SOLLEFTEÅ</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25084-2026</t>
        </is>
      </c>
      <c r="B8537" s="1" t="n">
        <v>46175.00884259259</v>
      </c>
      <c r="C8537" s="1" t="n">
        <v>46185</v>
      </c>
      <c r="D8537" t="inlineStr">
        <is>
          <t>VÄSTERNORRLANDS LÄN</t>
        </is>
      </c>
      <c r="E8537" t="inlineStr">
        <is>
          <t>ÖRNSKÖLDSVIK</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19490-2026</t>
        </is>
      </c>
      <c r="B8538" s="1" t="n">
        <v>46134.31622685185</v>
      </c>
      <c r="C8538" s="1" t="n">
        <v>46185</v>
      </c>
      <c r="D8538" t="inlineStr">
        <is>
          <t>VÄSTERNORRLANDS LÄN</t>
        </is>
      </c>
      <c r="E8538" t="inlineStr">
        <is>
          <t>ÖRNSKÖLDSVIK</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25184-2026</t>
        </is>
      </c>
      <c r="B8539" s="1" t="n">
        <v>46175.5724537037</v>
      </c>
      <c r="C8539" s="1" t="n">
        <v>46185</v>
      </c>
      <c r="D8539" t="inlineStr">
        <is>
          <t>VÄSTERNORRLANDS LÄN</t>
        </is>
      </c>
      <c r="E8539" t="inlineStr">
        <is>
          <t>ÅNGE</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25185-2026</t>
        </is>
      </c>
      <c r="B8540" s="1" t="n">
        <v>46175.57344907407</v>
      </c>
      <c r="C8540" s="1" t="n">
        <v>46185</v>
      </c>
      <c r="D8540" t="inlineStr">
        <is>
          <t>VÄSTERNORRLANDS LÄN</t>
        </is>
      </c>
      <c r="E8540" t="inlineStr">
        <is>
          <t>ÅNGE</t>
        </is>
      </c>
      <c r="F8540" t="inlineStr">
        <is>
          <t>SCA</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48999-2023</t>
        </is>
      </c>
      <c r="B8541" s="1" t="n">
        <v>45209.66075231481</v>
      </c>
      <c r="C8541" s="1" t="n">
        <v>46185</v>
      </c>
      <c r="D8541" t="inlineStr">
        <is>
          <t>VÄSTERNORRLANDS LÄN</t>
        </is>
      </c>
      <c r="E8541" t="inlineStr">
        <is>
          <t>SOLLEFTEÅ</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59592-2023</t>
        </is>
      </c>
      <c r="B8542" s="1" t="n">
        <v>45254</v>
      </c>
      <c r="C8542" s="1" t="n">
        <v>46185</v>
      </c>
      <c r="D8542" t="inlineStr">
        <is>
          <t>VÄSTERNORRLANDS LÄN</t>
        </is>
      </c>
      <c r="E8542" t="inlineStr">
        <is>
          <t>ÖRNSKÖLDSVIK</t>
        </is>
      </c>
      <c r="F8542" t="inlineStr">
        <is>
          <t>Holmen skog AB</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10526-2025</t>
        </is>
      </c>
      <c r="B8543" s="1" t="n">
        <v>45721</v>
      </c>
      <c r="C8543" s="1" t="n">
        <v>46185</v>
      </c>
      <c r="D8543" t="inlineStr">
        <is>
          <t>VÄSTERNORRLANDS LÄN</t>
        </is>
      </c>
      <c r="E8543" t="inlineStr">
        <is>
          <t>ÖRNSKÖLDSVIK</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48632-2023</t>
        </is>
      </c>
      <c r="B8544" s="1" t="n">
        <v>45208.57944444445</v>
      </c>
      <c r="C8544" s="1" t="n">
        <v>46185</v>
      </c>
      <c r="D8544" t="inlineStr">
        <is>
          <t>VÄSTERNORRLANDS LÄN</t>
        </is>
      </c>
      <c r="E8544" t="inlineStr">
        <is>
          <t>ÅNGE</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27801-2022</t>
        </is>
      </c>
      <c r="B8545" s="1" t="n">
        <v>44743.57354166666</v>
      </c>
      <c r="C8545" s="1" t="n">
        <v>46185</v>
      </c>
      <c r="D8545" t="inlineStr">
        <is>
          <t>VÄSTERNORRLANDS LÄN</t>
        </is>
      </c>
      <c r="E8545" t="inlineStr">
        <is>
          <t>ÖRNSKÖLDSVIK</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60576-2023</t>
        </is>
      </c>
      <c r="B8546" s="1" t="n">
        <v>45259</v>
      </c>
      <c r="C8546" s="1" t="n">
        <v>46185</v>
      </c>
      <c r="D8546" t="inlineStr">
        <is>
          <t>VÄSTERNORRLANDS LÄN</t>
        </is>
      </c>
      <c r="E8546" t="inlineStr">
        <is>
          <t>SUNDSVALL</t>
        </is>
      </c>
      <c r="F8546" t="inlineStr">
        <is>
          <t>SCA</t>
        </is>
      </c>
      <c r="G8546" t="n">
        <v>5.5</v>
      </c>
      <c r="H8546" t="n">
        <v>0</v>
      </c>
      <c r="I8546" t="n">
        <v>0</v>
      </c>
      <c r="J8546" t="n">
        <v>0</v>
      </c>
      <c r="K8546" t="n">
        <v>0</v>
      </c>
      <c r="L8546" t="n">
        <v>0</v>
      </c>
      <c r="M8546" t="n">
        <v>0</v>
      </c>
      <c r="N8546" t="n">
        <v>0</v>
      </c>
      <c r="O8546" t="n">
        <v>0</v>
      </c>
      <c r="P8546" t="n">
        <v>0</v>
      </c>
      <c r="Q8546" t="n">
        <v>0</v>
      </c>
      <c r="R8546" s="2" t="inlineStr"/>
    </row>
    <row r="8547" ht="15" customHeight="1">
      <c r="A8547" t="inlineStr">
        <is>
          <t>A 52011-2025</t>
        </is>
      </c>
      <c r="B8547" s="1" t="n">
        <v>45952.59517361111</v>
      </c>
      <c r="C8547" s="1" t="n">
        <v>46185</v>
      </c>
      <c r="D8547" t="inlineStr">
        <is>
          <t>VÄSTERNORRLANDS LÄN</t>
        </is>
      </c>
      <c r="E8547" t="inlineStr">
        <is>
          <t>SOLLEFTEÅ</t>
        </is>
      </c>
      <c r="G8547" t="n">
        <v>12.2</v>
      </c>
      <c r="H8547" t="n">
        <v>0</v>
      </c>
      <c r="I8547" t="n">
        <v>0</v>
      </c>
      <c r="J8547" t="n">
        <v>0</v>
      </c>
      <c r="K8547" t="n">
        <v>0</v>
      </c>
      <c r="L8547" t="n">
        <v>0</v>
      </c>
      <c r="M8547" t="n">
        <v>0</v>
      </c>
      <c r="N8547" t="n">
        <v>0</v>
      </c>
      <c r="O8547" t="n">
        <v>0</v>
      </c>
      <c r="P8547" t="n">
        <v>0</v>
      </c>
      <c r="Q8547" t="n">
        <v>0</v>
      </c>
      <c r="R8547" s="2" t="inlineStr"/>
    </row>
    <row r="8548" ht="15" customHeight="1">
      <c r="A8548" t="inlineStr">
        <is>
          <t>A 19317-2026</t>
        </is>
      </c>
      <c r="B8548" s="1" t="n">
        <v>46133.39234953704</v>
      </c>
      <c r="C8548" s="1" t="n">
        <v>46185</v>
      </c>
      <c r="D8548" t="inlineStr">
        <is>
          <t>VÄSTERNORRLANDS LÄN</t>
        </is>
      </c>
      <c r="E8548" t="inlineStr">
        <is>
          <t>HÄRNÖSAND</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15631-2026</t>
        </is>
      </c>
      <c r="B8549" s="1" t="n">
        <v>46106</v>
      </c>
      <c r="C8549" s="1" t="n">
        <v>46185</v>
      </c>
      <c r="D8549" t="inlineStr">
        <is>
          <t>VÄSTERNORRLANDS LÄN</t>
        </is>
      </c>
      <c r="E8549" t="inlineStr">
        <is>
          <t>TIMRÅ</t>
        </is>
      </c>
      <c r="G8549" t="n">
        <v>12.5</v>
      </c>
      <c r="H8549" t="n">
        <v>0</v>
      </c>
      <c r="I8549" t="n">
        <v>0</v>
      </c>
      <c r="J8549" t="n">
        <v>0</v>
      </c>
      <c r="K8549" t="n">
        <v>0</v>
      </c>
      <c r="L8549" t="n">
        <v>0</v>
      </c>
      <c r="M8549" t="n">
        <v>0</v>
      </c>
      <c r="N8549" t="n">
        <v>0</v>
      </c>
      <c r="O8549" t="n">
        <v>0</v>
      </c>
      <c r="P8549" t="n">
        <v>0</v>
      </c>
      <c r="Q8549" t="n">
        <v>0</v>
      </c>
      <c r="R8549" s="2" t="inlineStr"/>
    </row>
    <row r="8550" ht="15" customHeight="1">
      <c r="A8550" t="inlineStr">
        <is>
          <t>A 16204-2026</t>
        </is>
      </c>
      <c r="B8550" s="1" t="n">
        <v>46111</v>
      </c>
      <c r="C8550" s="1" t="n">
        <v>46185</v>
      </c>
      <c r="D8550" t="inlineStr">
        <is>
          <t>VÄSTERNORRLANDS LÄN</t>
        </is>
      </c>
      <c r="E8550" t="inlineStr">
        <is>
          <t>SUNDSVALL</t>
        </is>
      </c>
      <c r="G8550" t="n">
        <v>7.7</v>
      </c>
      <c r="H8550" t="n">
        <v>0</v>
      </c>
      <c r="I8550" t="n">
        <v>0</v>
      </c>
      <c r="J8550" t="n">
        <v>0</v>
      </c>
      <c r="K8550" t="n">
        <v>0</v>
      </c>
      <c r="L8550" t="n">
        <v>0</v>
      </c>
      <c r="M8550" t="n">
        <v>0</v>
      </c>
      <c r="N8550" t="n">
        <v>0</v>
      </c>
      <c r="O8550" t="n">
        <v>0</v>
      </c>
      <c r="P8550" t="n">
        <v>0</v>
      </c>
      <c r="Q8550" t="n">
        <v>0</v>
      </c>
      <c r="R8550" s="2" t="inlineStr"/>
    </row>
    <row r="8551" ht="15" customHeight="1">
      <c r="A8551" t="inlineStr">
        <is>
          <t>A 21471-2022</t>
        </is>
      </c>
      <c r="B8551" s="1" t="n">
        <v>44706</v>
      </c>
      <c r="C8551" s="1" t="n">
        <v>46185</v>
      </c>
      <c r="D8551" t="inlineStr">
        <is>
          <t>VÄSTERNORRLANDS LÄN</t>
        </is>
      </c>
      <c r="E8551" t="inlineStr">
        <is>
          <t>HÄRNÖSAND</t>
        </is>
      </c>
      <c r="G8551" t="n">
        <v>0.2</v>
      </c>
      <c r="H8551" t="n">
        <v>0</v>
      </c>
      <c r="I8551" t="n">
        <v>0</v>
      </c>
      <c r="J8551" t="n">
        <v>0</v>
      </c>
      <c r="K8551" t="n">
        <v>0</v>
      </c>
      <c r="L8551" t="n">
        <v>0</v>
      </c>
      <c r="M8551" t="n">
        <v>0</v>
      </c>
      <c r="N8551" t="n">
        <v>0</v>
      </c>
      <c r="O8551" t="n">
        <v>0</v>
      </c>
      <c r="P8551" t="n">
        <v>0</v>
      </c>
      <c r="Q8551" t="n">
        <v>0</v>
      </c>
      <c r="R8551" s="2" t="inlineStr"/>
    </row>
    <row r="8552" ht="15" customHeight="1">
      <c r="A8552" t="inlineStr">
        <is>
          <t>A 25564-2026</t>
        </is>
      </c>
      <c r="B8552" s="1" t="n">
        <v>46177.59434027778</v>
      </c>
      <c r="C8552" s="1" t="n">
        <v>46185</v>
      </c>
      <c r="D8552" t="inlineStr">
        <is>
          <t>VÄSTERNORRLANDS LÄN</t>
        </is>
      </c>
      <c r="E8552" t="inlineStr">
        <is>
          <t>SOLLEFTEÅ</t>
        </is>
      </c>
      <c r="F8552" t="inlineStr">
        <is>
          <t>SCA</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7036-2025</t>
        </is>
      </c>
      <c r="B8553" s="1" t="n">
        <v>45701.63597222222</v>
      </c>
      <c r="C8553" s="1" t="n">
        <v>46185</v>
      </c>
      <c r="D8553" t="inlineStr">
        <is>
          <t>VÄSTERNORRLANDS LÄN</t>
        </is>
      </c>
      <c r="E8553" t="inlineStr">
        <is>
          <t>SOLLEFTEÅ</t>
        </is>
      </c>
      <c r="F8553" t="inlineStr">
        <is>
          <t>SCA</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7091-2025</t>
        </is>
      </c>
      <c r="B8554" s="1" t="n">
        <v>45701.75440972222</v>
      </c>
      <c r="C8554" s="1" t="n">
        <v>46185</v>
      </c>
      <c r="D8554" t="inlineStr">
        <is>
          <t>VÄSTERNORRLANDS LÄN</t>
        </is>
      </c>
      <c r="E8554" t="inlineStr">
        <is>
          <t>SUNDSVALL</t>
        </is>
      </c>
      <c r="G8554" t="n">
        <v>0.3</v>
      </c>
      <c r="H8554" t="n">
        <v>0</v>
      </c>
      <c r="I8554" t="n">
        <v>0</v>
      </c>
      <c r="J8554" t="n">
        <v>0</v>
      </c>
      <c r="K8554" t="n">
        <v>0</v>
      </c>
      <c r="L8554" t="n">
        <v>0</v>
      </c>
      <c r="M8554" t="n">
        <v>0</v>
      </c>
      <c r="N8554" t="n">
        <v>0</v>
      </c>
      <c r="O8554" t="n">
        <v>0</v>
      </c>
      <c r="P8554" t="n">
        <v>0</v>
      </c>
      <c r="Q8554" t="n">
        <v>0</v>
      </c>
      <c r="R8554" s="2" t="inlineStr"/>
    </row>
    <row r="8555" ht="15" customHeight="1">
      <c r="A8555" t="inlineStr">
        <is>
          <t>A 12627-2025</t>
        </is>
      </c>
      <c r="B8555" s="1" t="n">
        <v>45733.36728009259</v>
      </c>
      <c r="C8555" s="1" t="n">
        <v>46185</v>
      </c>
      <c r="D8555" t="inlineStr">
        <is>
          <t>VÄSTERNORRLANDS LÄN</t>
        </is>
      </c>
      <c r="E8555" t="inlineStr">
        <is>
          <t>SOLLEFTEÅ</t>
        </is>
      </c>
      <c r="G8555" t="n">
        <v>12.9</v>
      </c>
      <c r="H8555" t="n">
        <v>0</v>
      </c>
      <c r="I8555" t="n">
        <v>0</v>
      </c>
      <c r="J8555" t="n">
        <v>0</v>
      </c>
      <c r="K8555" t="n">
        <v>0</v>
      </c>
      <c r="L8555" t="n">
        <v>0</v>
      </c>
      <c r="M8555" t="n">
        <v>0</v>
      </c>
      <c r="N8555" t="n">
        <v>0</v>
      </c>
      <c r="O8555" t="n">
        <v>0</v>
      </c>
      <c r="P8555" t="n">
        <v>0</v>
      </c>
      <c r="Q8555" t="n">
        <v>0</v>
      </c>
      <c r="R8555" s="2" t="inlineStr"/>
    </row>
    <row r="8556" ht="15" customHeight="1">
      <c r="A8556" t="inlineStr">
        <is>
          <t>A 45671-2025</t>
        </is>
      </c>
      <c r="B8556" s="1" t="n">
        <v>45923.35511574074</v>
      </c>
      <c r="C8556" s="1" t="n">
        <v>46185</v>
      </c>
      <c r="D8556" t="inlineStr">
        <is>
          <t>VÄSTERNORRLANDS LÄN</t>
        </is>
      </c>
      <c r="E8556" t="inlineStr">
        <is>
          <t>ÖRNSKÖLDSVIK</t>
        </is>
      </c>
      <c r="F8556" t="inlineStr">
        <is>
          <t>Holmen skog AB</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22612-2026</t>
        </is>
      </c>
      <c r="B8557" s="1" t="n">
        <v>46155</v>
      </c>
      <c r="C8557" s="1" t="n">
        <v>46185</v>
      </c>
      <c r="D8557" t="inlineStr">
        <is>
          <t>VÄSTERNORRLANDS LÄN</t>
        </is>
      </c>
      <c r="E8557" t="inlineStr">
        <is>
          <t>KRAMFORS</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24813-2022</t>
        </is>
      </c>
      <c r="B8558" s="1" t="n">
        <v>44728</v>
      </c>
      <c r="C8558" s="1" t="n">
        <v>46185</v>
      </c>
      <c r="D8558" t="inlineStr">
        <is>
          <t>VÄSTERNORRLANDS LÄN</t>
        </is>
      </c>
      <c r="E8558" t="inlineStr">
        <is>
          <t>HÄRNÖSAND</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11033-2025</t>
        </is>
      </c>
      <c r="B8559" s="1" t="n">
        <v>45723</v>
      </c>
      <c r="C8559" s="1" t="n">
        <v>46185</v>
      </c>
      <c r="D8559" t="inlineStr">
        <is>
          <t>VÄSTERNORRLANDS LÄN</t>
        </is>
      </c>
      <c r="E8559" t="inlineStr">
        <is>
          <t>ÖRNSKÖLDSVIK</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20044-2026</t>
        </is>
      </c>
      <c r="B8560" s="1" t="n">
        <v>46136.56400462963</v>
      </c>
      <c r="C8560" s="1" t="n">
        <v>46185</v>
      </c>
      <c r="D8560" t="inlineStr">
        <is>
          <t>VÄSTERNORRLANDS LÄN</t>
        </is>
      </c>
      <c r="E8560" t="inlineStr">
        <is>
          <t>SUNDSVALL</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20055-2026</t>
        </is>
      </c>
      <c r="B8561" s="1" t="n">
        <v>46135</v>
      </c>
      <c r="C8561" s="1" t="n">
        <v>46185</v>
      </c>
      <c r="D8561" t="inlineStr">
        <is>
          <t>VÄSTERNORRLANDS LÄN</t>
        </is>
      </c>
      <c r="E8561" t="inlineStr">
        <is>
          <t>ÅNGE</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154-2025</t>
        </is>
      </c>
      <c r="B8562" s="1" t="n">
        <v>45659</v>
      </c>
      <c r="C8562" s="1" t="n">
        <v>46185</v>
      </c>
      <c r="D8562" t="inlineStr">
        <is>
          <t>VÄSTERNORRLANDS LÄN</t>
        </is>
      </c>
      <c r="E8562" t="inlineStr">
        <is>
          <t>SOLLEFTEÅ</t>
        </is>
      </c>
      <c r="F8562" t="inlineStr">
        <is>
          <t>Holmen skog AB</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8747-2022</t>
        </is>
      </c>
      <c r="B8563" s="1" t="n">
        <v>44614.33912037037</v>
      </c>
      <c r="C8563" s="1" t="n">
        <v>46185</v>
      </c>
      <c r="D8563" t="inlineStr">
        <is>
          <t>VÄSTERNORRLANDS LÄN</t>
        </is>
      </c>
      <c r="E8563" t="inlineStr">
        <is>
          <t>ÅNGE</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32201-2023</t>
        </is>
      </c>
      <c r="B8564" s="1" t="n">
        <v>45119</v>
      </c>
      <c r="C8564" s="1" t="n">
        <v>46185</v>
      </c>
      <c r="D8564" t="inlineStr">
        <is>
          <t>VÄSTERNORRLANDS LÄN</t>
        </is>
      </c>
      <c r="E8564" t="inlineStr">
        <is>
          <t>SUNDSVALL</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25514-2026</t>
        </is>
      </c>
      <c r="B8565" s="1" t="n">
        <v>46177.48751157407</v>
      </c>
      <c r="C8565" s="1" t="n">
        <v>46185</v>
      </c>
      <c r="D8565" t="inlineStr">
        <is>
          <t>VÄSTERNORRLANDS LÄN</t>
        </is>
      </c>
      <c r="E8565" t="inlineStr">
        <is>
          <t>ÖRNSKÖLDSVIK</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25528-2026</t>
        </is>
      </c>
      <c r="B8566" s="1" t="n">
        <v>46177.53179398148</v>
      </c>
      <c r="C8566" s="1" t="n">
        <v>46185</v>
      </c>
      <c r="D8566" t="inlineStr">
        <is>
          <t>VÄSTERNORRLANDS LÄN</t>
        </is>
      </c>
      <c r="E8566" t="inlineStr">
        <is>
          <t>ÅNGE</t>
        </is>
      </c>
      <c r="F8566" t="inlineStr">
        <is>
          <t>SCA</t>
        </is>
      </c>
      <c r="G8566" t="n">
        <v>12.8</v>
      </c>
      <c r="H8566" t="n">
        <v>0</v>
      </c>
      <c r="I8566" t="n">
        <v>0</v>
      </c>
      <c r="J8566" t="n">
        <v>0</v>
      </c>
      <c r="K8566" t="n">
        <v>0</v>
      </c>
      <c r="L8566" t="n">
        <v>0</v>
      </c>
      <c r="M8566" t="n">
        <v>0</v>
      </c>
      <c r="N8566" t="n">
        <v>0</v>
      </c>
      <c r="O8566" t="n">
        <v>0</v>
      </c>
      <c r="P8566" t="n">
        <v>0</v>
      </c>
      <c r="Q8566" t="n">
        <v>0</v>
      </c>
      <c r="R8566" s="2" t="inlineStr"/>
    </row>
    <row r="8567" ht="15" customHeight="1">
      <c r="A8567" t="inlineStr">
        <is>
          <t>A 25533-2026</t>
        </is>
      </c>
      <c r="B8567" s="1" t="n">
        <v>46177.53325231482</v>
      </c>
      <c r="C8567" s="1" t="n">
        <v>46185</v>
      </c>
      <c r="D8567" t="inlineStr">
        <is>
          <t>VÄSTERNORRLANDS LÄN</t>
        </is>
      </c>
      <c r="E8567" t="inlineStr">
        <is>
          <t>KRAMFORS</t>
        </is>
      </c>
      <c r="G8567" t="n">
        <v>8.1</v>
      </c>
      <c r="H8567" t="n">
        <v>0</v>
      </c>
      <c r="I8567" t="n">
        <v>0</v>
      </c>
      <c r="J8567" t="n">
        <v>0</v>
      </c>
      <c r="K8567" t="n">
        <v>0</v>
      </c>
      <c r="L8567" t="n">
        <v>0</v>
      </c>
      <c r="M8567" t="n">
        <v>0</v>
      </c>
      <c r="N8567" t="n">
        <v>0</v>
      </c>
      <c r="O8567" t="n">
        <v>0</v>
      </c>
      <c r="P8567" t="n">
        <v>0</v>
      </c>
      <c r="Q8567" t="n">
        <v>0</v>
      </c>
      <c r="R8567" s="2" t="inlineStr"/>
    </row>
    <row r="8568" ht="15" customHeight="1">
      <c r="A8568" t="inlineStr">
        <is>
          <t>A 1114-2025</t>
        </is>
      </c>
      <c r="B8568" s="1" t="n">
        <v>45666.65664351852</v>
      </c>
      <c r="C8568" s="1" t="n">
        <v>46185</v>
      </c>
      <c r="D8568" t="inlineStr">
        <is>
          <t>VÄSTERNORRLANDS LÄN</t>
        </is>
      </c>
      <c r="E8568" t="inlineStr">
        <is>
          <t>SOLLEFTEÅ</t>
        </is>
      </c>
      <c r="F8568" t="inlineStr">
        <is>
          <t>SCA</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17778-2022</t>
        </is>
      </c>
      <c r="B8569" s="1" t="n">
        <v>44682</v>
      </c>
      <c r="C8569" s="1" t="n">
        <v>46185</v>
      </c>
      <c r="D8569" t="inlineStr">
        <is>
          <t>VÄSTERNORRLANDS LÄN</t>
        </is>
      </c>
      <c r="E8569" t="inlineStr">
        <is>
          <t>ÖRNSKÖLDSVIK</t>
        </is>
      </c>
      <c r="G8569" t="n">
        <v>15.6</v>
      </c>
      <c r="H8569" t="n">
        <v>0</v>
      </c>
      <c r="I8569" t="n">
        <v>0</v>
      </c>
      <c r="J8569" t="n">
        <v>0</v>
      </c>
      <c r="K8569" t="n">
        <v>0</v>
      </c>
      <c r="L8569" t="n">
        <v>0</v>
      </c>
      <c r="M8569" t="n">
        <v>0</v>
      </c>
      <c r="N8569" t="n">
        <v>0</v>
      </c>
      <c r="O8569" t="n">
        <v>0</v>
      </c>
      <c r="P8569" t="n">
        <v>0</v>
      </c>
      <c r="Q8569" t="n">
        <v>0</v>
      </c>
      <c r="R8569" s="2" t="inlineStr"/>
    </row>
    <row r="8570" ht="15" customHeight="1">
      <c r="A8570" t="inlineStr">
        <is>
          <t>A 14888-2022</t>
        </is>
      </c>
      <c r="B8570" s="1" t="n">
        <v>44656</v>
      </c>
      <c r="C8570" s="1" t="n">
        <v>46185</v>
      </c>
      <c r="D8570" t="inlineStr">
        <is>
          <t>VÄSTERNORRLANDS LÄN</t>
        </is>
      </c>
      <c r="E8570" t="inlineStr">
        <is>
          <t>ÅNGE</t>
        </is>
      </c>
      <c r="G8570" t="n">
        <v>6.2</v>
      </c>
      <c r="H8570" t="n">
        <v>0</v>
      </c>
      <c r="I8570" t="n">
        <v>0</v>
      </c>
      <c r="J8570" t="n">
        <v>0</v>
      </c>
      <c r="K8570" t="n">
        <v>0</v>
      </c>
      <c r="L8570" t="n">
        <v>0</v>
      </c>
      <c r="M8570" t="n">
        <v>0</v>
      </c>
      <c r="N8570" t="n">
        <v>0</v>
      </c>
      <c r="O8570" t="n">
        <v>0</v>
      </c>
      <c r="P8570" t="n">
        <v>0</v>
      </c>
      <c r="Q8570" t="n">
        <v>0</v>
      </c>
      <c r="R8570" s="2" t="inlineStr"/>
    </row>
    <row r="8571" ht="15" customHeight="1">
      <c r="A8571" t="inlineStr">
        <is>
          <t>A 53855-2024</t>
        </is>
      </c>
      <c r="B8571" s="1" t="n">
        <v>45615.63724537037</v>
      </c>
      <c r="C8571" s="1" t="n">
        <v>46185</v>
      </c>
      <c r="D8571" t="inlineStr">
        <is>
          <t>VÄSTERNORRLANDS LÄN</t>
        </is>
      </c>
      <c r="E8571" t="inlineStr">
        <is>
          <t>SOLLEFTEÅ</t>
        </is>
      </c>
      <c r="F8571" t="inlineStr">
        <is>
          <t>SCA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55045-2025</t>
        </is>
      </c>
      <c r="B8572" s="1" t="n">
        <v>45967.66068287037</v>
      </c>
      <c r="C8572" s="1" t="n">
        <v>46185</v>
      </c>
      <c r="D8572" t="inlineStr">
        <is>
          <t>VÄSTERNORRLANDS LÄN</t>
        </is>
      </c>
      <c r="E8572" t="inlineStr">
        <is>
          <t>ÅNGE</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38981-2025</t>
        </is>
      </c>
      <c r="B8573" s="1" t="n">
        <v>45888.279375</v>
      </c>
      <c r="C8573" s="1" t="n">
        <v>46185</v>
      </c>
      <c r="D8573" t="inlineStr">
        <is>
          <t>VÄSTERNORRLANDS LÄN</t>
        </is>
      </c>
      <c r="E8573" t="inlineStr">
        <is>
          <t>ÖRNSKÖLDSVIK</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19817-2026</t>
        </is>
      </c>
      <c r="B8574" s="1" t="n">
        <v>46135</v>
      </c>
      <c r="C8574" s="1" t="n">
        <v>46185</v>
      </c>
      <c r="D8574" t="inlineStr">
        <is>
          <t>VÄSTERNORRLANDS LÄN</t>
        </is>
      </c>
      <c r="E8574" t="inlineStr">
        <is>
          <t>ÅNGE</t>
        </is>
      </c>
      <c r="F8574" t="inlineStr">
        <is>
          <t>SCA</t>
        </is>
      </c>
      <c r="G8574" t="n">
        <v>11.2</v>
      </c>
      <c r="H8574" t="n">
        <v>0</v>
      </c>
      <c r="I8574" t="n">
        <v>0</v>
      </c>
      <c r="J8574" t="n">
        <v>0</v>
      </c>
      <c r="K8574" t="n">
        <v>0</v>
      </c>
      <c r="L8574" t="n">
        <v>0</v>
      </c>
      <c r="M8574" t="n">
        <v>0</v>
      </c>
      <c r="N8574" t="n">
        <v>0</v>
      </c>
      <c r="O8574" t="n">
        <v>0</v>
      </c>
      <c r="P8574" t="n">
        <v>0</v>
      </c>
      <c r="Q8574" t="n">
        <v>0</v>
      </c>
      <c r="R8574" s="2" t="inlineStr"/>
    </row>
    <row r="8575" ht="15" customHeight="1">
      <c r="A8575" t="inlineStr">
        <is>
          <t>A 12006-2022</t>
        </is>
      </c>
      <c r="B8575" s="1" t="n">
        <v>44635.92496527778</v>
      </c>
      <c r="C8575" s="1" t="n">
        <v>46185</v>
      </c>
      <c r="D8575" t="inlineStr">
        <is>
          <t>VÄSTERNORRLANDS LÄN</t>
        </is>
      </c>
      <c r="E8575" t="inlineStr">
        <is>
          <t>SOLLEFTEÅ</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12022-2022</t>
        </is>
      </c>
      <c r="B8576" s="1" t="n">
        <v>44635.94396990741</v>
      </c>
      <c r="C8576" s="1" t="n">
        <v>46185</v>
      </c>
      <c r="D8576" t="inlineStr">
        <is>
          <t>VÄSTERNORRLANDS LÄN</t>
        </is>
      </c>
      <c r="E8576" t="inlineStr">
        <is>
          <t>SOLLEFTEÅ</t>
        </is>
      </c>
      <c r="F8576" t="inlineStr">
        <is>
          <t>SCA</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46765-2024</t>
        </is>
      </c>
      <c r="B8577" s="1" t="n">
        <v>45583.49491898148</v>
      </c>
      <c r="C8577" s="1" t="n">
        <v>46185</v>
      </c>
      <c r="D8577" t="inlineStr">
        <is>
          <t>VÄSTERNORRLANDS LÄN</t>
        </is>
      </c>
      <c r="E8577" t="inlineStr">
        <is>
          <t>SOLLEFTEÅ</t>
        </is>
      </c>
      <c r="F8577" t="inlineStr">
        <is>
          <t>SCA</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14940-2025</t>
        </is>
      </c>
      <c r="B8578" s="1" t="n">
        <v>45743.56175925926</v>
      </c>
      <c r="C8578" s="1" t="n">
        <v>46185</v>
      </c>
      <c r="D8578" t="inlineStr">
        <is>
          <t>VÄSTERNORRLANDS LÄN</t>
        </is>
      </c>
      <c r="E8578" t="inlineStr">
        <is>
          <t>ÖRNSKÖLDSVIK</t>
        </is>
      </c>
      <c r="G8578" t="n">
        <v>11.8</v>
      </c>
      <c r="H8578" t="n">
        <v>0</v>
      </c>
      <c r="I8578" t="n">
        <v>0</v>
      </c>
      <c r="J8578" t="n">
        <v>0</v>
      </c>
      <c r="K8578" t="n">
        <v>0</v>
      </c>
      <c r="L8578" t="n">
        <v>0</v>
      </c>
      <c r="M8578" t="n">
        <v>0</v>
      </c>
      <c r="N8578" t="n">
        <v>0</v>
      </c>
      <c r="O8578" t="n">
        <v>0</v>
      </c>
      <c r="P8578" t="n">
        <v>0</v>
      </c>
      <c r="Q8578" t="n">
        <v>0</v>
      </c>
      <c r="R8578" s="2" t="inlineStr"/>
    </row>
    <row r="8579" ht="15" customHeight="1">
      <c r="A8579" t="inlineStr">
        <is>
          <t>A 17774-2025</t>
        </is>
      </c>
      <c r="B8579" s="1" t="n">
        <v>45758.52353009259</v>
      </c>
      <c r="C8579" s="1" t="n">
        <v>46185</v>
      </c>
      <c r="D8579" t="inlineStr">
        <is>
          <t>VÄSTERNORRLANDS LÄN</t>
        </is>
      </c>
      <c r="E8579" t="inlineStr">
        <is>
          <t>KRAMFORS</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16463-2024</t>
        </is>
      </c>
      <c r="B8580" s="1" t="n">
        <v>45408.05027777778</v>
      </c>
      <c r="C8580" s="1" t="n">
        <v>46185</v>
      </c>
      <c r="D8580" t="inlineStr">
        <is>
          <t>VÄSTERNORRLANDS LÄN</t>
        </is>
      </c>
      <c r="E8580" t="inlineStr">
        <is>
          <t>SOLLEFTEÅ</t>
        </is>
      </c>
      <c r="F8580" t="inlineStr">
        <is>
          <t>SCA</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25017-2022</t>
        </is>
      </c>
      <c r="B8581" s="1" t="n">
        <v>44728.94331018518</v>
      </c>
      <c r="C8581" s="1" t="n">
        <v>46185</v>
      </c>
      <c r="D8581" t="inlineStr">
        <is>
          <t>VÄSTERNORRLANDS LÄN</t>
        </is>
      </c>
      <c r="E8581" t="inlineStr">
        <is>
          <t>SOLLEFTEÅ</t>
        </is>
      </c>
      <c r="F8581" t="inlineStr">
        <is>
          <t>SCA</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30774-2025</t>
        </is>
      </c>
      <c r="B8582" s="1" t="n">
        <v>45831.61501157407</v>
      </c>
      <c r="C8582" s="1" t="n">
        <v>46185</v>
      </c>
      <c r="D8582" t="inlineStr">
        <is>
          <t>VÄSTERNORRLANDS LÄN</t>
        </is>
      </c>
      <c r="E8582" t="inlineStr">
        <is>
          <t>SOLLEFTEÅ</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44518-2024</t>
        </is>
      </c>
      <c r="B8583" s="1" t="n">
        <v>45574.43376157407</v>
      </c>
      <c r="C8583" s="1" t="n">
        <v>46185</v>
      </c>
      <c r="D8583" t="inlineStr">
        <is>
          <t>VÄSTERNORRLANDS LÄN</t>
        </is>
      </c>
      <c r="E8583" t="inlineStr">
        <is>
          <t>ÅNGE</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24406-2025</t>
        </is>
      </c>
      <c r="B8584" s="1" t="n">
        <v>45797.65445601852</v>
      </c>
      <c r="C8584" s="1" t="n">
        <v>46185</v>
      </c>
      <c r="D8584" t="inlineStr">
        <is>
          <t>VÄSTERNORRLANDS LÄN</t>
        </is>
      </c>
      <c r="E8584" t="inlineStr">
        <is>
          <t>KRAMFORS</t>
        </is>
      </c>
      <c r="G8584" t="n">
        <v>4.8</v>
      </c>
      <c r="H8584" t="n">
        <v>0</v>
      </c>
      <c r="I8584" t="n">
        <v>0</v>
      </c>
      <c r="J8584" t="n">
        <v>0</v>
      </c>
      <c r="K8584" t="n">
        <v>0</v>
      </c>
      <c r="L8584" t="n">
        <v>0</v>
      </c>
      <c r="M8584" t="n">
        <v>0</v>
      </c>
      <c r="N8584" t="n">
        <v>0</v>
      </c>
      <c r="O8584" t="n">
        <v>0</v>
      </c>
      <c r="P8584" t="n">
        <v>0</v>
      </c>
      <c r="Q8584" t="n">
        <v>0</v>
      </c>
      <c r="R8584" s="2" t="inlineStr"/>
    </row>
    <row r="8585" ht="15" customHeight="1">
      <c r="A8585" t="inlineStr">
        <is>
          <t>A 25733-2026</t>
        </is>
      </c>
      <c r="B8585" s="1" t="n">
        <v>46178.40715277778</v>
      </c>
      <c r="C8585" s="1" t="n">
        <v>46185</v>
      </c>
      <c r="D8585" t="inlineStr">
        <is>
          <t>VÄSTERNORRLANDS LÄN</t>
        </is>
      </c>
      <c r="E8585" t="inlineStr">
        <is>
          <t>SUNDSVALL</t>
        </is>
      </c>
      <c r="F8585" t="inlineStr">
        <is>
          <t>SCA</t>
        </is>
      </c>
      <c r="G8585" t="n">
        <v>16.3</v>
      </c>
      <c r="H8585" t="n">
        <v>0</v>
      </c>
      <c r="I8585" t="n">
        <v>0</v>
      </c>
      <c r="J8585" t="n">
        <v>0</v>
      </c>
      <c r="K8585" t="n">
        <v>0</v>
      </c>
      <c r="L8585" t="n">
        <v>0</v>
      </c>
      <c r="M8585" t="n">
        <v>0</v>
      </c>
      <c r="N8585" t="n">
        <v>0</v>
      </c>
      <c r="O8585" t="n">
        <v>0</v>
      </c>
      <c r="P8585" t="n">
        <v>0</v>
      </c>
      <c r="Q8585" t="n">
        <v>0</v>
      </c>
      <c r="R8585" s="2" t="inlineStr"/>
    </row>
    <row r="8586" ht="15" customHeight="1">
      <c r="A8586" t="inlineStr">
        <is>
          <t>A 55231-2023</t>
        </is>
      </c>
      <c r="B8586" s="1" t="n">
        <v>45237</v>
      </c>
      <c r="C8586" s="1" t="n">
        <v>46185</v>
      </c>
      <c r="D8586" t="inlineStr">
        <is>
          <t>VÄSTERNORRLANDS LÄN</t>
        </is>
      </c>
      <c r="E8586" t="inlineStr">
        <is>
          <t>KRAMFORS</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24228-2026</t>
        </is>
      </c>
      <c r="B8587" s="1" t="n">
        <v>46168</v>
      </c>
      <c r="C8587" s="1" t="n">
        <v>46185</v>
      </c>
      <c r="D8587" t="inlineStr">
        <is>
          <t>VÄSTERNORRLANDS LÄN</t>
        </is>
      </c>
      <c r="E8587" t="inlineStr">
        <is>
          <t>SOLLEFTEÅ</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55329-2023</t>
        </is>
      </c>
      <c r="B8588" s="1" t="n">
        <v>45237</v>
      </c>
      <c r="C8588" s="1" t="n">
        <v>46185</v>
      </c>
      <c r="D8588" t="inlineStr">
        <is>
          <t>VÄSTERNORRLANDS LÄN</t>
        </is>
      </c>
      <c r="E8588" t="inlineStr">
        <is>
          <t>ÅNGE</t>
        </is>
      </c>
      <c r="F8588" t="inlineStr">
        <is>
          <t>SCA</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55338-2023</t>
        </is>
      </c>
      <c r="B8589" s="1" t="n">
        <v>45237.97476851852</v>
      </c>
      <c r="C8589" s="1" t="n">
        <v>46185</v>
      </c>
      <c r="D8589" t="inlineStr">
        <is>
          <t>VÄSTERNORRLANDS LÄN</t>
        </is>
      </c>
      <c r="E8589" t="inlineStr">
        <is>
          <t>SOLLEFTEÅ</t>
        </is>
      </c>
      <c r="F8589" t="inlineStr">
        <is>
          <t>SCA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25910-2026</t>
        </is>
      </c>
      <c r="B8590" s="1" t="n">
        <v>46178.69834490741</v>
      </c>
      <c r="C8590" s="1" t="n">
        <v>46185</v>
      </c>
      <c r="D8590" t="inlineStr">
        <is>
          <t>VÄSTERNORRLANDS LÄN</t>
        </is>
      </c>
      <c r="E8590" t="inlineStr">
        <is>
          <t>ÅNGE</t>
        </is>
      </c>
      <c r="F8590" t="inlineStr">
        <is>
          <t>SCA</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24414-2026</t>
        </is>
      </c>
      <c r="B8591" s="1" t="n">
        <v>46167</v>
      </c>
      <c r="C8591" s="1" t="n">
        <v>46185</v>
      </c>
      <c r="D8591" t="inlineStr">
        <is>
          <t>VÄSTERNORRLANDS LÄN</t>
        </is>
      </c>
      <c r="E8591" t="inlineStr">
        <is>
          <t>HÄRNÖSAND</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4031-2025</t>
        </is>
      </c>
      <c r="B8592" s="1" t="n">
        <v>45684.5978125</v>
      </c>
      <c r="C8592" s="1" t="n">
        <v>46185</v>
      </c>
      <c r="D8592" t="inlineStr">
        <is>
          <t>VÄSTERNORRLANDS LÄN</t>
        </is>
      </c>
      <c r="E8592" t="inlineStr">
        <is>
          <t>SOLLEFTEÅ</t>
        </is>
      </c>
      <c r="F8592" t="inlineStr">
        <is>
          <t>SCA</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40788-2024</t>
        </is>
      </c>
      <c r="B8593" s="1" t="n">
        <v>45558.50974537037</v>
      </c>
      <c r="C8593" s="1" t="n">
        <v>46185</v>
      </c>
      <c r="D8593" t="inlineStr">
        <is>
          <t>VÄSTERNORRLANDS LÄN</t>
        </is>
      </c>
      <c r="E8593" t="inlineStr">
        <is>
          <t>ÅNGE</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25439-2026</t>
        </is>
      </c>
      <c r="B8594" s="1" t="n">
        <v>46177.34457175926</v>
      </c>
      <c r="C8594" s="1" t="n">
        <v>46185</v>
      </c>
      <c r="D8594" t="inlineStr">
        <is>
          <t>VÄSTERNORRLANDS LÄN</t>
        </is>
      </c>
      <c r="E8594" t="inlineStr">
        <is>
          <t>HÄRNÖSAND</t>
        </is>
      </c>
      <c r="F8594" t="inlineStr">
        <is>
          <t>SCA</t>
        </is>
      </c>
      <c r="G8594" t="n">
        <v>10.2</v>
      </c>
      <c r="H8594" t="n">
        <v>0</v>
      </c>
      <c r="I8594" t="n">
        <v>0</v>
      </c>
      <c r="J8594" t="n">
        <v>0</v>
      </c>
      <c r="K8594" t="n">
        <v>0</v>
      </c>
      <c r="L8594" t="n">
        <v>0</v>
      </c>
      <c r="M8594" t="n">
        <v>0</v>
      </c>
      <c r="N8594" t="n">
        <v>0</v>
      </c>
      <c r="O8594" t="n">
        <v>0</v>
      </c>
      <c r="P8594" t="n">
        <v>0</v>
      </c>
      <c r="Q8594" t="n">
        <v>0</v>
      </c>
      <c r="R8594" s="2" t="inlineStr"/>
    </row>
    <row r="8595" ht="15" customHeight="1">
      <c r="A8595" t="inlineStr">
        <is>
          <t>A 25440-2026</t>
        </is>
      </c>
      <c r="B8595" s="1" t="n">
        <v>46177.34471064815</v>
      </c>
      <c r="C8595" s="1" t="n">
        <v>46185</v>
      </c>
      <c r="D8595" t="inlineStr">
        <is>
          <t>VÄSTERNORRLANDS LÄN</t>
        </is>
      </c>
      <c r="E8595" t="inlineStr">
        <is>
          <t>SUNDSVALL</t>
        </is>
      </c>
      <c r="F8595" t="inlineStr">
        <is>
          <t>SCA</t>
        </is>
      </c>
      <c r="G8595" t="n">
        <v>7.3</v>
      </c>
      <c r="H8595" t="n">
        <v>0</v>
      </c>
      <c r="I8595" t="n">
        <v>0</v>
      </c>
      <c r="J8595" t="n">
        <v>0</v>
      </c>
      <c r="K8595" t="n">
        <v>0</v>
      </c>
      <c r="L8595" t="n">
        <v>0</v>
      </c>
      <c r="M8595" t="n">
        <v>0</v>
      </c>
      <c r="N8595" t="n">
        <v>0</v>
      </c>
      <c r="O8595" t="n">
        <v>0</v>
      </c>
      <c r="P8595" t="n">
        <v>0</v>
      </c>
      <c r="Q8595" t="n">
        <v>0</v>
      </c>
      <c r="R8595" s="2" t="inlineStr"/>
    </row>
    <row r="8596" ht="15" customHeight="1">
      <c r="A8596" t="inlineStr">
        <is>
          <t>A 25851-2026</t>
        </is>
      </c>
      <c r="B8596" s="1" t="n">
        <v>46178.55309027778</v>
      </c>
      <c r="C8596" s="1" t="n">
        <v>46185</v>
      </c>
      <c r="D8596" t="inlineStr">
        <is>
          <t>VÄSTERNORRLANDS LÄN</t>
        </is>
      </c>
      <c r="E8596" t="inlineStr">
        <is>
          <t>ÅNGE</t>
        </is>
      </c>
      <c r="F8596" t="inlineStr">
        <is>
          <t>SCA</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25779-2026</t>
        </is>
      </c>
      <c r="B8597" s="1" t="n">
        <v>46178.4669212963</v>
      </c>
      <c r="C8597" s="1" t="n">
        <v>46185</v>
      </c>
      <c r="D8597" t="inlineStr">
        <is>
          <t>VÄSTERNORRLANDS LÄN</t>
        </is>
      </c>
      <c r="E8597" t="inlineStr">
        <is>
          <t>ÖRNSKÖLDSVIK</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28749-2023</t>
        </is>
      </c>
      <c r="B8598" s="1" t="n">
        <v>45103</v>
      </c>
      <c r="C8598" s="1" t="n">
        <v>46185</v>
      </c>
      <c r="D8598" t="inlineStr">
        <is>
          <t>VÄSTERNORRLANDS LÄN</t>
        </is>
      </c>
      <c r="E8598" t="inlineStr">
        <is>
          <t>SOLLEFTEÅ</t>
        </is>
      </c>
      <c r="F8598" t="inlineStr">
        <is>
          <t>SCA</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45794-2023</t>
        </is>
      </c>
      <c r="B8599" s="1" t="n">
        <v>45195</v>
      </c>
      <c r="C8599" s="1" t="n">
        <v>46185</v>
      </c>
      <c r="D8599" t="inlineStr">
        <is>
          <t>VÄSTERNORRLANDS LÄN</t>
        </is>
      </c>
      <c r="E8599" t="inlineStr">
        <is>
          <t>ÖRNSKÖLDSVIK</t>
        </is>
      </c>
      <c r="G8599" t="n">
        <v>6.3</v>
      </c>
      <c r="H8599" t="n">
        <v>0</v>
      </c>
      <c r="I8599" t="n">
        <v>0</v>
      </c>
      <c r="J8599" t="n">
        <v>0</v>
      </c>
      <c r="K8599" t="n">
        <v>0</v>
      </c>
      <c r="L8599" t="n">
        <v>0</v>
      </c>
      <c r="M8599" t="n">
        <v>0</v>
      </c>
      <c r="N8599" t="n">
        <v>0</v>
      </c>
      <c r="O8599" t="n">
        <v>0</v>
      </c>
      <c r="P8599" t="n">
        <v>0</v>
      </c>
      <c r="Q8599" t="n">
        <v>0</v>
      </c>
      <c r="R8599" s="2" t="inlineStr"/>
    </row>
    <row r="8600" ht="15" customHeight="1">
      <c r="A8600" t="inlineStr">
        <is>
          <t>A 20135-2026</t>
        </is>
      </c>
      <c r="B8600" s="1" t="n">
        <v>46136.71918981482</v>
      </c>
      <c r="C8600" s="1" t="n">
        <v>46185</v>
      </c>
      <c r="D8600" t="inlineStr">
        <is>
          <t>VÄSTERNORRLANDS LÄN</t>
        </is>
      </c>
      <c r="E8600" t="inlineStr">
        <is>
          <t>ÅNGE</t>
        </is>
      </c>
      <c r="F8600" t="inlineStr">
        <is>
          <t>SCA</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45824-2023</t>
        </is>
      </c>
      <c r="B8601" s="1" t="n">
        <v>45189</v>
      </c>
      <c r="C8601" s="1" t="n">
        <v>46185</v>
      </c>
      <c r="D8601" t="inlineStr">
        <is>
          <t>VÄSTERNORRLANDS LÄN</t>
        </is>
      </c>
      <c r="E8601" t="inlineStr">
        <is>
          <t>ÖRNSKÖLDSVIK</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20527-2024</t>
        </is>
      </c>
      <c r="B8602" s="1" t="n">
        <v>45435.94592592592</v>
      </c>
      <c r="C8602" s="1" t="n">
        <v>46185</v>
      </c>
      <c r="D8602" t="inlineStr">
        <is>
          <t>VÄSTERNORRLANDS LÄN</t>
        </is>
      </c>
      <c r="E8602" t="inlineStr">
        <is>
          <t>TIMRÅ</t>
        </is>
      </c>
      <c r="F8602" t="inlineStr">
        <is>
          <t>SCA</t>
        </is>
      </c>
      <c r="G8602" t="n">
        <v>10.6</v>
      </c>
      <c r="H8602" t="n">
        <v>0</v>
      </c>
      <c r="I8602" t="n">
        <v>0</v>
      </c>
      <c r="J8602" t="n">
        <v>0</v>
      </c>
      <c r="K8602" t="n">
        <v>0</v>
      </c>
      <c r="L8602" t="n">
        <v>0</v>
      </c>
      <c r="M8602" t="n">
        <v>0</v>
      </c>
      <c r="N8602" t="n">
        <v>0</v>
      </c>
      <c r="O8602" t="n">
        <v>0</v>
      </c>
      <c r="P8602" t="n">
        <v>0</v>
      </c>
      <c r="Q8602" t="n">
        <v>0</v>
      </c>
      <c r="R8602" s="2" t="inlineStr"/>
    </row>
    <row r="8603" ht="15" customHeight="1">
      <c r="A8603" t="inlineStr">
        <is>
          <t>A 24416-2026</t>
        </is>
      </c>
      <c r="B8603" s="1" t="n">
        <v>46167</v>
      </c>
      <c r="C8603" s="1" t="n">
        <v>46185</v>
      </c>
      <c r="D8603" t="inlineStr">
        <is>
          <t>VÄSTERNORRLANDS LÄN</t>
        </is>
      </c>
      <c r="E8603" t="inlineStr">
        <is>
          <t>HÄRNÖSAND</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24418-2026</t>
        </is>
      </c>
      <c r="B8604" s="1" t="n">
        <v>46167</v>
      </c>
      <c r="C8604" s="1" t="n">
        <v>46185</v>
      </c>
      <c r="D8604" t="inlineStr">
        <is>
          <t>VÄSTERNORRLANDS LÄN</t>
        </is>
      </c>
      <c r="E8604" t="inlineStr">
        <is>
          <t>HÄRNÖSAND</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19815-2026</t>
        </is>
      </c>
      <c r="B8605" s="1" t="n">
        <v>46135.5735300926</v>
      </c>
      <c r="C8605" s="1" t="n">
        <v>46185</v>
      </c>
      <c r="D8605" t="inlineStr">
        <is>
          <t>VÄSTERNORRLANDS LÄN</t>
        </is>
      </c>
      <c r="E8605" t="inlineStr">
        <is>
          <t>ÅNGE</t>
        </is>
      </c>
      <c r="F8605" t="inlineStr">
        <is>
          <t>SCA</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19875-2026</t>
        </is>
      </c>
      <c r="B8606" s="1" t="n">
        <v>46135.65696759259</v>
      </c>
      <c r="C8606" s="1" t="n">
        <v>46185</v>
      </c>
      <c r="D8606" t="inlineStr">
        <is>
          <t>VÄSTERNORRLANDS LÄN</t>
        </is>
      </c>
      <c r="E8606" t="inlineStr">
        <is>
          <t>ÅNGE</t>
        </is>
      </c>
      <c r="F8606" t="inlineStr">
        <is>
          <t>SCA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31747-2021</t>
        </is>
      </c>
      <c r="B8607" s="1" t="n">
        <v>44369</v>
      </c>
      <c r="C8607" s="1" t="n">
        <v>46185</v>
      </c>
      <c r="D8607" t="inlineStr">
        <is>
          <t>VÄSTERNORRLANDS LÄN</t>
        </is>
      </c>
      <c r="E8607" t="inlineStr">
        <is>
          <t>KRAMFORS</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48411-2023</t>
        </is>
      </c>
      <c r="B8608" s="1" t="n">
        <v>45205.92331018519</v>
      </c>
      <c r="C8608" s="1" t="n">
        <v>46185</v>
      </c>
      <c r="D8608" t="inlineStr">
        <is>
          <t>VÄSTERNORRLANDS LÄN</t>
        </is>
      </c>
      <c r="E8608" t="inlineStr">
        <is>
          <t>SUNDSVALL</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42514-2023</t>
        </is>
      </c>
      <c r="B8609" s="1" t="n">
        <v>45180.95969907408</v>
      </c>
      <c r="C8609" s="1" t="n">
        <v>46185</v>
      </c>
      <c r="D8609" t="inlineStr">
        <is>
          <t>VÄSTERNORRLANDS LÄN</t>
        </is>
      </c>
      <c r="E8609" t="inlineStr">
        <is>
          <t>SOLLEFTEÅ</t>
        </is>
      </c>
      <c r="F8609" t="inlineStr">
        <is>
          <t>SCA</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25637-2026</t>
        </is>
      </c>
      <c r="B8610" s="1" t="n">
        <v>46175</v>
      </c>
      <c r="C8610" s="1" t="n">
        <v>46185</v>
      </c>
      <c r="D8610" t="inlineStr">
        <is>
          <t>VÄSTERNORRLANDS LÄN</t>
        </is>
      </c>
      <c r="E8610" t="inlineStr">
        <is>
          <t>SOLLEFTEÅ</t>
        </is>
      </c>
      <c r="G8610" t="n">
        <v>12.5</v>
      </c>
      <c r="H8610" t="n">
        <v>0</v>
      </c>
      <c r="I8610" t="n">
        <v>0</v>
      </c>
      <c r="J8610" t="n">
        <v>0</v>
      </c>
      <c r="K8610" t="n">
        <v>0</v>
      </c>
      <c r="L8610" t="n">
        <v>0</v>
      </c>
      <c r="M8610" t="n">
        <v>0</v>
      </c>
      <c r="N8610" t="n">
        <v>0</v>
      </c>
      <c r="O8610" t="n">
        <v>0</v>
      </c>
      <c r="P8610" t="n">
        <v>0</v>
      </c>
      <c r="Q8610" t="n">
        <v>0</v>
      </c>
      <c r="R8610" s="2" t="inlineStr"/>
    </row>
    <row r="8611" ht="15" customHeight="1">
      <c r="A8611" t="inlineStr">
        <is>
          <t>A 42561-2023</t>
        </is>
      </c>
      <c r="B8611" s="1" t="n">
        <v>45181</v>
      </c>
      <c r="C8611" s="1" t="n">
        <v>46185</v>
      </c>
      <c r="D8611" t="inlineStr">
        <is>
          <t>VÄSTERNORRLANDS LÄN</t>
        </is>
      </c>
      <c r="E8611" t="inlineStr">
        <is>
          <t>ÖRNSKÖLDSVIK</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42614-2023</t>
        </is>
      </c>
      <c r="B8612" s="1" t="n">
        <v>45176</v>
      </c>
      <c r="C8612" s="1" t="n">
        <v>46185</v>
      </c>
      <c r="D8612" t="inlineStr">
        <is>
          <t>VÄSTERNORRLANDS LÄN</t>
        </is>
      </c>
      <c r="E8612" t="inlineStr">
        <is>
          <t>ÖRNSKÖLDSVIK</t>
        </is>
      </c>
      <c r="G8612" t="n">
        <v>3.5</v>
      </c>
      <c r="H8612" t="n">
        <v>0</v>
      </c>
      <c r="I8612" t="n">
        <v>0</v>
      </c>
      <c r="J8612" t="n">
        <v>0</v>
      </c>
      <c r="K8612" t="n">
        <v>0</v>
      </c>
      <c r="L8612" t="n">
        <v>0</v>
      </c>
      <c r="M8612" t="n">
        <v>0</v>
      </c>
      <c r="N8612" t="n">
        <v>0</v>
      </c>
      <c r="O8612" t="n">
        <v>0</v>
      </c>
      <c r="P8612" t="n">
        <v>0</v>
      </c>
      <c r="Q8612" t="n">
        <v>0</v>
      </c>
      <c r="R8612" s="2" t="inlineStr"/>
    </row>
    <row r="8613" ht="15" customHeight="1">
      <c r="A8613" t="inlineStr">
        <is>
          <t>A 15859-2024</t>
        </is>
      </c>
      <c r="B8613" s="1" t="n">
        <v>45404.99732638889</v>
      </c>
      <c r="C8613" s="1" t="n">
        <v>46185</v>
      </c>
      <c r="D8613" t="inlineStr">
        <is>
          <t>VÄSTERNORRLANDS LÄN</t>
        </is>
      </c>
      <c r="E8613" t="inlineStr">
        <is>
          <t>SOLLEFTEÅ</t>
        </is>
      </c>
      <c r="F8613" t="inlineStr">
        <is>
          <t>SCA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21896-2022</t>
        </is>
      </c>
      <c r="B8614" s="1" t="n">
        <v>44711</v>
      </c>
      <c r="C8614" s="1" t="n">
        <v>46185</v>
      </c>
      <c r="D8614" t="inlineStr">
        <is>
          <t>VÄSTERNORRLANDS LÄN</t>
        </is>
      </c>
      <c r="E8614" t="inlineStr">
        <is>
          <t>ÖRNSKÖLDSVIK</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25684-2026</t>
        </is>
      </c>
      <c r="B8615" s="1" t="n">
        <v>46178.34517361111</v>
      </c>
      <c r="C8615" s="1" t="n">
        <v>46185</v>
      </c>
      <c r="D8615" t="inlineStr">
        <is>
          <t>VÄSTERNORRLANDS LÄN</t>
        </is>
      </c>
      <c r="E8615" t="inlineStr">
        <is>
          <t>ÅNGE</t>
        </is>
      </c>
      <c r="F8615" t="inlineStr">
        <is>
          <t>SCA</t>
        </is>
      </c>
      <c r="G8615" t="n">
        <v>16.5</v>
      </c>
      <c r="H8615" t="n">
        <v>0</v>
      </c>
      <c r="I8615" t="n">
        <v>0</v>
      </c>
      <c r="J8615" t="n">
        <v>0</v>
      </c>
      <c r="K8615" t="n">
        <v>0</v>
      </c>
      <c r="L8615" t="n">
        <v>0</v>
      </c>
      <c r="M8615" t="n">
        <v>0</v>
      </c>
      <c r="N8615" t="n">
        <v>0</v>
      </c>
      <c r="O8615" t="n">
        <v>0</v>
      </c>
      <c r="P8615" t="n">
        <v>0</v>
      </c>
      <c r="Q8615" t="n">
        <v>0</v>
      </c>
      <c r="R8615" s="2" t="inlineStr"/>
    </row>
    <row r="8616" ht="15" customHeight="1">
      <c r="A8616" t="inlineStr">
        <is>
          <t>A 20117-2026</t>
        </is>
      </c>
      <c r="B8616" s="1" t="n">
        <v>46136.65696759259</v>
      </c>
      <c r="C8616" s="1" t="n">
        <v>46185</v>
      </c>
      <c r="D8616" t="inlineStr">
        <is>
          <t>VÄSTERNORRLANDS LÄN</t>
        </is>
      </c>
      <c r="E8616" t="inlineStr">
        <is>
          <t>SOLLEFTEÅ</t>
        </is>
      </c>
      <c r="F8616" t="inlineStr">
        <is>
          <t>SCA</t>
        </is>
      </c>
      <c r="G8616" t="n">
        <v>5.1</v>
      </c>
      <c r="H8616" t="n">
        <v>0</v>
      </c>
      <c r="I8616" t="n">
        <v>0</v>
      </c>
      <c r="J8616" t="n">
        <v>0</v>
      </c>
      <c r="K8616" t="n">
        <v>0</v>
      </c>
      <c r="L8616" t="n">
        <v>0</v>
      </c>
      <c r="M8616" t="n">
        <v>0</v>
      </c>
      <c r="N8616" t="n">
        <v>0</v>
      </c>
      <c r="O8616" t="n">
        <v>0</v>
      </c>
      <c r="P8616" t="n">
        <v>0</v>
      </c>
      <c r="Q8616" t="n">
        <v>0</v>
      </c>
      <c r="R8616" s="2" t="inlineStr"/>
    </row>
    <row r="8617" ht="15" customHeight="1">
      <c r="A8617" t="inlineStr">
        <is>
          <t>A 20063-2026</t>
        </is>
      </c>
      <c r="B8617" s="1" t="n">
        <v>46136.58952546296</v>
      </c>
      <c r="C8617" s="1" t="n">
        <v>46185</v>
      </c>
      <c r="D8617" t="inlineStr">
        <is>
          <t>VÄSTERNORRLANDS LÄN</t>
        </is>
      </c>
      <c r="E8617" t="inlineStr">
        <is>
          <t>ÖRNSKÖLDSVIK</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25614-2026</t>
        </is>
      </c>
      <c r="B8618" s="1" t="n">
        <v>46177.67435185185</v>
      </c>
      <c r="C8618" s="1" t="n">
        <v>46185</v>
      </c>
      <c r="D8618" t="inlineStr">
        <is>
          <t>VÄSTERNORRLANDS LÄN</t>
        </is>
      </c>
      <c r="E8618" t="inlineStr">
        <is>
          <t>ÖRNSKÖLDSVIK</t>
        </is>
      </c>
      <c r="G8618" t="n">
        <v>14.3</v>
      </c>
      <c r="H8618" t="n">
        <v>0</v>
      </c>
      <c r="I8618" t="n">
        <v>0</v>
      </c>
      <c r="J8618" t="n">
        <v>0</v>
      </c>
      <c r="K8618" t="n">
        <v>0</v>
      </c>
      <c r="L8618" t="n">
        <v>0</v>
      </c>
      <c r="M8618" t="n">
        <v>0</v>
      </c>
      <c r="N8618" t="n">
        <v>0</v>
      </c>
      <c r="O8618" t="n">
        <v>0</v>
      </c>
      <c r="P8618" t="n">
        <v>0</v>
      </c>
      <c r="Q8618" t="n">
        <v>0</v>
      </c>
      <c r="R8618" s="2" t="inlineStr"/>
    </row>
    <row r="8619" ht="15" customHeight="1">
      <c r="A8619" t="inlineStr">
        <is>
          <t>A 25619-2026</t>
        </is>
      </c>
      <c r="B8619" s="1" t="n">
        <v>46177.67805555555</v>
      </c>
      <c r="C8619" s="1" t="n">
        <v>46185</v>
      </c>
      <c r="D8619" t="inlineStr">
        <is>
          <t>VÄSTERNORRLANDS LÄN</t>
        </is>
      </c>
      <c r="E8619" t="inlineStr">
        <is>
          <t>ÖRNSKÖLDSVIK</t>
        </is>
      </c>
      <c r="F8619" t="inlineStr">
        <is>
          <t>SCA</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25782-2026</t>
        </is>
      </c>
      <c r="B8620" s="1" t="n">
        <v>46178.4722800926</v>
      </c>
      <c r="C8620" s="1" t="n">
        <v>46185</v>
      </c>
      <c r="D8620" t="inlineStr">
        <is>
          <t>VÄSTERNORRLANDS LÄN</t>
        </is>
      </c>
      <c r="E8620" t="inlineStr">
        <is>
          <t>HÄRNÖSAND</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41942-2023</t>
        </is>
      </c>
      <c r="B8621" s="1" t="n">
        <v>45177</v>
      </c>
      <c r="C8621" s="1" t="n">
        <v>46185</v>
      </c>
      <c r="D8621" t="inlineStr">
        <is>
          <t>VÄSTERNORRLANDS LÄN</t>
        </is>
      </c>
      <c r="E8621" t="inlineStr">
        <is>
          <t>ÖRNSKÖLDSVIK</t>
        </is>
      </c>
      <c r="F8621" t="inlineStr">
        <is>
          <t>Holmen skog AB</t>
        </is>
      </c>
      <c r="G8621" t="n">
        <v>8.4</v>
      </c>
      <c r="H8621" t="n">
        <v>0</v>
      </c>
      <c r="I8621" t="n">
        <v>0</v>
      </c>
      <c r="J8621" t="n">
        <v>0</v>
      </c>
      <c r="K8621" t="n">
        <v>0</v>
      </c>
      <c r="L8621" t="n">
        <v>0</v>
      </c>
      <c r="M8621" t="n">
        <v>0</v>
      </c>
      <c r="N8621" t="n">
        <v>0</v>
      </c>
      <c r="O8621" t="n">
        <v>0</v>
      </c>
      <c r="P8621" t="n">
        <v>0</v>
      </c>
      <c r="Q8621" t="n">
        <v>0</v>
      </c>
      <c r="R8621" s="2" t="inlineStr"/>
    </row>
    <row r="8622" ht="15" customHeight="1">
      <c r="A8622" t="inlineStr">
        <is>
          <t>A 28961-2022</t>
        </is>
      </c>
      <c r="B8622" s="1" t="n">
        <v>44749</v>
      </c>
      <c r="C8622" s="1" t="n">
        <v>46185</v>
      </c>
      <c r="D8622" t="inlineStr">
        <is>
          <t>VÄSTERNORRLANDS LÄN</t>
        </is>
      </c>
      <c r="E8622" t="inlineStr">
        <is>
          <t>SUNDSVALL</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46795-2023</t>
        </is>
      </c>
      <c r="B8623" s="1" t="n">
        <v>45198</v>
      </c>
      <c r="C8623" s="1" t="n">
        <v>46185</v>
      </c>
      <c r="D8623" t="inlineStr">
        <is>
          <t>VÄSTERNORRLANDS LÄN</t>
        </is>
      </c>
      <c r="E8623" t="inlineStr">
        <is>
          <t>ÅNGE</t>
        </is>
      </c>
      <c r="F8623" t="inlineStr">
        <is>
          <t>Holmen skog AB</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23423-2022</t>
        </is>
      </c>
      <c r="B8624" s="1" t="n">
        <v>44720</v>
      </c>
      <c r="C8624" s="1" t="n">
        <v>46185</v>
      </c>
      <c r="D8624" t="inlineStr">
        <is>
          <t>VÄSTERNORRLANDS LÄN</t>
        </is>
      </c>
      <c r="E8624" t="inlineStr">
        <is>
          <t>SUNDSVALL</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17999-2022</t>
        </is>
      </c>
      <c r="B8625" s="1" t="n">
        <v>44683</v>
      </c>
      <c r="C8625" s="1" t="n">
        <v>46185</v>
      </c>
      <c r="D8625" t="inlineStr">
        <is>
          <t>VÄSTERNORRLANDS LÄN</t>
        </is>
      </c>
      <c r="E8625" t="inlineStr">
        <is>
          <t>SOLLEFTEÅ</t>
        </is>
      </c>
      <c r="F8625" t="inlineStr">
        <is>
          <t>SCA</t>
        </is>
      </c>
      <c r="G8625" t="n">
        <v>4.8</v>
      </c>
      <c r="H8625" t="n">
        <v>0</v>
      </c>
      <c r="I8625" t="n">
        <v>0</v>
      </c>
      <c r="J8625" t="n">
        <v>0</v>
      </c>
      <c r="K8625" t="n">
        <v>0</v>
      </c>
      <c r="L8625" t="n">
        <v>0</v>
      </c>
      <c r="M8625" t="n">
        <v>0</v>
      </c>
      <c r="N8625" t="n">
        <v>0</v>
      </c>
      <c r="O8625" t="n">
        <v>0</v>
      </c>
      <c r="P8625" t="n">
        <v>0</v>
      </c>
      <c r="Q8625" t="n">
        <v>0</v>
      </c>
      <c r="R8625" s="2" t="inlineStr"/>
    </row>
    <row r="8626" ht="15" customHeight="1">
      <c r="A8626" t="inlineStr">
        <is>
          <t>A 36513-2023</t>
        </is>
      </c>
      <c r="B8626" s="1" t="n">
        <v>45152.9537037037</v>
      </c>
      <c r="C8626" s="1" t="n">
        <v>46185</v>
      </c>
      <c r="D8626" t="inlineStr">
        <is>
          <t>VÄSTERNORRLANDS LÄN</t>
        </is>
      </c>
      <c r="E8626" t="inlineStr">
        <is>
          <t>SOLLEFTEÅ</t>
        </is>
      </c>
      <c r="F8626" t="inlineStr">
        <is>
          <t>SCA</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32069-2025</t>
        </is>
      </c>
      <c r="B8627" s="1" t="n">
        <v>45835.4487037037</v>
      </c>
      <c r="C8627" s="1" t="n">
        <v>46185</v>
      </c>
      <c r="D8627" t="inlineStr">
        <is>
          <t>VÄSTERNORRLANDS LÄN</t>
        </is>
      </c>
      <c r="E8627" t="inlineStr">
        <is>
          <t>SOLLEFTEÅ</t>
        </is>
      </c>
      <c r="F8627" t="inlineStr">
        <is>
          <t>SCA</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20010-2026</t>
        </is>
      </c>
      <c r="B8628" s="1" t="n">
        <v>46136.48356481481</v>
      </c>
      <c r="C8628" s="1" t="n">
        <v>46185</v>
      </c>
      <c r="D8628" t="inlineStr">
        <is>
          <t>VÄSTERNORRLANDS LÄN</t>
        </is>
      </c>
      <c r="E8628" t="inlineStr">
        <is>
          <t>SOLLEFTEÅ</t>
        </is>
      </c>
      <c r="G8628" t="n">
        <v>8.800000000000001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59213-2023</t>
        </is>
      </c>
      <c r="B8629" s="1" t="n">
        <v>45253.4800462963</v>
      </c>
      <c r="C8629" s="1" t="n">
        <v>46185</v>
      </c>
      <c r="D8629" t="inlineStr">
        <is>
          <t>VÄSTERNORRLANDS LÄN</t>
        </is>
      </c>
      <c r="E8629" t="inlineStr">
        <is>
          <t>SUNDSVALL</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19951-2026</t>
        </is>
      </c>
      <c r="B8630" s="1" t="n">
        <v>46136.39743055555</v>
      </c>
      <c r="C8630" s="1" t="n">
        <v>46185</v>
      </c>
      <c r="D8630" t="inlineStr">
        <is>
          <t>VÄSTERNORRLANDS LÄN</t>
        </is>
      </c>
      <c r="E8630" t="inlineStr">
        <is>
          <t>ÖRNSKÖLDSVIK</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60324-2023</t>
        </is>
      </c>
      <c r="B8631" s="1" t="n">
        <v>45258</v>
      </c>
      <c r="C8631" s="1" t="n">
        <v>46185</v>
      </c>
      <c r="D8631" t="inlineStr">
        <is>
          <t>VÄSTERNORRLANDS LÄN</t>
        </is>
      </c>
      <c r="E8631" t="inlineStr">
        <is>
          <t>ÖRNSKÖLDSVIK</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15809-2022</t>
        </is>
      </c>
      <c r="B8632" s="1" t="n">
        <v>44663</v>
      </c>
      <c r="C8632" s="1" t="n">
        <v>46185</v>
      </c>
      <c r="D8632" t="inlineStr">
        <is>
          <t>VÄSTERNORRLANDS LÄN</t>
        </is>
      </c>
      <c r="E8632" t="inlineStr">
        <is>
          <t>SOLLEFTEÅ</t>
        </is>
      </c>
      <c r="F8632" t="inlineStr">
        <is>
          <t>SCA</t>
        </is>
      </c>
      <c r="G8632" t="n">
        <v>16.3</v>
      </c>
      <c r="H8632" t="n">
        <v>0</v>
      </c>
      <c r="I8632" t="n">
        <v>0</v>
      </c>
      <c r="J8632" t="n">
        <v>0</v>
      </c>
      <c r="K8632" t="n">
        <v>0</v>
      </c>
      <c r="L8632" t="n">
        <v>0</v>
      </c>
      <c r="M8632" t="n">
        <v>0</v>
      </c>
      <c r="N8632" t="n">
        <v>0</v>
      </c>
      <c r="O8632" t="n">
        <v>0</v>
      </c>
      <c r="P8632" t="n">
        <v>0</v>
      </c>
      <c r="Q8632" t="n">
        <v>0</v>
      </c>
      <c r="R8632" s="2" t="inlineStr"/>
    </row>
    <row r="8633" ht="15" customHeight="1">
      <c r="A8633" t="inlineStr">
        <is>
          <t>A 19963-2026</t>
        </is>
      </c>
      <c r="B8633" s="1" t="n">
        <v>46136.42127314815</v>
      </c>
      <c r="C8633" s="1" t="n">
        <v>46185</v>
      </c>
      <c r="D8633" t="inlineStr">
        <is>
          <t>VÄSTERNORRLANDS LÄN</t>
        </is>
      </c>
      <c r="E8633" t="inlineStr">
        <is>
          <t>SUNDSVALL</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20025-2026</t>
        </is>
      </c>
      <c r="B8634" s="1" t="n">
        <v>46136.54762731482</v>
      </c>
      <c r="C8634" s="1" t="n">
        <v>46185</v>
      </c>
      <c r="D8634" t="inlineStr">
        <is>
          <t>VÄSTERNORRLANDS LÄN</t>
        </is>
      </c>
      <c r="E8634" t="inlineStr">
        <is>
          <t>SUNDSVALL</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25762-2026</t>
        </is>
      </c>
      <c r="B8635" s="1" t="n">
        <v>46178.44866898148</v>
      </c>
      <c r="C8635" s="1" t="n">
        <v>46185</v>
      </c>
      <c r="D8635" t="inlineStr">
        <is>
          <t>VÄSTERNORRLANDS LÄN</t>
        </is>
      </c>
      <c r="E8635" t="inlineStr">
        <is>
          <t>SOLLEFTEÅ</t>
        </is>
      </c>
      <c r="F8635" t="inlineStr">
        <is>
          <t>SCA</t>
        </is>
      </c>
      <c r="G8635" t="n">
        <v>32.5</v>
      </c>
      <c r="H8635" t="n">
        <v>0</v>
      </c>
      <c r="I8635" t="n">
        <v>0</v>
      </c>
      <c r="J8635" t="n">
        <v>0</v>
      </c>
      <c r="K8635" t="n">
        <v>0</v>
      </c>
      <c r="L8635" t="n">
        <v>0</v>
      </c>
      <c r="M8635" t="n">
        <v>0</v>
      </c>
      <c r="N8635" t="n">
        <v>0</v>
      </c>
      <c r="O8635" t="n">
        <v>0</v>
      </c>
      <c r="P8635" t="n">
        <v>0</v>
      </c>
      <c r="Q8635" t="n">
        <v>0</v>
      </c>
      <c r="R8635" s="2" t="inlineStr"/>
    </row>
    <row r="8636" ht="15" customHeight="1">
      <c r="A8636" t="inlineStr">
        <is>
          <t>A 19053-2022</t>
        </is>
      </c>
      <c r="B8636" s="1" t="n">
        <v>44691.41626157407</v>
      </c>
      <c r="C8636" s="1" t="n">
        <v>46185</v>
      </c>
      <c r="D8636" t="inlineStr">
        <is>
          <t>VÄSTERNORRLANDS LÄN</t>
        </is>
      </c>
      <c r="E8636" t="inlineStr">
        <is>
          <t>SOLLEFTEÅ</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8019-2025</t>
        </is>
      </c>
      <c r="B8637" s="1" t="n">
        <v>45707</v>
      </c>
      <c r="C8637" s="1" t="n">
        <v>46185</v>
      </c>
      <c r="D8637" t="inlineStr">
        <is>
          <t>VÄSTERNORRLANDS LÄN</t>
        </is>
      </c>
      <c r="E8637" t="inlineStr">
        <is>
          <t>ÖRNSKÖLDSVIK</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20126-2026</t>
        </is>
      </c>
      <c r="B8638" s="1" t="n">
        <v>46136</v>
      </c>
      <c r="C8638" s="1" t="n">
        <v>46185</v>
      </c>
      <c r="D8638" t="inlineStr">
        <is>
          <t>VÄSTERNORRLANDS LÄN</t>
        </is>
      </c>
      <c r="E8638" t="inlineStr">
        <is>
          <t>ÅNGE</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21396-2022</t>
        </is>
      </c>
      <c r="B8639" s="1" t="n">
        <v>44705</v>
      </c>
      <c r="C8639" s="1" t="n">
        <v>46185</v>
      </c>
      <c r="D8639" t="inlineStr">
        <is>
          <t>VÄSTERNORRLANDS LÄN</t>
        </is>
      </c>
      <c r="E8639" t="inlineStr">
        <is>
          <t>SUNDSVALL</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36874-2023</t>
        </is>
      </c>
      <c r="B8640" s="1" t="n">
        <v>45154</v>
      </c>
      <c r="C8640" s="1" t="n">
        <v>46185</v>
      </c>
      <c r="D8640" t="inlineStr">
        <is>
          <t>VÄSTERNORRLANDS LÄN</t>
        </is>
      </c>
      <c r="E8640" t="inlineStr">
        <is>
          <t>SUNDSVALL</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20125-2026</t>
        </is>
      </c>
      <c r="B8641" s="1" t="n">
        <v>46136</v>
      </c>
      <c r="C8641" s="1" t="n">
        <v>46185</v>
      </c>
      <c r="D8641" t="inlineStr">
        <is>
          <t>VÄSTERNORRLANDS LÄN</t>
        </is>
      </c>
      <c r="E8641" t="inlineStr">
        <is>
          <t>ÅNGE</t>
        </is>
      </c>
      <c r="G8641" t="n">
        <v>4.9</v>
      </c>
      <c r="H8641" t="n">
        <v>0</v>
      </c>
      <c r="I8641" t="n">
        <v>0</v>
      </c>
      <c r="J8641" t="n">
        <v>0</v>
      </c>
      <c r="K8641" t="n">
        <v>0</v>
      </c>
      <c r="L8641" t="n">
        <v>0</v>
      </c>
      <c r="M8641" t="n">
        <v>0</v>
      </c>
      <c r="N8641" t="n">
        <v>0</v>
      </c>
      <c r="O8641" t="n">
        <v>0</v>
      </c>
      <c r="P8641" t="n">
        <v>0</v>
      </c>
      <c r="Q8641" t="n">
        <v>0</v>
      </c>
      <c r="R8641" s="2" t="inlineStr"/>
    </row>
    <row r="8642" ht="15" customHeight="1">
      <c r="A8642" t="inlineStr">
        <is>
          <t>A 4133-2025</t>
        </is>
      </c>
      <c r="B8642" s="1" t="n">
        <v>45685.34559027778</v>
      </c>
      <c r="C8642" s="1" t="n">
        <v>46185</v>
      </c>
      <c r="D8642" t="inlineStr">
        <is>
          <t>VÄSTERNORRLANDS LÄN</t>
        </is>
      </c>
      <c r="E8642" t="inlineStr">
        <is>
          <t>SOLLEFTEÅ</t>
        </is>
      </c>
      <c r="F8642" t="inlineStr">
        <is>
          <t>SCA</t>
        </is>
      </c>
      <c r="G8642" t="n">
        <v>37.2</v>
      </c>
      <c r="H8642" t="n">
        <v>0</v>
      </c>
      <c r="I8642" t="n">
        <v>0</v>
      </c>
      <c r="J8642" t="n">
        <v>0</v>
      </c>
      <c r="K8642" t="n">
        <v>0</v>
      </c>
      <c r="L8642" t="n">
        <v>0</v>
      </c>
      <c r="M8642" t="n">
        <v>0</v>
      </c>
      <c r="N8642" t="n">
        <v>0</v>
      </c>
      <c r="O8642" t="n">
        <v>0</v>
      </c>
      <c r="P8642" t="n">
        <v>0</v>
      </c>
      <c r="Q8642" t="n">
        <v>0</v>
      </c>
      <c r="R8642" s="2" t="inlineStr"/>
    </row>
    <row r="8643" ht="15" customHeight="1">
      <c r="A8643" t="inlineStr">
        <is>
          <t>A 49284-2023</t>
        </is>
      </c>
      <c r="B8643" s="1" t="n">
        <v>45210.7169212963</v>
      </c>
      <c r="C8643" s="1" t="n">
        <v>46185</v>
      </c>
      <c r="D8643" t="inlineStr">
        <is>
          <t>VÄSTERNORRLANDS LÄN</t>
        </is>
      </c>
      <c r="E8643" t="inlineStr">
        <is>
          <t>ÖRNSKÖLDSVIK</t>
        </is>
      </c>
      <c r="F8643" t="inlineStr">
        <is>
          <t>Holmen skog AB</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49929-2023</t>
        </is>
      </c>
      <c r="B8644" s="1" t="n">
        <v>45214.93671296296</v>
      </c>
      <c r="C8644" s="1" t="n">
        <v>46185</v>
      </c>
      <c r="D8644" t="inlineStr">
        <is>
          <t>VÄSTERNORRLANDS LÄN</t>
        </is>
      </c>
      <c r="E8644" t="inlineStr">
        <is>
          <t>ÖRNSKÖLDSVIK</t>
        </is>
      </c>
      <c r="F8644" t="inlineStr">
        <is>
          <t>SCA</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19846-2026</t>
        </is>
      </c>
      <c r="B8645" s="1" t="n">
        <v>46135.61607638889</v>
      </c>
      <c r="C8645" s="1" t="n">
        <v>46185</v>
      </c>
      <c r="D8645" t="inlineStr">
        <is>
          <t>VÄSTERNORRLANDS LÄN</t>
        </is>
      </c>
      <c r="E8645" t="inlineStr">
        <is>
          <t>SOLLEFTEÅ</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25504-2026</t>
        </is>
      </c>
      <c r="B8646" s="1" t="n">
        <v>46177.45950231481</v>
      </c>
      <c r="C8646" s="1" t="n">
        <v>46185</v>
      </c>
      <c r="D8646" t="inlineStr">
        <is>
          <t>VÄSTERNORRLANDS LÄN</t>
        </is>
      </c>
      <c r="E8646" t="inlineStr">
        <is>
          <t>SOLLEFTEÅ</t>
        </is>
      </c>
      <c r="F8646" t="inlineStr">
        <is>
          <t>Övriga statliga verk och myndigheter</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7934-2025</t>
        </is>
      </c>
      <c r="B8647" s="1" t="n">
        <v>45707</v>
      </c>
      <c r="C8647" s="1" t="n">
        <v>46185</v>
      </c>
      <c r="D8647" t="inlineStr">
        <is>
          <t>VÄSTERNORRLANDS LÄN</t>
        </is>
      </c>
      <c r="E8647" t="inlineStr">
        <is>
          <t>KRAMFORS</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48202-2023</t>
        </is>
      </c>
      <c r="B8648" s="1" t="n">
        <v>45205</v>
      </c>
      <c r="C8648" s="1" t="n">
        <v>46185</v>
      </c>
      <c r="D8648" t="inlineStr">
        <is>
          <t>VÄSTERNORRLANDS LÄN</t>
        </is>
      </c>
      <c r="E8648" t="inlineStr">
        <is>
          <t>ÖRNSKÖLDSVIK</t>
        </is>
      </c>
      <c r="F8648" t="inlineStr">
        <is>
          <t>Holmen skog AB</t>
        </is>
      </c>
      <c r="G8648" t="n">
        <v>5.4</v>
      </c>
      <c r="H8648" t="n">
        <v>0</v>
      </c>
      <c r="I8648" t="n">
        <v>0</v>
      </c>
      <c r="J8648" t="n">
        <v>0</v>
      </c>
      <c r="K8648" t="n">
        <v>0</v>
      </c>
      <c r="L8648" t="n">
        <v>0</v>
      </c>
      <c r="M8648" t="n">
        <v>0</v>
      </c>
      <c r="N8648" t="n">
        <v>0</v>
      </c>
      <c r="O8648" t="n">
        <v>0</v>
      </c>
      <c r="P8648" t="n">
        <v>0</v>
      </c>
      <c r="Q8648" t="n">
        <v>0</v>
      </c>
      <c r="R8648" s="2" t="inlineStr"/>
    </row>
    <row r="8649" ht="15" customHeight="1">
      <c r="A8649" t="inlineStr">
        <is>
          <t>A 12903-2022</t>
        </is>
      </c>
      <c r="B8649" s="1" t="n">
        <v>44642</v>
      </c>
      <c r="C8649" s="1" t="n">
        <v>46185</v>
      </c>
      <c r="D8649" t="inlineStr">
        <is>
          <t>VÄSTERNORRLANDS LÄN</t>
        </is>
      </c>
      <c r="E8649" t="inlineStr">
        <is>
          <t>ÖRNSKÖLDSVIK</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25732-2026</t>
        </is>
      </c>
      <c r="B8650" s="1" t="n">
        <v>46178.40710648148</v>
      </c>
      <c r="C8650" s="1" t="n">
        <v>46185</v>
      </c>
      <c r="D8650" t="inlineStr">
        <is>
          <t>VÄSTERNORRLANDS LÄN</t>
        </is>
      </c>
      <c r="E8650" t="inlineStr">
        <is>
          <t>SUNDSVALL</t>
        </is>
      </c>
      <c r="F8650" t="inlineStr">
        <is>
          <t>SCA</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42646-2023</t>
        </is>
      </c>
      <c r="B8651" s="1" t="n">
        <v>45181</v>
      </c>
      <c r="C8651" s="1" t="n">
        <v>46185</v>
      </c>
      <c r="D8651" t="inlineStr">
        <is>
          <t>VÄSTERNORRLANDS LÄN</t>
        </is>
      </c>
      <c r="E8651" t="inlineStr">
        <is>
          <t>HÄRNÖSAND</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14087-2026</t>
        </is>
      </c>
      <c r="B8652" s="1" t="n">
        <v>46099</v>
      </c>
      <c r="C8652" s="1" t="n">
        <v>46185</v>
      </c>
      <c r="D8652" t="inlineStr">
        <is>
          <t>VÄSTERNORRLANDS LÄN</t>
        </is>
      </c>
      <c r="E8652" t="inlineStr">
        <is>
          <t>SUNDSVALL</t>
        </is>
      </c>
      <c r="G8652" t="n">
        <v>7.7</v>
      </c>
      <c r="H8652" t="n">
        <v>0</v>
      </c>
      <c r="I8652" t="n">
        <v>0</v>
      </c>
      <c r="J8652" t="n">
        <v>0</v>
      </c>
      <c r="K8652" t="n">
        <v>0</v>
      </c>
      <c r="L8652" t="n">
        <v>0</v>
      </c>
      <c r="M8652" t="n">
        <v>0</v>
      </c>
      <c r="N8652" t="n">
        <v>0</v>
      </c>
      <c r="O8652" t="n">
        <v>0</v>
      </c>
      <c r="P8652" t="n">
        <v>0</v>
      </c>
      <c r="Q8652" t="n">
        <v>0</v>
      </c>
      <c r="R8652" s="2" t="inlineStr"/>
    </row>
    <row r="8653" ht="15" customHeight="1">
      <c r="A8653" t="inlineStr">
        <is>
          <t>A 23282-2022</t>
        </is>
      </c>
      <c r="B8653" s="1" t="n">
        <v>44720</v>
      </c>
      <c r="C8653" s="1" t="n">
        <v>46185</v>
      </c>
      <c r="D8653" t="inlineStr">
        <is>
          <t>VÄSTERNORRLANDS LÄN</t>
        </is>
      </c>
      <c r="E8653" t="inlineStr">
        <is>
          <t>SOLLEFTEÅ</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16492-2025</t>
        </is>
      </c>
      <c r="B8654" s="1" t="n">
        <v>45751.59414351852</v>
      </c>
      <c r="C8654" s="1" t="n">
        <v>46185</v>
      </c>
      <c r="D8654" t="inlineStr">
        <is>
          <t>VÄSTERNORRLANDS LÄN</t>
        </is>
      </c>
      <c r="E8654" t="inlineStr">
        <is>
          <t>SOLLEFTEÅ</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38997-2023</t>
        </is>
      </c>
      <c r="B8655" s="1" t="n">
        <v>45161</v>
      </c>
      <c r="C8655" s="1" t="n">
        <v>46185</v>
      </c>
      <c r="D8655" t="inlineStr">
        <is>
          <t>VÄSTERNORRLANDS LÄN</t>
        </is>
      </c>
      <c r="E8655" t="inlineStr">
        <is>
          <t>KRAMFORS</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36226-2021</t>
        </is>
      </c>
      <c r="B8656" s="1" t="n">
        <v>44389.92116898148</v>
      </c>
      <c r="C8656" s="1" t="n">
        <v>46185</v>
      </c>
      <c r="D8656" t="inlineStr">
        <is>
          <t>VÄSTERNORRLANDS LÄN</t>
        </is>
      </c>
      <c r="E8656" t="inlineStr">
        <is>
          <t>SUNDSVALL</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39973-2023</t>
        </is>
      </c>
      <c r="B8657" s="1" t="n">
        <v>45168.5858912037</v>
      </c>
      <c r="C8657" s="1" t="n">
        <v>46185</v>
      </c>
      <c r="D8657" t="inlineStr">
        <is>
          <t>VÄSTERNORRLANDS LÄN</t>
        </is>
      </c>
      <c r="E8657" t="inlineStr">
        <is>
          <t>ÅNGE</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55768-2023</t>
        </is>
      </c>
      <c r="B8658" s="1" t="n">
        <v>45239.479375</v>
      </c>
      <c r="C8658" s="1" t="n">
        <v>46185</v>
      </c>
      <c r="D8658" t="inlineStr">
        <is>
          <t>VÄSTERNORRLANDS LÄN</t>
        </is>
      </c>
      <c r="E8658" t="inlineStr">
        <is>
          <t>SUNDSVALL</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5862-2025</t>
        </is>
      </c>
      <c r="B8659" s="1" t="n">
        <v>45695.35061342592</v>
      </c>
      <c r="C8659" s="1" t="n">
        <v>46185</v>
      </c>
      <c r="D8659" t="inlineStr">
        <is>
          <t>VÄSTERNORRLANDS LÄN</t>
        </is>
      </c>
      <c r="E8659" t="inlineStr">
        <is>
          <t>SOLLEFTEÅ</t>
        </is>
      </c>
      <c r="F8659" t="inlineStr">
        <is>
          <t>Holmen skog AB</t>
        </is>
      </c>
      <c r="G8659" t="n">
        <v>0.3</v>
      </c>
      <c r="H8659" t="n">
        <v>0</v>
      </c>
      <c r="I8659" t="n">
        <v>0</v>
      </c>
      <c r="J8659" t="n">
        <v>0</v>
      </c>
      <c r="K8659" t="n">
        <v>0</v>
      </c>
      <c r="L8659" t="n">
        <v>0</v>
      </c>
      <c r="M8659" t="n">
        <v>0</v>
      </c>
      <c r="N8659" t="n">
        <v>0</v>
      </c>
      <c r="O8659" t="n">
        <v>0</v>
      </c>
      <c r="P8659" t="n">
        <v>0</v>
      </c>
      <c r="Q8659" t="n">
        <v>0</v>
      </c>
      <c r="R8659" s="2" t="inlineStr"/>
    </row>
    <row r="8660" ht="15" customHeight="1">
      <c r="A8660" t="inlineStr">
        <is>
          <t>A 3293-2025</t>
        </is>
      </c>
      <c r="B8660" s="1" t="n">
        <v>45679</v>
      </c>
      <c r="C8660" s="1" t="n">
        <v>46185</v>
      </c>
      <c r="D8660" t="inlineStr">
        <is>
          <t>VÄSTERNORRLANDS LÄN</t>
        </is>
      </c>
      <c r="E8660" t="inlineStr">
        <is>
          <t>SUNDSVALL</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21183-2022</t>
        </is>
      </c>
      <c r="B8661" s="1" t="n">
        <v>44704</v>
      </c>
      <c r="C8661" s="1" t="n">
        <v>46185</v>
      </c>
      <c r="D8661" t="inlineStr">
        <is>
          <t>VÄSTERNORRLANDS LÄN</t>
        </is>
      </c>
      <c r="E8661" t="inlineStr">
        <is>
          <t>SUNDSVALL</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25737-2022</t>
        </is>
      </c>
      <c r="B8662" s="1" t="n">
        <v>44733.43085648148</v>
      </c>
      <c r="C8662" s="1" t="n">
        <v>46185</v>
      </c>
      <c r="D8662" t="inlineStr">
        <is>
          <t>VÄSTERNORRLANDS LÄN</t>
        </is>
      </c>
      <c r="E8662" t="inlineStr">
        <is>
          <t>ÖRNSKÖLDSVIK</t>
        </is>
      </c>
      <c r="F8662" t="inlineStr">
        <is>
          <t>Holmen skog AB</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21605-2026</t>
        </is>
      </c>
      <c r="B8663" s="1" t="n">
        <v>46149</v>
      </c>
      <c r="C8663" s="1" t="n">
        <v>46185</v>
      </c>
      <c r="D8663" t="inlineStr">
        <is>
          <t>VÄSTERNORRLANDS LÄN</t>
        </is>
      </c>
      <c r="E8663" t="inlineStr">
        <is>
          <t>SOLLEFTEÅ</t>
        </is>
      </c>
      <c r="F8663" t="inlineStr">
        <is>
          <t>SCA</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12736-2025</t>
        </is>
      </c>
      <c r="B8664" s="1" t="n">
        <v>45733.52583333333</v>
      </c>
      <c r="C8664" s="1" t="n">
        <v>46185</v>
      </c>
      <c r="D8664" t="inlineStr">
        <is>
          <t>VÄSTERNORRLANDS LÄN</t>
        </is>
      </c>
      <c r="E8664" t="inlineStr">
        <is>
          <t>ÖRNSKÖLDSVIK</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25624-2026</t>
        </is>
      </c>
      <c r="B8665" s="1" t="n">
        <v>46177</v>
      </c>
      <c r="C8665" s="1" t="n">
        <v>46185</v>
      </c>
      <c r="D8665" t="inlineStr">
        <is>
          <t>VÄSTERNORRLANDS LÄN</t>
        </is>
      </c>
      <c r="E8665" t="inlineStr">
        <is>
          <t>TIMRÅ</t>
        </is>
      </c>
      <c r="F8665" t="inlineStr">
        <is>
          <t>SCA</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3713-2025</t>
        </is>
      </c>
      <c r="B8666" s="1" t="n">
        <v>45681.51127314815</v>
      </c>
      <c r="C8666" s="1" t="n">
        <v>46185</v>
      </c>
      <c r="D8666" t="inlineStr">
        <is>
          <t>VÄSTERNORRLANDS LÄN</t>
        </is>
      </c>
      <c r="E8666" t="inlineStr">
        <is>
          <t>SUNDSVALL</t>
        </is>
      </c>
      <c r="F8666" t="inlineStr">
        <is>
          <t>SCA</t>
        </is>
      </c>
      <c r="G8666" t="n">
        <v>9.6</v>
      </c>
      <c r="H8666" t="n">
        <v>0</v>
      </c>
      <c r="I8666" t="n">
        <v>0</v>
      </c>
      <c r="J8666" t="n">
        <v>0</v>
      </c>
      <c r="K8666" t="n">
        <v>0</v>
      </c>
      <c r="L8666" t="n">
        <v>0</v>
      </c>
      <c r="M8666" t="n">
        <v>0</v>
      </c>
      <c r="N8666" t="n">
        <v>0</v>
      </c>
      <c r="O8666" t="n">
        <v>0</v>
      </c>
      <c r="P8666" t="n">
        <v>0</v>
      </c>
      <c r="Q8666" t="n">
        <v>0</v>
      </c>
      <c r="R8666" s="2" t="inlineStr"/>
    </row>
    <row r="8667" ht="15" customHeight="1">
      <c r="A8667" t="inlineStr">
        <is>
          <t>A 18188-2022</t>
        </is>
      </c>
      <c r="B8667" s="1" t="n">
        <v>44684.94004629629</v>
      </c>
      <c r="C8667" s="1" t="n">
        <v>46185</v>
      </c>
      <c r="D8667" t="inlineStr">
        <is>
          <t>VÄSTERNORRLANDS LÄN</t>
        </is>
      </c>
      <c r="E8667" t="inlineStr">
        <is>
          <t>SOLLEFTEÅ</t>
        </is>
      </c>
      <c r="F8667" t="inlineStr">
        <is>
          <t>SCA</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25636-2026</t>
        </is>
      </c>
      <c r="B8668" s="1" t="n">
        <v>46175</v>
      </c>
      <c r="C8668" s="1" t="n">
        <v>46185</v>
      </c>
      <c r="D8668" t="inlineStr">
        <is>
          <t>VÄSTERNORRLANDS LÄN</t>
        </is>
      </c>
      <c r="E8668" t="inlineStr">
        <is>
          <t>SOLLEFTEÅ</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25007-2022</t>
        </is>
      </c>
      <c r="B8669" s="1" t="n">
        <v>44728</v>
      </c>
      <c r="C8669" s="1" t="n">
        <v>46185</v>
      </c>
      <c r="D8669" t="inlineStr">
        <is>
          <t>VÄSTERNORRLANDS LÄN</t>
        </is>
      </c>
      <c r="E8669" t="inlineStr">
        <is>
          <t>HÄRNÖSAND</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20105-2026</t>
        </is>
      </c>
      <c r="B8670" s="1" t="n">
        <v>46136.65170138889</v>
      </c>
      <c r="C8670" s="1" t="n">
        <v>46185</v>
      </c>
      <c r="D8670" t="inlineStr">
        <is>
          <t>VÄSTERNORRLANDS LÄN</t>
        </is>
      </c>
      <c r="E8670" t="inlineStr">
        <is>
          <t>SOLLEFTEÅ</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20120-2026</t>
        </is>
      </c>
      <c r="B8671" s="1" t="n">
        <v>46136.65740740741</v>
      </c>
      <c r="C8671" s="1" t="n">
        <v>46185</v>
      </c>
      <c r="D8671" t="inlineStr">
        <is>
          <t>VÄSTERNORRLANDS LÄN</t>
        </is>
      </c>
      <c r="E8671" t="inlineStr">
        <is>
          <t>SUNDSVALL</t>
        </is>
      </c>
      <c r="F8671" t="inlineStr">
        <is>
          <t>SCA</t>
        </is>
      </c>
      <c r="G8671" t="n">
        <v>13.9</v>
      </c>
      <c r="H8671" t="n">
        <v>0</v>
      </c>
      <c r="I8671" t="n">
        <v>0</v>
      </c>
      <c r="J8671" t="n">
        <v>0</v>
      </c>
      <c r="K8671" t="n">
        <v>0</v>
      </c>
      <c r="L8671" t="n">
        <v>0</v>
      </c>
      <c r="M8671" t="n">
        <v>0</v>
      </c>
      <c r="N8671" t="n">
        <v>0</v>
      </c>
      <c r="O8671" t="n">
        <v>0</v>
      </c>
      <c r="P8671" t="n">
        <v>0</v>
      </c>
      <c r="Q8671" t="n">
        <v>0</v>
      </c>
      <c r="R8671" s="2" t="inlineStr"/>
    </row>
    <row r="8672" ht="15" customHeight="1">
      <c r="A8672" t="inlineStr">
        <is>
          <t>A 20124-2026</t>
        </is>
      </c>
      <c r="B8672" s="1" t="n">
        <v>46136.66731481482</v>
      </c>
      <c r="C8672" s="1" t="n">
        <v>46185</v>
      </c>
      <c r="D8672" t="inlineStr">
        <is>
          <t>VÄSTERNORRLANDS LÄN</t>
        </is>
      </c>
      <c r="E8672" t="inlineStr">
        <is>
          <t>SOLLEFTEÅ</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19874-2026</t>
        </is>
      </c>
      <c r="B8673" s="1" t="n">
        <v>46135.65681712963</v>
      </c>
      <c r="C8673" s="1" t="n">
        <v>46185</v>
      </c>
      <c r="D8673" t="inlineStr">
        <is>
          <t>VÄSTERNORRLANDS LÄN</t>
        </is>
      </c>
      <c r="E8673" t="inlineStr">
        <is>
          <t>SUNDSVALL</t>
        </is>
      </c>
      <c r="F8673" t="inlineStr">
        <is>
          <t>SCA</t>
        </is>
      </c>
      <c r="G8673" t="n">
        <v>6.6</v>
      </c>
      <c r="H8673" t="n">
        <v>0</v>
      </c>
      <c r="I8673" t="n">
        <v>0</v>
      </c>
      <c r="J8673" t="n">
        <v>0</v>
      </c>
      <c r="K8673" t="n">
        <v>0</v>
      </c>
      <c r="L8673" t="n">
        <v>0</v>
      </c>
      <c r="M8673" t="n">
        <v>0</v>
      </c>
      <c r="N8673" t="n">
        <v>0</v>
      </c>
      <c r="O8673" t="n">
        <v>0</v>
      </c>
      <c r="P8673" t="n">
        <v>0</v>
      </c>
      <c r="Q8673" t="n">
        <v>0</v>
      </c>
      <c r="R8673" s="2" t="inlineStr"/>
    </row>
    <row r="8674" ht="15" customHeight="1">
      <c r="A8674" t="inlineStr">
        <is>
          <t>A 11177-2025</t>
        </is>
      </c>
      <c r="B8674" s="1" t="n">
        <v>45724.77891203704</v>
      </c>
      <c r="C8674" s="1" t="n">
        <v>46185</v>
      </c>
      <c r="D8674" t="inlineStr">
        <is>
          <t>VÄSTERNORRLANDS LÄN</t>
        </is>
      </c>
      <c r="E8674" t="inlineStr">
        <is>
          <t>KRAMFORS</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19915-2026</t>
        </is>
      </c>
      <c r="B8675" s="1" t="n">
        <v>46136.3446875</v>
      </c>
      <c r="C8675" s="1" t="n">
        <v>46185</v>
      </c>
      <c r="D8675" t="inlineStr">
        <is>
          <t>VÄSTERNORRLANDS LÄN</t>
        </is>
      </c>
      <c r="E8675" t="inlineStr">
        <is>
          <t>SOLLEFTEÅ</t>
        </is>
      </c>
      <c r="F8675" t="inlineStr">
        <is>
          <t>SCA</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20131-2026</t>
        </is>
      </c>
      <c r="B8676" s="1" t="n">
        <v>46136.69837962963</v>
      </c>
      <c r="C8676" s="1" t="n">
        <v>46185</v>
      </c>
      <c r="D8676" t="inlineStr">
        <is>
          <t>VÄSTERNORRLANDS LÄN</t>
        </is>
      </c>
      <c r="E8676" t="inlineStr">
        <is>
          <t>SUNDSVALL</t>
        </is>
      </c>
      <c r="F8676" t="inlineStr">
        <is>
          <t>SCA</t>
        </is>
      </c>
      <c r="G8676" t="n">
        <v>24.9</v>
      </c>
      <c r="H8676" t="n">
        <v>0</v>
      </c>
      <c r="I8676" t="n">
        <v>0</v>
      </c>
      <c r="J8676" t="n">
        <v>0</v>
      </c>
      <c r="K8676" t="n">
        <v>0</v>
      </c>
      <c r="L8676" t="n">
        <v>0</v>
      </c>
      <c r="M8676" t="n">
        <v>0</v>
      </c>
      <c r="N8676" t="n">
        <v>0</v>
      </c>
      <c r="O8676" t="n">
        <v>0</v>
      </c>
      <c r="P8676" t="n">
        <v>0</v>
      </c>
      <c r="Q8676" t="n">
        <v>0</v>
      </c>
      <c r="R8676" s="2" t="inlineStr"/>
    </row>
    <row r="8677" ht="15" customHeight="1">
      <c r="A8677" t="inlineStr">
        <is>
          <t>A 51518-2023</t>
        </is>
      </c>
      <c r="B8677" s="1" t="n">
        <v>45222</v>
      </c>
      <c r="C8677" s="1" t="n">
        <v>46185</v>
      </c>
      <c r="D8677" t="inlineStr">
        <is>
          <t>VÄSTERNORRLANDS LÄN</t>
        </is>
      </c>
      <c r="E8677" t="inlineStr">
        <is>
          <t>ÖRNSKÖLDSVIK</t>
        </is>
      </c>
      <c r="F8677" t="inlineStr">
        <is>
          <t>Holmen skog AB</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31864-2024</t>
        </is>
      </c>
      <c r="B8678" s="1" t="n">
        <v>45509.74791666667</v>
      </c>
      <c r="C8678" s="1" t="n">
        <v>46185</v>
      </c>
      <c r="D8678" t="inlineStr">
        <is>
          <t>VÄSTERNORRLANDS LÄN</t>
        </is>
      </c>
      <c r="E8678" t="inlineStr">
        <is>
          <t>ÅNGE</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44935-2025</t>
        </is>
      </c>
      <c r="B8679" s="1" t="n">
        <v>45918.57392361111</v>
      </c>
      <c r="C8679" s="1" t="n">
        <v>46185</v>
      </c>
      <c r="D8679" t="inlineStr">
        <is>
          <t>VÄSTERNORRLANDS LÄN</t>
        </is>
      </c>
      <c r="E8679" t="inlineStr">
        <is>
          <t>ÅNGE</t>
        </is>
      </c>
      <c r="F8679" t="inlineStr">
        <is>
          <t>SCA</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58637-2023</t>
        </is>
      </c>
      <c r="B8680" s="1" t="n">
        <v>45251</v>
      </c>
      <c r="C8680" s="1" t="n">
        <v>46185</v>
      </c>
      <c r="D8680" t="inlineStr">
        <is>
          <t>VÄSTERNORRLANDS LÄN</t>
        </is>
      </c>
      <c r="E8680" t="inlineStr">
        <is>
          <t>ÅNGE</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25621-2026</t>
        </is>
      </c>
      <c r="B8681" s="1" t="n">
        <v>46177.67825231481</v>
      </c>
      <c r="C8681" s="1" t="n">
        <v>46185</v>
      </c>
      <c r="D8681" t="inlineStr">
        <is>
          <t>VÄSTERNORRLANDS LÄN</t>
        </is>
      </c>
      <c r="E8681" t="inlineStr">
        <is>
          <t>ÖRNSKÖLDSVIK</t>
        </is>
      </c>
      <c r="F8681" t="inlineStr">
        <is>
          <t>SCA</t>
        </is>
      </c>
      <c r="G8681" t="n">
        <v>7</v>
      </c>
      <c r="H8681" t="n">
        <v>0</v>
      </c>
      <c r="I8681" t="n">
        <v>0</v>
      </c>
      <c r="J8681" t="n">
        <v>0</v>
      </c>
      <c r="K8681" t="n">
        <v>0</v>
      </c>
      <c r="L8681" t="n">
        <v>0</v>
      </c>
      <c r="M8681" t="n">
        <v>0</v>
      </c>
      <c r="N8681" t="n">
        <v>0</v>
      </c>
      <c r="O8681" t="n">
        <v>0</v>
      </c>
      <c r="P8681" t="n">
        <v>0</v>
      </c>
      <c r="Q8681" t="n">
        <v>0</v>
      </c>
      <c r="R8681" s="2" t="inlineStr"/>
    </row>
    <row r="8682" ht="15" customHeight="1">
      <c r="A8682" t="inlineStr">
        <is>
          <t>A 58643-2023</t>
        </is>
      </c>
      <c r="B8682" s="1" t="n">
        <v>45251.58550925926</v>
      </c>
      <c r="C8682" s="1" t="n">
        <v>46185</v>
      </c>
      <c r="D8682" t="inlineStr">
        <is>
          <t>VÄSTERNORRLANDS LÄN</t>
        </is>
      </c>
      <c r="E8682" t="inlineStr">
        <is>
          <t>ÖRNSKÖLDSVIK</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17739-2022</t>
        </is>
      </c>
      <c r="B8683" s="1" t="n">
        <v>44680</v>
      </c>
      <c r="C8683" s="1" t="n">
        <v>46185</v>
      </c>
      <c r="D8683" t="inlineStr">
        <is>
          <t>VÄSTERNORRLANDS LÄN</t>
        </is>
      </c>
      <c r="E8683" t="inlineStr">
        <is>
          <t>ÖRNSKÖLDSVIK</t>
        </is>
      </c>
      <c r="F8683" t="inlineStr">
        <is>
          <t>SCA</t>
        </is>
      </c>
      <c r="G8683" t="n">
        <v>6.2</v>
      </c>
      <c r="H8683" t="n">
        <v>0</v>
      </c>
      <c r="I8683" t="n">
        <v>0</v>
      </c>
      <c r="J8683" t="n">
        <v>0</v>
      </c>
      <c r="K8683" t="n">
        <v>0</v>
      </c>
      <c r="L8683" t="n">
        <v>0</v>
      </c>
      <c r="M8683" t="n">
        <v>0</v>
      </c>
      <c r="N8683" t="n">
        <v>0</v>
      </c>
      <c r="O8683" t="n">
        <v>0</v>
      </c>
      <c r="P8683" t="n">
        <v>0</v>
      </c>
      <c r="Q8683" t="n">
        <v>0</v>
      </c>
      <c r="R8683" s="2" t="inlineStr"/>
    </row>
    <row r="8684" ht="15" customHeight="1">
      <c r="A8684" t="inlineStr">
        <is>
          <t>A 45735-2023</t>
        </is>
      </c>
      <c r="B8684" s="1" t="n">
        <v>45189</v>
      </c>
      <c r="C8684" s="1" t="n">
        <v>46185</v>
      </c>
      <c r="D8684" t="inlineStr">
        <is>
          <t>VÄSTERNORRLANDS LÄN</t>
        </is>
      </c>
      <c r="E8684" t="inlineStr">
        <is>
          <t>HÄRNÖSAND</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58427-2023</t>
        </is>
      </c>
      <c r="B8685" s="1" t="n">
        <v>45250</v>
      </c>
      <c r="C8685" s="1" t="n">
        <v>46185</v>
      </c>
      <c r="D8685" t="inlineStr">
        <is>
          <t>VÄSTERNORRLANDS LÄN</t>
        </is>
      </c>
      <c r="E8685" t="inlineStr">
        <is>
          <t>SOLLEFTEÅ</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45774-2023</t>
        </is>
      </c>
      <c r="B8686" s="1" t="n">
        <v>45189</v>
      </c>
      <c r="C8686" s="1" t="n">
        <v>46185</v>
      </c>
      <c r="D8686" t="inlineStr">
        <is>
          <t>VÄSTERNORRLANDS LÄN</t>
        </is>
      </c>
      <c r="E8686" t="inlineStr">
        <is>
          <t>TIMRÅ</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19988-2026</t>
        </is>
      </c>
      <c r="B8687" s="1" t="n">
        <v>46136.45504629629</v>
      </c>
      <c r="C8687" s="1" t="n">
        <v>46185</v>
      </c>
      <c r="D8687" t="inlineStr">
        <is>
          <t>VÄSTERNORRLANDS LÄN</t>
        </is>
      </c>
      <c r="E8687" t="inlineStr">
        <is>
          <t>SUNDSVALL</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18650-2025</t>
        </is>
      </c>
      <c r="B8688" s="1" t="n">
        <v>45763.5741550926</v>
      </c>
      <c r="C8688" s="1" t="n">
        <v>46185</v>
      </c>
      <c r="D8688" t="inlineStr">
        <is>
          <t>VÄSTERNORRLANDS LÄN</t>
        </is>
      </c>
      <c r="E8688" t="inlineStr">
        <is>
          <t>KRAMFORS</t>
        </is>
      </c>
      <c r="F8688" t="inlineStr">
        <is>
          <t>SCA</t>
        </is>
      </c>
      <c r="G8688" t="n">
        <v>9.699999999999999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18651-2025</t>
        </is>
      </c>
      <c r="B8689" s="1" t="n">
        <v>45763</v>
      </c>
      <c r="C8689" s="1" t="n">
        <v>46185</v>
      </c>
      <c r="D8689" t="inlineStr">
        <is>
          <t>VÄSTERNORRLANDS LÄN</t>
        </is>
      </c>
      <c r="E8689" t="inlineStr">
        <is>
          <t>KRAMFORS</t>
        </is>
      </c>
      <c r="F8689" t="inlineStr">
        <is>
          <t>SCA</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18653-2025</t>
        </is>
      </c>
      <c r="B8690" s="1" t="n">
        <v>45763.57467592593</v>
      </c>
      <c r="C8690" s="1" t="n">
        <v>46185</v>
      </c>
      <c r="D8690" t="inlineStr">
        <is>
          <t>VÄSTERNORRLANDS LÄN</t>
        </is>
      </c>
      <c r="E8690" t="inlineStr">
        <is>
          <t>KRAMFORS</t>
        </is>
      </c>
      <c r="F8690" t="inlineStr">
        <is>
          <t>SCA</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10178-2026</t>
        </is>
      </c>
      <c r="B8691" s="1" t="n">
        <v>46076</v>
      </c>
      <c r="C8691" s="1" t="n">
        <v>46185</v>
      </c>
      <c r="D8691" t="inlineStr">
        <is>
          <t>VÄSTERNORRLANDS LÄN</t>
        </is>
      </c>
      <c r="E8691" t="inlineStr">
        <is>
          <t>SUNDSVALL</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25438-2026</t>
        </is>
      </c>
      <c r="B8692" s="1" t="n">
        <v>46177.34428240741</v>
      </c>
      <c r="C8692" s="1" t="n">
        <v>46185</v>
      </c>
      <c r="D8692" t="inlineStr">
        <is>
          <t>VÄSTERNORRLANDS LÄN</t>
        </is>
      </c>
      <c r="E8692" t="inlineStr">
        <is>
          <t>SUNDSVALL</t>
        </is>
      </c>
      <c r="F8692" t="inlineStr">
        <is>
          <t>SCA</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25444-2026</t>
        </is>
      </c>
      <c r="B8693" s="1" t="n">
        <v>46177.34525462963</v>
      </c>
      <c r="C8693" s="1" t="n">
        <v>46185</v>
      </c>
      <c r="D8693" t="inlineStr">
        <is>
          <t>VÄSTERNORRLANDS LÄN</t>
        </is>
      </c>
      <c r="E8693" t="inlineStr">
        <is>
          <t>HÄRNÖSAND</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18930-2025</t>
        </is>
      </c>
      <c r="B8694" s="1" t="n">
        <v>45764.48685185185</v>
      </c>
      <c r="C8694" s="1" t="n">
        <v>46185</v>
      </c>
      <c r="D8694" t="inlineStr">
        <is>
          <t>VÄSTERNORRLANDS LÄN</t>
        </is>
      </c>
      <c r="E8694" t="inlineStr">
        <is>
          <t>KRAMFORS</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25879-2026</t>
        </is>
      </c>
      <c r="B8695" s="1" t="n">
        <v>46178.59434027778</v>
      </c>
      <c r="C8695" s="1" t="n">
        <v>46185</v>
      </c>
      <c r="D8695" t="inlineStr">
        <is>
          <t>VÄSTERNORRLANDS LÄN</t>
        </is>
      </c>
      <c r="E8695" t="inlineStr">
        <is>
          <t>ÅNGE</t>
        </is>
      </c>
      <c r="F8695" t="inlineStr">
        <is>
          <t>SCA</t>
        </is>
      </c>
      <c r="G8695" t="n">
        <v>7.2</v>
      </c>
      <c r="H8695" t="n">
        <v>0</v>
      </c>
      <c r="I8695" t="n">
        <v>0</v>
      </c>
      <c r="J8695" t="n">
        <v>0</v>
      </c>
      <c r="K8695" t="n">
        <v>0</v>
      </c>
      <c r="L8695" t="n">
        <v>0</v>
      </c>
      <c r="M8695" t="n">
        <v>0</v>
      </c>
      <c r="N8695" t="n">
        <v>0</v>
      </c>
      <c r="O8695" t="n">
        <v>0</v>
      </c>
      <c r="P8695" t="n">
        <v>0</v>
      </c>
      <c r="Q8695" t="n">
        <v>0</v>
      </c>
      <c r="R8695" s="2" t="inlineStr"/>
    </row>
    <row r="8696" ht="15" customHeight="1">
      <c r="A8696" t="inlineStr">
        <is>
          <t>A 43236-2023</t>
        </is>
      </c>
      <c r="B8696" s="1" t="n">
        <v>45183.47719907408</v>
      </c>
      <c r="C8696" s="1" t="n">
        <v>46185</v>
      </c>
      <c r="D8696" t="inlineStr">
        <is>
          <t>VÄSTERNORRLANDS LÄN</t>
        </is>
      </c>
      <c r="E8696" t="inlineStr">
        <is>
          <t>ÖRNSKÖLDSVIK</t>
        </is>
      </c>
      <c r="F8696" t="inlineStr">
        <is>
          <t>Holmen skog AB</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40798-2023</t>
        </is>
      </c>
      <c r="B8697" s="1" t="n">
        <v>45170</v>
      </c>
      <c r="C8697" s="1" t="n">
        <v>46185</v>
      </c>
      <c r="D8697" t="inlineStr">
        <is>
          <t>VÄSTERNORRLANDS LÄN</t>
        </is>
      </c>
      <c r="E8697" t="inlineStr">
        <is>
          <t>SUNDSVALL</t>
        </is>
      </c>
      <c r="F8697" t="inlineStr">
        <is>
          <t>SCA</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23884-2026</t>
        </is>
      </c>
      <c r="B8698" s="1" t="n">
        <v>46167</v>
      </c>
      <c r="C8698" s="1" t="n">
        <v>46185</v>
      </c>
      <c r="D8698" t="inlineStr">
        <is>
          <t>VÄSTERNORRLANDS LÄN</t>
        </is>
      </c>
      <c r="E8698" t="inlineStr">
        <is>
          <t>HÄRNÖSAND</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23915-2026</t>
        </is>
      </c>
      <c r="B8699" s="1" t="n">
        <v>46167</v>
      </c>
      <c r="C8699" s="1" t="n">
        <v>46185</v>
      </c>
      <c r="D8699" t="inlineStr">
        <is>
          <t>VÄSTERNORRLANDS LÄN</t>
        </is>
      </c>
      <c r="E8699" t="inlineStr">
        <is>
          <t>TIMRÅ</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25446-2026</t>
        </is>
      </c>
      <c r="B8700" s="1" t="n">
        <v>46177.35090277778</v>
      </c>
      <c r="C8700" s="1" t="n">
        <v>46185</v>
      </c>
      <c r="D8700" t="inlineStr">
        <is>
          <t>VÄSTERNORRLANDS LÄN</t>
        </is>
      </c>
      <c r="E8700" t="inlineStr">
        <is>
          <t>ÖRNSKÖLDSVIK</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25451-2026</t>
        </is>
      </c>
      <c r="B8701" s="1" t="n">
        <v>46177.36513888889</v>
      </c>
      <c r="C8701" s="1" t="n">
        <v>46185</v>
      </c>
      <c r="D8701" t="inlineStr">
        <is>
          <t>VÄSTERNORRLANDS LÄN</t>
        </is>
      </c>
      <c r="E8701" t="inlineStr">
        <is>
          <t>HÄRNÖSAND</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25465-2026</t>
        </is>
      </c>
      <c r="B8702" s="1" t="n">
        <v>46177.38626157407</v>
      </c>
      <c r="C8702" s="1" t="n">
        <v>46185</v>
      </c>
      <c r="D8702" t="inlineStr">
        <is>
          <t>VÄSTERNORRLANDS LÄN</t>
        </is>
      </c>
      <c r="E8702" t="inlineStr">
        <is>
          <t>HÄRNÖSAND</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25485-2026</t>
        </is>
      </c>
      <c r="B8703" s="1" t="n">
        <v>46177.43346064815</v>
      </c>
      <c r="C8703" s="1" t="n">
        <v>46185</v>
      </c>
      <c r="D8703" t="inlineStr">
        <is>
          <t>VÄSTERNORRLANDS LÄN</t>
        </is>
      </c>
      <c r="E8703" t="inlineStr">
        <is>
          <t>SOLLEFTEÅ</t>
        </is>
      </c>
      <c r="F8703" t="inlineStr">
        <is>
          <t>Övriga statliga verk och myndigheter</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25505-2026</t>
        </is>
      </c>
      <c r="B8704" s="1" t="n">
        <v>46177.45984953704</v>
      </c>
      <c r="C8704" s="1" t="n">
        <v>46185</v>
      </c>
      <c r="D8704" t="inlineStr">
        <is>
          <t>VÄSTERNORRLANDS LÄN</t>
        </is>
      </c>
      <c r="E8704" t="inlineStr">
        <is>
          <t>SOLLEFTEÅ</t>
        </is>
      </c>
      <c r="F8704" t="inlineStr">
        <is>
          <t>Övriga statliga verk och myndigheter</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37087-2023</t>
        </is>
      </c>
      <c r="B8705" s="1" t="n">
        <v>45154</v>
      </c>
      <c r="C8705" s="1" t="n">
        <v>46185</v>
      </c>
      <c r="D8705" t="inlineStr">
        <is>
          <t>VÄSTERNORRLANDS LÄN</t>
        </is>
      </c>
      <c r="E8705" t="inlineStr">
        <is>
          <t>ÖRNSKÖLDSVIK</t>
        </is>
      </c>
      <c r="G8705" t="n">
        <v>4.7</v>
      </c>
      <c r="H8705" t="n">
        <v>0</v>
      </c>
      <c r="I8705" t="n">
        <v>0</v>
      </c>
      <c r="J8705" t="n">
        <v>0</v>
      </c>
      <c r="K8705" t="n">
        <v>0</v>
      </c>
      <c r="L8705" t="n">
        <v>0</v>
      </c>
      <c r="M8705" t="n">
        <v>0</v>
      </c>
      <c r="N8705" t="n">
        <v>0</v>
      </c>
      <c r="O8705" t="n">
        <v>0</v>
      </c>
      <c r="P8705" t="n">
        <v>0</v>
      </c>
      <c r="Q8705" t="n">
        <v>0</v>
      </c>
      <c r="R8705" s="2" t="inlineStr"/>
    </row>
    <row r="8706" ht="15" customHeight="1">
      <c r="A8706" t="inlineStr">
        <is>
          <t>A 19764-2026</t>
        </is>
      </c>
      <c r="B8706" s="1" t="n">
        <v>46135.42778935185</v>
      </c>
      <c r="C8706" s="1" t="n">
        <v>46185</v>
      </c>
      <c r="D8706" t="inlineStr">
        <is>
          <t>VÄSTERNORRLANDS LÄN</t>
        </is>
      </c>
      <c r="E8706" t="inlineStr">
        <is>
          <t>SUNDSVALL</t>
        </is>
      </c>
      <c r="F8706" t="inlineStr">
        <is>
          <t>SCA</t>
        </is>
      </c>
      <c r="G8706" t="n">
        <v>8.1</v>
      </c>
      <c r="H8706" t="n">
        <v>0</v>
      </c>
      <c r="I8706" t="n">
        <v>0</v>
      </c>
      <c r="J8706" t="n">
        <v>0</v>
      </c>
      <c r="K8706" t="n">
        <v>0</v>
      </c>
      <c r="L8706" t="n">
        <v>0</v>
      </c>
      <c r="M8706" t="n">
        <v>0</v>
      </c>
      <c r="N8706" t="n">
        <v>0</v>
      </c>
      <c r="O8706" t="n">
        <v>0</v>
      </c>
      <c r="P8706" t="n">
        <v>0</v>
      </c>
      <c r="Q8706" t="n">
        <v>0</v>
      </c>
      <c r="R8706" s="2" t="inlineStr"/>
    </row>
    <row r="8707" ht="15" customHeight="1">
      <c r="A8707" t="inlineStr">
        <is>
          <t>A 24698-2026</t>
        </is>
      </c>
      <c r="B8707" s="1" t="n">
        <v>46171</v>
      </c>
      <c r="C8707" s="1" t="n">
        <v>46185</v>
      </c>
      <c r="D8707" t="inlineStr">
        <is>
          <t>VÄSTERNORRLANDS LÄN</t>
        </is>
      </c>
      <c r="E8707" t="inlineStr">
        <is>
          <t>SOLLEFTEÅ</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25848-2026</t>
        </is>
      </c>
      <c r="B8708" s="1" t="n">
        <v>46178.55263888889</v>
      </c>
      <c r="C8708" s="1" t="n">
        <v>46185</v>
      </c>
      <c r="D8708" t="inlineStr">
        <is>
          <t>VÄSTERNORRLANDS LÄN</t>
        </is>
      </c>
      <c r="E8708" t="inlineStr">
        <is>
          <t>ÅNGE</t>
        </is>
      </c>
      <c r="F8708" t="inlineStr">
        <is>
          <t>SCA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53792-2025</t>
        </is>
      </c>
      <c r="B8709" s="1" t="n">
        <v>45960.72216435185</v>
      </c>
      <c r="C8709" s="1" t="n">
        <v>46185</v>
      </c>
      <c r="D8709" t="inlineStr">
        <is>
          <t>VÄSTERNORRLANDS LÄN</t>
        </is>
      </c>
      <c r="E8709" t="inlineStr">
        <is>
          <t>KRAMFORS</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18245-2024</t>
        </is>
      </c>
      <c r="B8710" s="1" t="n">
        <v>45421</v>
      </c>
      <c r="C8710" s="1" t="n">
        <v>46185</v>
      </c>
      <c r="D8710" t="inlineStr">
        <is>
          <t>VÄSTERNORRLANDS LÄN</t>
        </is>
      </c>
      <c r="E8710" t="inlineStr">
        <is>
          <t>SUNDSVALL</t>
        </is>
      </c>
      <c r="G8710" t="n">
        <v>12.5</v>
      </c>
      <c r="H8710" t="n">
        <v>0</v>
      </c>
      <c r="I8710" t="n">
        <v>0</v>
      </c>
      <c r="J8710" t="n">
        <v>0</v>
      </c>
      <c r="K8710" t="n">
        <v>0</v>
      </c>
      <c r="L8710" t="n">
        <v>0</v>
      </c>
      <c r="M8710" t="n">
        <v>0</v>
      </c>
      <c r="N8710" t="n">
        <v>0</v>
      </c>
      <c r="O8710" t="n">
        <v>0</v>
      </c>
      <c r="P8710" t="n">
        <v>0</v>
      </c>
      <c r="Q8710" t="n">
        <v>0</v>
      </c>
      <c r="R8710" s="2" t="inlineStr"/>
    </row>
    <row r="8711" ht="15" customHeight="1">
      <c r="A8711" t="inlineStr">
        <is>
          <t>A 59942-2022</t>
        </is>
      </c>
      <c r="B8711" s="1" t="n">
        <v>44901</v>
      </c>
      <c r="C8711" s="1" t="n">
        <v>46185</v>
      </c>
      <c r="D8711" t="inlineStr">
        <is>
          <t>VÄSTERNORRLANDS LÄN</t>
        </is>
      </c>
      <c r="E8711" t="inlineStr">
        <is>
          <t>TIMRÅ</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55023-2023</t>
        </is>
      </c>
      <c r="B8712" s="1" t="n">
        <v>45237</v>
      </c>
      <c r="C8712" s="1" t="n">
        <v>46185</v>
      </c>
      <c r="D8712" t="inlineStr">
        <is>
          <t>VÄSTERNORRLANDS LÄN</t>
        </is>
      </c>
      <c r="E8712" t="inlineStr">
        <is>
          <t>ÖRNSKÖLDSVIK</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25585-2026</t>
        </is>
      </c>
      <c r="B8713" s="1" t="n">
        <v>46177.63574074074</v>
      </c>
      <c r="C8713" s="1" t="n">
        <v>46185</v>
      </c>
      <c r="D8713" t="inlineStr">
        <is>
          <t>VÄSTERNORRLANDS LÄN</t>
        </is>
      </c>
      <c r="E8713" t="inlineStr">
        <is>
          <t>SOLLEFTEÅ</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20083-2026</t>
        </is>
      </c>
      <c r="B8714" s="1" t="n">
        <v>46135</v>
      </c>
      <c r="C8714" s="1" t="n">
        <v>46185</v>
      </c>
      <c r="D8714" t="inlineStr">
        <is>
          <t>VÄSTERNORRLANDS LÄN</t>
        </is>
      </c>
      <c r="E8714" t="inlineStr">
        <is>
          <t>ÅNGE</t>
        </is>
      </c>
      <c r="G8714" t="n">
        <v>4.5</v>
      </c>
      <c r="H8714" t="n">
        <v>0</v>
      </c>
      <c r="I8714" t="n">
        <v>0</v>
      </c>
      <c r="J8714" t="n">
        <v>0</v>
      </c>
      <c r="K8714" t="n">
        <v>0</v>
      </c>
      <c r="L8714" t="n">
        <v>0</v>
      </c>
      <c r="M8714" t="n">
        <v>0</v>
      </c>
      <c r="N8714" t="n">
        <v>0</v>
      </c>
      <c r="O8714" t="n">
        <v>0</v>
      </c>
      <c r="P8714" t="n">
        <v>0</v>
      </c>
      <c r="Q8714" t="n">
        <v>0</v>
      </c>
      <c r="R8714" s="2" t="inlineStr"/>
    </row>
    <row r="8715" ht="15" customHeight="1">
      <c r="A8715" t="inlineStr">
        <is>
          <t>A 24467-2026</t>
        </is>
      </c>
      <c r="B8715" s="1" t="n">
        <v>46170.40278935185</v>
      </c>
      <c r="C8715" s="1" t="n">
        <v>46185</v>
      </c>
      <c r="D8715" t="inlineStr">
        <is>
          <t>VÄSTERNORRLANDS LÄN</t>
        </is>
      </c>
      <c r="E8715" t="inlineStr">
        <is>
          <t>ÖRNSKÖLDSVIK</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59317-2024</t>
        </is>
      </c>
      <c r="B8716" s="1" t="n">
        <v>45637.69873842593</v>
      </c>
      <c r="C8716" s="1" t="n">
        <v>46185</v>
      </c>
      <c r="D8716" t="inlineStr">
        <is>
          <t>VÄSTERNORRLANDS LÄN</t>
        </is>
      </c>
      <c r="E8716" t="inlineStr">
        <is>
          <t>SOLLEFTEÅ</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27153-2022</t>
        </is>
      </c>
      <c r="B8717" s="1" t="n">
        <v>44741</v>
      </c>
      <c r="C8717" s="1" t="n">
        <v>46185</v>
      </c>
      <c r="D8717" t="inlineStr">
        <is>
          <t>VÄSTERNORRLANDS LÄN</t>
        </is>
      </c>
      <c r="E8717" t="inlineStr">
        <is>
          <t>ÖRNSKÖLDSVIK</t>
        </is>
      </c>
      <c r="G8717" t="n">
        <v>6.3</v>
      </c>
      <c r="H8717" t="n">
        <v>0</v>
      </c>
      <c r="I8717" t="n">
        <v>0</v>
      </c>
      <c r="J8717" t="n">
        <v>0</v>
      </c>
      <c r="K8717" t="n">
        <v>0</v>
      </c>
      <c r="L8717" t="n">
        <v>0</v>
      </c>
      <c r="M8717" t="n">
        <v>0</v>
      </c>
      <c r="N8717" t="n">
        <v>0</v>
      </c>
      <c r="O8717" t="n">
        <v>0</v>
      </c>
      <c r="P8717" t="n">
        <v>0</v>
      </c>
      <c r="Q8717" t="n">
        <v>0</v>
      </c>
      <c r="R8717" s="2" t="inlineStr"/>
    </row>
    <row r="8718" ht="15" customHeight="1">
      <c r="A8718" t="inlineStr">
        <is>
          <t>A 20475-2022</t>
        </is>
      </c>
      <c r="B8718" s="1" t="n">
        <v>44699</v>
      </c>
      <c r="C8718" s="1" t="n">
        <v>46185</v>
      </c>
      <c r="D8718" t="inlineStr">
        <is>
          <t>VÄSTERNORRLANDS LÄN</t>
        </is>
      </c>
      <c r="E8718" t="inlineStr">
        <is>
          <t>ÖRNSKÖLDSVIK</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1880-2024</t>
        </is>
      </c>
      <c r="B8719" s="1" t="n">
        <v>45307</v>
      </c>
      <c r="C8719" s="1" t="n">
        <v>46185</v>
      </c>
      <c r="D8719" t="inlineStr">
        <is>
          <t>VÄSTERNORRLANDS LÄN</t>
        </is>
      </c>
      <c r="E8719" t="inlineStr">
        <is>
          <t>SOLLEFTEÅ</t>
        </is>
      </c>
      <c r="F8719" t="inlineStr">
        <is>
          <t>SCA</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44272-2023</t>
        </is>
      </c>
      <c r="B8720" s="1" t="n">
        <v>45188</v>
      </c>
      <c r="C8720" s="1" t="n">
        <v>46185</v>
      </c>
      <c r="D8720" t="inlineStr">
        <is>
          <t>VÄSTERNORRLANDS LÄN</t>
        </is>
      </c>
      <c r="E8720" t="inlineStr">
        <is>
          <t>SUNDSVALL</t>
        </is>
      </c>
      <c r="F8720" t="inlineStr">
        <is>
          <t>Holmen skog AB</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6390-2025</t>
        </is>
      </c>
      <c r="B8721" s="1" t="n">
        <v>45699.42733796296</v>
      </c>
      <c r="C8721" s="1" t="n">
        <v>46185</v>
      </c>
      <c r="D8721" t="inlineStr">
        <is>
          <t>VÄSTERNORRLANDS LÄN</t>
        </is>
      </c>
      <c r="E8721" t="inlineStr">
        <is>
          <t>HÄRNÖSAND</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46159-2024</t>
        </is>
      </c>
      <c r="B8722" s="1" t="n">
        <v>45581</v>
      </c>
      <c r="C8722" s="1" t="n">
        <v>46185</v>
      </c>
      <c r="D8722" t="inlineStr">
        <is>
          <t>VÄSTERNORRLANDS LÄN</t>
        </is>
      </c>
      <c r="E8722" t="inlineStr">
        <is>
          <t>SUNDSVALL</t>
        </is>
      </c>
      <c r="F8722" t="inlineStr">
        <is>
          <t>SCA</t>
        </is>
      </c>
      <c r="G8722" t="n">
        <v>6</v>
      </c>
      <c r="H8722" t="n">
        <v>0</v>
      </c>
      <c r="I8722" t="n">
        <v>0</v>
      </c>
      <c r="J8722" t="n">
        <v>0</v>
      </c>
      <c r="K8722" t="n">
        <v>0</v>
      </c>
      <c r="L8722" t="n">
        <v>0</v>
      </c>
      <c r="M8722" t="n">
        <v>0</v>
      </c>
      <c r="N8722" t="n">
        <v>0</v>
      </c>
      <c r="O8722" t="n">
        <v>0</v>
      </c>
      <c r="P8722" t="n">
        <v>0</v>
      </c>
      <c r="Q8722" t="n">
        <v>0</v>
      </c>
      <c r="R8722" s="2" t="inlineStr"/>
    </row>
    <row r="8723" ht="15" customHeight="1">
      <c r="A8723" t="inlineStr">
        <is>
          <t>A 13257-2025</t>
        </is>
      </c>
      <c r="B8723" s="1" t="n">
        <v>45735.51075231482</v>
      </c>
      <c r="C8723" s="1" t="n">
        <v>46185</v>
      </c>
      <c r="D8723" t="inlineStr">
        <is>
          <t>VÄSTERNORRLANDS LÄN</t>
        </is>
      </c>
      <c r="E8723" t="inlineStr">
        <is>
          <t>SOLLEFTEÅ</t>
        </is>
      </c>
      <c r="F8723" t="inlineStr">
        <is>
          <t>SCA</t>
        </is>
      </c>
      <c r="G8723" t="n">
        <v>15.3</v>
      </c>
      <c r="H8723" t="n">
        <v>0</v>
      </c>
      <c r="I8723" t="n">
        <v>0</v>
      </c>
      <c r="J8723" t="n">
        <v>0</v>
      </c>
      <c r="K8723" t="n">
        <v>0</v>
      </c>
      <c r="L8723" t="n">
        <v>0</v>
      </c>
      <c r="M8723" t="n">
        <v>0</v>
      </c>
      <c r="N8723" t="n">
        <v>0</v>
      </c>
      <c r="O8723" t="n">
        <v>0</v>
      </c>
      <c r="P8723" t="n">
        <v>0</v>
      </c>
      <c r="Q8723" t="n">
        <v>0</v>
      </c>
      <c r="R8723" s="2" t="inlineStr"/>
    </row>
    <row r="8724" ht="15" customHeight="1">
      <c r="A8724" t="inlineStr">
        <is>
          <t>A 41253-2022</t>
        </is>
      </c>
      <c r="B8724" s="1" t="n">
        <v>44825</v>
      </c>
      <c r="C8724" s="1" t="n">
        <v>46185</v>
      </c>
      <c r="D8724" t="inlineStr">
        <is>
          <t>VÄSTERNORRLANDS LÄN</t>
        </is>
      </c>
      <c r="E8724" t="inlineStr">
        <is>
          <t>ÖRNSKÖLDSVIK</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19965-2026</t>
        </is>
      </c>
      <c r="B8725" s="1" t="n">
        <v>46136.42392361111</v>
      </c>
      <c r="C8725" s="1" t="n">
        <v>46185</v>
      </c>
      <c r="D8725" t="inlineStr">
        <is>
          <t>VÄSTERNORRLANDS LÄN</t>
        </is>
      </c>
      <c r="E8725" t="inlineStr">
        <is>
          <t>ÖRNSKÖLDSVIK</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13787-2022</t>
        </is>
      </c>
      <c r="B8726" s="1" t="n">
        <v>44649</v>
      </c>
      <c r="C8726" s="1" t="n">
        <v>46185</v>
      </c>
      <c r="D8726" t="inlineStr">
        <is>
          <t>VÄSTERNORRLANDS LÄN</t>
        </is>
      </c>
      <c r="E8726" t="inlineStr">
        <is>
          <t>ÖRNSKÖLDSVIK</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41394-2023</t>
        </is>
      </c>
      <c r="B8727" s="1" t="n">
        <v>45174</v>
      </c>
      <c r="C8727" s="1" t="n">
        <v>46185</v>
      </c>
      <c r="D8727" t="inlineStr">
        <is>
          <t>VÄSTERNORRLANDS LÄN</t>
        </is>
      </c>
      <c r="E8727" t="inlineStr">
        <is>
          <t>ÖRNSKÖLDSVIK</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20734-2022</t>
        </is>
      </c>
      <c r="B8728" s="1" t="n">
        <v>44700.94622685185</v>
      </c>
      <c r="C8728" s="1" t="n">
        <v>46185</v>
      </c>
      <c r="D8728" t="inlineStr">
        <is>
          <t>VÄSTERNORRLANDS LÄN</t>
        </is>
      </c>
      <c r="E8728" t="inlineStr">
        <is>
          <t>SUNDSVALL</t>
        </is>
      </c>
      <c r="F8728" t="inlineStr">
        <is>
          <t>SCA</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16519-2022</t>
        </is>
      </c>
      <c r="B8729" s="1" t="n">
        <v>44671.926875</v>
      </c>
      <c r="C8729" s="1" t="n">
        <v>46185</v>
      </c>
      <c r="D8729" t="inlineStr">
        <is>
          <t>VÄSTERNORRLANDS LÄN</t>
        </is>
      </c>
      <c r="E8729" t="inlineStr">
        <is>
          <t>TIMRÅ</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16558-2022</t>
        </is>
      </c>
      <c r="B8730" s="1" t="n">
        <v>44672</v>
      </c>
      <c r="C8730" s="1" t="n">
        <v>46185</v>
      </c>
      <c r="D8730" t="inlineStr">
        <is>
          <t>VÄSTERNORRLANDS LÄN</t>
        </is>
      </c>
      <c r="E8730" t="inlineStr">
        <is>
          <t>ÖRNSKÖLDSVIK</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25452-2026</t>
        </is>
      </c>
      <c r="B8731" s="1" t="n">
        <v>46177.36518518518</v>
      </c>
      <c r="C8731" s="1" t="n">
        <v>46185</v>
      </c>
      <c r="D8731" t="inlineStr">
        <is>
          <t>VÄSTERNORRLANDS LÄN</t>
        </is>
      </c>
      <c r="E8731" t="inlineStr">
        <is>
          <t>HÄRNÖSAND</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25466-2026</t>
        </is>
      </c>
      <c r="B8732" s="1" t="n">
        <v>46177.38628472222</v>
      </c>
      <c r="C8732" s="1" t="n">
        <v>46185</v>
      </c>
      <c r="D8732" t="inlineStr">
        <is>
          <t>VÄSTERNORRLANDS LÄN</t>
        </is>
      </c>
      <c r="E8732" t="inlineStr">
        <is>
          <t>HÄRNÖSAND</t>
        </is>
      </c>
      <c r="G8732" t="n">
        <v>0.2</v>
      </c>
      <c r="H8732" t="n">
        <v>0</v>
      </c>
      <c r="I8732" t="n">
        <v>0</v>
      </c>
      <c r="J8732" t="n">
        <v>0</v>
      </c>
      <c r="K8732" t="n">
        <v>0</v>
      </c>
      <c r="L8732" t="n">
        <v>0</v>
      </c>
      <c r="M8732" t="n">
        <v>0</v>
      </c>
      <c r="N8732" t="n">
        <v>0</v>
      </c>
      <c r="O8732" t="n">
        <v>0</v>
      </c>
      <c r="P8732" t="n">
        <v>0</v>
      </c>
      <c r="Q8732" t="n">
        <v>0</v>
      </c>
      <c r="R8732" s="2" t="inlineStr"/>
    </row>
    <row r="8733" ht="15" customHeight="1">
      <c r="A8733" t="inlineStr">
        <is>
          <t>A 25530-2026</t>
        </is>
      </c>
      <c r="B8733" s="1" t="n">
        <v>46177.53196759259</v>
      </c>
      <c r="C8733" s="1" t="n">
        <v>46185</v>
      </c>
      <c r="D8733" t="inlineStr">
        <is>
          <t>VÄSTERNORRLANDS LÄN</t>
        </is>
      </c>
      <c r="E8733" t="inlineStr">
        <is>
          <t>ÅNGE</t>
        </is>
      </c>
      <c r="F8733" t="inlineStr">
        <is>
          <t>SCA</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51103-2023</t>
        </is>
      </c>
      <c r="B8734" s="1" t="n">
        <v>45218.92510416666</v>
      </c>
      <c r="C8734" s="1" t="n">
        <v>46185</v>
      </c>
      <c r="D8734" t="inlineStr">
        <is>
          <t>VÄSTERNORRLANDS LÄN</t>
        </is>
      </c>
      <c r="E8734" t="inlineStr">
        <is>
          <t>SUNDSVALL</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51104-2023</t>
        </is>
      </c>
      <c r="B8735" s="1" t="n">
        <v>45218</v>
      </c>
      <c r="C8735" s="1" t="n">
        <v>46185</v>
      </c>
      <c r="D8735" t="inlineStr">
        <is>
          <t>VÄSTERNORRLANDS LÄN</t>
        </is>
      </c>
      <c r="E8735" t="inlineStr">
        <is>
          <t>SUNDSVALL</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26658-2023</t>
        </is>
      </c>
      <c r="B8736" s="1" t="n">
        <v>45092.94011574074</v>
      </c>
      <c r="C8736" s="1" t="n">
        <v>46185</v>
      </c>
      <c r="D8736" t="inlineStr">
        <is>
          <t>VÄSTERNORRLANDS LÄN</t>
        </is>
      </c>
      <c r="E8736" t="inlineStr">
        <is>
          <t>ÖRNSKÖLDSVIK</t>
        </is>
      </c>
      <c r="F8736" t="inlineStr">
        <is>
          <t>SCA</t>
        </is>
      </c>
      <c r="G8736" t="n">
        <v>4.5</v>
      </c>
      <c r="H8736" t="n">
        <v>0</v>
      </c>
      <c r="I8736" t="n">
        <v>0</v>
      </c>
      <c r="J8736" t="n">
        <v>0</v>
      </c>
      <c r="K8736" t="n">
        <v>0</v>
      </c>
      <c r="L8736" t="n">
        <v>0</v>
      </c>
      <c r="M8736" t="n">
        <v>0</v>
      </c>
      <c r="N8736" t="n">
        <v>0</v>
      </c>
      <c r="O8736" t="n">
        <v>0</v>
      </c>
      <c r="P8736" t="n">
        <v>0</v>
      </c>
      <c r="Q8736" t="n">
        <v>0</v>
      </c>
      <c r="R8736" s="2" t="inlineStr"/>
    </row>
    <row r="8737" ht="15" customHeight="1">
      <c r="A8737" t="inlineStr">
        <is>
          <t>A 3696-2025</t>
        </is>
      </c>
      <c r="B8737" s="1" t="n">
        <v>45681</v>
      </c>
      <c r="C8737" s="1" t="n">
        <v>46185</v>
      </c>
      <c r="D8737" t="inlineStr">
        <is>
          <t>VÄSTERNORRLANDS LÄN</t>
        </is>
      </c>
      <c r="E8737" t="inlineStr">
        <is>
          <t>SUNDSVALL</t>
        </is>
      </c>
      <c r="F8737" t="inlineStr">
        <is>
          <t>SCA</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3699-2025</t>
        </is>
      </c>
      <c r="B8738" s="1" t="n">
        <v>45681.47428240741</v>
      </c>
      <c r="C8738" s="1" t="n">
        <v>46185</v>
      </c>
      <c r="D8738" t="inlineStr">
        <is>
          <t>VÄSTERNORRLANDS LÄN</t>
        </is>
      </c>
      <c r="E8738" t="inlineStr">
        <is>
          <t>KRAMFORS</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4236-2025</t>
        </is>
      </c>
      <c r="B8739" s="1" t="n">
        <v>45685.56534722223</v>
      </c>
      <c r="C8739" s="1" t="n">
        <v>46185</v>
      </c>
      <c r="D8739" t="inlineStr">
        <is>
          <t>VÄSTERNORRLANDS LÄN</t>
        </is>
      </c>
      <c r="E8739" t="inlineStr">
        <is>
          <t>ÅNGE</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20020-2026</t>
        </is>
      </c>
      <c r="B8740" s="1" t="n">
        <v>46136.51101851852</v>
      </c>
      <c r="C8740" s="1" t="n">
        <v>46185</v>
      </c>
      <c r="D8740" t="inlineStr">
        <is>
          <t>VÄSTERNORRLANDS LÄN</t>
        </is>
      </c>
      <c r="E8740" t="inlineStr">
        <is>
          <t>ÅNGE</t>
        </is>
      </c>
      <c r="G8740" t="n">
        <v>0.6</v>
      </c>
      <c r="H8740" t="n">
        <v>0</v>
      </c>
      <c r="I8740" t="n">
        <v>0</v>
      </c>
      <c r="J8740" t="n">
        <v>0</v>
      </c>
      <c r="K8740" t="n">
        <v>0</v>
      </c>
      <c r="L8740" t="n">
        <v>0</v>
      </c>
      <c r="M8740" t="n">
        <v>0</v>
      </c>
      <c r="N8740" t="n">
        <v>0</v>
      </c>
      <c r="O8740" t="n">
        <v>0</v>
      </c>
      <c r="P8740" t="n">
        <v>0</v>
      </c>
      <c r="Q8740" t="n">
        <v>0</v>
      </c>
      <c r="R8740" s="2" t="inlineStr"/>
      <c r="U8740">
        <f>HYPERLINK("https://klasma.github.io/Logging_2260/knärot/A 20020-2026 karta knärot.png", "A 20020-2026")</f>
        <v/>
      </c>
      <c r="V8740">
        <f>HYPERLINK("https://klasma.github.io/Logging_2260/klagomål/A 20020-2026 FSC-klagomål.docx", "A 20020-2026")</f>
        <v/>
      </c>
      <c r="W8740">
        <f>HYPERLINK("https://klasma.github.io/Logging_2260/klagomålsmail/A 20020-2026 FSC-klagomål mail.docx", "A 20020-2026")</f>
        <v/>
      </c>
      <c r="X8740">
        <f>HYPERLINK("https://klasma.github.io/Logging_2260/tillsyn/A 20020-2026 tillsynsbegäran.docx", "A 20020-2026")</f>
        <v/>
      </c>
      <c r="Y8740">
        <f>HYPERLINK("https://klasma.github.io/Logging_2260/tillsynsmail/A 20020-2026 tillsynsbegäran mail.docx", "A 20020-2026")</f>
        <v/>
      </c>
    </row>
    <row r="8741" ht="15" customHeight="1">
      <c r="A8741" t="inlineStr">
        <is>
          <t>A 20021-2026</t>
        </is>
      </c>
      <c r="B8741" s="1" t="n">
        <v>46136.52253472222</v>
      </c>
      <c r="C8741" s="1" t="n">
        <v>46185</v>
      </c>
      <c r="D8741" t="inlineStr">
        <is>
          <t>VÄSTERNORRLANDS LÄN</t>
        </is>
      </c>
      <c r="E8741" t="inlineStr">
        <is>
          <t>KRAMFORS</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40232-2023</t>
        </is>
      </c>
      <c r="B8742" s="1" t="n">
        <v>45168</v>
      </c>
      <c r="C8742" s="1" t="n">
        <v>46185</v>
      </c>
      <c r="D8742" t="inlineStr">
        <is>
          <t>VÄSTERNORRLANDS LÄN</t>
        </is>
      </c>
      <c r="E8742" t="inlineStr">
        <is>
          <t>HÄRNÖSAND</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20091-2026</t>
        </is>
      </c>
      <c r="B8743" s="1" t="n">
        <v>46136.62364583334</v>
      </c>
      <c r="C8743" s="1" t="n">
        <v>46185</v>
      </c>
      <c r="D8743" t="inlineStr">
        <is>
          <t>VÄSTERNORRLANDS LÄN</t>
        </is>
      </c>
      <c r="E8743" t="inlineStr">
        <is>
          <t>SUNDSVALL</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26407-2022</t>
        </is>
      </c>
      <c r="B8744" s="1" t="n">
        <v>44735</v>
      </c>
      <c r="C8744" s="1" t="n">
        <v>46185</v>
      </c>
      <c r="D8744" t="inlineStr">
        <is>
          <t>VÄSTERNORRLANDS LÄN</t>
        </is>
      </c>
      <c r="E8744" t="inlineStr">
        <is>
          <t>SOLLEFTEÅ</t>
        </is>
      </c>
      <c r="F8744" t="inlineStr">
        <is>
          <t>SCA</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44522-2022</t>
        </is>
      </c>
      <c r="B8745" s="1" t="n">
        <v>44840</v>
      </c>
      <c r="C8745" s="1" t="n">
        <v>46185</v>
      </c>
      <c r="D8745" t="inlineStr">
        <is>
          <t>VÄSTERNORRLANDS LÄN</t>
        </is>
      </c>
      <c r="E8745" t="inlineStr">
        <is>
          <t>ÖRNSKÖLDSVIK</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8099-2025</t>
        </is>
      </c>
      <c r="B8746" s="1" t="n">
        <v>45707.69086805556</v>
      </c>
      <c r="C8746" s="1" t="n">
        <v>46185</v>
      </c>
      <c r="D8746" t="inlineStr">
        <is>
          <t>VÄSTERNORRLANDS LÄN</t>
        </is>
      </c>
      <c r="E8746" t="inlineStr">
        <is>
          <t>SOLLEFTEÅ</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36205-2025</t>
        </is>
      </c>
      <c r="B8747" s="1" t="n">
        <v>45867.44855324074</v>
      </c>
      <c r="C8747" s="1" t="n">
        <v>46185</v>
      </c>
      <c r="D8747" t="inlineStr">
        <is>
          <t>VÄSTERNORRLANDS LÄN</t>
        </is>
      </c>
      <c r="E8747" t="inlineStr">
        <is>
          <t>ÅNGE</t>
        </is>
      </c>
      <c r="F8747" t="inlineStr">
        <is>
          <t>SCA</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25685-2026</t>
        </is>
      </c>
      <c r="B8748" s="1" t="n">
        <v>46178.34528935186</v>
      </c>
      <c r="C8748" s="1" t="n">
        <v>46185</v>
      </c>
      <c r="D8748" t="inlineStr">
        <is>
          <t>VÄSTERNORRLANDS LÄN</t>
        </is>
      </c>
      <c r="E8748" t="inlineStr">
        <is>
          <t>ÅNGE</t>
        </is>
      </c>
      <c r="F8748" t="inlineStr">
        <is>
          <t>SCA</t>
        </is>
      </c>
      <c r="G8748" t="n">
        <v>14.1</v>
      </c>
      <c r="H8748" t="n">
        <v>0</v>
      </c>
      <c r="I8748" t="n">
        <v>0</v>
      </c>
      <c r="J8748" t="n">
        <v>0</v>
      </c>
      <c r="K8748" t="n">
        <v>0</v>
      </c>
      <c r="L8748" t="n">
        <v>0</v>
      </c>
      <c r="M8748" t="n">
        <v>0</v>
      </c>
      <c r="N8748" t="n">
        <v>0</v>
      </c>
      <c r="O8748" t="n">
        <v>0</v>
      </c>
      <c r="P8748" t="n">
        <v>0</v>
      </c>
      <c r="Q8748" t="n">
        <v>0</v>
      </c>
      <c r="R8748" s="2" t="inlineStr"/>
    </row>
    <row r="8749" ht="15" customHeight="1">
      <c r="A8749" t="inlineStr">
        <is>
          <t>A 46307-2023</t>
        </is>
      </c>
      <c r="B8749" s="1" t="n">
        <v>45197</v>
      </c>
      <c r="C8749" s="1" t="n">
        <v>46185</v>
      </c>
      <c r="D8749" t="inlineStr">
        <is>
          <t>VÄSTERNORRLANDS LÄN</t>
        </is>
      </c>
      <c r="E8749" t="inlineStr">
        <is>
          <t>ÖRNSKÖLDSVIK</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25849-2026</t>
        </is>
      </c>
      <c r="B8750" s="1" t="n">
        <v>46178.55283564814</v>
      </c>
      <c r="C8750" s="1" t="n">
        <v>46185</v>
      </c>
      <c r="D8750" t="inlineStr">
        <is>
          <t>VÄSTERNORRLANDS LÄN</t>
        </is>
      </c>
      <c r="E8750" t="inlineStr">
        <is>
          <t>ÅNGE</t>
        </is>
      </c>
      <c r="F8750" t="inlineStr">
        <is>
          <t>SCA</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25853-2026</t>
        </is>
      </c>
      <c r="B8751" s="1" t="n">
        <v>46178.55336805555</v>
      </c>
      <c r="C8751" s="1" t="n">
        <v>46185</v>
      </c>
      <c r="D8751" t="inlineStr">
        <is>
          <t>VÄSTERNORRLANDS LÄN</t>
        </is>
      </c>
      <c r="E8751" t="inlineStr">
        <is>
          <t>ÅNGE</t>
        </is>
      </c>
      <c r="F8751" t="inlineStr">
        <is>
          <t>SCA</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40136-2025</t>
        </is>
      </c>
      <c r="B8752" s="1" t="n">
        <v>45894.5588425926</v>
      </c>
      <c r="C8752" s="1" t="n">
        <v>46185</v>
      </c>
      <c r="D8752" t="inlineStr">
        <is>
          <t>VÄSTERNORRLANDS LÄN</t>
        </is>
      </c>
      <c r="E8752" t="inlineStr">
        <is>
          <t>SOLLEFTEÅ</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24254-2026</t>
        </is>
      </c>
      <c r="B8753" s="1" t="n">
        <v>46168</v>
      </c>
      <c r="C8753" s="1" t="n">
        <v>46185</v>
      </c>
      <c r="D8753" t="inlineStr">
        <is>
          <t>VÄSTERNORRLANDS LÄN</t>
        </is>
      </c>
      <c r="E8753" t="inlineStr">
        <is>
          <t>KRAMFORS</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25519-2026</t>
        </is>
      </c>
      <c r="B8754" s="1" t="n">
        <v>46177.51076388889</v>
      </c>
      <c r="C8754" s="1" t="n">
        <v>46185</v>
      </c>
      <c r="D8754" t="inlineStr">
        <is>
          <t>VÄSTERNORRLANDS LÄN</t>
        </is>
      </c>
      <c r="E8754" t="inlineStr">
        <is>
          <t>ÅNGE</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19890-2026</t>
        </is>
      </c>
      <c r="B8755" s="1" t="n">
        <v>46135.69828703703</v>
      </c>
      <c r="C8755" s="1" t="n">
        <v>46185</v>
      </c>
      <c r="D8755" t="inlineStr">
        <is>
          <t>VÄSTERNORRLANDS LÄN</t>
        </is>
      </c>
      <c r="E8755" t="inlineStr">
        <is>
          <t>SUNDSVALL</t>
        </is>
      </c>
      <c r="F8755" t="inlineStr">
        <is>
          <t>SCA</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19912-2026</t>
        </is>
      </c>
      <c r="B8756" s="1" t="n">
        <v>46136.34215277778</v>
      </c>
      <c r="C8756" s="1" t="n">
        <v>46185</v>
      </c>
      <c r="D8756" t="inlineStr">
        <is>
          <t>VÄSTERNORRLANDS LÄN</t>
        </is>
      </c>
      <c r="E8756" t="inlineStr">
        <is>
          <t>ÅNGE</t>
        </is>
      </c>
      <c r="G8756" t="n">
        <v>7.7</v>
      </c>
      <c r="H8756" t="n">
        <v>0</v>
      </c>
      <c r="I8756" t="n">
        <v>0</v>
      </c>
      <c r="J8756" t="n">
        <v>0</v>
      </c>
      <c r="K8756" t="n">
        <v>0</v>
      </c>
      <c r="L8756" t="n">
        <v>0</v>
      </c>
      <c r="M8756" t="n">
        <v>0</v>
      </c>
      <c r="N8756" t="n">
        <v>0</v>
      </c>
      <c r="O8756" t="n">
        <v>0</v>
      </c>
      <c r="P8756" t="n">
        <v>0</v>
      </c>
      <c r="Q8756" t="n">
        <v>0</v>
      </c>
      <c r="R8756" s="2" t="inlineStr"/>
    </row>
    <row r="8757" ht="15" customHeight="1">
      <c r="A8757" t="inlineStr">
        <is>
          <t>A 19953-2026</t>
        </is>
      </c>
      <c r="B8757" s="1" t="n">
        <v>46136.40700231482</v>
      </c>
      <c r="C8757" s="1" t="n">
        <v>46185</v>
      </c>
      <c r="D8757" t="inlineStr">
        <is>
          <t>VÄSTERNORRLANDS LÄN</t>
        </is>
      </c>
      <c r="E8757" t="inlineStr">
        <is>
          <t>SUNDSVALL</t>
        </is>
      </c>
      <c r="F8757" t="inlineStr">
        <is>
          <t>SCA</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19964-2026</t>
        </is>
      </c>
      <c r="B8758" s="1" t="n">
        <v>46136.42302083333</v>
      </c>
      <c r="C8758" s="1" t="n">
        <v>46185</v>
      </c>
      <c r="D8758" t="inlineStr">
        <is>
          <t>VÄSTERNORRLANDS LÄN</t>
        </is>
      </c>
      <c r="E8758" t="inlineStr">
        <is>
          <t>SUNDSVALL</t>
        </is>
      </c>
      <c r="G8758" t="n">
        <v>0.3</v>
      </c>
      <c r="H8758" t="n">
        <v>0</v>
      </c>
      <c r="I8758" t="n">
        <v>0</v>
      </c>
      <c r="J8758" t="n">
        <v>0</v>
      </c>
      <c r="K8758" t="n">
        <v>0</v>
      </c>
      <c r="L8758" t="n">
        <v>0</v>
      </c>
      <c r="M8758" t="n">
        <v>0</v>
      </c>
      <c r="N8758" t="n">
        <v>0</v>
      </c>
      <c r="O8758" t="n">
        <v>0</v>
      </c>
      <c r="P8758" t="n">
        <v>0</v>
      </c>
      <c r="Q8758" t="n">
        <v>0</v>
      </c>
      <c r="R8758" s="2" t="inlineStr"/>
    </row>
    <row r="8759" ht="15" customHeight="1">
      <c r="A8759" t="inlineStr">
        <is>
          <t>A 51131-2022</t>
        </is>
      </c>
      <c r="B8759" s="1" t="n">
        <v>44868</v>
      </c>
      <c r="C8759" s="1" t="n">
        <v>46185</v>
      </c>
      <c r="D8759" t="inlineStr">
        <is>
          <t>VÄSTERNORRLANDS LÄN</t>
        </is>
      </c>
      <c r="E8759" t="inlineStr">
        <is>
          <t>ÅNGE</t>
        </is>
      </c>
      <c r="G8759" t="n">
        <v>11.1</v>
      </c>
      <c r="H8759" t="n">
        <v>0</v>
      </c>
      <c r="I8759" t="n">
        <v>0</v>
      </c>
      <c r="J8759" t="n">
        <v>0</v>
      </c>
      <c r="K8759" t="n">
        <v>0</v>
      </c>
      <c r="L8759" t="n">
        <v>0</v>
      </c>
      <c r="M8759" t="n">
        <v>0</v>
      </c>
      <c r="N8759" t="n">
        <v>0</v>
      </c>
      <c r="O8759" t="n">
        <v>0</v>
      </c>
      <c r="P8759" t="n">
        <v>0</v>
      </c>
      <c r="Q8759" t="n">
        <v>0</v>
      </c>
      <c r="R8759" s="2" t="inlineStr"/>
    </row>
    <row r="8760" ht="15" customHeight="1">
      <c r="A8760" t="inlineStr">
        <is>
          <t>A 25436-2026</t>
        </is>
      </c>
      <c r="B8760" s="1" t="n">
        <v>46177.33321759259</v>
      </c>
      <c r="C8760" s="1" t="n">
        <v>46185</v>
      </c>
      <c r="D8760" t="inlineStr">
        <is>
          <t>VÄSTERNORRLANDS LÄN</t>
        </is>
      </c>
      <c r="E8760" t="inlineStr">
        <is>
          <t>ÖRNSKÖLDSVIK</t>
        </is>
      </c>
      <c r="G8760" t="n">
        <v>4.1</v>
      </c>
      <c r="H8760" t="n">
        <v>0</v>
      </c>
      <c r="I8760" t="n">
        <v>0</v>
      </c>
      <c r="J8760" t="n">
        <v>0</v>
      </c>
      <c r="K8760" t="n">
        <v>0</v>
      </c>
      <c r="L8760" t="n">
        <v>0</v>
      </c>
      <c r="M8760" t="n">
        <v>0</v>
      </c>
      <c r="N8760" t="n">
        <v>0</v>
      </c>
      <c r="O8760" t="n">
        <v>0</v>
      </c>
      <c r="P8760" t="n">
        <v>0</v>
      </c>
      <c r="Q8760" t="n">
        <v>0</v>
      </c>
      <c r="R8760" s="2" t="inlineStr"/>
    </row>
    <row r="8761" ht="15" customHeight="1">
      <c r="A8761" t="inlineStr">
        <is>
          <t>A 1077-2024</t>
        </is>
      </c>
      <c r="B8761" s="1" t="n">
        <v>45302</v>
      </c>
      <c r="C8761" s="1" t="n">
        <v>46185</v>
      </c>
      <c r="D8761" t="inlineStr">
        <is>
          <t>VÄSTERNORRLANDS LÄN</t>
        </is>
      </c>
      <c r="E8761" t="inlineStr">
        <is>
          <t>KRAMFORS</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20080-2026</t>
        </is>
      </c>
      <c r="B8762" s="1" t="n">
        <v>46136</v>
      </c>
      <c r="C8762" s="1" t="n">
        <v>46185</v>
      </c>
      <c r="D8762" t="inlineStr">
        <is>
          <t>VÄSTERNORRLANDS LÄN</t>
        </is>
      </c>
      <c r="E8762" t="inlineStr">
        <is>
          <t>ÅNGE</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41804-2022</t>
        </is>
      </c>
      <c r="B8763" s="1" t="n">
        <v>44827</v>
      </c>
      <c r="C8763" s="1" t="n">
        <v>46185</v>
      </c>
      <c r="D8763" t="inlineStr">
        <is>
          <t>VÄSTERNORRLANDS LÄN</t>
        </is>
      </c>
      <c r="E8763" t="inlineStr">
        <is>
          <t>SUNDSVALL</t>
        </is>
      </c>
      <c r="G8763" t="n">
        <v>9.800000000000001</v>
      </c>
      <c r="H8763" t="n">
        <v>0</v>
      </c>
      <c r="I8763" t="n">
        <v>0</v>
      </c>
      <c r="J8763" t="n">
        <v>0</v>
      </c>
      <c r="K8763" t="n">
        <v>0</v>
      </c>
      <c r="L8763" t="n">
        <v>0</v>
      </c>
      <c r="M8763" t="n">
        <v>0</v>
      </c>
      <c r="N8763" t="n">
        <v>0</v>
      </c>
      <c r="O8763" t="n">
        <v>0</v>
      </c>
      <c r="P8763" t="n">
        <v>0</v>
      </c>
      <c r="Q8763" t="n">
        <v>0</v>
      </c>
      <c r="R8763" s="2" t="inlineStr"/>
    </row>
    <row r="8764" ht="15" customHeight="1">
      <c r="A8764" t="inlineStr">
        <is>
          <t>A 39276-2023</t>
        </is>
      </c>
      <c r="B8764" s="1" t="n">
        <v>45166.50868055555</v>
      </c>
      <c r="C8764" s="1" t="n">
        <v>46185</v>
      </c>
      <c r="D8764" t="inlineStr">
        <is>
          <t>VÄSTERNORRLANDS LÄN</t>
        </is>
      </c>
      <c r="E8764" t="inlineStr">
        <is>
          <t>SUNDSVALL</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21182-2022</t>
        </is>
      </c>
      <c r="B8765" s="1" t="n">
        <v>44704</v>
      </c>
      <c r="C8765" s="1" t="n">
        <v>46185</v>
      </c>
      <c r="D8765" t="inlineStr">
        <is>
          <t>VÄSTERNORRLANDS LÄN</t>
        </is>
      </c>
      <c r="E8765" t="inlineStr">
        <is>
          <t>SUNDSVALL</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21191-2022</t>
        </is>
      </c>
      <c r="B8766" s="1" t="n">
        <v>44704.94193287037</v>
      </c>
      <c r="C8766" s="1" t="n">
        <v>46185</v>
      </c>
      <c r="D8766" t="inlineStr">
        <is>
          <t>VÄSTERNORRLANDS LÄN</t>
        </is>
      </c>
      <c r="E8766" t="inlineStr">
        <is>
          <t>SOLLEFTEÅ</t>
        </is>
      </c>
      <c r="F8766" t="inlineStr">
        <is>
          <t>SCA</t>
        </is>
      </c>
      <c r="G8766" t="n">
        <v>26.5</v>
      </c>
      <c r="H8766" t="n">
        <v>0</v>
      </c>
      <c r="I8766" t="n">
        <v>0</v>
      </c>
      <c r="J8766" t="n">
        <v>0</v>
      </c>
      <c r="K8766" t="n">
        <v>0</v>
      </c>
      <c r="L8766" t="n">
        <v>0</v>
      </c>
      <c r="M8766" t="n">
        <v>0</v>
      </c>
      <c r="N8766" t="n">
        <v>0</v>
      </c>
      <c r="O8766" t="n">
        <v>0</v>
      </c>
      <c r="P8766" t="n">
        <v>0</v>
      </c>
      <c r="Q8766" t="n">
        <v>0</v>
      </c>
      <c r="R8766" s="2" t="inlineStr"/>
    </row>
    <row r="8767" ht="15" customHeight="1">
      <c r="A8767" t="inlineStr">
        <is>
          <t>A 20094-2026</t>
        </is>
      </c>
      <c r="B8767" s="1" t="n">
        <v>46136.6290625</v>
      </c>
      <c r="C8767" s="1" t="n">
        <v>46185</v>
      </c>
      <c r="D8767" t="inlineStr">
        <is>
          <t>VÄSTERNORRLANDS LÄN</t>
        </is>
      </c>
      <c r="E8767" t="inlineStr">
        <is>
          <t>SOLLEFTEÅ</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43672-2023</t>
        </is>
      </c>
      <c r="B8768" s="1" t="n">
        <v>45187</v>
      </c>
      <c r="C8768" s="1" t="n">
        <v>46185</v>
      </c>
      <c r="D8768" t="inlineStr">
        <is>
          <t>VÄSTERNORRLANDS LÄN</t>
        </is>
      </c>
      <c r="E8768" t="inlineStr">
        <is>
          <t>ÖRNSKÖLDSVIK</t>
        </is>
      </c>
      <c r="F8768" t="inlineStr">
        <is>
          <t>Holmen skog AB</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34020-2023</t>
        </is>
      </c>
      <c r="B8769" s="1" t="n">
        <v>45135.35714120371</v>
      </c>
      <c r="C8769" s="1" t="n">
        <v>46185</v>
      </c>
      <c r="D8769" t="inlineStr">
        <is>
          <t>VÄSTERNORRLANDS LÄN</t>
        </is>
      </c>
      <c r="E8769" t="inlineStr">
        <is>
          <t>ÖRNSKÖLDSVIK</t>
        </is>
      </c>
      <c r="F8769" t="inlineStr">
        <is>
          <t>Holmen skog AB</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25578-2026</t>
        </is>
      </c>
      <c r="B8770" s="1" t="n">
        <v>46177.62949074074</v>
      </c>
      <c r="C8770" s="1" t="n">
        <v>46185</v>
      </c>
      <c r="D8770" t="inlineStr">
        <is>
          <t>VÄSTERNORRLANDS LÄN</t>
        </is>
      </c>
      <c r="E8770" t="inlineStr">
        <is>
          <t>SOLLEFTEÅ</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42664-2022</t>
        </is>
      </c>
      <c r="B8771" s="1" t="n">
        <v>44831</v>
      </c>
      <c r="C8771" s="1" t="n">
        <v>46185</v>
      </c>
      <c r="D8771" t="inlineStr">
        <is>
          <t>VÄSTERNORRLANDS LÄN</t>
        </is>
      </c>
      <c r="E8771" t="inlineStr">
        <is>
          <t>SOLLEFTEÅ</t>
        </is>
      </c>
      <c r="F8771" t="inlineStr">
        <is>
          <t>SCA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16632-2025</t>
        </is>
      </c>
      <c r="B8772" s="1" t="n">
        <v>45754.36490740741</v>
      </c>
      <c r="C8772" s="1" t="n">
        <v>46185</v>
      </c>
      <c r="D8772" t="inlineStr">
        <is>
          <t>VÄSTERNORRLANDS LÄN</t>
        </is>
      </c>
      <c r="E8772" t="inlineStr">
        <is>
          <t>SOLLEFTEÅ</t>
        </is>
      </c>
      <c r="F8772" t="inlineStr">
        <is>
          <t>SCA</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25596-2026</t>
        </is>
      </c>
      <c r="B8773" s="1" t="n">
        <v>46177.64600694444</v>
      </c>
      <c r="C8773" s="1" t="n">
        <v>46185</v>
      </c>
      <c r="D8773" t="inlineStr">
        <is>
          <t>VÄSTERNORRLANDS LÄN</t>
        </is>
      </c>
      <c r="E8773" t="inlineStr">
        <is>
          <t>ÖRNSKÖLDSVIK</t>
        </is>
      </c>
      <c r="G8773" t="n">
        <v>9.699999999999999</v>
      </c>
      <c r="H8773" t="n">
        <v>0</v>
      </c>
      <c r="I8773" t="n">
        <v>0</v>
      </c>
      <c r="J8773" t="n">
        <v>0</v>
      </c>
      <c r="K8773" t="n">
        <v>0</v>
      </c>
      <c r="L8773" t="n">
        <v>0</v>
      </c>
      <c r="M8773" t="n">
        <v>0</v>
      </c>
      <c r="N8773" t="n">
        <v>0</v>
      </c>
      <c r="O8773" t="n">
        <v>0</v>
      </c>
      <c r="P8773" t="n">
        <v>0</v>
      </c>
      <c r="Q8773" t="n">
        <v>0</v>
      </c>
      <c r="R8773" s="2" t="inlineStr"/>
    </row>
    <row r="8774" ht="15" customHeight="1">
      <c r="A8774" t="inlineStr">
        <is>
          <t>A 40428-2023</t>
        </is>
      </c>
      <c r="B8774" s="1" t="n">
        <v>45169</v>
      </c>
      <c r="C8774" s="1" t="n">
        <v>46185</v>
      </c>
      <c r="D8774" t="inlineStr">
        <is>
          <t>VÄSTERNORRLANDS LÄN</t>
        </is>
      </c>
      <c r="E8774" t="inlineStr">
        <is>
          <t>SUNDSVALL</t>
        </is>
      </c>
      <c r="F8774" t="inlineStr">
        <is>
          <t>SCA</t>
        </is>
      </c>
      <c r="G8774" t="n">
        <v>6.6</v>
      </c>
      <c r="H8774" t="n">
        <v>0</v>
      </c>
      <c r="I8774" t="n">
        <v>0</v>
      </c>
      <c r="J8774" t="n">
        <v>0</v>
      </c>
      <c r="K8774" t="n">
        <v>0</v>
      </c>
      <c r="L8774" t="n">
        <v>0</v>
      </c>
      <c r="M8774" t="n">
        <v>0</v>
      </c>
      <c r="N8774" t="n">
        <v>0</v>
      </c>
      <c r="O8774" t="n">
        <v>0</v>
      </c>
      <c r="P8774" t="n">
        <v>0</v>
      </c>
      <c r="Q8774" t="n">
        <v>0</v>
      </c>
      <c r="R8774" s="2" t="inlineStr"/>
    </row>
    <row r="8775" ht="15" customHeight="1">
      <c r="A8775" t="inlineStr">
        <is>
          <t>A 23676-2022</t>
        </is>
      </c>
      <c r="B8775" s="1" t="n">
        <v>44721</v>
      </c>
      <c r="C8775" s="1" t="n">
        <v>46185</v>
      </c>
      <c r="D8775" t="inlineStr">
        <is>
          <t>VÄSTERNORRLANDS LÄN</t>
        </is>
      </c>
      <c r="E8775" t="inlineStr">
        <is>
          <t>TIMRÅ</t>
        </is>
      </c>
      <c r="F8775" t="inlineStr">
        <is>
          <t>SCA</t>
        </is>
      </c>
      <c r="G8775" t="n">
        <v>4.1</v>
      </c>
      <c r="H8775" t="n">
        <v>0</v>
      </c>
      <c r="I8775" t="n">
        <v>0</v>
      </c>
      <c r="J8775" t="n">
        <v>0</v>
      </c>
      <c r="K8775" t="n">
        <v>0</v>
      </c>
      <c r="L8775" t="n">
        <v>0</v>
      </c>
      <c r="M8775" t="n">
        <v>0</v>
      </c>
      <c r="N8775" t="n">
        <v>0</v>
      </c>
      <c r="O8775" t="n">
        <v>0</v>
      </c>
      <c r="P8775" t="n">
        <v>0</v>
      </c>
      <c r="Q8775" t="n">
        <v>0</v>
      </c>
      <c r="R8775" s="2" t="inlineStr"/>
    </row>
    <row r="8776" ht="15" customHeight="1">
      <c r="A8776" t="inlineStr">
        <is>
          <t>A 33757-2022</t>
        </is>
      </c>
      <c r="B8776" s="1" t="n">
        <v>44789</v>
      </c>
      <c r="C8776" s="1" t="n">
        <v>46185</v>
      </c>
      <c r="D8776" t="inlineStr">
        <is>
          <t>VÄSTERNORRLANDS LÄN</t>
        </is>
      </c>
      <c r="E8776" t="inlineStr">
        <is>
          <t>ÖRNSKÖLDSVIK</t>
        </is>
      </c>
      <c r="F8776" t="inlineStr">
        <is>
          <t>Kyrkan</t>
        </is>
      </c>
      <c r="G8776" t="n">
        <v>21.6</v>
      </c>
      <c r="H8776" t="n">
        <v>0</v>
      </c>
      <c r="I8776" t="n">
        <v>0</v>
      </c>
      <c r="J8776" t="n">
        <v>0</v>
      </c>
      <c r="K8776" t="n">
        <v>0</v>
      </c>
      <c r="L8776" t="n">
        <v>0</v>
      </c>
      <c r="M8776" t="n">
        <v>0</v>
      </c>
      <c r="N8776" t="n">
        <v>0</v>
      </c>
      <c r="O8776" t="n">
        <v>0</v>
      </c>
      <c r="P8776" t="n">
        <v>0</v>
      </c>
      <c r="Q8776" t="n">
        <v>0</v>
      </c>
      <c r="R8776" s="2" t="inlineStr"/>
    </row>
    <row r="8777" ht="15" customHeight="1">
      <c r="A8777" t="inlineStr">
        <is>
          <t>A 5999-2025</t>
        </is>
      </c>
      <c r="B8777" s="1" t="n">
        <v>45695</v>
      </c>
      <c r="C8777" s="1" t="n">
        <v>46185</v>
      </c>
      <c r="D8777" t="inlineStr">
        <is>
          <t>VÄSTERNORRLANDS LÄN</t>
        </is>
      </c>
      <c r="E8777" t="inlineStr">
        <is>
          <t>ÅNGE</t>
        </is>
      </c>
      <c r="F8777" t="inlineStr">
        <is>
          <t>SCA</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26723-2022</t>
        </is>
      </c>
      <c r="B8778" s="1" t="n">
        <v>44739</v>
      </c>
      <c r="C8778" s="1" t="n">
        <v>46185</v>
      </c>
      <c r="D8778" t="inlineStr">
        <is>
          <t>VÄSTERNORRLANDS LÄN</t>
        </is>
      </c>
      <c r="E8778" t="inlineStr">
        <is>
          <t>KRAMFORS</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35019-2022</t>
        </is>
      </c>
      <c r="B8779" s="1" t="n">
        <v>44796.94684027778</v>
      </c>
      <c r="C8779" s="1" t="n">
        <v>46185</v>
      </c>
      <c r="D8779" t="inlineStr">
        <is>
          <t>VÄSTERNORRLANDS LÄN</t>
        </is>
      </c>
      <c r="E8779" t="inlineStr">
        <is>
          <t>SOLLEFTEÅ</t>
        </is>
      </c>
      <c r="F8779" t="inlineStr">
        <is>
          <t>SCA</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25850-2026</t>
        </is>
      </c>
      <c r="B8780" s="1" t="n">
        <v>46178.55295138889</v>
      </c>
      <c r="C8780" s="1" t="n">
        <v>46185</v>
      </c>
      <c r="D8780" t="inlineStr">
        <is>
          <t>VÄSTERNORRLANDS LÄN</t>
        </is>
      </c>
      <c r="E8780" t="inlineStr">
        <is>
          <t>ÅNGE</t>
        </is>
      </c>
      <c r="F8780" t="inlineStr">
        <is>
          <t>SCA</t>
        </is>
      </c>
      <c r="G8780" t="n">
        <v>0.4</v>
      </c>
      <c r="H8780" t="n">
        <v>0</v>
      </c>
      <c r="I8780" t="n">
        <v>0</v>
      </c>
      <c r="J8780" t="n">
        <v>0</v>
      </c>
      <c r="K8780" t="n">
        <v>0</v>
      </c>
      <c r="L8780" t="n">
        <v>0</v>
      </c>
      <c r="M8780" t="n">
        <v>0</v>
      </c>
      <c r="N8780" t="n">
        <v>0</v>
      </c>
      <c r="O8780" t="n">
        <v>0</v>
      </c>
      <c r="P8780" t="n">
        <v>0</v>
      </c>
      <c r="Q8780" t="n">
        <v>0</v>
      </c>
      <c r="R8780" s="2" t="inlineStr"/>
    </row>
    <row r="8781" ht="15" customHeight="1">
      <c r="A8781" t="inlineStr">
        <is>
          <t>A 53452-2023</t>
        </is>
      </c>
      <c r="B8781" s="1" t="n">
        <v>45229</v>
      </c>
      <c r="C8781" s="1" t="n">
        <v>46185</v>
      </c>
      <c r="D8781" t="inlineStr">
        <is>
          <t>VÄSTERNORRLANDS LÄN</t>
        </is>
      </c>
      <c r="E8781" t="inlineStr">
        <is>
          <t>SOLLEFTEÅ</t>
        </is>
      </c>
      <c r="F8781" t="inlineStr">
        <is>
          <t>SCA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53453-2023</t>
        </is>
      </c>
      <c r="B8782" s="1" t="n">
        <v>45229.96586805556</v>
      </c>
      <c r="C8782" s="1" t="n">
        <v>46185</v>
      </c>
      <c r="D8782" t="inlineStr">
        <is>
          <t>VÄSTERNORRLANDS LÄN</t>
        </is>
      </c>
      <c r="E8782" t="inlineStr">
        <is>
          <t>SOLLEFTEÅ</t>
        </is>
      </c>
      <c r="F8782" t="inlineStr">
        <is>
          <t>SCA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25889-2026</t>
        </is>
      </c>
      <c r="B8783" s="1" t="n">
        <v>46178</v>
      </c>
      <c r="C8783" s="1" t="n">
        <v>46185</v>
      </c>
      <c r="D8783" t="inlineStr">
        <is>
          <t>VÄSTERNORRLANDS LÄN</t>
        </is>
      </c>
      <c r="E8783" t="inlineStr">
        <is>
          <t>ÖRNSKÖLDSVIK</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25617-2026</t>
        </is>
      </c>
      <c r="B8784" s="1" t="n">
        <v>46177</v>
      </c>
      <c r="C8784" s="1" t="n">
        <v>46185</v>
      </c>
      <c r="D8784" t="inlineStr">
        <is>
          <t>VÄSTERNORRLANDS LÄN</t>
        </is>
      </c>
      <c r="E8784" t="inlineStr">
        <is>
          <t>TIMRÅ</t>
        </is>
      </c>
      <c r="F8784" t="inlineStr">
        <is>
          <t>SCA</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25908-2026</t>
        </is>
      </c>
      <c r="B8785" s="1" t="n">
        <v>46178.68356481481</v>
      </c>
      <c r="C8785" s="1" t="n">
        <v>46185</v>
      </c>
      <c r="D8785" t="inlineStr">
        <is>
          <t>VÄSTERNORRLANDS LÄN</t>
        </is>
      </c>
      <c r="E8785" t="inlineStr">
        <is>
          <t>HÄRNÖSAND</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16709-2024</t>
        </is>
      </c>
      <c r="B8786" s="1" t="n">
        <v>45409.07737268518</v>
      </c>
      <c r="C8786" s="1" t="n">
        <v>46185</v>
      </c>
      <c r="D8786" t="inlineStr">
        <is>
          <t>VÄSTERNORRLANDS LÄN</t>
        </is>
      </c>
      <c r="E8786" t="inlineStr">
        <is>
          <t>SOLLEFTEÅ</t>
        </is>
      </c>
      <c r="F8786" t="inlineStr">
        <is>
          <t>SCA</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24629-2026</t>
        </is>
      </c>
      <c r="B8787" s="1" t="n">
        <v>46171</v>
      </c>
      <c r="C8787" s="1" t="n">
        <v>46185</v>
      </c>
      <c r="D8787" t="inlineStr">
        <is>
          <t>VÄSTERNORRLANDS LÄN</t>
        </is>
      </c>
      <c r="E8787" t="inlineStr">
        <is>
          <t>ÅNGE</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54618-2023</t>
        </is>
      </c>
      <c r="B8788" s="1" t="n">
        <v>45233</v>
      </c>
      <c r="C8788" s="1" t="n">
        <v>46185</v>
      </c>
      <c r="D8788" t="inlineStr">
        <is>
          <t>VÄSTERNORRLANDS LÄN</t>
        </is>
      </c>
      <c r="E8788" t="inlineStr">
        <is>
          <t>SOLLEFTEÅ</t>
        </is>
      </c>
      <c r="F8788" t="inlineStr">
        <is>
          <t>SCA</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64482-2023</t>
        </is>
      </c>
      <c r="B8789" s="1" t="n">
        <v>45280</v>
      </c>
      <c r="C8789" s="1" t="n">
        <v>46185</v>
      </c>
      <c r="D8789" t="inlineStr">
        <is>
          <t>VÄSTERNORRLANDS LÄN</t>
        </is>
      </c>
      <c r="E8789" t="inlineStr">
        <is>
          <t>KRAMFORS</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25107-2024</t>
        </is>
      </c>
      <c r="B8790" s="1" t="n">
        <v>45462.43282407407</v>
      </c>
      <c r="C8790" s="1" t="n">
        <v>46185</v>
      </c>
      <c r="D8790" t="inlineStr">
        <is>
          <t>VÄSTERNORRLANDS LÄN</t>
        </is>
      </c>
      <c r="E8790" t="inlineStr">
        <is>
          <t>ÖRNSKÖLDSVIK</t>
        </is>
      </c>
      <c r="F8790" t="inlineStr">
        <is>
          <t>Holmen skog AB</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28155-2024</t>
        </is>
      </c>
      <c r="B8791" s="1" t="n">
        <v>45476</v>
      </c>
      <c r="C8791" s="1" t="n">
        <v>46185</v>
      </c>
      <c r="D8791" t="inlineStr">
        <is>
          <t>VÄSTERNORRLANDS LÄN</t>
        </is>
      </c>
      <c r="E8791" t="inlineStr">
        <is>
          <t>SUNDSVALL</t>
        </is>
      </c>
      <c r="G8791" t="n">
        <v>8</v>
      </c>
      <c r="H8791" t="n">
        <v>0</v>
      </c>
      <c r="I8791" t="n">
        <v>0</v>
      </c>
      <c r="J8791" t="n">
        <v>0</v>
      </c>
      <c r="K8791" t="n">
        <v>0</v>
      </c>
      <c r="L8791" t="n">
        <v>0</v>
      </c>
      <c r="M8791" t="n">
        <v>0</v>
      </c>
      <c r="N8791" t="n">
        <v>0</v>
      </c>
      <c r="O8791" t="n">
        <v>0</v>
      </c>
      <c r="P8791" t="n">
        <v>0</v>
      </c>
      <c r="Q8791" t="n">
        <v>0</v>
      </c>
      <c r="R8791" s="2" t="inlineStr"/>
    </row>
    <row r="8792" ht="15" customHeight="1">
      <c r="A8792" t="inlineStr">
        <is>
          <t>A 10437-2025</t>
        </is>
      </c>
      <c r="B8792" s="1" t="n">
        <v>45720.67740740741</v>
      </c>
      <c r="C8792" s="1" t="n">
        <v>46185</v>
      </c>
      <c r="D8792" t="inlineStr">
        <is>
          <t>VÄSTERNORRLANDS LÄN</t>
        </is>
      </c>
      <c r="E8792" t="inlineStr">
        <is>
          <t>SOLLEFTEÅ</t>
        </is>
      </c>
      <c r="F8792" t="inlineStr">
        <is>
          <t>SCA</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35451-2022</t>
        </is>
      </c>
      <c r="B8793" s="1" t="n">
        <v>44798</v>
      </c>
      <c r="C8793" s="1" t="n">
        <v>46185</v>
      </c>
      <c r="D8793" t="inlineStr">
        <is>
          <t>VÄSTERNORRLANDS LÄN</t>
        </is>
      </c>
      <c r="E8793" t="inlineStr">
        <is>
          <t>ÖRNSKÖLDSVIK</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44330-2022</t>
        </is>
      </c>
      <c r="B8794" s="1" t="n">
        <v>44839.65895833333</v>
      </c>
      <c r="C8794" s="1" t="n">
        <v>46185</v>
      </c>
      <c r="D8794" t="inlineStr">
        <is>
          <t>VÄSTERNORRLANDS LÄN</t>
        </is>
      </c>
      <c r="E8794" t="inlineStr">
        <is>
          <t>ÖRNSKÖLDSVIK</t>
        </is>
      </c>
      <c r="F8794" t="inlineStr">
        <is>
          <t>Holmen skog AB</t>
        </is>
      </c>
      <c r="G8794" t="n">
        <v>8.1</v>
      </c>
      <c r="H8794" t="n">
        <v>0</v>
      </c>
      <c r="I8794" t="n">
        <v>0</v>
      </c>
      <c r="J8794" t="n">
        <v>0</v>
      </c>
      <c r="K8794" t="n">
        <v>0</v>
      </c>
      <c r="L8794" t="n">
        <v>0</v>
      </c>
      <c r="M8794" t="n">
        <v>0</v>
      </c>
      <c r="N8794" t="n">
        <v>0</v>
      </c>
      <c r="O8794" t="n">
        <v>0</v>
      </c>
      <c r="P8794" t="n">
        <v>0</v>
      </c>
      <c r="Q8794" t="n">
        <v>0</v>
      </c>
      <c r="R8794" s="2" t="inlineStr"/>
    </row>
    <row r="8795" ht="15" customHeight="1">
      <c r="A8795" t="inlineStr">
        <is>
          <t>A 60319-2022</t>
        </is>
      </c>
      <c r="B8795" s="1" t="n">
        <v>44903</v>
      </c>
      <c r="C8795" s="1" t="n">
        <v>46185</v>
      </c>
      <c r="D8795" t="inlineStr">
        <is>
          <t>VÄSTERNORRLANDS LÄN</t>
        </is>
      </c>
      <c r="E8795" t="inlineStr">
        <is>
          <t>ÖRNSKÖLDSVIK</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26015-2024</t>
        </is>
      </c>
      <c r="B8796" s="1" t="n">
        <v>45467.95872685185</v>
      </c>
      <c r="C8796" s="1" t="n">
        <v>46185</v>
      </c>
      <c r="D8796" t="inlineStr">
        <is>
          <t>VÄSTERNORRLANDS LÄN</t>
        </is>
      </c>
      <c r="E8796" t="inlineStr">
        <is>
          <t>ÅNGE</t>
        </is>
      </c>
      <c r="F8796" t="inlineStr">
        <is>
          <t>SCA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26010-2024</t>
        </is>
      </c>
      <c r="B8797" s="1" t="n">
        <v>45467.95819444444</v>
      </c>
      <c r="C8797" s="1" t="n">
        <v>46185</v>
      </c>
      <c r="D8797" t="inlineStr">
        <is>
          <t>VÄSTERNORRLANDS LÄN</t>
        </is>
      </c>
      <c r="E8797" t="inlineStr">
        <is>
          <t>ÅNGE</t>
        </is>
      </c>
      <c r="F8797" t="inlineStr">
        <is>
          <t>SCA</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34330-2022</t>
        </is>
      </c>
      <c r="B8798" s="1" t="n">
        <v>44792</v>
      </c>
      <c r="C8798" s="1" t="n">
        <v>46185</v>
      </c>
      <c r="D8798" t="inlineStr">
        <is>
          <t>VÄSTERNORRLANDS LÄN</t>
        </is>
      </c>
      <c r="E8798" t="inlineStr">
        <is>
          <t>KRAMFORS</t>
        </is>
      </c>
      <c r="G8798" t="n">
        <v>5.2</v>
      </c>
      <c r="H8798" t="n">
        <v>0</v>
      </c>
      <c r="I8798" t="n">
        <v>0</v>
      </c>
      <c r="J8798" t="n">
        <v>0</v>
      </c>
      <c r="K8798" t="n">
        <v>0</v>
      </c>
      <c r="L8798" t="n">
        <v>0</v>
      </c>
      <c r="M8798" t="n">
        <v>0</v>
      </c>
      <c r="N8798" t="n">
        <v>0</v>
      </c>
      <c r="O8798" t="n">
        <v>0</v>
      </c>
      <c r="P8798" t="n">
        <v>0</v>
      </c>
      <c r="Q8798" t="n">
        <v>0</v>
      </c>
      <c r="R8798" s="2" t="inlineStr"/>
    </row>
    <row r="8799" ht="15" customHeight="1">
      <c r="A8799" t="inlineStr">
        <is>
          <t>A 327-2024</t>
        </is>
      </c>
      <c r="B8799" s="1" t="n">
        <v>45295</v>
      </c>
      <c r="C8799" s="1" t="n">
        <v>46185</v>
      </c>
      <c r="D8799" t="inlineStr">
        <is>
          <t>VÄSTERNORRLANDS LÄN</t>
        </is>
      </c>
      <c r="E8799" t="inlineStr">
        <is>
          <t>ÖRNSKÖLDSVIK</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10160-2025</t>
        </is>
      </c>
      <c r="B8800" s="1" t="n">
        <v>45719</v>
      </c>
      <c r="C8800" s="1" t="n">
        <v>46185</v>
      </c>
      <c r="D8800" t="inlineStr">
        <is>
          <t>VÄSTERNORRLANDS LÄN</t>
        </is>
      </c>
      <c r="E8800" t="inlineStr">
        <is>
          <t>ÖRNSKÖLDSVIK</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54639-2023</t>
        </is>
      </c>
      <c r="B8801" s="1" t="n">
        <v>45234.92658564815</v>
      </c>
      <c r="C8801" s="1" t="n">
        <v>46185</v>
      </c>
      <c r="D8801" t="inlineStr">
        <is>
          <t>VÄSTERNORRLANDS LÄN</t>
        </is>
      </c>
      <c r="E8801" t="inlineStr">
        <is>
          <t>SUNDSVALL</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43576-2022</t>
        </is>
      </c>
      <c r="B8802" s="1" t="n">
        <v>44834</v>
      </c>
      <c r="C8802" s="1" t="n">
        <v>46185</v>
      </c>
      <c r="D8802" t="inlineStr">
        <is>
          <t>VÄSTERNORRLANDS LÄN</t>
        </is>
      </c>
      <c r="E8802" t="inlineStr">
        <is>
          <t>ÖRNSKÖLDSVIK</t>
        </is>
      </c>
      <c r="G8802" t="n">
        <v>6.1</v>
      </c>
      <c r="H8802" t="n">
        <v>0</v>
      </c>
      <c r="I8802" t="n">
        <v>0</v>
      </c>
      <c r="J8802" t="n">
        <v>0</v>
      </c>
      <c r="K8802" t="n">
        <v>0</v>
      </c>
      <c r="L8802" t="n">
        <v>0</v>
      </c>
      <c r="M8802" t="n">
        <v>0</v>
      </c>
      <c r="N8802" t="n">
        <v>0</v>
      </c>
      <c r="O8802" t="n">
        <v>0</v>
      </c>
      <c r="P8802" t="n">
        <v>0</v>
      </c>
      <c r="Q8802" t="n">
        <v>0</v>
      </c>
      <c r="R8802" s="2" t="inlineStr"/>
    </row>
    <row r="8803" ht="15" customHeight="1">
      <c r="A8803" t="inlineStr">
        <is>
          <t>A 60360-2024</t>
        </is>
      </c>
      <c r="B8803" s="1" t="n">
        <v>45643.44837962963</v>
      </c>
      <c r="C8803" s="1" t="n">
        <v>46185</v>
      </c>
      <c r="D8803" t="inlineStr">
        <is>
          <t>VÄSTERNORRLANDS LÄN</t>
        </is>
      </c>
      <c r="E8803" t="inlineStr">
        <is>
          <t>SOLLEFTEÅ</t>
        </is>
      </c>
      <c r="F8803" t="inlineStr">
        <is>
          <t>SCA</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60365-2024</t>
        </is>
      </c>
      <c r="B8804" s="1" t="n">
        <v>45643</v>
      </c>
      <c r="C8804" s="1" t="n">
        <v>46185</v>
      </c>
      <c r="D8804" t="inlineStr">
        <is>
          <t>VÄSTERNORRLANDS LÄN</t>
        </is>
      </c>
      <c r="E8804" t="inlineStr">
        <is>
          <t>ÅNGE</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47190-2023</t>
        </is>
      </c>
      <c r="B8805" s="1" t="n">
        <v>45202</v>
      </c>
      <c r="C8805" s="1" t="n">
        <v>46185</v>
      </c>
      <c r="D8805" t="inlineStr">
        <is>
          <t>VÄSTERNORRLANDS LÄN</t>
        </is>
      </c>
      <c r="E8805" t="inlineStr">
        <is>
          <t>ÖRNSKÖLDSVIK</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57924-2023</t>
        </is>
      </c>
      <c r="B8806" s="1" t="n">
        <v>45247</v>
      </c>
      <c r="C8806" s="1" t="n">
        <v>46185</v>
      </c>
      <c r="D8806" t="inlineStr">
        <is>
          <t>VÄSTERNORRLANDS LÄN</t>
        </is>
      </c>
      <c r="E8806" t="inlineStr">
        <is>
          <t>ÖRNSKÖLDSVIK</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2809-2026</t>
        </is>
      </c>
      <c r="B8807" s="1" t="n">
        <v>46038.4180324074</v>
      </c>
      <c r="C8807" s="1" t="n">
        <v>46185</v>
      </c>
      <c r="D8807" t="inlineStr">
        <is>
          <t>VÄSTERNORRLANDS LÄN</t>
        </is>
      </c>
      <c r="E8807" t="inlineStr">
        <is>
          <t>ÖRNSKÖLDSVIK</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35484-2022</t>
        </is>
      </c>
      <c r="B8808" s="1" t="n">
        <v>44798.92724537037</v>
      </c>
      <c r="C8808" s="1" t="n">
        <v>46185</v>
      </c>
      <c r="D8808" t="inlineStr">
        <is>
          <t>VÄSTERNORRLANDS LÄN</t>
        </is>
      </c>
      <c r="E8808" t="inlineStr">
        <is>
          <t>SUNDSVALL</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1559-2024</t>
        </is>
      </c>
      <c r="B8809" s="1" t="n">
        <v>45306</v>
      </c>
      <c r="C8809" s="1" t="n">
        <v>46185</v>
      </c>
      <c r="D8809" t="inlineStr">
        <is>
          <t>VÄSTERNORRLANDS LÄN</t>
        </is>
      </c>
      <c r="E8809" t="inlineStr">
        <is>
          <t>ÖRNSKÖLDSVIK</t>
        </is>
      </c>
      <c r="F8809" t="inlineStr">
        <is>
          <t>Holmen skog AB</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14300-2025</t>
        </is>
      </c>
      <c r="B8810" s="1" t="n">
        <v>45740.68648148148</v>
      </c>
      <c r="C8810" s="1" t="n">
        <v>46185</v>
      </c>
      <c r="D8810" t="inlineStr">
        <is>
          <t>VÄSTERNORRLANDS LÄN</t>
        </is>
      </c>
      <c r="E8810" t="inlineStr">
        <is>
          <t>ÖRNSKÖLDSVIK</t>
        </is>
      </c>
      <c r="F8810" t="inlineStr">
        <is>
          <t>Holmen skog AB</t>
        </is>
      </c>
      <c r="G8810" t="n">
        <v>6</v>
      </c>
      <c r="H8810" t="n">
        <v>0</v>
      </c>
      <c r="I8810" t="n">
        <v>0</v>
      </c>
      <c r="J8810" t="n">
        <v>0</v>
      </c>
      <c r="K8810" t="n">
        <v>0</v>
      </c>
      <c r="L8810" t="n">
        <v>0</v>
      </c>
      <c r="M8810" t="n">
        <v>0</v>
      </c>
      <c r="N8810" t="n">
        <v>0</v>
      </c>
      <c r="O8810" t="n">
        <v>0</v>
      </c>
      <c r="P8810" t="n">
        <v>0</v>
      </c>
      <c r="Q8810" t="n">
        <v>0</v>
      </c>
      <c r="R8810" s="2" t="inlineStr"/>
    </row>
    <row r="8811" ht="15" customHeight="1">
      <c r="A8811" t="inlineStr">
        <is>
          <t>A 43252-2025</t>
        </is>
      </c>
      <c r="B8811" s="1" t="n">
        <v>45910.55292824074</v>
      </c>
      <c r="C8811" s="1" t="n">
        <v>46185</v>
      </c>
      <c r="D8811" t="inlineStr">
        <is>
          <t>VÄSTERNORRLANDS LÄN</t>
        </is>
      </c>
      <c r="E8811" t="inlineStr">
        <is>
          <t>ÅNGE</t>
        </is>
      </c>
      <c r="F8811" t="inlineStr">
        <is>
          <t>SCA</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24452-2022</t>
        </is>
      </c>
      <c r="B8812" s="1" t="n">
        <v>44726.61040509259</v>
      </c>
      <c r="C8812" s="1" t="n">
        <v>46185</v>
      </c>
      <c r="D8812" t="inlineStr">
        <is>
          <t>VÄSTERNORRLANDS LÄN</t>
        </is>
      </c>
      <c r="E8812" t="inlineStr">
        <is>
          <t>HÄRNÖSAND</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47488-2023</t>
        </is>
      </c>
      <c r="B8813" s="1" t="n">
        <v>45202.94168981481</v>
      </c>
      <c r="C8813" s="1" t="n">
        <v>46185</v>
      </c>
      <c r="D8813" t="inlineStr">
        <is>
          <t>VÄSTERNORRLANDS LÄN</t>
        </is>
      </c>
      <c r="E8813" t="inlineStr">
        <is>
          <t>ÅNGE</t>
        </is>
      </c>
      <c r="F8813" t="inlineStr">
        <is>
          <t>SCA</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8035-2026</t>
        </is>
      </c>
      <c r="B8814" s="1" t="n">
        <v>46063.59454861111</v>
      </c>
      <c r="C8814" s="1" t="n">
        <v>46185</v>
      </c>
      <c r="D8814" t="inlineStr">
        <is>
          <t>VÄSTERNORRLANDS LÄN</t>
        </is>
      </c>
      <c r="E8814" t="inlineStr">
        <is>
          <t>ÅNGE</t>
        </is>
      </c>
      <c r="F8814" t="inlineStr">
        <is>
          <t>SCA</t>
        </is>
      </c>
      <c r="G8814" t="n">
        <v>51.4</v>
      </c>
      <c r="H8814" t="n">
        <v>0</v>
      </c>
      <c r="I8814" t="n">
        <v>0</v>
      </c>
      <c r="J8814" t="n">
        <v>0</v>
      </c>
      <c r="K8814" t="n">
        <v>0</v>
      </c>
      <c r="L8814" t="n">
        <v>0</v>
      </c>
      <c r="M8814" t="n">
        <v>0</v>
      </c>
      <c r="N8814" t="n">
        <v>0</v>
      </c>
      <c r="O8814" t="n">
        <v>0</v>
      </c>
      <c r="P8814" t="n">
        <v>0</v>
      </c>
      <c r="Q8814" t="n">
        <v>0</v>
      </c>
      <c r="R8814" s="2" t="inlineStr"/>
    </row>
    <row r="8815" ht="15" customHeight="1">
      <c r="A8815" t="inlineStr">
        <is>
          <t>A 41586-2023</t>
        </is>
      </c>
      <c r="B8815" s="1" t="n">
        <v>45175</v>
      </c>
      <c r="C8815" s="1" t="n">
        <v>46185</v>
      </c>
      <c r="D8815" t="inlineStr">
        <is>
          <t>VÄSTERNORRLANDS LÄN</t>
        </is>
      </c>
      <c r="E8815" t="inlineStr">
        <is>
          <t>SUNDSVALL</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37307-2025</t>
        </is>
      </c>
      <c r="B8816" s="1" t="n">
        <v>45876.59489583333</v>
      </c>
      <c r="C8816" s="1" t="n">
        <v>46185</v>
      </c>
      <c r="D8816" t="inlineStr">
        <is>
          <t>VÄSTERNORRLANDS LÄN</t>
        </is>
      </c>
      <c r="E8816" t="inlineStr">
        <is>
          <t>KRAMFORS</t>
        </is>
      </c>
      <c r="G8816" t="n">
        <v>8.199999999999999</v>
      </c>
      <c r="H8816" t="n">
        <v>0</v>
      </c>
      <c r="I8816" t="n">
        <v>0</v>
      </c>
      <c r="J8816" t="n">
        <v>0</v>
      </c>
      <c r="K8816" t="n">
        <v>0</v>
      </c>
      <c r="L8816" t="n">
        <v>0</v>
      </c>
      <c r="M8816" t="n">
        <v>0</v>
      </c>
      <c r="N8816" t="n">
        <v>0</v>
      </c>
      <c r="O8816" t="n">
        <v>0</v>
      </c>
      <c r="P8816" t="n">
        <v>0</v>
      </c>
      <c r="Q8816" t="n">
        <v>0</v>
      </c>
      <c r="R8816" s="2" t="inlineStr"/>
    </row>
    <row r="8817" ht="15" customHeight="1">
      <c r="A8817" t="inlineStr">
        <is>
          <t>A 37671-2023</t>
        </is>
      </c>
      <c r="B8817" s="1" t="n">
        <v>45156</v>
      </c>
      <c r="C8817" s="1" t="n">
        <v>46185</v>
      </c>
      <c r="D8817" t="inlineStr">
        <is>
          <t>VÄSTERNORRLANDS LÄN</t>
        </is>
      </c>
      <c r="E8817" t="inlineStr">
        <is>
          <t>SOLLEFTEÅ</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40990-2025</t>
        </is>
      </c>
      <c r="B8818" s="1" t="n">
        <v>45898.32158564815</v>
      </c>
      <c r="C8818" s="1" t="n">
        <v>46185</v>
      </c>
      <c r="D8818" t="inlineStr">
        <is>
          <t>VÄSTERNORRLANDS LÄN</t>
        </is>
      </c>
      <c r="E8818" t="inlineStr">
        <is>
          <t>ÖRNSKÖLDSVIK</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54989-2023</t>
        </is>
      </c>
      <c r="B8819" s="1" t="n">
        <v>45236</v>
      </c>
      <c r="C8819" s="1" t="n">
        <v>46185</v>
      </c>
      <c r="D8819" t="inlineStr">
        <is>
          <t>VÄSTERNORRLANDS LÄN</t>
        </is>
      </c>
      <c r="E8819" t="inlineStr">
        <is>
          <t>SUNDSVALL</t>
        </is>
      </c>
      <c r="F8819" t="inlineStr">
        <is>
          <t>SCA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42348-2025</t>
        </is>
      </c>
      <c r="B8820" s="1" t="n">
        <v>45904</v>
      </c>
      <c r="C8820" s="1" t="n">
        <v>46185</v>
      </c>
      <c r="D8820" t="inlineStr">
        <is>
          <t>VÄSTERNORRLANDS LÄN</t>
        </is>
      </c>
      <c r="E8820" t="inlineStr">
        <is>
          <t>HÄRNÖSAND</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47346-2025</t>
        </is>
      </c>
      <c r="B8821" s="1" t="n">
        <v>45930.57329861111</v>
      </c>
      <c r="C8821" s="1" t="n">
        <v>46185</v>
      </c>
      <c r="D8821" t="inlineStr">
        <is>
          <t>VÄSTERNORRLANDS LÄN</t>
        </is>
      </c>
      <c r="E8821" t="inlineStr">
        <is>
          <t>SUNDSVALL</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54978-2023</t>
        </is>
      </c>
      <c r="B8822" s="1" t="n">
        <v>45236.96600694444</v>
      </c>
      <c r="C8822" s="1" t="n">
        <v>46185</v>
      </c>
      <c r="D8822" t="inlineStr">
        <is>
          <t>VÄSTERNORRLANDS LÄN</t>
        </is>
      </c>
      <c r="E8822" t="inlineStr">
        <is>
          <t>SOLLEFTEÅ</t>
        </is>
      </c>
      <c r="F8822" t="inlineStr">
        <is>
          <t>SCA</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54982-2023</t>
        </is>
      </c>
      <c r="B8823" s="1" t="n">
        <v>45236</v>
      </c>
      <c r="C8823" s="1" t="n">
        <v>46185</v>
      </c>
      <c r="D8823" t="inlineStr">
        <is>
          <t>VÄSTERNORRLANDS LÄN</t>
        </is>
      </c>
      <c r="E8823" t="inlineStr">
        <is>
          <t>ÅNGE</t>
        </is>
      </c>
      <c r="F8823" t="inlineStr">
        <is>
          <t>SCA</t>
        </is>
      </c>
      <c r="G8823" t="n">
        <v>26.2</v>
      </c>
      <c r="H8823" t="n">
        <v>0</v>
      </c>
      <c r="I8823" t="n">
        <v>0</v>
      </c>
      <c r="J8823" t="n">
        <v>0</v>
      </c>
      <c r="K8823" t="n">
        <v>0</v>
      </c>
      <c r="L8823" t="n">
        <v>0</v>
      </c>
      <c r="M8823" t="n">
        <v>0</v>
      </c>
      <c r="N8823" t="n">
        <v>0</v>
      </c>
      <c r="O8823" t="n">
        <v>0</v>
      </c>
      <c r="P8823" t="n">
        <v>0</v>
      </c>
      <c r="Q8823" t="n">
        <v>0</v>
      </c>
      <c r="R8823" s="2" t="inlineStr"/>
    </row>
    <row r="8824" ht="15" customHeight="1">
      <c r="A8824" t="inlineStr">
        <is>
          <t>A 698-2024</t>
        </is>
      </c>
      <c r="B8824" s="1" t="n">
        <v>45300.38689814815</v>
      </c>
      <c r="C8824" s="1" t="n">
        <v>46185</v>
      </c>
      <c r="D8824" t="inlineStr">
        <is>
          <t>VÄSTERNORRLANDS LÄN</t>
        </is>
      </c>
      <c r="E8824" t="inlineStr">
        <is>
          <t>ÖRNSKÖLDSVIK</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7427-2025</t>
        </is>
      </c>
      <c r="B8825" s="1" t="n">
        <v>45705</v>
      </c>
      <c r="C8825" s="1" t="n">
        <v>46185</v>
      </c>
      <c r="D8825" t="inlineStr">
        <is>
          <t>VÄSTERNORRLANDS LÄN</t>
        </is>
      </c>
      <c r="E8825" t="inlineStr">
        <is>
          <t>SUNDSVALL</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13887-2022</t>
        </is>
      </c>
      <c r="B8826" s="1" t="n">
        <v>44649</v>
      </c>
      <c r="C8826" s="1" t="n">
        <v>46185</v>
      </c>
      <c r="D8826" t="inlineStr">
        <is>
          <t>VÄSTERNORRLANDS LÄN</t>
        </is>
      </c>
      <c r="E8826" t="inlineStr">
        <is>
          <t>ÖRNSKÖLDSVIK</t>
        </is>
      </c>
      <c r="G8826" t="n">
        <v>20</v>
      </c>
      <c r="H8826" t="n">
        <v>0</v>
      </c>
      <c r="I8826" t="n">
        <v>0</v>
      </c>
      <c r="J8826" t="n">
        <v>0</v>
      </c>
      <c r="K8826" t="n">
        <v>0</v>
      </c>
      <c r="L8826" t="n">
        <v>0</v>
      </c>
      <c r="M8826" t="n">
        <v>0</v>
      </c>
      <c r="N8826" t="n">
        <v>0</v>
      </c>
      <c r="O8826" t="n">
        <v>0</v>
      </c>
      <c r="P8826" t="n">
        <v>0</v>
      </c>
      <c r="Q8826" t="n">
        <v>0</v>
      </c>
      <c r="R8826" s="2" t="inlineStr"/>
    </row>
    <row r="8827" ht="15" customHeight="1">
      <c r="A8827" t="inlineStr">
        <is>
          <t>A 8796-2025</t>
        </is>
      </c>
      <c r="B8827" s="1" t="n">
        <v>45712.64783564815</v>
      </c>
      <c r="C8827" s="1" t="n">
        <v>46185</v>
      </c>
      <c r="D8827" t="inlineStr">
        <is>
          <t>VÄSTERNORRLANDS LÄN</t>
        </is>
      </c>
      <c r="E8827" t="inlineStr">
        <is>
          <t>SUNDSVALL</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8895-2025</t>
        </is>
      </c>
      <c r="B8828" s="1" t="n">
        <v>45713.40670138889</v>
      </c>
      <c r="C8828" s="1" t="n">
        <v>46185</v>
      </c>
      <c r="D8828" t="inlineStr">
        <is>
          <t>VÄSTERNORRLANDS LÄN</t>
        </is>
      </c>
      <c r="E8828" t="inlineStr">
        <is>
          <t>SOLLEFTEÅ</t>
        </is>
      </c>
      <c r="G8828" t="n">
        <v>5.6</v>
      </c>
      <c r="H8828" t="n">
        <v>0</v>
      </c>
      <c r="I8828" t="n">
        <v>0</v>
      </c>
      <c r="J8828" t="n">
        <v>0</v>
      </c>
      <c r="K8828" t="n">
        <v>0</v>
      </c>
      <c r="L8828" t="n">
        <v>0</v>
      </c>
      <c r="M8828" t="n">
        <v>0</v>
      </c>
      <c r="N8828" t="n">
        <v>0</v>
      </c>
      <c r="O8828" t="n">
        <v>0</v>
      </c>
      <c r="P8828" t="n">
        <v>0</v>
      </c>
      <c r="Q8828" t="n">
        <v>0</v>
      </c>
      <c r="R8828" s="2" t="inlineStr"/>
    </row>
    <row r="8829" ht="15" customHeight="1">
      <c r="A8829" t="inlineStr">
        <is>
          <t>A 11078-2025</t>
        </is>
      </c>
      <c r="B8829" s="1" t="n">
        <v>45723.55694444444</v>
      </c>
      <c r="C8829" s="1" t="n">
        <v>46185</v>
      </c>
      <c r="D8829" t="inlineStr">
        <is>
          <t>VÄSTERNORRLANDS LÄN</t>
        </is>
      </c>
      <c r="E8829" t="inlineStr">
        <is>
          <t>HÄRNÖSAND</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11108-2025</t>
        </is>
      </c>
      <c r="B8830" s="1" t="n">
        <v>45723.6150462963</v>
      </c>
      <c r="C8830" s="1" t="n">
        <v>46185</v>
      </c>
      <c r="D8830" t="inlineStr">
        <is>
          <t>VÄSTERNORRLANDS LÄN</t>
        </is>
      </c>
      <c r="E8830" t="inlineStr">
        <is>
          <t>SOLLEFTEÅ</t>
        </is>
      </c>
      <c r="F8830" t="inlineStr">
        <is>
          <t>SCA</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19708-2025</t>
        </is>
      </c>
      <c r="B8831" s="1" t="n">
        <v>45771</v>
      </c>
      <c r="C8831" s="1" t="n">
        <v>46185</v>
      </c>
      <c r="D8831" t="inlineStr">
        <is>
          <t>VÄSTERNORRLANDS LÄN</t>
        </is>
      </c>
      <c r="E8831" t="inlineStr">
        <is>
          <t>KRAMFORS</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57072-2023</t>
        </is>
      </c>
      <c r="B8832" s="1" t="n">
        <v>45244.96715277778</v>
      </c>
      <c r="C8832" s="1" t="n">
        <v>46185</v>
      </c>
      <c r="D8832" t="inlineStr">
        <is>
          <t>VÄSTERNORRLANDS LÄN</t>
        </is>
      </c>
      <c r="E8832" t="inlineStr">
        <is>
          <t>TIMRÅ</t>
        </is>
      </c>
      <c r="F8832" t="inlineStr">
        <is>
          <t>SCA</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38888-2022</t>
        </is>
      </c>
      <c r="B8833" s="1" t="n">
        <v>44816</v>
      </c>
      <c r="C8833" s="1" t="n">
        <v>46185</v>
      </c>
      <c r="D8833" t="inlineStr">
        <is>
          <t>VÄSTERNORRLANDS LÄN</t>
        </is>
      </c>
      <c r="E8833" t="inlineStr">
        <is>
          <t>SUNDSVALL</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59898-2023</t>
        </is>
      </c>
      <c r="B8834" s="1" t="n">
        <v>45257</v>
      </c>
      <c r="C8834" s="1" t="n">
        <v>46185</v>
      </c>
      <c r="D8834" t="inlineStr">
        <is>
          <t>VÄSTERNORRLANDS LÄN</t>
        </is>
      </c>
      <c r="E8834" t="inlineStr">
        <is>
          <t>ÖRNSKÖLDSVIK</t>
        </is>
      </c>
      <c r="F8834" t="inlineStr">
        <is>
          <t>Holmen skog AB</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63673-2023</t>
        </is>
      </c>
      <c r="B8835" s="1" t="n">
        <v>45275</v>
      </c>
      <c r="C8835" s="1" t="n">
        <v>46185</v>
      </c>
      <c r="D8835" t="inlineStr">
        <is>
          <t>VÄSTERNORRLANDS LÄN</t>
        </is>
      </c>
      <c r="E8835" t="inlineStr">
        <is>
          <t>ÖRNSKÖLDSVIK</t>
        </is>
      </c>
      <c r="G8835" t="n">
        <v>11.5</v>
      </c>
      <c r="H8835" t="n">
        <v>0</v>
      </c>
      <c r="I8835" t="n">
        <v>0</v>
      </c>
      <c r="J8835" t="n">
        <v>0</v>
      </c>
      <c r="K8835" t="n">
        <v>0</v>
      </c>
      <c r="L8835" t="n">
        <v>0</v>
      </c>
      <c r="M8835" t="n">
        <v>0</v>
      </c>
      <c r="N8835" t="n">
        <v>0</v>
      </c>
      <c r="O8835" t="n">
        <v>0</v>
      </c>
      <c r="P8835" t="n">
        <v>0</v>
      </c>
      <c r="Q8835" t="n">
        <v>0</v>
      </c>
      <c r="R8835" s="2" t="inlineStr"/>
    </row>
    <row r="8836" ht="15" customHeight="1">
      <c r="A8836" t="inlineStr">
        <is>
          <t>A 63733-2023</t>
        </is>
      </c>
      <c r="B8836" s="1" t="n">
        <v>45277.74315972222</v>
      </c>
      <c r="C8836" s="1" t="n">
        <v>46185</v>
      </c>
      <c r="D8836" t="inlineStr">
        <is>
          <t>VÄSTERNORRLANDS LÄN</t>
        </is>
      </c>
      <c r="E8836" t="inlineStr">
        <is>
          <t>ÖRNSKÖLDSVIK</t>
        </is>
      </c>
      <c r="F8836" t="inlineStr">
        <is>
          <t>Övriga Aktiebolag</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40514-2025</t>
        </is>
      </c>
      <c r="B8837" s="1" t="n">
        <v>45896.35221064815</v>
      </c>
      <c r="C8837" s="1" t="n">
        <v>46185</v>
      </c>
      <c r="D8837" t="inlineStr">
        <is>
          <t>VÄSTERNORRLANDS LÄN</t>
        </is>
      </c>
      <c r="E8837" t="inlineStr">
        <is>
          <t>KRAMFORS</t>
        </is>
      </c>
      <c r="G8837" t="n">
        <v>7.4</v>
      </c>
      <c r="H8837" t="n">
        <v>0</v>
      </c>
      <c r="I8837" t="n">
        <v>0</v>
      </c>
      <c r="J8837" t="n">
        <v>0</v>
      </c>
      <c r="K8837" t="n">
        <v>0</v>
      </c>
      <c r="L8837" t="n">
        <v>0</v>
      </c>
      <c r="M8837" t="n">
        <v>0</v>
      </c>
      <c r="N8837" t="n">
        <v>0</v>
      </c>
      <c r="O8837" t="n">
        <v>0</v>
      </c>
      <c r="P8837" t="n">
        <v>0</v>
      </c>
      <c r="Q8837" t="n">
        <v>0</v>
      </c>
      <c r="R8837" s="2" t="inlineStr"/>
    </row>
    <row r="8838" ht="15" customHeight="1">
      <c r="A8838" t="inlineStr">
        <is>
          <t>A 55490-2023</t>
        </is>
      </c>
      <c r="B8838" s="1" t="n">
        <v>45238.54555555555</v>
      </c>
      <c r="C8838" s="1" t="n">
        <v>46185</v>
      </c>
      <c r="D8838" t="inlineStr">
        <is>
          <t>VÄSTERNORRLANDS LÄN</t>
        </is>
      </c>
      <c r="E8838" t="inlineStr">
        <is>
          <t>ÖRNSKÖLDSVIK</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53294-2024</t>
        </is>
      </c>
      <c r="B8839" s="1" t="n">
        <v>45614.3875462963</v>
      </c>
      <c r="C8839" s="1" t="n">
        <v>46185</v>
      </c>
      <c r="D8839" t="inlineStr">
        <is>
          <t>VÄSTERNORRLANDS LÄN</t>
        </is>
      </c>
      <c r="E8839" t="inlineStr">
        <is>
          <t>TIMRÅ</t>
        </is>
      </c>
      <c r="F8839" t="inlineStr">
        <is>
          <t>SCA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255-2024</t>
        </is>
      </c>
      <c r="B8840" s="1" t="n">
        <v>45294.97679398148</v>
      </c>
      <c r="C8840" s="1" t="n">
        <v>46185</v>
      </c>
      <c r="D8840" t="inlineStr">
        <is>
          <t>VÄSTERNORRLANDS LÄN</t>
        </is>
      </c>
      <c r="E8840" t="inlineStr">
        <is>
          <t>SUNDSVALL</t>
        </is>
      </c>
      <c r="F8840" t="inlineStr">
        <is>
          <t>SCA</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8531-2025</t>
        </is>
      </c>
      <c r="B8841" s="1" t="n">
        <v>45709.5850462963</v>
      </c>
      <c r="C8841" s="1" t="n">
        <v>46185</v>
      </c>
      <c r="D8841" t="inlineStr">
        <is>
          <t>VÄSTERNORRLANDS LÄN</t>
        </is>
      </c>
      <c r="E8841" t="inlineStr">
        <is>
          <t>SUNDSVALL</t>
        </is>
      </c>
      <c r="G8841" t="n">
        <v>6.5</v>
      </c>
      <c r="H8841" t="n">
        <v>0</v>
      </c>
      <c r="I8841" t="n">
        <v>0</v>
      </c>
      <c r="J8841" t="n">
        <v>0</v>
      </c>
      <c r="K8841" t="n">
        <v>0</v>
      </c>
      <c r="L8841" t="n">
        <v>0</v>
      </c>
      <c r="M8841" t="n">
        <v>0</v>
      </c>
      <c r="N8841" t="n">
        <v>0</v>
      </c>
      <c r="O8841" t="n">
        <v>0</v>
      </c>
      <c r="P8841" t="n">
        <v>0</v>
      </c>
      <c r="Q8841" t="n">
        <v>0</v>
      </c>
      <c r="R8841" s="2" t="inlineStr"/>
    </row>
    <row r="8842" ht="15" customHeight="1">
      <c r="A8842" t="inlineStr">
        <is>
          <t>A 8266-2025</t>
        </is>
      </c>
      <c r="B8842" s="1" t="n">
        <v>45708</v>
      </c>
      <c r="C8842" s="1" t="n">
        <v>46185</v>
      </c>
      <c r="D8842" t="inlineStr">
        <is>
          <t>VÄSTERNORRLANDS LÄN</t>
        </is>
      </c>
      <c r="E8842" t="inlineStr">
        <is>
          <t>ÖRNSKÖLDSVIK</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2431-2025</t>
        </is>
      </c>
      <c r="B8843" s="1" t="n">
        <v>45674.40692129629</v>
      </c>
      <c r="C8843" s="1" t="n">
        <v>46185</v>
      </c>
      <c r="D8843" t="inlineStr">
        <is>
          <t>VÄSTERNORRLANDS LÄN</t>
        </is>
      </c>
      <c r="E8843" t="inlineStr">
        <is>
          <t>SOLLEFTEÅ</t>
        </is>
      </c>
      <c r="F8843" t="inlineStr">
        <is>
          <t>SCA</t>
        </is>
      </c>
      <c r="G8843" t="n">
        <v>19.2</v>
      </c>
      <c r="H8843" t="n">
        <v>0</v>
      </c>
      <c r="I8843" t="n">
        <v>0</v>
      </c>
      <c r="J8843" t="n">
        <v>0</v>
      </c>
      <c r="K8843" t="n">
        <v>0</v>
      </c>
      <c r="L8843" t="n">
        <v>0</v>
      </c>
      <c r="M8843" t="n">
        <v>0</v>
      </c>
      <c r="N8843" t="n">
        <v>0</v>
      </c>
      <c r="O8843" t="n">
        <v>0</v>
      </c>
      <c r="P8843" t="n">
        <v>0</v>
      </c>
      <c r="Q8843" t="n">
        <v>0</v>
      </c>
      <c r="R8843" s="2" t="inlineStr"/>
    </row>
    <row r="8844" ht="15" customHeight="1">
      <c r="A8844" t="inlineStr">
        <is>
          <t>A 64042-2023</t>
        </is>
      </c>
      <c r="B8844" s="1" t="n">
        <v>45279</v>
      </c>
      <c r="C8844" s="1" t="n">
        <v>46185</v>
      </c>
      <c r="D8844" t="inlineStr">
        <is>
          <t>VÄSTERNORRLANDS LÄN</t>
        </is>
      </c>
      <c r="E8844" t="inlineStr">
        <is>
          <t>KRAMFORS</t>
        </is>
      </c>
      <c r="G8844" t="n">
        <v>6.2</v>
      </c>
      <c r="H8844" t="n">
        <v>0</v>
      </c>
      <c r="I8844" t="n">
        <v>0</v>
      </c>
      <c r="J8844" t="n">
        <v>0</v>
      </c>
      <c r="K8844" t="n">
        <v>0</v>
      </c>
      <c r="L8844" t="n">
        <v>0</v>
      </c>
      <c r="M8844" t="n">
        <v>0</v>
      </c>
      <c r="N8844" t="n">
        <v>0</v>
      </c>
      <c r="O8844" t="n">
        <v>0</v>
      </c>
      <c r="P8844" t="n">
        <v>0</v>
      </c>
      <c r="Q8844" t="n">
        <v>0</v>
      </c>
      <c r="R8844" s="2" t="inlineStr"/>
    </row>
    <row r="8845" ht="15" customHeight="1">
      <c r="A8845" t="inlineStr">
        <is>
          <t>A 54477-2024</t>
        </is>
      </c>
      <c r="B8845" s="1" t="n">
        <v>45617.55256944444</v>
      </c>
      <c r="C8845" s="1" t="n">
        <v>46185</v>
      </c>
      <c r="D8845" t="inlineStr">
        <is>
          <t>VÄSTERNORRLANDS LÄN</t>
        </is>
      </c>
      <c r="E8845" t="inlineStr">
        <is>
          <t>SUNDSVALL</t>
        </is>
      </c>
      <c r="F8845" t="inlineStr">
        <is>
          <t>SCA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59296-2022</t>
        </is>
      </c>
      <c r="B8846" s="1" t="n">
        <v>44904.61346064815</v>
      </c>
      <c r="C8846" s="1" t="n">
        <v>46185</v>
      </c>
      <c r="D8846" t="inlineStr">
        <is>
          <t>VÄSTERNORRLANDS LÄN</t>
        </is>
      </c>
      <c r="E8846" t="inlineStr">
        <is>
          <t>SUNDSVALL</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57560-2023</t>
        </is>
      </c>
      <c r="B8847" s="1" t="n">
        <v>45243</v>
      </c>
      <c r="C8847" s="1" t="n">
        <v>46185</v>
      </c>
      <c r="D8847" t="inlineStr">
        <is>
          <t>VÄSTERNORRLANDS LÄN</t>
        </is>
      </c>
      <c r="E8847" t="inlineStr">
        <is>
          <t>ÅNGE</t>
        </is>
      </c>
      <c r="G8847" t="n">
        <v>7.4</v>
      </c>
      <c r="H8847" t="n">
        <v>0</v>
      </c>
      <c r="I8847" t="n">
        <v>0</v>
      </c>
      <c r="J8847" t="n">
        <v>0</v>
      </c>
      <c r="K8847" t="n">
        <v>0</v>
      </c>
      <c r="L8847" t="n">
        <v>0</v>
      </c>
      <c r="M8847" t="n">
        <v>0</v>
      </c>
      <c r="N8847" t="n">
        <v>0</v>
      </c>
      <c r="O8847" t="n">
        <v>0</v>
      </c>
      <c r="P8847" t="n">
        <v>0</v>
      </c>
      <c r="Q8847" t="n">
        <v>0</v>
      </c>
      <c r="R8847" s="2" t="inlineStr"/>
    </row>
    <row r="8848" ht="15" customHeight="1">
      <c r="A8848" t="inlineStr">
        <is>
          <t>A 55650-2023</t>
        </is>
      </c>
      <c r="B8848" s="1" t="n">
        <v>45238.96600694444</v>
      </c>
      <c r="C8848" s="1" t="n">
        <v>46185</v>
      </c>
      <c r="D8848" t="inlineStr">
        <is>
          <t>VÄSTERNORRLANDS LÄN</t>
        </is>
      </c>
      <c r="E8848" t="inlineStr">
        <is>
          <t>SOLLEFTEÅ</t>
        </is>
      </c>
      <c r="F8848" t="inlineStr">
        <is>
          <t>SCA</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8794-2025</t>
        </is>
      </c>
      <c r="B8849" s="1" t="n">
        <v>45712.64390046296</v>
      </c>
      <c r="C8849" s="1" t="n">
        <v>46185</v>
      </c>
      <c r="D8849" t="inlineStr">
        <is>
          <t>VÄSTERNORRLANDS LÄN</t>
        </is>
      </c>
      <c r="E8849" t="inlineStr">
        <is>
          <t>SUNDSVALL</t>
        </is>
      </c>
      <c r="G8849" t="n">
        <v>16.6</v>
      </c>
      <c r="H8849" t="n">
        <v>0</v>
      </c>
      <c r="I8849" t="n">
        <v>0</v>
      </c>
      <c r="J8849" t="n">
        <v>0</v>
      </c>
      <c r="K8849" t="n">
        <v>0</v>
      </c>
      <c r="L8849" t="n">
        <v>0</v>
      </c>
      <c r="M8849" t="n">
        <v>0</v>
      </c>
      <c r="N8849" t="n">
        <v>0</v>
      </c>
      <c r="O8849" t="n">
        <v>0</v>
      </c>
      <c r="P8849" t="n">
        <v>0</v>
      </c>
      <c r="Q8849" t="n">
        <v>0</v>
      </c>
      <c r="R8849" s="2" t="inlineStr"/>
    </row>
    <row r="8850" ht="15" customHeight="1">
      <c r="A8850" t="inlineStr">
        <is>
          <t>A 8914-2025</t>
        </is>
      </c>
      <c r="B8850" s="1" t="n">
        <v>45713.42743055556</v>
      </c>
      <c r="C8850" s="1" t="n">
        <v>46185</v>
      </c>
      <c r="D8850" t="inlineStr">
        <is>
          <t>VÄSTERNORRLANDS LÄN</t>
        </is>
      </c>
      <c r="E8850" t="inlineStr">
        <is>
          <t>SOLLEFTEÅ</t>
        </is>
      </c>
      <c r="G8850" t="n">
        <v>4.2</v>
      </c>
      <c r="H8850" t="n">
        <v>0</v>
      </c>
      <c r="I8850" t="n">
        <v>0</v>
      </c>
      <c r="J8850" t="n">
        <v>0</v>
      </c>
      <c r="K8850" t="n">
        <v>0</v>
      </c>
      <c r="L8850" t="n">
        <v>0</v>
      </c>
      <c r="M8850" t="n">
        <v>0</v>
      </c>
      <c r="N8850" t="n">
        <v>0</v>
      </c>
      <c r="O8850" t="n">
        <v>0</v>
      </c>
      <c r="P8850" t="n">
        <v>0</v>
      </c>
      <c r="Q8850" t="n">
        <v>0</v>
      </c>
      <c r="R8850" s="2" t="inlineStr"/>
    </row>
    <row r="8851" ht="15" customHeight="1">
      <c r="A8851" t="inlineStr">
        <is>
          <t>A 53669-2023</t>
        </is>
      </c>
      <c r="B8851" s="1" t="n">
        <v>45230</v>
      </c>
      <c r="C8851" s="1" t="n">
        <v>46185</v>
      </c>
      <c r="D8851" t="inlineStr">
        <is>
          <t>VÄSTERNORRLANDS LÄN</t>
        </is>
      </c>
      <c r="E8851" t="inlineStr">
        <is>
          <t>SOLLEFTEÅ</t>
        </is>
      </c>
      <c r="G8851" t="n">
        <v>11.2</v>
      </c>
      <c r="H8851" t="n">
        <v>0</v>
      </c>
      <c r="I8851" t="n">
        <v>0</v>
      </c>
      <c r="J8851" t="n">
        <v>0</v>
      </c>
      <c r="K8851" t="n">
        <v>0</v>
      </c>
      <c r="L8851" t="n">
        <v>0</v>
      </c>
      <c r="M8851" t="n">
        <v>0</v>
      </c>
      <c r="N8851" t="n">
        <v>0</v>
      </c>
      <c r="O8851" t="n">
        <v>0</v>
      </c>
      <c r="P8851" t="n">
        <v>0</v>
      </c>
      <c r="Q8851" t="n">
        <v>0</v>
      </c>
      <c r="R8851" s="2" t="inlineStr"/>
    </row>
    <row r="8852" ht="15" customHeight="1">
      <c r="A8852" t="inlineStr">
        <is>
          <t>A 53112-2024</t>
        </is>
      </c>
      <c r="B8852" s="1" t="n">
        <v>45611.5637037037</v>
      </c>
      <c r="C8852" s="1" t="n">
        <v>46185</v>
      </c>
      <c r="D8852" t="inlineStr">
        <is>
          <t>VÄSTERNORRLANDS LÄN</t>
        </is>
      </c>
      <c r="E8852" t="inlineStr">
        <is>
          <t>ÖRNSKÖLDSVIK</t>
        </is>
      </c>
      <c r="F8852" t="inlineStr">
        <is>
          <t>Holmen skog AB</t>
        </is>
      </c>
      <c r="G8852" t="n">
        <v>5.8</v>
      </c>
      <c r="H8852" t="n">
        <v>0</v>
      </c>
      <c r="I8852" t="n">
        <v>0</v>
      </c>
      <c r="J8852" t="n">
        <v>0</v>
      </c>
      <c r="K8852" t="n">
        <v>0</v>
      </c>
      <c r="L8852" t="n">
        <v>0</v>
      </c>
      <c r="M8852" t="n">
        <v>0</v>
      </c>
      <c r="N8852" t="n">
        <v>0</v>
      </c>
      <c r="O8852" t="n">
        <v>0</v>
      </c>
      <c r="P8852" t="n">
        <v>0</v>
      </c>
      <c r="Q8852" t="n">
        <v>0</v>
      </c>
      <c r="R8852" s="2" t="inlineStr"/>
    </row>
    <row r="8853" ht="15" customHeight="1">
      <c r="A8853" t="inlineStr">
        <is>
          <t>A 37242-2022</t>
        </is>
      </c>
      <c r="B8853" s="1" t="n">
        <v>44806.94675925926</v>
      </c>
      <c r="C8853" s="1" t="n">
        <v>46185</v>
      </c>
      <c r="D8853" t="inlineStr">
        <is>
          <t>VÄSTERNORRLANDS LÄN</t>
        </is>
      </c>
      <c r="E8853" t="inlineStr">
        <is>
          <t>SOLLEFTEÅ</t>
        </is>
      </c>
      <c r="F8853" t="inlineStr">
        <is>
          <t>SCA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53120-2024</t>
        </is>
      </c>
      <c r="B8854" s="1" t="n">
        <v>45611</v>
      </c>
      <c r="C8854" s="1" t="n">
        <v>46185</v>
      </c>
      <c r="D8854" t="inlineStr">
        <is>
          <t>VÄSTERNORRLANDS LÄN</t>
        </is>
      </c>
      <c r="E8854" t="inlineStr">
        <is>
          <t>SOLLEFTEÅ</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16084-2025</t>
        </is>
      </c>
      <c r="B8855" s="1" t="n">
        <v>45749</v>
      </c>
      <c r="C8855" s="1" t="n">
        <v>46185</v>
      </c>
      <c r="D8855" t="inlineStr">
        <is>
          <t>VÄSTERNORRLANDS LÄN</t>
        </is>
      </c>
      <c r="E8855" t="inlineStr">
        <is>
          <t>TIMRÅ</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8946-2026</t>
        </is>
      </c>
      <c r="B8856" s="1" t="n">
        <v>46069</v>
      </c>
      <c r="C8856" s="1" t="n">
        <v>46185</v>
      </c>
      <c r="D8856" t="inlineStr">
        <is>
          <t>VÄSTERNORRLANDS LÄN</t>
        </is>
      </c>
      <c r="E8856" t="inlineStr">
        <is>
          <t>KRAMFORS</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5548-2025</t>
        </is>
      </c>
      <c r="B8857" s="1" t="n">
        <v>45693.46940972222</v>
      </c>
      <c r="C8857" s="1" t="n">
        <v>46185</v>
      </c>
      <c r="D8857" t="inlineStr">
        <is>
          <t>VÄSTERNORRLANDS LÄN</t>
        </is>
      </c>
      <c r="E8857" t="inlineStr">
        <is>
          <t>SOLLEFTEÅ</t>
        </is>
      </c>
      <c r="G8857" t="n">
        <v>7.9</v>
      </c>
      <c r="H8857" t="n">
        <v>0</v>
      </c>
      <c r="I8857" t="n">
        <v>0</v>
      </c>
      <c r="J8857" t="n">
        <v>0</v>
      </c>
      <c r="K8857" t="n">
        <v>0</v>
      </c>
      <c r="L8857" t="n">
        <v>0</v>
      </c>
      <c r="M8857" t="n">
        <v>0</v>
      </c>
      <c r="N8857" t="n">
        <v>0</v>
      </c>
      <c r="O8857" t="n">
        <v>0</v>
      </c>
      <c r="P8857" t="n">
        <v>0</v>
      </c>
      <c r="Q8857" t="n">
        <v>0</v>
      </c>
      <c r="R8857" s="2" t="inlineStr"/>
    </row>
    <row r="8858" ht="15" customHeight="1">
      <c r="A8858" t="inlineStr">
        <is>
          <t>A 18604-2024</t>
        </is>
      </c>
      <c r="B8858" s="1" t="n">
        <v>45425</v>
      </c>
      <c r="C8858" s="1" t="n">
        <v>46185</v>
      </c>
      <c r="D8858" t="inlineStr">
        <is>
          <t>VÄSTERNORRLANDS LÄN</t>
        </is>
      </c>
      <c r="E8858" t="inlineStr">
        <is>
          <t>KRAMFORS</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61081-2022</t>
        </is>
      </c>
      <c r="B8859" s="1" t="n">
        <v>44915</v>
      </c>
      <c r="C8859" s="1" t="n">
        <v>46185</v>
      </c>
      <c r="D8859" t="inlineStr">
        <is>
          <t>VÄSTERNORRLANDS LÄN</t>
        </is>
      </c>
      <c r="E8859" t="inlineStr">
        <is>
          <t>ÖRNSKÖLDSVIK</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5254-2024</t>
        </is>
      </c>
      <c r="B8860" s="1" t="n">
        <v>45330</v>
      </c>
      <c r="C8860" s="1" t="n">
        <v>46185</v>
      </c>
      <c r="D8860" t="inlineStr">
        <is>
          <t>VÄSTERNORRLANDS LÄN</t>
        </is>
      </c>
      <c r="E8860" t="inlineStr">
        <is>
          <t>SOLLEFTEÅ</t>
        </is>
      </c>
      <c r="F8860" t="inlineStr">
        <is>
          <t>SCA</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5255-2024</t>
        </is>
      </c>
      <c r="B8861" s="1" t="n">
        <v>45330</v>
      </c>
      <c r="C8861" s="1" t="n">
        <v>46185</v>
      </c>
      <c r="D8861" t="inlineStr">
        <is>
          <t>VÄSTERNORRLANDS LÄN</t>
        </is>
      </c>
      <c r="E8861" t="inlineStr">
        <is>
          <t>SOLLEFTEÅ</t>
        </is>
      </c>
      <c r="F8861" t="inlineStr">
        <is>
          <t>SCA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12941-2025</t>
        </is>
      </c>
      <c r="B8862" s="1" t="n">
        <v>45734.36525462963</v>
      </c>
      <c r="C8862" s="1" t="n">
        <v>46185</v>
      </c>
      <c r="D8862" t="inlineStr">
        <is>
          <t>VÄSTERNORRLANDS LÄN</t>
        </is>
      </c>
      <c r="E8862" t="inlineStr">
        <is>
          <t>SOLLEFTEÅ</t>
        </is>
      </c>
      <c r="G8862" t="n">
        <v>5.8</v>
      </c>
      <c r="H8862" t="n">
        <v>0</v>
      </c>
      <c r="I8862" t="n">
        <v>0</v>
      </c>
      <c r="J8862" t="n">
        <v>0</v>
      </c>
      <c r="K8862" t="n">
        <v>0</v>
      </c>
      <c r="L8862" t="n">
        <v>0</v>
      </c>
      <c r="M8862" t="n">
        <v>0</v>
      </c>
      <c r="N8862" t="n">
        <v>0</v>
      </c>
      <c r="O8862" t="n">
        <v>0</v>
      </c>
      <c r="P8862" t="n">
        <v>0</v>
      </c>
      <c r="Q8862" t="n">
        <v>0</v>
      </c>
      <c r="R8862" s="2" t="inlineStr"/>
    </row>
    <row r="8863" ht="15" customHeight="1">
      <c r="A8863" t="inlineStr">
        <is>
          <t>A 39498-2023</t>
        </is>
      </c>
      <c r="B8863" s="1" t="n">
        <v>45166</v>
      </c>
      <c r="C8863" s="1" t="n">
        <v>46185</v>
      </c>
      <c r="D8863" t="inlineStr">
        <is>
          <t>VÄSTERNORRLANDS LÄN</t>
        </is>
      </c>
      <c r="E8863" t="inlineStr">
        <is>
          <t>HÄRNÖSAND</t>
        </is>
      </c>
      <c r="F8863" t="inlineStr">
        <is>
          <t>SCA</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19472-2025</t>
        </is>
      </c>
      <c r="B8864" s="1" t="n">
        <v>45770</v>
      </c>
      <c r="C8864" s="1" t="n">
        <v>46185</v>
      </c>
      <c r="D8864" t="inlineStr">
        <is>
          <t>VÄSTERNORRLANDS LÄN</t>
        </is>
      </c>
      <c r="E8864" t="inlineStr">
        <is>
          <t>ÖRNSKÖLDSVIK</t>
        </is>
      </c>
      <c r="F8864" t="inlineStr">
        <is>
          <t>Holmen skog AB</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15820-2026</t>
        </is>
      </c>
      <c r="B8865" s="1" t="n">
        <v>46107</v>
      </c>
      <c r="C8865" s="1" t="n">
        <v>46185</v>
      </c>
      <c r="D8865" t="inlineStr">
        <is>
          <t>VÄSTERNORRLANDS LÄN</t>
        </is>
      </c>
      <c r="E8865" t="inlineStr">
        <is>
          <t>KRAMFORS</t>
        </is>
      </c>
      <c r="G8865" t="n">
        <v>10.1</v>
      </c>
      <c r="H8865" t="n">
        <v>0</v>
      </c>
      <c r="I8865" t="n">
        <v>0</v>
      </c>
      <c r="J8865" t="n">
        <v>0</v>
      </c>
      <c r="K8865" t="n">
        <v>0</v>
      </c>
      <c r="L8865" t="n">
        <v>0</v>
      </c>
      <c r="M8865" t="n">
        <v>0</v>
      </c>
      <c r="N8865" t="n">
        <v>0</v>
      </c>
      <c r="O8865" t="n">
        <v>0</v>
      </c>
      <c r="P8865" t="n">
        <v>0</v>
      </c>
      <c r="Q8865" t="n">
        <v>0</v>
      </c>
      <c r="R8865" s="2" t="inlineStr"/>
    </row>
    <row r="8866" ht="15" customHeight="1">
      <c r="A8866" t="inlineStr">
        <is>
          <t>A 18130-2025</t>
        </is>
      </c>
      <c r="B8866" s="1" t="n">
        <v>45761.59958333334</v>
      </c>
      <c r="C8866" s="1" t="n">
        <v>46185</v>
      </c>
      <c r="D8866" t="inlineStr">
        <is>
          <t>VÄSTERNORRLANDS LÄN</t>
        </is>
      </c>
      <c r="E8866" t="inlineStr">
        <is>
          <t>TIMRÅ</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27467-2022</t>
        </is>
      </c>
      <c r="B8867" s="1" t="n">
        <v>44742.59049768518</v>
      </c>
      <c r="C8867" s="1" t="n">
        <v>46185</v>
      </c>
      <c r="D8867" t="inlineStr">
        <is>
          <t>VÄSTERNORRLANDS LÄN</t>
        </is>
      </c>
      <c r="E8867" t="inlineStr">
        <is>
          <t>ÖRNSKÖLDSVIK</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22235-2024</t>
        </is>
      </c>
      <c r="B8868" s="1" t="n">
        <v>45446</v>
      </c>
      <c r="C8868" s="1" t="n">
        <v>46185</v>
      </c>
      <c r="D8868" t="inlineStr">
        <is>
          <t>VÄSTERNORRLANDS LÄN</t>
        </is>
      </c>
      <c r="E8868" t="inlineStr">
        <is>
          <t>SOLLEFTEÅ</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56311-2023</t>
        </is>
      </c>
      <c r="B8869" s="1" t="n">
        <v>45242.94203703704</v>
      </c>
      <c r="C8869" s="1" t="n">
        <v>46185</v>
      </c>
      <c r="D8869" t="inlineStr">
        <is>
          <t>VÄSTERNORRLANDS LÄN</t>
        </is>
      </c>
      <c r="E8869" t="inlineStr">
        <is>
          <t>SOLLEFTEÅ</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8860-2026</t>
        </is>
      </c>
      <c r="B8870" s="1" t="n">
        <v>46066.6987037037</v>
      </c>
      <c r="C8870" s="1" t="n">
        <v>46185</v>
      </c>
      <c r="D8870" t="inlineStr">
        <is>
          <t>VÄSTERNORRLANDS LÄN</t>
        </is>
      </c>
      <c r="E8870" t="inlineStr">
        <is>
          <t>ÅNGE</t>
        </is>
      </c>
      <c r="F8870" t="inlineStr">
        <is>
          <t>SCA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9052-2025</t>
        </is>
      </c>
      <c r="B8871" s="1" t="n">
        <v>45713.63570601852</v>
      </c>
      <c r="C8871" s="1" t="n">
        <v>46185</v>
      </c>
      <c r="D8871" t="inlineStr">
        <is>
          <t>VÄSTERNORRLANDS LÄN</t>
        </is>
      </c>
      <c r="E8871" t="inlineStr">
        <is>
          <t>ÖRNSKÖLDSVIK</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9053-2025</t>
        </is>
      </c>
      <c r="B8872" s="1" t="n">
        <v>45713.63590277778</v>
      </c>
      <c r="C8872" s="1" t="n">
        <v>46185</v>
      </c>
      <c r="D8872" t="inlineStr">
        <is>
          <t>VÄSTERNORRLANDS LÄN</t>
        </is>
      </c>
      <c r="E8872" t="inlineStr">
        <is>
          <t>ÖRNSKÖLDSVIK</t>
        </is>
      </c>
      <c r="G8872" t="n">
        <v>7.1</v>
      </c>
      <c r="H8872" t="n">
        <v>0</v>
      </c>
      <c r="I8872" t="n">
        <v>0</v>
      </c>
      <c r="J8872" t="n">
        <v>0</v>
      </c>
      <c r="K8872" t="n">
        <v>0</v>
      </c>
      <c r="L8872" t="n">
        <v>0</v>
      </c>
      <c r="M8872" t="n">
        <v>0</v>
      </c>
      <c r="N8872" t="n">
        <v>0</v>
      </c>
      <c r="O8872" t="n">
        <v>0</v>
      </c>
      <c r="P8872" t="n">
        <v>0</v>
      </c>
      <c r="Q8872" t="n">
        <v>0</v>
      </c>
      <c r="R8872" s="2" t="inlineStr"/>
    </row>
    <row r="8873" ht="15" customHeight="1">
      <c r="A8873" t="inlineStr">
        <is>
          <t>A 57394-2023</t>
        </is>
      </c>
      <c r="B8873" s="1" t="n">
        <v>45245.96774305555</v>
      </c>
      <c r="C8873" s="1" t="n">
        <v>46185</v>
      </c>
      <c r="D8873" t="inlineStr">
        <is>
          <t>VÄSTERNORRLANDS LÄN</t>
        </is>
      </c>
      <c r="E8873" t="inlineStr">
        <is>
          <t>SOLLEFTEÅ</t>
        </is>
      </c>
      <c r="F8873" t="inlineStr">
        <is>
          <t>SCA</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35318-2021</t>
        </is>
      </c>
      <c r="B8874" s="1" t="n">
        <v>44384</v>
      </c>
      <c r="C8874" s="1" t="n">
        <v>46185</v>
      </c>
      <c r="D8874" t="inlineStr">
        <is>
          <t>VÄSTERNORRLANDS LÄN</t>
        </is>
      </c>
      <c r="E8874" t="inlineStr">
        <is>
          <t>SUNDSVALL</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51108-2023</t>
        </is>
      </c>
      <c r="B8875" s="1" t="n">
        <v>45218</v>
      </c>
      <c r="C8875" s="1" t="n">
        <v>46185</v>
      </c>
      <c r="D8875" t="inlineStr">
        <is>
          <t>VÄSTERNORRLANDS LÄN</t>
        </is>
      </c>
      <c r="E8875" t="inlineStr">
        <is>
          <t>SUNDSVALL</t>
        </is>
      </c>
      <c r="F8875" t="inlineStr">
        <is>
          <t>SCA</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3583-2026</t>
        </is>
      </c>
      <c r="B8876" s="1" t="n">
        <v>46042.72951388889</v>
      </c>
      <c r="C8876" s="1" t="n">
        <v>46185</v>
      </c>
      <c r="D8876" t="inlineStr">
        <is>
          <t>VÄSTERNORRLANDS LÄN</t>
        </is>
      </c>
      <c r="E8876" t="inlineStr">
        <is>
          <t>SOLLEFTEÅ</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27592-2025</t>
        </is>
      </c>
      <c r="B8877" s="1" t="n">
        <v>45813.5191550926</v>
      </c>
      <c r="C8877" s="1" t="n">
        <v>46185</v>
      </c>
      <c r="D8877" t="inlineStr">
        <is>
          <t>VÄSTERNORRLANDS LÄN</t>
        </is>
      </c>
      <c r="E8877" t="inlineStr">
        <is>
          <t>SOLLEFTEÅ</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51109-2023</t>
        </is>
      </c>
      <c r="B8878" s="1" t="n">
        <v>45218.96215277778</v>
      </c>
      <c r="C8878" s="1" t="n">
        <v>46185</v>
      </c>
      <c r="D8878" t="inlineStr">
        <is>
          <t>VÄSTERNORRLANDS LÄN</t>
        </is>
      </c>
      <c r="E8878" t="inlineStr">
        <is>
          <t>SUNDSVALL</t>
        </is>
      </c>
      <c r="F8878" t="inlineStr">
        <is>
          <t>SCA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21890-2023</t>
        </is>
      </c>
      <c r="B8879" s="1" t="n">
        <v>45068</v>
      </c>
      <c r="C8879" s="1" t="n">
        <v>46185</v>
      </c>
      <c r="D8879" t="inlineStr">
        <is>
          <t>VÄSTERNORRLANDS LÄN</t>
        </is>
      </c>
      <c r="E8879" t="inlineStr">
        <is>
          <t>ÖRNSKÖLDSVIK</t>
        </is>
      </c>
      <c r="F8879" t="inlineStr">
        <is>
          <t>Kyrkan</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42975-2025</t>
        </is>
      </c>
      <c r="B8880" s="1" t="n">
        <v>45909.42412037037</v>
      </c>
      <c r="C8880" s="1" t="n">
        <v>46185</v>
      </c>
      <c r="D8880" t="inlineStr">
        <is>
          <t>VÄSTERNORRLANDS LÄN</t>
        </is>
      </c>
      <c r="E8880" t="inlineStr">
        <is>
          <t>KRAMFORS</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58773-2023</t>
        </is>
      </c>
      <c r="B8881" s="1" t="n">
        <v>45251.9671875</v>
      </c>
      <c r="C8881" s="1" t="n">
        <v>46185</v>
      </c>
      <c r="D8881" t="inlineStr">
        <is>
          <t>VÄSTERNORRLANDS LÄN</t>
        </is>
      </c>
      <c r="E8881" t="inlineStr">
        <is>
          <t>SUNDSVALL</t>
        </is>
      </c>
      <c r="F8881" t="inlineStr">
        <is>
          <t>SCA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60754-2023</t>
        </is>
      </c>
      <c r="B8882" s="1" t="n">
        <v>45260</v>
      </c>
      <c r="C8882" s="1" t="n">
        <v>46185</v>
      </c>
      <c r="D8882" t="inlineStr">
        <is>
          <t>VÄSTERNORRLANDS LÄN</t>
        </is>
      </c>
      <c r="E8882" t="inlineStr">
        <is>
          <t>ÖRNSKÖLDSVIK</t>
        </is>
      </c>
      <c r="G8882" t="n">
        <v>0.1</v>
      </c>
      <c r="H8882" t="n">
        <v>0</v>
      </c>
      <c r="I8882" t="n">
        <v>0</v>
      </c>
      <c r="J8882" t="n">
        <v>0</v>
      </c>
      <c r="K8882" t="n">
        <v>0</v>
      </c>
      <c r="L8882" t="n">
        <v>0</v>
      </c>
      <c r="M8882" t="n">
        <v>0</v>
      </c>
      <c r="N8882" t="n">
        <v>0</v>
      </c>
      <c r="O8882" t="n">
        <v>0</v>
      </c>
      <c r="P8882" t="n">
        <v>0</v>
      </c>
      <c r="Q8882" t="n">
        <v>0</v>
      </c>
      <c r="R8882" s="2" t="inlineStr"/>
    </row>
    <row r="8883" ht="15" customHeight="1">
      <c r="A8883" t="inlineStr">
        <is>
          <t>A 60773-2023</t>
        </is>
      </c>
      <c r="B8883" s="1" t="n">
        <v>45260</v>
      </c>
      <c r="C8883" s="1" t="n">
        <v>46185</v>
      </c>
      <c r="D8883" t="inlineStr">
        <is>
          <t>VÄSTERNORRLANDS LÄN</t>
        </is>
      </c>
      <c r="E8883" t="inlineStr">
        <is>
          <t>ÖRNSKÖLDSVIK</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19532-2025</t>
        </is>
      </c>
      <c r="B8884" s="1" t="n">
        <v>45770.47039351852</v>
      </c>
      <c r="C8884" s="1" t="n">
        <v>46185</v>
      </c>
      <c r="D8884" t="inlineStr">
        <is>
          <t>VÄSTERNORRLANDS LÄN</t>
        </is>
      </c>
      <c r="E8884" t="inlineStr">
        <is>
          <t>ÖRNSKÖLDSVIK</t>
        </is>
      </c>
      <c r="F8884" t="inlineStr">
        <is>
          <t>Holmen skog AB</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3414-2025</t>
        </is>
      </c>
      <c r="B8885" s="1" t="n">
        <v>45680</v>
      </c>
      <c r="C8885" s="1" t="n">
        <v>46185</v>
      </c>
      <c r="D8885" t="inlineStr">
        <is>
          <t>VÄSTERNORRLANDS LÄN</t>
        </is>
      </c>
      <c r="E8885" t="inlineStr">
        <is>
          <t>SOLLEFTEÅ</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38623-2022</t>
        </is>
      </c>
      <c r="B8886" s="1" t="n">
        <v>44813</v>
      </c>
      <c r="C8886" s="1" t="n">
        <v>46185</v>
      </c>
      <c r="D8886" t="inlineStr">
        <is>
          <t>VÄSTERNORRLANDS LÄN</t>
        </is>
      </c>
      <c r="E8886" t="inlineStr">
        <is>
          <t>KRAMFORS</t>
        </is>
      </c>
      <c r="G8886" t="n">
        <v>78.7</v>
      </c>
      <c r="H8886" t="n">
        <v>0</v>
      </c>
      <c r="I8886" t="n">
        <v>0</v>
      </c>
      <c r="J8886" t="n">
        <v>0</v>
      </c>
      <c r="K8886" t="n">
        <v>0</v>
      </c>
      <c r="L8886" t="n">
        <v>0</v>
      </c>
      <c r="M8886" t="n">
        <v>0</v>
      </c>
      <c r="N8886" t="n">
        <v>0</v>
      </c>
      <c r="O8886" t="n">
        <v>0</v>
      </c>
      <c r="P8886" t="n">
        <v>0</v>
      </c>
      <c r="Q8886" t="n">
        <v>0</v>
      </c>
      <c r="R8886" s="2" t="inlineStr"/>
    </row>
    <row r="8887" ht="15" customHeight="1">
      <c r="A8887" t="inlineStr">
        <is>
          <t>A 52060-2025</t>
        </is>
      </c>
      <c r="B8887" s="1" t="n">
        <v>45952.63641203703</v>
      </c>
      <c r="C8887" s="1" t="n">
        <v>46185</v>
      </c>
      <c r="D8887" t="inlineStr">
        <is>
          <t>VÄSTERNORRLANDS LÄN</t>
        </is>
      </c>
      <c r="E8887" t="inlineStr">
        <is>
          <t>ÅNGE</t>
        </is>
      </c>
      <c r="F8887" t="inlineStr">
        <is>
          <t>SCA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44285-2022</t>
        </is>
      </c>
      <c r="B8888" s="1" t="n">
        <v>44839</v>
      </c>
      <c r="C8888" s="1" t="n">
        <v>46185</v>
      </c>
      <c r="D8888" t="inlineStr">
        <is>
          <t>VÄSTERNORRLANDS LÄN</t>
        </is>
      </c>
      <c r="E8888" t="inlineStr">
        <is>
          <t>SOLLEFTEÅ</t>
        </is>
      </c>
      <c r="F8888" t="inlineStr">
        <is>
          <t>Holmen skog AB</t>
        </is>
      </c>
      <c r="G8888" t="n">
        <v>13.9</v>
      </c>
      <c r="H8888" t="n">
        <v>0</v>
      </c>
      <c r="I8888" t="n">
        <v>0</v>
      </c>
      <c r="J8888" t="n">
        <v>0</v>
      </c>
      <c r="K8888" t="n">
        <v>0</v>
      </c>
      <c r="L8888" t="n">
        <v>0</v>
      </c>
      <c r="M8888" t="n">
        <v>0</v>
      </c>
      <c r="N8888" t="n">
        <v>0</v>
      </c>
      <c r="O8888" t="n">
        <v>0</v>
      </c>
      <c r="P8888" t="n">
        <v>0</v>
      </c>
      <c r="Q8888" t="n">
        <v>0</v>
      </c>
      <c r="R8888" s="2" t="inlineStr"/>
    </row>
    <row r="8889" ht="15" customHeight="1">
      <c r="A8889" t="inlineStr">
        <is>
          <t>A 58688-2021</t>
        </is>
      </c>
      <c r="B8889" s="1" t="n">
        <v>44489</v>
      </c>
      <c r="C8889" s="1" t="n">
        <v>46185</v>
      </c>
      <c r="D8889" t="inlineStr">
        <is>
          <t>VÄSTERNORRLANDS LÄN</t>
        </is>
      </c>
      <c r="E8889" t="inlineStr">
        <is>
          <t>SOLLEFTEÅ</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57305-2023</t>
        </is>
      </c>
      <c r="B8890" s="1" t="n">
        <v>45245.61770833333</v>
      </c>
      <c r="C8890" s="1" t="n">
        <v>46185</v>
      </c>
      <c r="D8890" t="inlineStr">
        <is>
          <t>VÄSTERNORRLANDS LÄN</t>
        </is>
      </c>
      <c r="E8890" t="inlineStr">
        <is>
          <t>ÖRNSKÖLDSVIK</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26250-2024</t>
        </is>
      </c>
      <c r="B8891" s="1" t="n">
        <v>45468.64174768519</v>
      </c>
      <c r="C8891" s="1" t="n">
        <v>46185</v>
      </c>
      <c r="D8891" t="inlineStr">
        <is>
          <t>VÄSTERNORRLANDS LÄN</t>
        </is>
      </c>
      <c r="E8891" t="inlineStr">
        <is>
          <t>SUNDSVALL</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41673-2025</t>
        </is>
      </c>
      <c r="B8892" s="1" t="n">
        <v>45902.3650462963</v>
      </c>
      <c r="C8892" s="1" t="n">
        <v>46185</v>
      </c>
      <c r="D8892" t="inlineStr">
        <is>
          <t>VÄSTERNORRLANDS LÄN</t>
        </is>
      </c>
      <c r="E8892" t="inlineStr">
        <is>
          <t>SUNDSVALL</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40598-2023</t>
        </is>
      </c>
      <c r="B8893" s="1" t="n">
        <v>45170</v>
      </c>
      <c r="C8893" s="1" t="n">
        <v>46185</v>
      </c>
      <c r="D8893" t="inlineStr">
        <is>
          <t>VÄSTERNORRLANDS LÄN</t>
        </is>
      </c>
      <c r="E8893" t="inlineStr">
        <is>
          <t>ÖRNSKÖLDSVIK</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1825-2025</t>
        </is>
      </c>
      <c r="B8894" s="1" t="n">
        <v>45671.53853009259</v>
      </c>
      <c r="C8894" s="1" t="n">
        <v>46185</v>
      </c>
      <c r="D8894" t="inlineStr">
        <is>
          <t>VÄSTERNORRLANDS LÄN</t>
        </is>
      </c>
      <c r="E8894" t="inlineStr">
        <is>
          <t>TIMRÅ</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31346-2024</t>
        </is>
      </c>
      <c r="B8895" s="1" t="n">
        <v>45504.92356481482</v>
      </c>
      <c r="C8895" s="1" t="n">
        <v>46185</v>
      </c>
      <c r="D8895" t="inlineStr">
        <is>
          <t>VÄSTERNORRLANDS LÄN</t>
        </is>
      </c>
      <c r="E8895" t="inlineStr">
        <is>
          <t>ÖRNSKÖLDSVIK</t>
        </is>
      </c>
      <c r="F8895" t="inlineStr">
        <is>
          <t>Holmen skog AB</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4484-2024</t>
        </is>
      </c>
      <c r="B8896" s="1" t="n">
        <v>45327</v>
      </c>
      <c r="C8896" s="1" t="n">
        <v>46185</v>
      </c>
      <c r="D8896" t="inlineStr">
        <is>
          <t>VÄSTERNORRLANDS LÄN</t>
        </is>
      </c>
      <c r="E8896" t="inlineStr">
        <is>
          <t>KRAMFORS</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4575-2024</t>
        </is>
      </c>
      <c r="B8897" s="1" t="n">
        <v>45327</v>
      </c>
      <c r="C8897" s="1" t="n">
        <v>46185</v>
      </c>
      <c r="D8897" t="inlineStr">
        <is>
          <t>VÄSTERNORRLANDS LÄN</t>
        </is>
      </c>
      <c r="E8897" t="inlineStr">
        <is>
          <t>ÖRNSKÖLDSVIK</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59155-2023</t>
        </is>
      </c>
      <c r="B8898" s="1" t="n">
        <v>45251</v>
      </c>
      <c r="C8898" s="1" t="n">
        <v>46185</v>
      </c>
      <c r="D8898" t="inlineStr">
        <is>
          <t>VÄSTERNORRLANDS LÄN</t>
        </is>
      </c>
      <c r="E8898" t="inlineStr">
        <is>
          <t>HÄRNÖSAND</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4635-2024</t>
        </is>
      </c>
      <c r="B8899" s="1" t="n">
        <v>45328</v>
      </c>
      <c r="C8899" s="1" t="n">
        <v>46185</v>
      </c>
      <c r="D8899" t="inlineStr">
        <is>
          <t>VÄSTERNORRLANDS LÄN</t>
        </is>
      </c>
      <c r="E8899" t="inlineStr">
        <is>
          <t>SUNDSVALL</t>
        </is>
      </c>
      <c r="G8899" t="n">
        <v>8.699999999999999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35248-2022</t>
        </is>
      </c>
      <c r="B8900" s="1" t="n">
        <v>44798.33049768519</v>
      </c>
      <c r="C8900" s="1" t="n">
        <v>46185</v>
      </c>
      <c r="D8900" t="inlineStr">
        <is>
          <t>VÄSTERNORRLANDS LÄN</t>
        </is>
      </c>
      <c r="E8900" t="inlineStr">
        <is>
          <t>ÖRNSKÖLDSVIK</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8423-2024</t>
        </is>
      </c>
      <c r="B8901" s="1" t="n">
        <v>45352.98938657407</v>
      </c>
      <c r="C8901" s="1" t="n">
        <v>46185</v>
      </c>
      <c r="D8901" t="inlineStr">
        <is>
          <t>VÄSTERNORRLANDS LÄN</t>
        </is>
      </c>
      <c r="E8901" t="inlineStr">
        <is>
          <t>SUNDSVALL</t>
        </is>
      </c>
      <c r="F8901" t="inlineStr">
        <is>
          <t>SCA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19145-2025</t>
        </is>
      </c>
      <c r="B8902" s="1" t="n">
        <v>45769.34452546296</v>
      </c>
      <c r="C8902" s="1" t="n">
        <v>46185</v>
      </c>
      <c r="D8902" t="inlineStr">
        <is>
          <t>VÄSTERNORRLANDS LÄN</t>
        </is>
      </c>
      <c r="E8902" t="inlineStr">
        <is>
          <t>SOLLEFTEÅ</t>
        </is>
      </c>
      <c r="F8902" t="inlineStr">
        <is>
          <t>SCA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14027-2025</t>
        </is>
      </c>
      <c r="B8903" s="1" t="n">
        <v>45740.35100694445</v>
      </c>
      <c r="C8903" s="1" t="n">
        <v>46185</v>
      </c>
      <c r="D8903" t="inlineStr">
        <is>
          <t>VÄSTERNORRLANDS LÄN</t>
        </is>
      </c>
      <c r="E8903" t="inlineStr">
        <is>
          <t>ÖRNSKÖLDSVIK</t>
        </is>
      </c>
      <c r="G8903" t="n">
        <v>27.3</v>
      </c>
      <c r="H8903" t="n">
        <v>0</v>
      </c>
      <c r="I8903" t="n">
        <v>0</v>
      </c>
      <c r="J8903" t="n">
        <v>0</v>
      </c>
      <c r="K8903" t="n">
        <v>0</v>
      </c>
      <c r="L8903" t="n">
        <v>0</v>
      </c>
      <c r="M8903" t="n">
        <v>0</v>
      </c>
      <c r="N8903" t="n">
        <v>0</v>
      </c>
      <c r="O8903" t="n">
        <v>0</v>
      </c>
      <c r="P8903" t="n">
        <v>0</v>
      </c>
      <c r="Q8903" t="n">
        <v>0</v>
      </c>
      <c r="R8903" s="2" t="inlineStr"/>
    </row>
    <row r="8904" ht="15" customHeight="1">
      <c r="A8904" t="inlineStr">
        <is>
          <t>A 19184-2025</t>
        </is>
      </c>
      <c r="B8904" s="1" t="n">
        <v>45769</v>
      </c>
      <c r="C8904" s="1" t="n">
        <v>46185</v>
      </c>
      <c r="D8904" t="inlineStr">
        <is>
          <t>VÄSTERNORRLANDS LÄN</t>
        </is>
      </c>
      <c r="E8904" t="inlineStr">
        <is>
          <t>SUNDSVALL</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49200-2022</t>
        </is>
      </c>
      <c r="B8905" s="1" t="n">
        <v>44860.95540509259</v>
      </c>
      <c r="C8905" s="1" t="n">
        <v>46185</v>
      </c>
      <c r="D8905" t="inlineStr">
        <is>
          <t>VÄSTERNORRLANDS LÄN</t>
        </is>
      </c>
      <c r="E8905" t="inlineStr">
        <is>
          <t>SOLLEFTEÅ</t>
        </is>
      </c>
      <c r="F8905" t="inlineStr">
        <is>
          <t>SCA</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45000-2023</t>
        </is>
      </c>
      <c r="B8906" s="1" t="n">
        <v>45190.95990740741</v>
      </c>
      <c r="C8906" s="1" t="n">
        <v>46185</v>
      </c>
      <c r="D8906" t="inlineStr">
        <is>
          <t>VÄSTERNORRLANDS LÄN</t>
        </is>
      </c>
      <c r="E8906" t="inlineStr">
        <is>
          <t>SUNDSVALL</t>
        </is>
      </c>
      <c r="G8906" t="n">
        <v>4.1</v>
      </c>
      <c r="H8906" t="n">
        <v>0</v>
      </c>
      <c r="I8906" t="n">
        <v>0</v>
      </c>
      <c r="J8906" t="n">
        <v>0</v>
      </c>
      <c r="K8906" t="n">
        <v>0</v>
      </c>
      <c r="L8906" t="n">
        <v>0</v>
      </c>
      <c r="M8906" t="n">
        <v>0</v>
      </c>
      <c r="N8906" t="n">
        <v>0</v>
      </c>
      <c r="O8906" t="n">
        <v>0</v>
      </c>
      <c r="P8906" t="n">
        <v>0</v>
      </c>
      <c r="Q8906" t="n">
        <v>0</v>
      </c>
      <c r="R8906" s="2" t="inlineStr"/>
    </row>
    <row r="8907" ht="15" customHeight="1">
      <c r="A8907" t="inlineStr">
        <is>
          <t>A 45001-2023</t>
        </is>
      </c>
      <c r="B8907" s="1" t="n">
        <v>45190.95998842592</v>
      </c>
      <c r="C8907" s="1" t="n">
        <v>46185</v>
      </c>
      <c r="D8907" t="inlineStr">
        <is>
          <t>VÄSTERNORRLANDS LÄN</t>
        </is>
      </c>
      <c r="E8907" t="inlineStr">
        <is>
          <t>SUNDSVALL</t>
        </is>
      </c>
      <c r="F8907" t="inlineStr">
        <is>
          <t>SCA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14982-2024</t>
        </is>
      </c>
      <c r="B8908" s="1" t="n">
        <v>45398.94193287037</v>
      </c>
      <c r="C8908" s="1" t="n">
        <v>46185</v>
      </c>
      <c r="D8908" t="inlineStr">
        <is>
          <t>VÄSTERNORRLANDS LÄN</t>
        </is>
      </c>
      <c r="E8908" t="inlineStr">
        <is>
          <t>SOLLEFTEÅ</t>
        </is>
      </c>
      <c r="F8908" t="inlineStr">
        <is>
          <t>SCA</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7852-2024</t>
        </is>
      </c>
      <c r="B8909" s="1" t="n">
        <v>45350</v>
      </c>
      <c r="C8909" s="1" t="n">
        <v>46185</v>
      </c>
      <c r="D8909" t="inlineStr">
        <is>
          <t>VÄSTERNORRLANDS LÄN</t>
        </is>
      </c>
      <c r="E8909" t="inlineStr">
        <is>
          <t>HÄRNÖSAND</t>
        </is>
      </c>
      <c r="F8909" t="inlineStr">
        <is>
          <t>SCA</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49751-2025</t>
        </is>
      </c>
      <c r="B8910" s="1" t="n">
        <v>45940.34512731482</v>
      </c>
      <c r="C8910" s="1" t="n">
        <v>46185</v>
      </c>
      <c r="D8910" t="inlineStr">
        <is>
          <t>VÄSTERNORRLANDS LÄN</t>
        </is>
      </c>
      <c r="E8910" t="inlineStr">
        <is>
          <t>TIMRÅ</t>
        </is>
      </c>
      <c r="F8910" t="inlineStr">
        <is>
          <t>SCA</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17592-2025</t>
        </is>
      </c>
      <c r="B8911" s="1" t="n">
        <v>45757.69828703703</v>
      </c>
      <c r="C8911" s="1" t="n">
        <v>46185</v>
      </c>
      <c r="D8911" t="inlineStr">
        <is>
          <t>VÄSTERNORRLANDS LÄN</t>
        </is>
      </c>
      <c r="E8911" t="inlineStr">
        <is>
          <t>SUNDSVALL</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26896-2025</t>
        </is>
      </c>
      <c r="B8912" s="1" t="n">
        <v>45811.33834490741</v>
      </c>
      <c r="C8912" s="1" t="n">
        <v>46185</v>
      </c>
      <c r="D8912" t="inlineStr">
        <is>
          <t>VÄSTERNORRLANDS LÄN</t>
        </is>
      </c>
      <c r="E8912" t="inlineStr">
        <is>
          <t>SOLLEFTEÅ</t>
        </is>
      </c>
      <c r="G8912" t="n">
        <v>8.5</v>
      </c>
      <c r="H8912" t="n">
        <v>0</v>
      </c>
      <c r="I8912" t="n">
        <v>0</v>
      </c>
      <c r="J8912" t="n">
        <v>0</v>
      </c>
      <c r="K8912" t="n">
        <v>0</v>
      </c>
      <c r="L8912" t="n">
        <v>0</v>
      </c>
      <c r="M8912" t="n">
        <v>0</v>
      </c>
      <c r="N8912" t="n">
        <v>0</v>
      </c>
      <c r="O8912" t="n">
        <v>0</v>
      </c>
      <c r="P8912" t="n">
        <v>0</v>
      </c>
      <c r="Q8912" t="n">
        <v>0</v>
      </c>
      <c r="R8912" s="2" t="inlineStr"/>
    </row>
    <row r="8913" ht="15" customHeight="1">
      <c r="A8913" t="inlineStr">
        <is>
          <t>A 36594-2022</t>
        </is>
      </c>
      <c r="B8913" s="1" t="n">
        <v>44804.63513888889</v>
      </c>
      <c r="C8913" s="1" t="n">
        <v>46185</v>
      </c>
      <c r="D8913" t="inlineStr">
        <is>
          <t>VÄSTERNORRLANDS LÄN</t>
        </is>
      </c>
      <c r="E8913" t="inlineStr">
        <is>
          <t>KRAMFORS</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208-2024</t>
        </is>
      </c>
      <c r="B8914" s="1" t="n">
        <v>45293</v>
      </c>
      <c r="C8914" s="1" t="n">
        <v>46185</v>
      </c>
      <c r="D8914" t="inlineStr">
        <is>
          <t>VÄSTERNORRLANDS LÄN</t>
        </is>
      </c>
      <c r="E8914" t="inlineStr">
        <is>
          <t>HÄRNÖSAND</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26062-2026</t>
        </is>
      </c>
      <c r="B8915" s="1" t="n">
        <v>46181</v>
      </c>
      <c r="C8915" s="1" t="n">
        <v>46185</v>
      </c>
      <c r="D8915" t="inlineStr">
        <is>
          <t>VÄSTERNORRLANDS LÄN</t>
        </is>
      </c>
      <c r="E8915" t="inlineStr">
        <is>
          <t>KRAMFORS</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26125-2026</t>
        </is>
      </c>
      <c r="B8916" s="1" t="n">
        <v>46181.67797453704</v>
      </c>
      <c r="C8916" s="1" t="n">
        <v>46185</v>
      </c>
      <c r="D8916" t="inlineStr">
        <is>
          <t>VÄSTERNORRLANDS LÄN</t>
        </is>
      </c>
      <c r="E8916" t="inlineStr">
        <is>
          <t>SUNDSVALL</t>
        </is>
      </c>
      <c r="F8916" t="inlineStr">
        <is>
          <t>SCA</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6061-2024</t>
        </is>
      </c>
      <c r="B8917" s="1" t="n">
        <v>45336.80003472222</v>
      </c>
      <c r="C8917" s="1" t="n">
        <v>46185</v>
      </c>
      <c r="D8917" t="inlineStr">
        <is>
          <t>VÄSTERNORRLANDS LÄN</t>
        </is>
      </c>
      <c r="E8917" t="inlineStr">
        <is>
          <t>KRAMFORS</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6065-2024</t>
        </is>
      </c>
      <c r="B8918" s="1" t="n">
        <v>45336.87826388889</v>
      </c>
      <c r="C8918" s="1" t="n">
        <v>46185</v>
      </c>
      <c r="D8918" t="inlineStr">
        <is>
          <t>VÄSTERNORRLANDS LÄN</t>
        </is>
      </c>
      <c r="E8918" t="inlineStr">
        <is>
          <t>SOLLEFTEÅ</t>
        </is>
      </c>
      <c r="F8918" t="inlineStr">
        <is>
          <t>Övriga Aktiebolag</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156-2024</t>
        </is>
      </c>
      <c r="B8919" s="1" t="n">
        <v>45294</v>
      </c>
      <c r="C8919" s="1" t="n">
        <v>46185</v>
      </c>
      <c r="D8919" t="inlineStr">
        <is>
          <t>VÄSTERNORRLANDS LÄN</t>
        </is>
      </c>
      <c r="E8919" t="inlineStr">
        <is>
          <t>KRAMFORS</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3476-2024</t>
        </is>
      </c>
      <c r="B8920" s="1" t="n">
        <v>45320</v>
      </c>
      <c r="C8920" s="1" t="n">
        <v>46185</v>
      </c>
      <c r="D8920" t="inlineStr">
        <is>
          <t>VÄSTERNORRLANDS LÄN</t>
        </is>
      </c>
      <c r="E8920" t="inlineStr">
        <is>
          <t>HÄRNÖSAND</t>
        </is>
      </c>
      <c r="G8920" t="n">
        <v>0.1</v>
      </c>
      <c r="H8920" t="n">
        <v>0</v>
      </c>
      <c r="I8920" t="n">
        <v>0</v>
      </c>
      <c r="J8920" t="n">
        <v>0</v>
      </c>
      <c r="K8920" t="n">
        <v>0</v>
      </c>
      <c r="L8920" t="n">
        <v>0</v>
      </c>
      <c r="M8920" t="n">
        <v>0</v>
      </c>
      <c r="N8920" t="n">
        <v>0</v>
      </c>
      <c r="O8920" t="n">
        <v>0</v>
      </c>
      <c r="P8920" t="n">
        <v>0</v>
      </c>
      <c r="Q8920" t="n">
        <v>0</v>
      </c>
      <c r="R8920" s="2" t="inlineStr"/>
    </row>
    <row r="8921" ht="15" customHeight="1">
      <c r="A8921" t="inlineStr">
        <is>
          <t>A 44404-2023</t>
        </is>
      </c>
      <c r="B8921" s="1" t="n">
        <v>45188</v>
      </c>
      <c r="C8921" s="1" t="n">
        <v>46185</v>
      </c>
      <c r="D8921" t="inlineStr">
        <is>
          <t>VÄSTERNORRLANDS LÄN</t>
        </is>
      </c>
      <c r="E8921" t="inlineStr">
        <is>
          <t>TIMRÅ</t>
        </is>
      </c>
      <c r="F8921" t="inlineStr">
        <is>
          <t>SCA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42303-2022</t>
        </is>
      </c>
      <c r="B8922" s="1" t="n">
        <v>44830.95473379629</v>
      </c>
      <c r="C8922" s="1" t="n">
        <v>46185</v>
      </c>
      <c r="D8922" t="inlineStr">
        <is>
          <t>VÄSTERNORRLANDS LÄN</t>
        </is>
      </c>
      <c r="E8922" t="inlineStr">
        <is>
          <t>SOLLEFTEÅ</t>
        </is>
      </c>
      <c r="F8922" t="inlineStr">
        <is>
          <t>SCA</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27470-2023</t>
        </is>
      </c>
      <c r="B8923" s="1" t="n">
        <v>45097</v>
      </c>
      <c r="C8923" s="1" t="n">
        <v>46185</v>
      </c>
      <c r="D8923" t="inlineStr">
        <is>
          <t>VÄSTERNORRLANDS LÄN</t>
        </is>
      </c>
      <c r="E8923" t="inlineStr">
        <is>
          <t>SUNDSVALL</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4083-2025</t>
        </is>
      </c>
      <c r="B8924" s="1" t="n">
        <v>45684.66047453704</v>
      </c>
      <c r="C8924" s="1" t="n">
        <v>46185</v>
      </c>
      <c r="D8924" t="inlineStr">
        <is>
          <t>VÄSTERNORRLANDS LÄN</t>
        </is>
      </c>
      <c r="E8924" t="inlineStr">
        <is>
          <t>KRAMFORS</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18113-2025</t>
        </is>
      </c>
      <c r="B8925" s="1" t="n">
        <v>45761.57361111111</v>
      </c>
      <c r="C8925" s="1" t="n">
        <v>46185</v>
      </c>
      <c r="D8925" t="inlineStr">
        <is>
          <t>VÄSTERNORRLANDS LÄN</t>
        </is>
      </c>
      <c r="E8925" t="inlineStr">
        <is>
          <t>SUNDSVALL</t>
        </is>
      </c>
      <c r="F8925" t="inlineStr">
        <is>
          <t>SCA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67822-2021</t>
        </is>
      </c>
      <c r="B8926" s="1" t="n">
        <v>44525.45137731481</v>
      </c>
      <c r="C8926" s="1" t="n">
        <v>46185</v>
      </c>
      <c r="D8926" t="inlineStr">
        <is>
          <t>VÄSTERNORRLANDS LÄN</t>
        </is>
      </c>
      <c r="E8926" t="inlineStr">
        <is>
          <t>SOLLEFTEÅ</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20555-2026</t>
        </is>
      </c>
      <c r="B8927" s="1" t="n">
        <v>46140.59486111111</v>
      </c>
      <c r="C8927" s="1" t="n">
        <v>46185</v>
      </c>
      <c r="D8927" t="inlineStr">
        <is>
          <t>VÄSTERNORRLANDS LÄN</t>
        </is>
      </c>
      <c r="E8927" t="inlineStr">
        <is>
          <t>SOLLEFTEÅ</t>
        </is>
      </c>
      <c r="F8927" t="inlineStr">
        <is>
          <t>SCA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57875-2024</t>
        </is>
      </c>
      <c r="B8928" s="1" t="n">
        <v>45631.44851851852</v>
      </c>
      <c r="C8928" s="1" t="n">
        <v>46185</v>
      </c>
      <c r="D8928" t="inlineStr">
        <is>
          <t>VÄSTERNORRLANDS LÄN</t>
        </is>
      </c>
      <c r="E8928" t="inlineStr">
        <is>
          <t>SUNDSVALL</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57922-2024</t>
        </is>
      </c>
      <c r="B8929" s="1" t="n">
        <v>45631.5107175926</v>
      </c>
      <c r="C8929" s="1" t="n">
        <v>46185</v>
      </c>
      <c r="D8929" t="inlineStr">
        <is>
          <t>VÄSTERNORRLANDS LÄN</t>
        </is>
      </c>
      <c r="E8929" t="inlineStr">
        <is>
          <t>SOLLEFTEÅ</t>
        </is>
      </c>
      <c r="F8929" t="inlineStr">
        <is>
          <t>SCA</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12477-2024</t>
        </is>
      </c>
      <c r="B8930" s="1" t="n">
        <v>45379</v>
      </c>
      <c r="C8930" s="1" t="n">
        <v>46185</v>
      </c>
      <c r="D8930" t="inlineStr">
        <is>
          <t>VÄSTERNORRLANDS LÄN</t>
        </is>
      </c>
      <c r="E8930" t="inlineStr">
        <is>
          <t>ÖRNSKÖLDSVIK</t>
        </is>
      </c>
      <c r="G8930" t="n">
        <v>7.5</v>
      </c>
      <c r="H8930" t="n">
        <v>0</v>
      </c>
      <c r="I8930" t="n">
        <v>0</v>
      </c>
      <c r="J8930" t="n">
        <v>0</v>
      </c>
      <c r="K8930" t="n">
        <v>0</v>
      </c>
      <c r="L8930" t="n">
        <v>0</v>
      </c>
      <c r="M8930" t="n">
        <v>0</v>
      </c>
      <c r="N8930" t="n">
        <v>0</v>
      </c>
      <c r="O8930" t="n">
        <v>0</v>
      </c>
      <c r="P8930" t="n">
        <v>0</v>
      </c>
      <c r="Q8930" t="n">
        <v>0</v>
      </c>
      <c r="R8930" s="2" t="inlineStr"/>
    </row>
    <row r="8931" ht="15" customHeight="1">
      <c r="A8931" t="inlineStr">
        <is>
          <t>A 3448-2025</t>
        </is>
      </c>
      <c r="B8931" s="1" t="n">
        <v>45680.47209490741</v>
      </c>
      <c r="C8931" s="1" t="n">
        <v>46185</v>
      </c>
      <c r="D8931" t="inlineStr">
        <is>
          <t>VÄSTERNORRLANDS LÄN</t>
        </is>
      </c>
      <c r="E8931" t="inlineStr">
        <is>
          <t>KRAMFORS</t>
        </is>
      </c>
      <c r="G8931" t="n">
        <v>0.4</v>
      </c>
      <c r="H8931" t="n">
        <v>0</v>
      </c>
      <c r="I8931" t="n">
        <v>0</v>
      </c>
      <c r="J8931" t="n">
        <v>0</v>
      </c>
      <c r="K8931" t="n">
        <v>0</v>
      </c>
      <c r="L8931" t="n">
        <v>0</v>
      </c>
      <c r="M8931" t="n">
        <v>0</v>
      </c>
      <c r="N8931" t="n">
        <v>0</v>
      </c>
      <c r="O8931" t="n">
        <v>0</v>
      </c>
      <c r="P8931" t="n">
        <v>0</v>
      </c>
      <c r="Q8931" t="n">
        <v>0</v>
      </c>
      <c r="R8931" s="2" t="inlineStr"/>
    </row>
    <row r="8932" ht="15" customHeight="1">
      <c r="A8932" t="inlineStr">
        <is>
          <t>A 50763-2023</t>
        </is>
      </c>
      <c r="B8932" s="1" t="n">
        <v>45210</v>
      </c>
      <c r="C8932" s="1" t="n">
        <v>46185</v>
      </c>
      <c r="D8932" t="inlineStr">
        <is>
          <t>VÄSTERNORRLANDS LÄN</t>
        </is>
      </c>
      <c r="E8932" t="inlineStr">
        <is>
          <t>SUNDSVALL</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10852-2024</t>
        </is>
      </c>
      <c r="B8933" s="1" t="n">
        <v>45370</v>
      </c>
      <c r="C8933" s="1" t="n">
        <v>46185</v>
      </c>
      <c r="D8933" t="inlineStr">
        <is>
          <t>VÄSTERNORRLANDS LÄN</t>
        </is>
      </c>
      <c r="E8933" t="inlineStr">
        <is>
          <t>TIMRÅ</t>
        </is>
      </c>
      <c r="F8933" t="inlineStr">
        <is>
          <t>SCA</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63529-2023</t>
        </is>
      </c>
      <c r="B8934" s="1" t="n">
        <v>45274.94859953703</v>
      </c>
      <c r="C8934" s="1" t="n">
        <v>46185</v>
      </c>
      <c r="D8934" t="inlineStr">
        <is>
          <t>VÄSTERNORRLANDS LÄN</t>
        </is>
      </c>
      <c r="E8934" t="inlineStr">
        <is>
          <t>SOLLEFTEÅ</t>
        </is>
      </c>
      <c r="F8934" t="inlineStr">
        <is>
          <t>SCA</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63530-2023</t>
        </is>
      </c>
      <c r="B8935" s="1" t="n">
        <v>45274</v>
      </c>
      <c r="C8935" s="1" t="n">
        <v>46185</v>
      </c>
      <c r="D8935" t="inlineStr">
        <is>
          <t>VÄSTERNORRLANDS LÄN</t>
        </is>
      </c>
      <c r="E8935" t="inlineStr">
        <is>
          <t>ÅNGE</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21897-2025</t>
        </is>
      </c>
      <c r="B8936" s="1" t="n">
        <v>45784.45376157408</v>
      </c>
      <c r="C8936" s="1" t="n">
        <v>46185</v>
      </c>
      <c r="D8936" t="inlineStr">
        <is>
          <t>VÄSTERNORRLANDS LÄN</t>
        </is>
      </c>
      <c r="E8936" t="inlineStr">
        <is>
          <t>SOLLEFTEÅ</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21898-2025</t>
        </is>
      </c>
      <c r="B8937" s="1" t="n">
        <v>45784.45386574074</v>
      </c>
      <c r="C8937" s="1" t="n">
        <v>46185</v>
      </c>
      <c r="D8937" t="inlineStr">
        <is>
          <t>VÄSTERNORRLANDS LÄN</t>
        </is>
      </c>
      <c r="E8937" t="inlineStr">
        <is>
          <t>SOLLEFTEÅ</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34612-2024</t>
        </is>
      </c>
      <c r="B8938" s="1" t="n">
        <v>45526</v>
      </c>
      <c r="C8938" s="1" t="n">
        <v>46185</v>
      </c>
      <c r="D8938" t="inlineStr">
        <is>
          <t>VÄSTERNORRLANDS LÄN</t>
        </is>
      </c>
      <c r="E8938" t="inlineStr">
        <is>
          <t>HÄRNÖSAND</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36363-2022</t>
        </is>
      </c>
      <c r="B8939" s="1" t="n">
        <v>44803</v>
      </c>
      <c r="C8939" s="1" t="n">
        <v>46185</v>
      </c>
      <c r="D8939" t="inlineStr">
        <is>
          <t>VÄSTERNORRLANDS LÄN</t>
        </is>
      </c>
      <c r="E8939" t="inlineStr">
        <is>
          <t>KRAMFORS</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44961-2025</t>
        </is>
      </c>
      <c r="B8940" s="1" t="n">
        <v>45918.61648148148</v>
      </c>
      <c r="C8940" s="1" t="n">
        <v>46185</v>
      </c>
      <c r="D8940" t="inlineStr">
        <is>
          <t>VÄSTERNORRLANDS LÄN</t>
        </is>
      </c>
      <c r="E8940" t="inlineStr">
        <is>
          <t>ÖRNSKÖLDSVIK</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13929-2026</t>
        </is>
      </c>
      <c r="B8941" s="1" t="n">
        <v>46098</v>
      </c>
      <c r="C8941" s="1" t="n">
        <v>46185</v>
      </c>
      <c r="D8941" t="inlineStr">
        <is>
          <t>VÄSTERNORRLANDS LÄN</t>
        </is>
      </c>
      <c r="E8941" t="inlineStr">
        <is>
          <t>KRAMFORS</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28336-2024</t>
        </is>
      </c>
      <c r="B8942" s="1" t="n">
        <v>45477.54378472222</v>
      </c>
      <c r="C8942" s="1" t="n">
        <v>46185</v>
      </c>
      <c r="D8942" t="inlineStr">
        <is>
          <t>VÄSTERNORRLANDS LÄN</t>
        </is>
      </c>
      <c r="E8942" t="inlineStr">
        <is>
          <t>ÖRNSKÖLDSVIK</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37619-2022</t>
        </is>
      </c>
      <c r="B8943" s="1" t="n">
        <v>44810</v>
      </c>
      <c r="C8943" s="1" t="n">
        <v>46185</v>
      </c>
      <c r="D8943" t="inlineStr">
        <is>
          <t>VÄSTERNORRLANDS LÄN</t>
        </is>
      </c>
      <c r="E8943" t="inlineStr">
        <is>
          <t>ÖRNSKÖLDSVIK</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18465-2025</t>
        </is>
      </c>
      <c r="B8944" s="1" t="n">
        <v>45762</v>
      </c>
      <c r="C8944" s="1" t="n">
        <v>46185</v>
      </c>
      <c r="D8944" t="inlineStr">
        <is>
          <t>VÄSTERNORRLANDS LÄN</t>
        </is>
      </c>
      <c r="E8944" t="inlineStr">
        <is>
          <t>ÖRNSKÖLDSVIK</t>
        </is>
      </c>
      <c r="G8944" t="n">
        <v>6.2</v>
      </c>
      <c r="H8944" t="n">
        <v>0</v>
      </c>
      <c r="I8944" t="n">
        <v>0</v>
      </c>
      <c r="J8944" t="n">
        <v>0</v>
      </c>
      <c r="K8944" t="n">
        <v>0</v>
      </c>
      <c r="L8944" t="n">
        <v>0</v>
      </c>
      <c r="M8944" t="n">
        <v>0</v>
      </c>
      <c r="N8944" t="n">
        <v>0</v>
      </c>
      <c r="O8944" t="n">
        <v>0</v>
      </c>
      <c r="P8944" t="n">
        <v>0</v>
      </c>
      <c r="Q8944" t="n">
        <v>0</v>
      </c>
      <c r="R8944" s="2" t="inlineStr"/>
    </row>
    <row r="8945" ht="15" customHeight="1">
      <c r="A8945" t="inlineStr">
        <is>
          <t>A 57080-2023</t>
        </is>
      </c>
      <c r="B8945" s="1" t="n">
        <v>45244</v>
      </c>
      <c r="C8945" s="1" t="n">
        <v>46185</v>
      </c>
      <c r="D8945" t="inlineStr">
        <is>
          <t>VÄSTERNORRLANDS LÄN</t>
        </is>
      </c>
      <c r="E8945" t="inlineStr">
        <is>
          <t>SOLLEFTEÅ</t>
        </is>
      </c>
      <c r="F8945" t="inlineStr">
        <is>
          <t>SCA</t>
        </is>
      </c>
      <c r="G8945" t="n">
        <v>5.8</v>
      </c>
      <c r="H8945" t="n">
        <v>0</v>
      </c>
      <c r="I8945" t="n">
        <v>0</v>
      </c>
      <c r="J8945" t="n">
        <v>0</v>
      </c>
      <c r="K8945" t="n">
        <v>0</v>
      </c>
      <c r="L8945" t="n">
        <v>0</v>
      </c>
      <c r="M8945" t="n">
        <v>0</v>
      </c>
      <c r="N8945" t="n">
        <v>0</v>
      </c>
      <c r="O8945" t="n">
        <v>0</v>
      </c>
      <c r="P8945" t="n">
        <v>0</v>
      </c>
      <c r="Q8945" t="n">
        <v>0</v>
      </c>
      <c r="R8945" s="2" t="inlineStr"/>
    </row>
    <row r="8946" ht="15" customHeight="1">
      <c r="A8946" t="inlineStr">
        <is>
          <t>A 55276-2023</t>
        </is>
      </c>
      <c r="B8946" s="1" t="n">
        <v>45231</v>
      </c>
      <c r="C8946" s="1" t="n">
        <v>46185</v>
      </c>
      <c r="D8946" t="inlineStr">
        <is>
          <t>VÄSTERNORRLANDS LÄN</t>
        </is>
      </c>
      <c r="E8946" t="inlineStr">
        <is>
          <t>HÄRNÖSAND</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35472-2024</t>
        </is>
      </c>
      <c r="B8947" s="1" t="n">
        <v>45531.46997685185</v>
      </c>
      <c r="C8947" s="1" t="n">
        <v>46185</v>
      </c>
      <c r="D8947" t="inlineStr">
        <is>
          <t>VÄSTERNORRLANDS LÄN</t>
        </is>
      </c>
      <c r="E8947" t="inlineStr">
        <is>
          <t>ÖRNSKÖLDSVIK</t>
        </is>
      </c>
      <c r="F8947" t="inlineStr">
        <is>
          <t>Holmen skog AB</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29435-2025</t>
        </is>
      </c>
      <c r="B8948" s="1" t="n">
        <v>45824.65762731482</v>
      </c>
      <c r="C8948" s="1" t="n">
        <v>46185</v>
      </c>
      <c r="D8948" t="inlineStr">
        <is>
          <t>VÄSTERNORRLANDS LÄN</t>
        </is>
      </c>
      <c r="E8948" t="inlineStr">
        <is>
          <t>SOLLEFTEÅ</t>
        </is>
      </c>
      <c r="G8948" t="n">
        <v>8</v>
      </c>
      <c r="H8948" t="n">
        <v>0</v>
      </c>
      <c r="I8948" t="n">
        <v>0</v>
      </c>
      <c r="J8948" t="n">
        <v>0</v>
      </c>
      <c r="K8948" t="n">
        <v>0</v>
      </c>
      <c r="L8948" t="n">
        <v>0</v>
      </c>
      <c r="M8948" t="n">
        <v>0</v>
      </c>
      <c r="N8948" t="n">
        <v>0</v>
      </c>
      <c r="O8948" t="n">
        <v>0</v>
      </c>
      <c r="P8948" t="n">
        <v>0</v>
      </c>
      <c r="Q8948" t="n">
        <v>0</v>
      </c>
      <c r="R8948" s="2" t="inlineStr"/>
    </row>
    <row r="8949" ht="15" customHeight="1">
      <c r="A8949" t="inlineStr">
        <is>
          <t>A 18212-2025</t>
        </is>
      </c>
      <c r="B8949" s="1" t="n">
        <v>45761.69392361111</v>
      </c>
      <c r="C8949" s="1" t="n">
        <v>46185</v>
      </c>
      <c r="D8949" t="inlineStr">
        <is>
          <t>VÄSTERNORRLANDS LÄN</t>
        </is>
      </c>
      <c r="E8949" t="inlineStr">
        <is>
          <t>SUNDSVALL</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24530-2025</t>
        </is>
      </c>
      <c r="B8950" s="1" t="n">
        <v>45798.42799768518</v>
      </c>
      <c r="C8950" s="1" t="n">
        <v>46185</v>
      </c>
      <c r="D8950" t="inlineStr">
        <is>
          <t>VÄSTERNORRLANDS LÄN</t>
        </is>
      </c>
      <c r="E8950" t="inlineStr">
        <is>
          <t>SOLLEFTEÅ</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24552-2025</t>
        </is>
      </c>
      <c r="B8951" s="1" t="n">
        <v>45798.44865740741</v>
      </c>
      <c r="C8951" s="1" t="n">
        <v>46185</v>
      </c>
      <c r="D8951" t="inlineStr">
        <is>
          <t>VÄSTERNORRLANDS LÄN</t>
        </is>
      </c>
      <c r="E8951" t="inlineStr">
        <is>
          <t>SOLLEFTEÅ</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59924-2023</t>
        </is>
      </c>
      <c r="B8952" s="1" t="n">
        <v>45257.65327546297</v>
      </c>
      <c r="C8952" s="1" t="n">
        <v>46185</v>
      </c>
      <c r="D8952" t="inlineStr">
        <is>
          <t>VÄSTERNORRLANDS LÄN</t>
        </is>
      </c>
      <c r="E8952" t="inlineStr">
        <is>
          <t>ÖRNSKÖLDSVIK</t>
        </is>
      </c>
      <c r="F8952" t="inlineStr">
        <is>
          <t>Holmen skog AB</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21711-2022</t>
        </is>
      </c>
      <c r="B8953" s="1" t="n">
        <v>44707</v>
      </c>
      <c r="C8953" s="1" t="n">
        <v>46185</v>
      </c>
      <c r="D8953" t="inlineStr">
        <is>
          <t>VÄSTERNORRLANDS LÄN</t>
        </is>
      </c>
      <c r="E8953" t="inlineStr">
        <is>
          <t>SOLLEFTEÅ</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32288-2025</t>
        </is>
      </c>
      <c r="B8954" s="1" t="n">
        <v>45835.69495370371</v>
      </c>
      <c r="C8954" s="1" t="n">
        <v>46185</v>
      </c>
      <c r="D8954" t="inlineStr">
        <is>
          <t>VÄSTERNORRLANDS LÄN</t>
        </is>
      </c>
      <c r="E8954" t="inlineStr">
        <is>
          <t>SUNDSVALL</t>
        </is>
      </c>
      <c r="F8954" t="inlineStr">
        <is>
          <t>Kyrkan</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3211-2024</t>
        </is>
      </c>
      <c r="B8955" s="1" t="n">
        <v>45316</v>
      </c>
      <c r="C8955" s="1" t="n">
        <v>46185</v>
      </c>
      <c r="D8955" t="inlineStr">
        <is>
          <t>VÄSTERNORRLANDS LÄN</t>
        </is>
      </c>
      <c r="E8955" t="inlineStr">
        <is>
          <t>SOLLEFTEÅ</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3252-2024</t>
        </is>
      </c>
      <c r="B8956" s="1" t="n">
        <v>45316</v>
      </c>
      <c r="C8956" s="1" t="n">
        <v>46185</v>
      </c>
      <c r="D8956" t="inlineStr">
        <is>
          <t>VÄSTERNORRLANDS LÄN</t>
        </is>
      </c>
      <c r="E8956" t="inlineStr">
        <is>
          <t>SOLLEFTEÅ</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3253-2024</t>
        </is>
      </c>
      <c r="B8957" s="1" t="n">
        <v>45316</v>
      </c>
      <c r="C8957" s="1" t="n">
        <v>46185</v>
      </c>
      <c r="D8957" t="inlineStr">
        <is>
          <t>VÄSTERNORRLANDS LÄN</t>
        </is>
      </c>
      <c r="E8957" t="inlineStr">
        <is>
          <t>ÅNGE</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295-2025</t>
        </is>
      </c>
      <c r="B8958" s="1" t="n">
        <v>45660.53206018519</v>
      </c>
      <c r="C8958" s="1" t="n">
        <v>46185</v>
      </c>
      <c r="D8958" t="inlineStr">
        <is>
          <t>VÄSTERNORRLANDS LÄN</t>
        </is>
      </c>
      <c r="E8958" t="inlineStr">
        <is>
          <t>SOLLEFTEÅ</t>
        </is>
      </c>
      <c r="F8958" t="inlineStr">
        <is>
          <t>SCA</t>
        </is>
      </c>
      <c r="G8958" t="n">
        <v>30.7</v>
      </c>
      <c r="H8958" t="n">
        <v>0</v>
      </c>
      <c r="I8958" t="n">
        <v>0</v>
      </c>
      <c r="J8958" t="n">
        <v>0</v>
      </c>
      <c r="K8958" t="n">
        <v>0</v>
      </c>
      <c r="L8958" t="n">
        <v>0</v>
      </c>
      <c r="M8958" t="n">
        <v>0</v>
      </c>
      <c r="N8958" t="n">
        <v>0</v>
      </c>
      <c r="O8958" t="n">
        <v>0</v>
      </c>
      <c r="P8958" t="n">
        <v>0</v>
      </c>
      <c r="Q8958" t="n">
        <v>0</v>
      </c>
      <c r="R8958" s="2" t="inlineStr"/>
    </row>
    <row r="8959" ht="15" customHeight="1">
      <c r="A8959" t="inlineStr">
        <is>
          <t>A 49945-2023</t>
        </is>
      </c>
      <c r="B8959" s="1" t="n">
        <v>45215.3625462963</v>
      </c>
      <c r="C8959" s="1" t="n">
        <v>46185</v>
      </c>
      <c r="D8959" t="inlineStr">
        <is>
          <t>VÄSTERNORRLANDS LÄN</t>
        </is>
      </c>
      <c r="E8959" t="inlineStr">
        <is>
          <t>ÅNGE</t>
        </is>
      </c>
      <c r="F8959" t="inlineStr">
        <is>
          <t>Holmen skog AB</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58055-2023</t>
        </is>
      </c>
      <c r="B8960" s="1" t="n">
        <v>45247</v>
      </c>
      <c r="C8960" s="1" t="n">
        <v>46185</v>
      </c>
      <c r="D8960" t="inlineStr">
        <is>
          <t>VÄSTERNORRLANDS LÄN</t>
        </is>
      </c>
      <c r="E8960" t="inlineStr">
        <is>
          <t>ÖRNSKÖLDSVIK</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31041-2025</t>
        </is>
      </c>
      <c r="B8961" s="1" t="n">
        <v>45832.55247685185</v>
      </c>
      <c r="C8961" s="1" t="n">
        <v>46185</v>
      </c>
      <c r="D8961" t="inlineStr">
        <is>
          <t>VÄSTERNORRLANDS LÄN</t>
        </is>
      </c>
      <c r="E8961" t="inlineStr">
        <is>
          <t>ÅNGE</t>
        </is>
      </c>
      <c r="F8961" t="inlineStr">
        <is>
          <t>SCA</t>
        </is>
      </c>
      <c r="G8961" t="n">
        <v>15.1</v>
      </c>
      <c r="H8961" t="n">
        <v>0</v>
      </c>
      <c r="I8961" t="n">
        <v>0</v>
      </c>
      <c r="J8961" t="n">
        <v>0</v>
      </c>
      <c r="K8961" t="n">
        <v>0</v>
      </c>
      <c r="L8961" t="n">
        <v>0</v>
      </c>
      <c r="M8961" t="n">
        <v>0</v>
      </c>
      <c r="N8961" t="n">
        <v>0</v>
      </c>
      <c r="O8961" t="n">
        <v>0</v>
      </c>
      <c r="P8961" t="n">
        <v>0</v>
      </c>
      <c r="Q8961" t="n">
        <v>0</v>
      </c>
      <c r="R8961" s="2" t="inlineStr"/>
    </row>
    <row r="8962" ht="15" customHeight="1">
      <c r="A8962" t="inlineStr">
        <is>
          <t>A 7005-2024</t>
        </is>
      </c>
      <c r="B8962" s="1" t="n">
        <v>45343</v>
      </c>
      <c r="C8962" s="1" t="n">
        <v>46185</v>
      </c>
      <c r="D8962" t="inlineStr">
        <is>
          <t>VÄSTERNORRLANDS LÄN</t>
        </is>
      </c>
      <c r="E8962" t="inlineStr">
        <is>
          <t>SUNDSVALL</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20437-2026</t>
        </is>
      </c>
      <c r="B8963" s="1" t="n">
        <v>46140</v>
      </c>
      <c r="C8963" s="1" t="n">
        <v>46185</v>
      </c>
      <c r="D8963" t="inlineStr">
        <is>
          <t>VÄSTERNORRLANDS LÄN</t>
        </is>
      </c>
      <c r="E8963" t="inlineStr">
        <is>
          <t>KRAMFORS</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25903-2022</t>
        </is>
      </c>
      <c r="B8964" s="1" t="n">
        <v>44733</v>
      </c>
      <c r="C8964" s="1" t="n">
        <v>46185</v>
      </c>
      <c r="D8964" t="inlineStr">
        <is>
          <t>VÄSTERNORRLANDS LÄN</t>
        </is>
      </c>
      <c r="E8964" t="inlineStr">
        <is>
          <t>ÅNGE</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20496-2026</t>
        </is>
      </c>
      <c r="B8965" s="1" t="n">
        <v>46140.50510416667</v>
      </c>
      <c r="C8965" s="1" t="n">
        <v>46185</v>
      </c>
      <c r="D8965" t="inlineStr">
        <is>
          <t>VÄSTERNORRLANDS LÄN</t>
        </is>
      </c>
      <c r="E8965" t="inlineStr">
        <is>
          <t>SOLLEFTEÅ</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20526-2026</t>
        </is>
      </c>
      <c r="B8966" s="1" t="n">
        <v>46140.55592592592</v>
      </c>
      <c r="C8966" s="1" t="n">
        <v>46185</v>
      </c>
      <c r="D8966" t="inlineStr">
        <is>
          <t>VÄSTERNORRLANDS LÄN</t>
        </is>
      </c>
      <c r="E8966" t="inlineStr">
        <is>
          <t>ÖRNSKÖLDSVIK</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28319-2022</t>
        </is>
      </c>
      <c r="B8967" s="1" t="n">
        <v>44747</v>
      </c>
      <c r="C8967" s="1" t="n">
        <v>46185</v>
      </c>
      <c r="D8967" t="inlineStr">
        <is>
          <t>VÄSTERNORRLANDS LÄN</t>
        </is>
      </c>
      <c r="E8967" t="inlineStr">
        <is>
          <t>HÄRNÖSAND</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20554-2026</t>
        </is>
      </c>
      <c r="B8968" s="1" t="n">
        <v>46140.59479166667</v>
      </c>
      <c r="C8968" s="1" t="n">
        <v>46185</v>
      </c>
      <c r="D8968" t="inlineStr">
        <is>
          <t>VÄSTERNORRLANDS LÄN</t>
        </is>
      </c>
      <c r="E8968" t="inlineStr">
        <is>
          <t>SOLLEFTEÅ</t>
        </is>
      </c>
      <c r="F8968" t="inlineStr">
        <is>
          <t>SCA</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33642-2023</t>
        </is>
      </c>
      <c r="B8969" s="1" t="n">
        <v>45119</v>
      </c>
      <c r="C8969" s="1" t="n">
        <v>46185</v>
      </c>
      <c r="D8969" t="inlineStr">
        <is>
          <t>VÄSTERNORRLANDS LÄN</t>
        </is>
      </c>
      <c r="E8969" t="inlineStr">
        <is>
          <t>SOLLEFTEÅ</t>
        </is>
      </c>
      <c r="F8969" t="inlineStr">
        <is>
          <t>SCA</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9328-2026</t>
        </is>
      </c>
      <c r="B8970" s="1" t="n">
        <v>46070</v>
      </c>
      <c r="C8970" s="1" t="n">
        <v>46185</v>
      </c>
      <c r="D8970" t="inlineStr">
        <is>
          <t>VÄSTERNORRLANDS LÄN</t>
        </is>
      </c>
      <c r="E8970" t="inlineStr">
        <is>
          <t>ÅNGE</t>
        </is>
      </c>
      <c r="F8970" t="inlineStr">
        <is>
          <t>SCA</t>
        </is>
      </c>
      <c r="G8970" t="n">
        <v>6.4</v>
      </c>
      <c r="H8970" t="n">
        <v>0</v>
      </c>
      <c r="I8970" t="n">
        <v>0</v>
      </c>
      <c r="J8970" t="n">
        <v>0</v>
      </c>
      <c r="K8970" t="n">
        <v>0</v>
      </c>
      <c r="L8970" t="n">
        <v>0</v>
      </c>
      <c r="M8970" t="n">
        <v>0</v>
      </c>
      <c r="N8970" t="n">
        <v>0</v>
      </c>
      <c r="O8970" t="n">
        <v>0</v>
      </c>
      <c r="P8970" t="n">
        <v>0</v>
      </c>
      <c r="Q8970" t="n">
        <v>0</v>
      </c>
      <c r="R8970" s="2" t="inlineStr"/>
    </row>
    <row r="8971" ht="15" customHeight="1">
      <c r="A8971" t="inlineStr">
        <is>
          <t>A 25950-2026</t>
        </is>
      </c>
      <c r="B8971" s="1" t="n">
        <v>46181.34469907408</v>
      </c>
      <c r="C8971" s="1" t="n">
        <v>46185</v>
      </c>
      <c r="D8971" t="inlineStr">
        <is>
          <t>VÄSTERNORRLANDS LÄN</t>
        </is>
      </c>
      <c r="E8971" t="inlineStr">
        <is>
          <t>ÖRNSKÖLDSVIK</t>
        </is>
      </c>
      <c r="G8971" t="n">
        <v>0.2</v>
      </c>
      <c r="H8971" t="n">
        <v>0</v>
      </c>
      <c r="I8971" t="n">
        <v>0</v>
      </c>
      <c r="J8971" t="n">
        <v>0</v>
      </c>
      <c r="K8971" t="n">
        <v>0</v>
      </c>
      <c r="L8971" t="n">
        <v>0</v>
      </c>
      <c r="M8971" t="n">
        <v>0</v>
      </c>
      <c r="N8971" t="n">
        <v>0</v>
      </c>
      <c r="O8971" t="n">
        <v>0</v>
      </c>
      <c r="P8971" t="n">
        <v>0</v>
      </c>
      <c r="Q8971" t="n">
        <v>0</v>
      </c>
      <c r="R8971" s="2" t="inlineStr"/>
    </row>
    <row r="8972" ht="15" customHeight="1">
      <c r="A8972" t="inlineStr">
        <is>
          <t>A 7793-2024</t>
        </is>
      </c>
      <c r="B8972" s="1" t="n">
        <v>45348</v>
      </c>
      <c r="C8972" s="1" t="n">
        <v>46185</v>
      </c>
      <c r="D8972" t="inlineStr">
        <is>
          <t>VÄSTERNORRLANDS LÄN</t>
        </is>
      </c>
      <c r="E8972" t="inlineStr">
        <is>
          <t>HÄRNÖSAND</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19709-2025</t>
        </is>
      </c>
      <c r="B8973" s="1" t="n">
        <v>45771.34263888889</v>
      </c>
      <c r="C8973" s="1" t="n">
        <v>46185</v>
      </c>
      <c r="D8973" t="inlineStr">
        <is>
          <t>VÄSTERNORRLANDS LÄN</t>
        </is>
      </c>
      <c r="E8973" t="inlineStr">
        <is>
          <t>ÅNGE</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11485-2025</t>
        </is>
      </c>
      <c r="B8974" s="1" t="n">
        <v>45726.69515046296</v>
      </c>
      <c r="C8974" s="1" t="n">
        <v>46185</v>
      </c>
      <c r="D8974" t="inlineStr">
        <is>
          <t>VÄSTERNORRLANDS LÄN</t>
        </is>
      </c>
      <c r="E8974" t="inlineStr">
        <is>
          <t>ÖRNSKÖLDSVIK</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23735-2025</t>
        </is>
      </c>
      <c r="B8975" s="1" t="n">
        <v>45793.42777777778</v>
      </c>
      <c r="C8975" s="1" t="n">
        <v>46185</v>
      </c>
      <c r="D8975" t="inlineStr">
        <is>
          <t>VÄSTERNORRLANDS LÄN</t>
        </is>
      </c>
      <c r="E8975" t="inlineStr">
        <is>
          <t>SOLLEFTEÅ</t>
        </is>
      </c>
      <c r="F8975" t="inlineStr">
        <is>
          <t>SCA</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20507-2024</t>
        </is>
      </c>
      <c r="B8976" s="1" t="n">
        <v>45435</v>
      </c>
      <c r="C8976" s="1" t="n">
        <v>46185</v>
      </c>
      <c r="D8976" t="inlineStr">
        <is>
          <t>VÄSTERNORRLANDS LÄN</t>
        </is>
      </c>
      <c r="E8976" t="inlineStr">
        <is>
          <t>SOLLEFTEÅ</t>
        </is>
      </c>
      <c r="F8976" t="inlineStr">
        <is>
          <t>SCA</t>
        </is>
      </c>
      <c r="G8976" t="n">
        <v>5.4</v>
      </c>
      <c r="H8976" t="n">
        <v>0</v>
      </c>
      <c r="I8976" t="n">
        <v>0</v>
      </c>
      <c r="J8976" t="n">
        <v>0</v>
      </c>
      <c r="K8976" t="n">
        <v>0</v>
      </c>
      <c r="L8976" t="n">
        <v>0</v>
      </c>
      <c r="M8976" t="n">
        <v>0</v>
      </c>
      <c r="N8976" t="n">
        <v>0</v>
      </c>
      <c r="O8976" t="n">
        <v>0</v>
      </c>
      <c r="P8976" t="n">
        <v>0</v>
      </c>
      <c r="Q8976" t="n">
        <v>0</v>
      </c>
      <c r="R8976" s="2" t="inlineStr"/>
    </row>
    <row r="8977" ht="15" customHeight="1">
      <c r="A8977" t="inlineStr">
        <is>
          <t>A 26263-2026</t>
        </is>
      </c>
      <c r="B8977" s="1" t="n">
        <v>46182.52344907408</v>
      </c>
      <c r="C8977" s="1" t="n">
        <v>46185</v>
      </c>
      <c r="D8977" t="inlineStr">
        <is>
          <t>VÄSTERNORRLANDS LÄN</t>
        </is>
      </c>
      <c r="E8977" t="inlineStr">
        <is>
          <t>ÖRNSKÖLDSVIK</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20529-2024</t>
        </is>
      </c>
      <c r="B8978" s="1" t="n">
        <v>45435</v>
      </c>
      <c r="C8978" s="1" t="n">
        <v>46185</v>
      </c>
      <c r="D8978" t="inlineStr">
        <is>
          <t>VÄSTERNORRLANDS LÄN</t>
        </is>
      </c>
      <c r="E8978" t="inlineStr">
        <is>
          <t>ÖRNSKÖLDSVIK</t>
        </is>
      </c>
      <c r="F8978" t="inlineStr">
        <is>
          <t>SCA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123-2024</t>
        </is>
      </c>
      <c r="B8979" s="1" t="n">
        <v>45294.3955324074</v>
      </c>
      <c r="C8979" s="1" t="n">
        <v>46185</v>
      </c>
      <c r="D8979" t="inlineStr">
        <is>
          <t>VÄSTERNORRLANDS LÄN</t>
        </is>
      </c>
      <c r="E8979" t="inlineStr">
        <is>
          <t>SUNDSVALL</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35277-2023</t>
        </is>
      </c>
      <c r="B8980" s="1" t="n">
        <v>45145</v>
      </c>
      <c r="C8980" s="1" t="n">
        <v>46185</v>
      </c>
      <c r="D8980" t="inlineStr">
        <is>
          <t>VÄSTERNORRLANDS LÄN</t>
        </is>
      </c>
      <c r="E8980" t="inlineStr">
        <is>
          <t>SOLLEFTEÅ</t>
        </is>
      </c>
      <c r="F8980" t="inlineStr">
        <is>
          <t>SCA</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32446-2024</t>
        </is>
      </c>
      <c r="B8981" s="1" t="n">
        <v>45512</v>
      </c>
      <c r="C8981" s="1" t="n">
        <v>46185</v>
      </c>
      <c r="D8981" t="inlineStr">
        <is>
          <t>VÄSTERNORRLANDS LÄN</t>
        </is>
      </c>
      <c r="E8981" t="inlineStr">
        <is>
          <t>KRAMFORS</t>
        </is>
      </c>
      <c r="F8981" t="inlineStr">
        <is>
          <t>SCA</t>
        </is>
      </c>
      <c r="G8981" t="n">
        <v>6.5</v>
      </c>
      <c r="H8981" t="n">
        <v>0</v>
      </c>
      <c r="I8981" t="n">
        <v>0</v>
      </c>
      <c r="J8981" t="n">
        <v>0</v>
      </c>
      <c r="K8981" t="n">
        <v>0</v>
      </c>
      <c r="L8981" t="n">
        <v>0</v>
      </c>
      <c r="M8981" t="n">
        <v>0</v>
      </c>
      <c r="N8981" t="n">
        <v>0</v>
      </c>
      <c r="O8981" t="n">
        <v>0</v>
      </c>
      <c r="P8981" t="n">
        <v>0</v>
      </c>
      <c r="Q8981" t="n">
        <v>0</v>
      </c>
      <c r="R8981" s="2" t="inlineStr"/>
    </row>
    <row r="8982" ht="15" customHeight="1">
      <c r="A8982" t="inlineStr">
        <is>
          <t>A 26184-2026</t>
        </is>
      </c>
      <c r="B8982" s="1" t="n">
        <v>46182</v>
      </c>
      <c r="C8982" s="1" t="n">
        <v>46185</v>
      </c>
      <c r="D8982" t="inlineStr">
        <is>
          <t>VÄSTERNORRLANDS LÄN</t>
        </is>
      </c>
      <c r="E8982" t="inlineStr">
        <is>
          <t>SOLLEFTEÅ</t>
        </is>
      </c>
      <c r="F8982" t="inlineStr">
        <is>
          <t>SCA</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21590-2022</t>
        </is>
      </c>
      <c r="B8983" s="1" t="n">
        <v>44706</v>
      </c>
      <c r="C8983" s="1" t="n">
        <v>46185</v>
      </c>
      <c r="D8983" t="inlineStr">
        <is>
          <t>VÄSTERNORRLANDS LÄN</t>
        </is>
      </c>
      <c r="E8983" t="inlineStr">
        <is>
          <t>ÖRNSKÖLDSVIK</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60905-2023</t>
        </is>
      </c>
      <c r="B8984" s="1" t="n">
        <v>45261</v>
      </c>
      <c r="C8984" s="1" t="n">
        <v>46185</v>
      </c>
      <c r="D8984" t="inlineStr">
        <is>
          <t>VÄSTERNORRLANDS LÄN</t>
        </is>
      </c>
      <c r="E8984" t="inlineStr">
        <is>
          <t>ÖRNSKÖLDSVIK</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26054-2026</t>
        </is>
      </c>
      <c r="B8985" s="1" t="n">
        <v>46177</v>
      </c>
      <c r="C8985" s="1" t="n">
        <v>46185</v>
      </c>
      <c r="D8985" t="inlineStr">
        <is>
          <t>VÄSTERNORRLANDS LÄN</t>
        </is>
      </c>
      <c r="E8985" t="inlineStr">
        <is>
          <t>SOLLEFTEÅ</t>
        </is>
      </c>
      <c r="G8985" t="n">
        <v>9.300000000000001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8417-2026</t>
        </is>
      </c>
      <c r="B8986" s="1" t="n">
        <v>46065</v>
      </c>
      <c r="C8986" s="1" t="n">
        <v>46185</v>
      </c>
      <c r="D8986" t="inlineStr">
        <is>
          <t>VÄSTERNORRLANDS LÄN</t>
        </is>
      </c>
      <c r="E8986" t="inlineStr">
        <is>
          <t>HÄRNÖSAND</t>
        </is>
      </c>
      <c r="F8986" t="inlineStr">
        <is>
          <t>Kyrkan</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23547-2023</t>
        </is>
      </c>
      <c r="B8987" s="1" t="n">
        <v>45072</v>
      </c>
      <c r="C8987" s="1" t="n">
        <v>46185</v>
      </c>
      <c r="D8987" t="inlineStr">
        <is>
          <t>VÄSTERNORRLANDS LÄN</t>
        </is>
      </c>
      <c r="E8987" t="inlineStr">
        <is>
          <t>HÄRNÖSAND</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19902-2023</t>
        </is>
      </c>
      <c r="B8988" s="1" t="n">
        <v>45054</v>
      </c>
      <c r="C8988" s="1" t="n">
        <v>46185</v>
      </c>
      <c r="D8988" t="inlineStr">
        <is>
          <t>VÄSTERNORRLANDS LÄN</t>
        </is>
      </c>
      <c r="E8988" t="inlineStr">
        <is>
          <t>SUNDSVALL</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73269-2021</t>
        </is>
      </c>
      <c r="B8989" s="1" t="n">
        <v>44550.88486111111</v>
      </c>
      <c r="C8989" s="1" t="n">
        <v>46185</v>
      </c>
      <c r="D8989" t="inlineStr">
        <is>
          <t>VÄSTERNORRLANDS LÄN</t>
        </is>
      </c>
      <c r="E8989" t="inlineStr">
        <is>
          <t>ÖRNSKÖLDSVIK</t>
        </is>
      </c>
      <c r="G8989" t="n">
        <v>6.6</v>
      </c>
      <c r="H8989" t="n">
        <v>0</v>
      </c>
      <c r="I8989" t="n">
        <v>0</v>
      </c>
      <c r="J8989" t="n">
        <v>0</v>
      </c>
      <c r="K8989" t="n">
        <v>0</v>
      </c>
      <c r="L8989" t="n">
        <v>0</v>
      </c>
      <c r="M8989" t="n">
        <v>0</v>
      </c>
      <c r="N8989" t="n">
        <v>0</v>
      </c>
      <c r="O8989" t="n">
        <v>0</v>
      </c>
      <c r="P8989" t="n">
        <v>0</v>
      </c>
      <c r="Q8989" t="n">
        <v>0</v>
      </c>
      <c r="R8989" s="2" t="inlineStr"/>
    </row>
    <row r="8990" ht="15" customHeight="1">
      <c r="A8990" t="inlineStr">
        <is>
          <t>A 28726-2022</t>
        </is>
      </c>
      <c r="B8990" s="1" t="n">
        <v>44748</v>
      </c>
      <c r="C8990" s="1" t="n">
        <v>46185</v>
      </c>
      <c r="D8990" t="inlineStr">
        <is>
          <t>VÄSTERNORRLANDS LÄN</t>
        </is>
      </c>
      <c r="E8990" t="inlineStr">
        <is>
          <t>SUNDSVALL</t>
        </is>
      </c>
      <c r="F8990" t="inlineStr">
        <is>
          <t>SCA</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62857-2023</t>
        </is>
      </c>
      <c r="B8991" s="1" t="n">
        <v>45272</v>
      </c>
      <c r="C8991" s="1" t="n">
        <v>46185</v>
      </c>
      <c r="D8991" t="inlineStr">
        <is>
          <t>VÄSTERNORRLANDS LÄN</t>
        </is>
      </c>
      <c r="E8991" t="inlineStr">
        <is>
          <t>ÖRNSKÖLDSVIK</t>
        </is>
      </c>
      <c r="F8991" t="inlineStr">
        <is>
          <t>Holmen skog AB</t>
        </is>
      </c>
      <c r="G8991" t="n">
        <v>7.4</v>
      </c>
      <c r="H8991" t="n">
        <v>0</v>
      </c>
      <c r="I8991" t="n">
        <v>0</v>
      </c>
      <c r="J8991" t="n">
        <v>0</v>
      </c>
      <c r="K8991" t="n">
        <v>0</v>
      </c>
      <c r="L8991" t="n">
        <v>0</v>
      </c>
      <c r="M8991" t="n">
        <v>0</v>
      </c>
      <c r="N8991" t="n">
        <v>0</v>
      </c>
      <c r="O8991" t="n">
        <v>0</v>
      </c>
      <c r="P8991" t="n">
        <v>0</v>
      </c>
      <c r="Q8991" t="n">
        <v>0</v>
      </c>
      <c r="R8991" s="2" t="inlineStr"/>
    </row>
    <row r="8992" ht="15" customHeight="1">
      <c r="A8992" t="inlineStr">
        <is>
          <t>A 13598-2022</t>
        </is>
      </c>
      <c r="B8992" s="1" t="n">
        <v>44648</v>
      </c>
      <c r="C8992" s="1" t="n">
        <v>46185</v>
      </c>
      <c r="D8992" t="inlineStr">
        <is>
          <t>VÄSTERNORRLANDS LÄN</t>
        </is>
      </c>
      <c r="E8992" t="inlineStr">
        <is>
          <t>SOLLEFTEÅ</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8244-2024</t>
        </is>
      </c>
      <c r="B8993" s="1" t="n">
        <v>45351</v>
      </c>
      <c r="C8993" s="1" t="n">
        <v>46185</v>
      </c>
      <c r="D8993" t="inlineStr">
        <is>
          <t>VÄSTERNORRLANDS LÄN</t>
        </is>
      </c>
      <c r="E8993" t="inlineStr">
        <is>
          <t>SOLLEFTEÅ</t>
        </is>
      </c>
      <c r="F8993" t="inlineStr">
        <is>
          <t>SCA</t>
        </is>
      </c>
      <c r="G8993" t="n">
        <v>0.1</v>
      </c>
      <c r="H8993" t="n">
        <v>0</v>
      </c>
      <c r="I8993" t="n">
        <v>0</v>
      </c>
      <c r="J8993" t="n">
        <v>0</v>
      </c>
      <c r="K8993" t="n">
        <v>0</v>
      </c>
      <c r="L8993" t="n">
        <v>0</v>
      </c>
      <c r="M8993" t="n">
        <v>0</v>
      </c>
      <c r="N8993" t="n">
        <v>0</v>
      </c>
      <c r="O8993" t="n">
        <v>0</v>
      </c>
      <c r="P8993" t="n">
        <v>0</v>
      </c>
      <c r="Q8993" t="n">
        <v>0</v>
      </c>
      <c r="R8993" s="2" t="inlineStr"/>
    </row>
    <row r="8994" ht="15" customHeight="1">
      <c r="A8994" t="inlineStr">
        <is>
          <t>A 20325-2026</t>
        </is>
      </c>
      <c r="B8994" s="1" t="n">
        <v>46139.60238425926</v>
      </c>
      <c r="C8994" s="1" t="n">
        <v>46185</v>
      </c>
      <c r="D8994" t="inlineStr">
        <is>
          <t>VÄSTERNORRLANDS LÄN</t>
        </is>
      </c>
      <c r="E8994" t="inlineStr">
        <is>
          <t>ÖRNSKÖLDSVIK</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53038-2023</t>
        </is>
      </c>
      <c r="B8995" s="1" t="n">
        <v>45226.96298611111</v>
      </c>
      <c r="C8995" s="1" t="n">
        <v>46185</v>
      </c>
      <c r="D8995" t="inlineStr">
        <is>
          <t>VÄSTERNORRLANDS LÄN</t>
        </is>
      </c>
      <c r="E8995" t="inlineStr">
        <is>
          <t>SUNDSVALL</t>
        </is>
      </c>
      <c r="F8995" t="inlineStr">
        <is>
          <t>SCA</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15712-2022</t>
        </is>
      </c>
      <c r="B8996" s="1" t="n">
        <v>44663</v>
      </c>
      <c r="C8996" s="1" t="n">
        <v>46185</v>
      </c>
      <c r="D8996" t="inlineStr">
        <is>
          <t>VÄSTERNORRLANDS LÄN</t>
        </is>
      </c>
      <c r="E8996" t="inlineStr">
        <is>
          <t>SUNDSVALL</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51370-2025</t>
        </is>
      </c>
      <c r="B8997" s="1" t="n">
        <v>45950.44818287037</v>
      </c>
      <c r="C8997" s="1" t="n">
        <v>46185</v>
      </c>
      <c r="D8997" t="inlineStr">
        <is>
          <t>VÄSTERNORRLANDS LÄN</t>
        </is>
      </c>
      <c r="E8997" t="inlineStr">
        <is>
          <t>ÅNGE</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51389-2025</t>
        </is>
      </c>
      <c r="B8998" s="1" t="n">
        <v>45950.46767361111</v>
      </c>
      <c r="C8998" s="1" t="n">
        <v>46185</v>
      </c>
      <c r="D8998" t="inlineStr">
        <is>
          <t>VÄSTERNORRLANDS LÄN</t>
        </is>
      </c>
      <c r="E8998" t="inlineStr">
        <is>
          <t>ÅNGE</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24324-2022</t>
        </is>
      </c>
      <c r="B8999" s="1" t="n">
        <v>44725.945</v>
      </c>
      <c r="C8999" s="1" t="n">
        <v>46185</v>
      </c>
      <c r="D8999" t="inlineStr">
        <is>
          <t>VÄSTERNORRLANDS LÄN</t>
        </is>
      </c>
      <c r="E8999" t="inlineStr">
        <is>
          <t>ÅNGE</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24325-2022</t>
        </is>
      </c>
      <c r="B9000" s="1" t="n">
        <v>44725.94506944445</v>
      </c>
      <c r="C9000" s="1" t="n">
        <v>46185</v>
      </c>
      <c r="D9000" t="inlineStr">
        <is>
          <t>VÄSTERNORRLANDS LÄN</t>
        </is>
      </c>
      <c r="E9000" t="inlineStr">
        <is>
          <t>ÅNGE</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26066-2025</t>
        </is>
      </c>
      <c r="B9001" s="1" t="n">
        <v>45805.29252314815</v>
      </c>
      <c r="C9001" s="1" t="n">
        <v>46185</v>
      </c>
      <c r="D9001" t="inlineStr">
        <is>
          <t>VÄSTERNORRLANDS LÄN</t>
        </is>
      </c>
      <c r="E9001" t="inlineStr">
        <is>
          <t>ÖRNSKÖLDSVIK</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30803-2022</t>
        </is>
      </c>
      <c r="B9002" s="1" t="n">
        <v>44764</v>
      </c>
      <c r="C9002" s="1" t="n">
        <v>46185</v>
      </c>
      <c r="D9002" t="inlineStr">
        <is>
          <t>VÄSTERNORRLANDS LÄN</t>
        </is>
      </c>
      <c r="E9002" t="inlineStr">
        <is>
          <t>ÅNGE</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158-2024</t>
        </is>
      </c>
      <c r="B9003" s="1" t="n">
        <v>45294.49413194445</v>
      </c>
      <c r="C9003" s="1" t="n">
        <v>46185</v>
      </c>
      <c r="D9003" t="inlineStr">
        <is>
          <t>VÄSTERNORRLANDS LÄN</t>
        </is>
      </c>
      <c r="E9003" t="inlineStr">
        <is>
          <t>KRAMFORS</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65019-2023</t>
        </is>
      </c>
      <c r="B9004" s="1" t="n">
        <v>45282</v>
      </c>
      <c r="C9004" s="1" t="n">
        <v>46185</v>
      </c>
      <c r="D9004" t="inlineStr">
        <is>
          <t>VÄSTERNORRLANDS LÄN</t>
        </is>
      </c>
      <c r="E9004" t="inlineStr">
        <is>
          <t>SUNDSVALL</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18570-2022</t>
        </is>
      </c>
      <c r="B9005" s="1" t="n">
        <v>44686.94278935185</v>
      </c>
      <c r="C9005" s="1" t="n">
        <v>46185</v>
      </c>
      <c r="D9005" t="inlineStr">
        <is>
          <t>VÄSTERNORRLANDS LÄN</t>
        </is>
      </c>
      <c r="E9005" t="inlineStr">
        <is>
          <t>SOLLEFTEÅ</t>
        </is>
      </c>
      <c r="F9005" t="inlineStr">
        <is>
          <t>SCA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4125-2023</t>
        </is>
      </c>
      <c r="B9006" s="1" t="n">
        <v>44952</v>
      </c>
      <c r="C9006" s="1" t="n">
        <v>46185</v>
      </c>
      <c r="D9006" t="inlineStr">
        <is>
          <t>VÄSTERNORRLANDS LÄN</t>
        </is>
      </c>
      <c r="E9006" t="inlineStr">
        <is>
          <t>TIMRÅ</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18513-2025</t>
        </is>
      </c>
      <c r="B9007" s="1" t="n">
        <v>45763.38469907407</v>
      </c>
      <c r="C9007" s="1" t="n">
        <v>46185</v>
      </c>
      <c r="D9007" t="inlineStr">
        <is>
          <t>VÄSTERNORRLANDS LÄN</t>
        </is>
      </c>
      <c r="E9007" t="inlineStr">
        <is>
          <t>SUNDSVALL</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40742-2021</t>
        </is>
      </c>
      <c r="B9008" s="1" t="n">
        <v>44420.67804398148</v>
      </c>
      <c r="C9008" s="1" t="n">
        <v>46185</v>
      </c>
      <c r="D9008" t="inlineStr">
        <is>
          <t>VÄSTERNORRLANDS LÄN</t>
        </is>
      </c>
      <c r="E9008" t="inlineStr">
        <is>
          <t>ÖRNSKÖLDSVIK</t>
        </is>
      </c>
      <c r="F9008" t="inlineStr">
        <is>
          <t>Holmen skog AB</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2433-2024</t>
        </is>
      </c>
      <c r="B9009" s="1" t="n">
        <v>45310</v>
      </c>
      <c r="C9009" s="1" t="n">
        <v>46185</v>
      </c>
      <c r="D9009" t="inlineStr">
        <is>
          <t>VÄSTERNORRLANDS LÄN</t>
        </is>
      </c>
      <c r="E9009" t="inlineStr">
        <is>
          <t>ÅNGE</t>
        </is>
      </c>
      <c r="F9009" t="inlineStr">
        <is>
          <t>SCA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2492-2024</t>
        </is>
      </c>
      <c r="B9010" s="1" t="n">
        <v>45313</v>
      </c>
      <c r="C9010" s="1" t="n">
        <v>46185</v>
      </c>
      <c r="D9010" t="inlineStr">
        <is>
          <t>VÄSTERNORRLANDS LÄN</t>
        </is>
      </c>
      <c r="E9010" t="inlineStr">
        <is>
          <t>HÄRNÖSAND</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15871-2025</t>
        </is>
      </c>
      <c r="B9011" s="1" t="n">
        <v>45749</v>
      </c>
      <c r="C9011" s="1" t="n">
        <v>46185</v>
      </c>
      <c r="D9011" t="inlineStr">
        <is>
          <t>VÄSTERNORRLANDS LÄN</t>
        </is>
      </c>
      <c r="E9011" t="inlineStr">
        <is>
          <t>SUNDSVALL</t>
        </is>
      </c>
      <c r="F9011" t="inlineStr">
        <is>
          <t>SCA</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10549-2024</t>
        </is>
      </c>
      <c r="B9012" s="1" t="n">
        <v>45366</v>
      </c>
      <c r="C9012" s="1" t="n">
        <v>46185</v>
      </c>
      <c r="D9012" t="inlineStr">
        <is>
          <t>VÄSTERNORRLANDS LÄN</t>
        </is>
      </c>
      <c r="E9012" t="inlineStr">
        <is>
          <t>HÄRNÖSAND</t>
        </is>
      </c>
      <c r="G9012" t="n">
        <v>8.4</v>
      </c>
      <c r="H9012" t="n">
        <v>0</v>
      </c>
      <c r="I9012" t="n">
        <v>0</v>
      </c>
      <c r="J9012" t="n">
        <v>0</v>
      </c>
      <c r="K9012" t="n">
        <v>0</v>
      </c>
      <c r="L9012" t="n">
        <v>0</v>
      </c>
      <c r="M9012" t="n">
        <v>0</v>
      </c>
      <c r="N9012" t="n">
        <v>0</v>
      </c>
      <c r="O9012" t="n">
        <v>0</v>
      </c>
      <c r="P9012" t="n">
        <v>0</v>
      </c>
      <c r="Q9012" t="n">
        <v>0</v>
      </c>
      <c r="R9012" s="2" t="inlineStr"/>
    </row>
    <row r="9013" ht="15" customHeight="1">
      <c r="A9013" t="inlineStr">
        <is>
          <t>A 26321-2026</t>
        </is>
      </c>
      <c r="B9013" s="1" t="n">
        <v>46182.6150462963</v>
      </c>
      <c r="C9013" s="1" t="n">
        <v>46185</v>
      </c>
      <c r="D9013" t="inlineStr">
        <is>
          <t>VÄSTERNORRLANDS LÄN</t>
        </is>
      </c>
      <c r="E9013" t="inlineStr">
        <is>
          <t>SOLLEFTEÅ</t>
        </is>
      </c>
      <c r="F9013" t="inlineStr">
        <is>
          <t>SCA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61461-2023</t>
        </is>
      </c>
      <c r="B9014" s="1" t="n">
        <v>45264.9261574074</v>
      </c>
      <c r="C9014" s="1" t="n">
        <v>46185</v>
      </c>
      <c r="D9014" t="inlineStr">
        <is>
          <t>VÄSTERNORRLANDS LÄN</t>
        </is>
      </c>
      <c r="E9014" t="inlineStr">
        <is>
          <t>ÅNGE</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58605-2025</t>
        </is>
      </c>
      <c r="B9015" s="1" t="n">
        <v>45986</v>
      </c>
      <c r="C9015" s="1" t="n">
        <v>46185</v>
      </c>
      <c r="D9015" t="inlineStr">
        <is>
          <t>VÄSTERNORRLANDS LÄN</t>
        </is>
      </c>
      <c r="E9015" t="inlineStr">
        <is>
          <t>ÅNGE</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46130-2022</t>
        </is>
      </c>
      <c r="B9016" s="1" t="n">
        <v>44844</v>
      </c>
      <c r="C9016" s="1" t="n">
        <v>46185</v>
      </c>
      <c r="D9016" t="inlineStr">
        <is>
          <t>VÄSTERNORRLANDS LÄN</t>
        </is>
      </c>
      <c r="E9016" t="inlineStr">
        <is>
          <t>SOLLEFTEÅ</t>
        </is>
      </c>
      <c r="F9016" t="inlineStr">
        <is>
          <t>SCA</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4001-2024</t>
        </is>
      </c>
      <c r="B9017" s="1" t="n">
        <v>45323</v>
      </c>
      <c r="C9017" s="1" t="n">
        <v>46185</v>
      </c>
      <c r="D9017" t="inlineStr">
        <is>
          <t>VÄSTERNORRLANDS LÄN</t>
        </is>
      </c>
      <c r="E9017" t="inlineStr">
        <is>
          <t>KRAMFORS</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33999-2025</t>
        </is>
      </c>
      <c r="B9018" s="1" t="n">
        <v>45844.36113425926</v>
      </c>
      <c r="C9018" s="1" t="n">
        <v>46185</v>
      </c>
      <c r="D9018" t="inlineStr">
        <is>
          <t>VÄSTERNORRLANDS LÄN</t>
        </is>
      </c>
      <c r="E9018" t="inlineStr">
        <is>
          <t>SOLLEFTEÅ</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4052-2024</t>
        </is>
      </c>
      <c r="B9019" s="1" t="n">
        <v>45323</v>
      </c>
      <c r="C9019" s="1" t="n">
        <v>46185</v>
      </c>
      <c r="D9019" t="inlineStr">
        <is>
          <t>VÄSTERNORRLANDS LÄN</t>
        </is>
      </c>
      <c r="E9019" t="inlineStr">
        <is>
          <t>SUNDSVALL</t>
        </is>
      </c>
      <c r="F9019" t="inlineStr">
        <is>
          <t>Kommuner</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4061-2024</t>
        </is>
      </c>
      <c r="B9020" s="1" t="n">
        <v>45323</v>
      </c>
      <c r="C9020" s="1" t="n">
        <v>46185</v>
      </c>
      <c r="D9020" t="inlineStr">
        <is>
          <t>VÄSTERNORRLANDS LÄN</t>
        </is>
      </c>
      <c r="E9020" t="inlineStr">
        <is>
          <t>SOLLEFTEÅ</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6528-2024</t>
        </is>
      </c>
      <c r="B9021" s="1" t="n">
        <v>45341.35649305556</v>
      </c>
      <c r="C9021" s="1" t="n">
        <v>46185</v>
      </c>
      <c r="D9021" t="inlineStr">
        <is>
          <t>VÄSTERNORRLANDS LÄN</t>
        </is>
      </c>
      <c r="E9021" t="inlineStr">
        <is>
          <t>ÖRNSKÖLDSVIK</t>
        </is>
      </c>
      <c r="F9021" t="inlineStr">
        <is>
          <t>Holmen skog AB</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2338-2024</t>
        </is>
      </c>
      <c r="B9022" s="1" t="n">
        <v>45310</v>
      </c>
      <c r="C9022" s="1" t="n">
        <v>46185</v>
      </c>
      <c r="D9022" t="inlineStr">
        <is>
          <t>VÄSTERNORRLANDS LÄN</t>
        </is>
      </c>
      <c r="E9022" t="inlineStr">
        <is>
          <t>ÖRNSKÖLDSVIK</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42863-2025</t>
        </is>
      </c>
      <c r="B9023" s="1" t="n">
        <v>45908.61527777778</v>
      </c>
      <c r="C9023" s="1" t="n">
        <v>46185</v>
      </c>
      <c r="D9023" t="inlineStr">
        <is>
          <t>VÄSTERNORRLANDS LÄN</t>
        </is>
      </c>
      <c r="E9023" t="inlineStr">
        <is>
          <t>ÅNGE</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35795-2024</t>
        </is>
      </c>
      <c r="B9024" s="1" t="n">
        <v>45532</v>
      </c>
      <c r="C9024" s="1" t="n">
        <v>46185</v>
      </c>
      <c r="D9024" t="inlineStr">
        <is>
          <t>VÄSTERNORRLANDS LÄN</t>
        </is>
      </c>
      <c r="E9024" t="inlineStr">
        <is>
          <t>SOLLEFTEÅ</t>
        </is>
      </c>
      <c r="F9024" t="inlineStr">
        <is>
          <t>SCA</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20474-2026</t>
        </is>
      </c>
      <c r="B9025" s="1" t="n">
        <v>46140</v>
      </c>
      <c r="C9025" s="1" t="n">
        <v>46185</v>
      </c>
      <c r="D9025" t="inlineStr">
        <is>
          <t>VÄSTERNORRLANDS LÄN</t>
        </is>
      </c>
      <c r="E9025" t="inlineStr">
        <is>
          <t>ÅNGE</t>
        </is>
      </c>
      <c r="F9025" t="inlineStr">
        <is>
          <t>SCA</t>
        </is>
      </c>
      <c r="G9025" t="n">
        <v>5</v>
      </c>
      <c r="H9025" t="n">
        <v>0</v>
      </c>
      <c r="I9025" t="n">
        <v>0</v>
      </c>
      <c r="J9025" t="n">
        <v>0</v>
      </c>
      <c r="K9025" t="n">
        <v>0</v>
      </c>
      <c r="L9025" t="n">
        <v>0</v>
      </c>
      <c r="M9025" t="n">
        <v>0</v>
      </c>
      <c r="N9025" t="n">
        <v>0</v>
      </c>
      <c r="O9025" t="n">
        <v>0</v>
      </c>
      <c r="P9025" t="n">
        <v>0</v>
      </c>
      <c r="Q9025" t="n">
        <v>0</v>
      </c>
      <c r="R9025" s="2" t="inlineStr"/>
    </row>
    <row r="9026" ht="15" customHeight="1">
      <c r="A9026" t="inlineStr">
        <is>
          <t>A 4103-2024</t>
        </is>
      </c>
      <c r="B9026" s="1" t="n">
        <v>45323</v>
      </c>
      <c r="C9026" s="1" t="n">
        <v>46185</v>
      </c>
      <c r="D9026" t="inlineStr">
        <is>
          <t>VÄSTERNORRLANDS LÄN</t>
        </is>
      </c>
      <c r="E9026" t="inlineStr">
        <is>
          <t>ÖRNSKÖLDSVIK</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33782-2025</t>
        </is>
      </c>
      <c r="B9027" s="1" t="n">
        <v>45842.40678240741</v>
      </c>
      <c r="C9027" s="1" t="n">
        <v>46185</v>
      </c>
      <c r="D9027" t="inlineStr">
        <is>
          <t>VÄSTERNORRLANDS LÄN</t>
        </is>
      </c>
      <c r="E9027" t="inlineStr">
        <is>
          <t>ÅNGE</t>
        </is>
      </c>
      <c r="F9027" t="inlineStr">
        <is>
          <t>SCA</t>
        </is>
      </c>
      <c r="G9027" t="n">
        <v>8.4</v>
      </c>
      <c r="H9027" t="n">
        <v>0</v>
      </c>
      <c r="I9027" t="n">
        <v>0</v>
      </c>
      <c r="J9027" t="n">
        <v>0</v>
      </c>
      <c r="K9027" t="n">
        <v>0</v>
      </c>
      <c r="L9027" t="n">
        <v>0</v>
      </c>
      <c r="M9027" t="n">
        <v>0</v>
      </c>
      <c r="N9027" t="n">
        <v>0</v>
      </c>
      <c r="O9027" t="n">
        <v>0</v>
      </c>
      <c r="P9027" t="n">
        <v>0</v>
      </c>
      <c r="Q9027" t="n">
        <v>0</v>
      </c>
      <c r="R9027" s="2" t="inlineStr"/>
    </row>
    <row r="9028" ht="15" customHeight="1">
      <c r="A9028" t="inlineStr">
        <is>
          <t>A 50139-2025</t>
        </is>
      </c>
      <c r="B9028" s="1" t="n">
        <v>45943.56555555556</v>
      </c>
      <c r="C9028" s="1" t="n">
        <v>46185</v>
      </c>
      <c r="D9028" t="inlineStr">
        <is>
          <t>VÄSTERNORRLANDS LÄN</t>
        </is>
      </c>
      <c r="E9028" t="inlineStr">
        <is>
          <t>KRAMFORS</t>
        </is>
      </c>
      <c r="G9028" t="n">
        <v>6.3</v>
      </c>
      <c r="H9028" t="n">
        <v>0</v>
      </c>
      <c r="I9028" t="n">
        <v>0</v>
      </c>
      <c r="J9028" t="n">
        <v>0</v>
      </c>
      <c r="K9028" t="n">
        <v>0</v>
      </c>
      <c r="L9028" t="n">
        <v>0</v>
      </c>
      <c r="M9028" t="n">
        <v>0</v>
      </c>
      <c r="N9028" t="n">
        <v>0</v>
      </c>
      <c r="O9028" t="n">
        <v>0</v>
      </c>
      <c r="P9028" t="n">
        <v>0</v>
      </c>
      <c r="Q9028" t="n">
        <v>0</v>
      </c>
      <c r="R9028" s="2" t="inlineStr"/>
    </row>
    <row r="9029" ht="15" customHeight="1">
      <c r="A9029" t="inlineStr">
        <is>
          <t>A 26358-2026</t>
        </is>
      </c>
      <c r="B9029" s="1" t="n">
        <v>46182.69840277778</v>
      </c>
      <c r="C9029" s="1" t="n">
        <v>46185</v>
      </c>
      <c r="D9029" t="inlineStr">
        <is>
          <t>VÄSTERNORRLANDS LÄN</t>
        </is>
      </c>
      <c r="E9029" t="inlineStr">
        <is>
          <t>TIMRÅ</t>
        </is>
      </c>
      <c r="F9029" t="inlineStr">
        <is>
          <t>SCA</t>
        </is>
      </c>
      <c r="G9029" t="n">
        <v>8.199999999999999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62219-2023</t>
        </is>
      </c>
      <c r="B9030" s="1" t="n">
        <v>45267</v>
      </c>
      <c r="C9030" s="1" t="n">
        <v>46185</v>
      </c>
      <c r="D9030" t="inlineStr">
        <is>
          <t>VÄSTERNORRLANDS LÄN</t>
        </is>
      </c>
      <c r="E9030" t="inlineStr">
        <is>
          <t>SUNDSVALL</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44829-2021</t>
        </is>
      </c>
      <c r="B9031" s="1" t="n">
        <v>44438</v>
      </c>
      <c r="C9031" s="1" t="n">
        <v>46185</v>
      </c>
      <c r="D9031" t="inlineStr">
        <is>
          <t>VÄSTERNORRLANDS LÄN</t>
        </is>
      </c>
      <c r="E9031" t="inlineStr">
        <is>
          <t>KRAMFORS</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25987-2026</t>
        </is>
      </c>
      <c r="B9032" s="1" t="n">
        <v>46181.42456018519</v>
      </c>
      <c r="C9032" s="1" t="n">
        <v>46185</v>
      </c>
      <c r="D9032" t="inlineStr">
        <is>
          <t>VÄSTERNORRLANDS LÄN</t>
        </is>
      </c>
      <c r="E9032" t="inlineStr">
        <is>
          <t>SOLLEFTEÅ</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27633-2024</t>
        </is>
      </c>
      <c r="B9033" s="1" t="n">
        <v>45474.94590277778</v>
      </c>
      <c r="C9033" s="1" t="n">
        <v>46185</v>
      </c>
      <c r="D9033" t="inlineStr">
        <is>
          <t>VÄSTERNORRLANDS LÄN</t>
        </is>
      </c>
      <c r="E9033" t="inlineStr">
        <is>
          <t>SOLLEFTEÅ</t>
        </is>
      </c>
      <c r="F9033" t="inlineStr">
        <is>
          <t>SCA</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27634-2024</t>
        </is>
      </c>
      <c r="B9034" s="1" t="n">
        <v>45474.94599537037</v>
      </c>
      <c r="C9034" s="1" t="n">
        <v>46185</v>
      </c>
      <c r="D9034" t="inlineStr">
        <is>
          <t>VÄSTERNORRLANDS LÄN</t>
        </is>
      </c>
      <c r="E9034" t="inlineStr">
        <is>
          <t>SOLLEFTEÅ</t>
        </is>
      </c>
      <c r="F9034" t="inlineStr">
        <is>
          <t>SCA</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31138-2024</t>
        </is>
      </c>
      <c r="B9035" s="1" t="n">
        <v>45502</v>
      </c>
      <c r="C9035" s="1" t="n">
        <v>46185</v>
      </c>
      <c r="D9035" t="inlineStr">
        <is>
          <t>VÄSTERNORRLANDS LÄN</t>
        </is>
      </c>
      <c r="E9035" t="inlineStr">
        <is>
          <t>KRAMFORS</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27641-2024</t>
        </is>
      </c>
      <c r="B9036" s="1" t="n">
        <v>45474.94694444445</v>
      </c>
      <c r="C9036" s="1" t="n">
        <v>46185</v>
      </c>
      <c r="D9036" t="inlineStr">
        <is>
          <t>VÄSTERNORRLANDS LÄN</t>
        </is>
      </c>
      <c r="E9036" t="inlineStr">
        <is>
          <t>SOLLEFTEÅ</t>
        </is>
      </c>
      <c r="F9036" t="inlineStr">
        <is>
          <t>SCA</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28438-2024</t>
        </is>
      </c>
      <c r="B9037" s="1" t="n">
        <v>45477</v>
      </c>
      <c r="C9037" s="1" t="n">
        <v>46185</v>
      </c>
      <c r="D9037" t="inlineStr">
        <is>
          <t>VÄSTERNORRLANDS LÄN</t>
        </is>
      </c>
      <c r="E9037" t="inlineStr">
        <is>
          <t>ÖRNSKÖLDSVIK</t>
        </is>
      </c>
      <c r="F9037" t="inlineStr">
        <is>
          <t>Holmen skog AB</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27661-2024</t>
        </is>
      </c>
      <c r="B9038" s="1" t="n">
        <v>45474.95365740741</v>
      </c>
      <c r="C9038" s="1" t="n">
        <v>46185</v>
      </c>
      <c r="D9038" t="inlineStr">
        <is>
          <t>VÄSTERNORRLANDS LÄN</t>
        </is>
      </c>
      <c r="E9038" t="inlineStr">
        <is>
          <t>ÅNGE</t>
        </is>
      </c>
      <c r="F9038" t="inlineStr">
        <is>
          <t>SCA</t>
        </is>
      </c>
      <c r="G9038" t="n">
        <v>19.1</v>
      </c>
      <c r="H9038" t="n">
        <v>0</v>
      </c>
      <c r="I9038" t="n">
        <v>0</v>
      </c>
      <c r="J9038" t="n">
        <v>0</v>
      </c>
      <c r="K9038" t="n">
        <v>0</v>
      </c>
      <c r="L9038" t="n">
        <v>0</v>
      </c>
      <c r="M9038" t="n">
        <v>0</v>
      </c>
      <c r="N9038" t="n">
        <v>0</v>
      </c>
      <c r="O9038" t="n">
        <v>0</v>
      </c>
      <c r="P9038" t="n">
        <v>0</v>
      </c>
      <c r="Q9038" t="n">
        <v>0</v>
      </c>
      <c r="R9038" s="2" t="inlineStr"/>
    </row>
    <row r="9039" ht="15" customHeight="1">
      <c r="A9039" t="inlineStr">
        <is>
          <t>A 23730-2026</t>
        </is>
      </c>
      <c r="B9039" s="1" t="n">
        <v>46163</v>
      </c>
      <c r="C9039" s="1" t="n">
        <v>46185</v>
      </c>
      <c r="D9039" t="inlineStr">
        <is>
          <t>VÄSTERNORRLANDS LÄN</t>
        </is>
      </c>
      <c r="E9039" t="inlineStr">
        <is>
          <t>ÖRNSKÖLDSVIK</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20079-2026</t>
        </is>
      </c>
      <c r="B9040" s="1" t="n">
        <v>46136.60990740741</v>
      </c>
      <c r="C9040" s="1" t="n">
        <v>46185</v>
      </c>
      <c r="D9040" t="inlineStr">
        <is>
          <t>VÄSTERNORRLANDS LÄN</t>
        </is>
      </c>
      <c r="E9040" t="inlineStr">
        <is>
          <t>SUNDSVALL</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28462-2024</t>
        </is>
      </c>
      <c r="B9041" s="1" t="n">
        <v>45477.69827546296</v>
      </c>
      <c r="C9041" s="1" t="n">
        <v>46185</v>
      </c>
      <c r="D9041" t="inlineStr">
        <is>
          <t>VÄSTERNORRLANDS LÄN</t>
        </is>
      </c>
      <c r="E9041" t="inlineStr">
        <is>
          <t>ÖRNSKÖLDSVIK</t>
        </is>
      </c>
      <c r="F9041" t="inlineStr">
        <is>
          <t>Holmen skog AB</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20143-2026</t>
        </is>
      </c>
      <c r="B9042" s="1" t="n">
        <v>46137.34509259259</v>
      </c>
      <c r="C9042" s="1" t="n">
        <v>46185</v>
      </c>
      <c r="D9042" t="inlineStr">
        <is>
          <t>VÄSTERNORRLANDS LÄN</t>
        </is>
      </c>
      <c r="E9042" t="inlineStr">
        <is>
          <t>ÅNGE</t>
        </is>
      </c>
      <c r="F9042" t="inlineStr">
        <is>
          <t>SCA</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18646-2025</t>
        </is>
      </c>
      <c r="B9043" s="1" t="n">
        <v>45763</v>
      </c>
      <c r="C9043" s="1" t="n">
        <v>46185</v>
      </c>
      <c r="D9043" t="inlineStr">
        <is>
          <t>VÄSTERNORRLANDS LÄN</t>
        </is>
      </c>
      <c r="E9043" t="inlineStr">
        <is>
          <t>KRAMFORS</t>
        </is>
      </c>
      <c r="F9043" t="inlineStr">
        <is>
          <t>SCA</t>
        </is>
      </c>
      <c r="G9043" t="n">
        <v>6.3</v>
      </c>
      <c r="H9043" t="n">
        <v>0</v>
      </c>
      <c r="I9043" t="n">
        <v>0</v>
      </c>
      <c r="J9043" t="n">
        <v>0</v>
      </c>
      <c r="K9043" t="n">
        <v>0</v>
      </c>
      <c r="L9043" t="n">
        <v>0</v>
      </c>
      <c r="M9043" t="n">
        <v>0</v>
      </c>
      <c r="N9043" t="n">
        <v>0</v>
      </c>
      <c r="O9043" t="n">
        <v>0</v>
      </c>
      <c r="P9043" t="n">
        <v>0</v>
      </c>
      <c r="Q9043" t="n">
        <v>0</v>
      </c>
      <c r="R9043" s="2" t="inlineStr"/>
    </row>
    <row r="9044" ht="15" customHeight="1">
      <c r="A9044" t="inlineStr">
        <is>
          <t>A 18652-2025</t>
        </is>
      </c>
      <c r="B9044" s="1" t="n">
        <v>45763.5746412037</v>
      </c>
      <c r="C9044" s="1" t="n">
        <v>46185</v>
      </c>
      <c r="D9044" t="inlineStr">
        <is>
          <t>VÄSTERNORRLANDS LÄN</t>
        </is>
      </c>
      <c r="E9044" t="inlineStr">
        <is>
          <t>KRAMFORS</t>
        </is>
      </c>
      <c r="F9044" t="inlineStr">
        <is>
          <t>SCA</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8518-2024</t>
        </is>
      </c>
      <c r="B9045" s="1" t="n">
        <v>45351</v>
      </c>
      <c r="C9045" s="1" t="n">
        <v>46185</v>
      </c>
      <c r="D9045" t="inlineStr">
        <is>
          <t>VÄSTERNORRLANDS LÄN</t>
        </is>
      </c>
      <c r="E9045" t="inlineStr">
        <is>
          <t>SUNDSVALL</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60600-2024</t>
        </is>
      </c>
      <c r="B9046" s="1" t="n">
        <v>45644.37100694444</v>
      </c>
      <c r="C9046" s="1" t="n">
        <v>46185</v>
      </c>
      <c r="D9046" t="inlineStr">
        <is>
          <t>VÄSTERNORRLANDS LÄN</t>
        </is>
      </c>
      <c r="E9046" t="inlineStr">
        <is>
          <t>ÖRNSKÖLDSVIK</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29459-2024</t>
        </is>
      </c>
      <c r="B9047" s="1" t="n">
        <v>45483.96939814815</v>
      </c>
      <c r="C9047" s="1" t="n">
        <v>46185</v>
      </c>
      <c r="D9047" t="inlineStr">
        <is>
          <t>VÄSTERNORRLANDS LÄN</t>
        </is>
      </c>
      <c r="E9047" t="inlineStr">
        <is>
          <t>SOLLEFTEÅ</t>
        </is>
      </c>
      <c r="F9047" t="inlineStr">
        <is>
          <t>SCA</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47944-2022</t>
        </is>
      </c>
      <c r="B9048" s="1" t="n">
        <v>44853</v>
      </c>
      <c r="C9048" s="1" t="n">
        <v>46185</v>
      </c>
      <c r="D9048" t="inlineStr">
        <is>
          <t>VÄSTERNORRLANDS LÄN</t>
        </is>
      </c>
      <c r="E9048" t="inlineStr">
        <is>
          <t>HÄRNÖSAND</t>
        </is>
      </c>
      <c r="G9048" t="n">
        <v>7.6</v>
      </c>
      <c r="H9048" t="n">
        <v>0</v>
      </c>
      <c r="I9048" t="n">
        <v>0</v>
      </c>
      <c r="J9048" t="n">
        <v>0</v>
      </c>
      <c r="K9048" t="n">
        <v>0</v>
      </c>
      <c r="L9048" t="n">
        <v>0</v>
      </c>
      <c r="M9048" t="n">
        <v>0</v>
      </c>
      <c r="N9048" t="n">
        <v>0</v>
      </c>
      <c r="O9048" t="n">
        <v>0</v>
      </c>
      <c r="P9048" t="n">
        <v>0</v>
      </c>
      <c r="Q9048" t="n">
        <v>0</v>
      </c>
      <c r="R9048" s="2" t="inlineStr"/>
    </row>
    <row r="9049" ht="15" customHeight="1">
      <c r="A9049" t="inlineStr">
        <is>
          <t>A 10312-2024</t>
        </is>
      </c>
      <c r="B9049" s="1" t="n">
        <v>45365</v>
      </c>
      <c r="C9049" s="1" t="n">
        <v>46185</v>
      </c>
      <c r="D9049" t="inlineStr">
        <is>
          <t>VÄSTERNORRLANDS LÄN</t>
        </is>
      </c>
      <c r="E9049" t="inlineStr">
        <is>
          <t>KRAMFORS</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18696-2025</t>
        </is>
      </c>
      <c r="B9050" s="1" t="n">
        <v>45763.61578703704</v>
      </c>
      <c r="C9050" s="1" t="n">
        <v>46185</v>
      </c>
      <c r="D9050" t="inlineStr">
        <is>
          <t>VÄSTERNORRLANDS LÄN</t>
        </is>
      </c>
      <c r="E9050" t="inlineStr">
        <is>
          <t>SOLLEFTEÅ</t>
        </is>
      </c>
      <c r="F9050" t="inlineStr">
        <is>
          <t>SCA</t>
        </is>
      </c>
      <c r="G9050" t="n">
        <v>11.4</v>
      </c>
      <c r="H9050" t="n">
        <v>0</v>
      </c>
      <c r="I9050" t="n">
        <v>0</v>
      </c>
      <c r="J9050" t="n">
        <v>0</v>
      </c>
      <c r="K9050" t="n">
        <v>0</v>
      </c>
      <c r="L9050" t="n">
        <v>0</v>
      </c>
      <c r="M9050" t="n">
        <v>0</v>
      </c>
      <c r="N9050" t="n">
        <v>0</v>
      </c>
      <c r="O9050" t="n">
        <v>0</v>
      </c>
      <c r="P9050" t="n">
        <v>0</v>
      </c>
      <c r="Q9050" t="n">
        <v>0</v>
      </c>
      <c r="R9050" s="2" t="inlineStr"/>
    </row>
    <row r="9051" ht="15" customHeight="1">
      <c r="A9051" t="inlineStr">
        <is>
          <t>A 26003-2026</t>
        </is>
      </c>
      <c r="B9051" s="1" t="n">
        <v>46181.44828703703</v>
      </c>
      <c r="C9051" s="1" t="n">
        <v>46185</v>
      </c>
      <c r="D9051" t="inlineStr">
        <is>
          <t>VÄSTERNORRLANDS LÄN</t>
        </is>
      </c>
      <c r="E9051" t="inlineStr">
        <is>
          <t>KRAMFORS</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26004-2026</t>
        </is>
      </c>
      <c r="B9052" s="1" t="n">
        <v>46181.44835648148</v>
      </c>
      <c r="C9052" s="1" t="n">
        <v>46185</v>
      </c>
      <c r="D9052" t="inlineStr">
        <is>
          <t>VÄSTERNORRLANDS LÄN</t>
        </is>
      </c>
      <c r="E9052" t="inlineStr">
        <is>
          <t>KRAMFORS</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8880-2023</t>
        </is>
      </c>
      <c r="B9053" s="1" t="n">
        <v>44978.94346064814</v>
      </c>
      <c r="C9053" s="1" t="n">
        <v>46185</v>
      </c>
      <c r="D9053" t="inlineStr">
        <is>
          <t>VÄSTERNORRLANDS LÄN</t>
        </is>
      </c>
      <c r="E9053" t="inlineStr">
        <is>
          <t>SOLLEFTEÅ</t>
        </is>
      </c>
      <c r="F9053" t="inlineStr">
        <is>
          <t>SCA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11468-2024</t>
        </is>
      </c>
      <c r="B9054" s="1" t="n">
        <v>45372.59917824074</v>
      </c>
      <c r="C9054" s="1" t="n">
        <v>46185</v>
      </c>
      <c r="D9054" t="inlineStr">
        <is>
          <t>VÄSTERNORRLANDS LÄN</t>
        </is>
      </c>
      <c r="E9054" t="inlineStr">
        <is>
          <t>ÖRNSKÖLDSVIK</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5649-2022</t>
        </is>
      </c>
      <c r="B9055" s="1" t="n">
        <v>44595.92520833333</v>
      </c>
      <c r="C9055" s="1" t="n">
        <v>46185</v>
      </c>
      <c r="D9055" t="inlineStr">
        <is>
          <t>VÄSTERNORRLANDS LÄN</t>
        </is>
      </c>
      <c r="E9055" t="inlineStr">
        <is>
          <t>TIMRÅ</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6068-2024</t>
        </is>
      </c>
      <c r="B9056" s="1" t="n">
        <v>45336.89725694444</v>
      </c>
      <c r="C9056" s="1" t="n">
        <v>46185</v>
      </c>
      <c r="D9056" t="inlineStr">
        <is>
          <t>VÄSTERNORRLANDS LÄN</t>
        </is>
      </c>
      <c r="E9056" t="inlineStr">
        <is>
          <t>SOLLEFTEÅ</t>
        </is>
      </c>
      <c r="F9056" t="inlineStr">
        <is>
          <t>Övriga Aktiebolag</t>
        </is>
      </c>
      <c r="G9056" t="n">
        <v>12.6</v>
      </c>
      <c r="H9056" t="n">
        <v>0</v>
      </c>
      <c r="I9056" t="n">
        <v>0</v>
      </c>
      <c r="J9056" t="n">
        <v>0</v>
      </c>
      <c r="K9056" t="n">
        <v>0</v>
      </c>
      <c r="L9056" t="n">
        <v>0</v>
      </c>
      <c r="M9056" t="n">
        <v>0</v>
      </c>
      <c r="N9056" t="n">
        <v>0</v>
      </c>
      <c r="O9056" t="n">
        <v>0</v>
      </c>
      <c r="P9056" t="n">
        <v>0</v>
      </c>
      <c r="Q9056" t="n">
        <v>0</v>
      </c>
      <c r="R9056" s="2" t="inlineStr"/>
    </row>
    <row r="9057" ht="15" customHeight="1">
      <c r="A9057" t="inlineStr">
        <is>
          <t>A 31729-2024</t>
        </is>
      </c>
      <c r="B9057" s="1" t="n">
        <v>45509.35844907408</v>
      </c>
      <c r="C9057" s="1" t="n">
        <v>46185</v>
      </c>
      <c r="D9057" t="inlineStr">
        <is>
          <t>VÄSTERNORRLANDS LÄN</t>
        </is>
      </c>
      <c r="E9057" t="inlineStr">
        <is>
          <t>ÅNGE</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26734-2025</t>
        </is>
      </c>
      <c r="B9058" s="1" t="n">
        <v>45810.51087962963</v>
      </c>
      <c r="C9058" s="1" t="n">
        <v>46185</v>
      </c>
      <c r="D9058" t="inlineStr">
        <is>
          <t>VÄSTERNORRLANDS LÄN</t>
        </is>
      </c>
      <c r="E9058" t="inlineStr">
        <is>
          <t>ÅNGE</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51107-2023</t>
        </is>
      </c>
      <c r="B9059" s="1" t="n">
        <v>45218.92530092593</v>
      </c>
      <c r="C9059" s="1" t="n">
        <v>46185</v>
      </c>
      <c r="D9059" t="inlineStr">
        <is>
          <t>VÄSTERNORRLANDS LÄN</t>
        </is>
      </c>
      <c r="E9059" t="inlineStr">
        <is>
          <t>SOLLEFTEÅ</t>
        </is>
      </c>
      <c r="G9059" t="n">
        <v>4.6</v>
      </c>
      <c r="H9059" t="n">
        <v>0</v>
      </c>
      <c r="I9059" t="n">
        <v>0</v>
      </c>
      <c r="J9059" t="n">
        <v>0</v>
      </c>
      <c r="K9059" t="n">
        <v>0</v>
      </c>
      <c r="L9059" t="n">
        <v>0</v>
      </c>
      <c r="M9059" t="n">
        <v>0</v>
      </c>
      <c r="N9059" t="n">
        <v>0</v>
      </c>
      <c r="O9059" t="n">
        <v>0</v>
      </c>
      <c r="P9059" t="n">
        <v>0</v>
      </c>
      <c r="Q9059" t="n">
        <v>0</v>
      </c>
      <c r="R9059" s="2" t="inlineStr"/>
    </row>
    <row r="9060" ht="15" customHeight="1">
      <c r="A9060" t="inlineStr">
        <is>
          <t>A 24855-2026</t>
        </is>
      </c>
      <c r="B9060" s="1" t="n">
        <v>46174</v>
      </c>
      <c r="C9060" s="1" t="n">
        <v>46185</v>
      </c>
      <c r="D9060" t="inlineStr">
        <is>
          <t>VÄSTERNORRLANDS LÄN</t>
        </is>
      </c>
      <c r="E9060" t="inlineStr">
        <is>
          <t>ÖRNSKÖLDSVIK</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25979-2026</t>
        </is>
      </c>
      <c r="B9061" s="1" t="n">
        <v>46181.40693287037</v>
      </c>
      <c r="C9061" s="1" t="n">
        <v>46185</v>
      </c>
      <c r="D9061" t="inlineStr">
        <is>
          <t>VÄSTERNORRLANDS LÄN</t>
        </is>
      </c>
      <c r="E9061" t="inlineStr">
        <is>
          <t>SOLLEFTEÅ</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45890-2021</t>
        </is>
      </c>
      <c r="B9062" s="1" t="n">
        <v>44441</v>
      </c>
      <c r="C9062" s="1" t="n">
        <v>46185</v>
      </c>
      <c r="D9062" t="inlineStr">
        <is>
          <t>VÄSTERNORRLANDS LÄN</t>
        </is>
      </c>
      <c r="E9062" t="inlineStr">
        <is>
          <t>ÅNGE</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21651-2026</t>
        </is>
      </c>
      <c r="B9063" s="1" t="n">
        <v>46149</v>
      </c>
      <c r="C9063" s="1" t="n">
        <v>46185</v>
      </c>
      <c r="D9063" t="inlineStr">
        <is>
          <t>VÄSTERNORRLANDS LÄN</t>
        </is>
      </c>
      <c r="E9063" t="inlineStr">
        <is>
          <t>SOLLEFTEÅ</t>
        </is>
      </c>
      <c r="F9063" t="inlineStr">
        <is>
          <t>SCA</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26865-2025</t>
        </is>
      </c>
      <c r="B9064" s="1" t="n">
        <v>45810</v>
      </c>
      <c r="C9064" s="1" t="n">
        <v>46185</v>
      </c>
      <c r="D9064" t="inlineStr">
        <is>
          <t>VÄSTERNORRLANDS LÄN</t>
        </is>
      </c>
      <c r="E9064" t="inlineStr">
        <is>
          <t>ÖRNSKÖLDSVIK</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40468-2025</t>
        </is>
      </c>
      <c r="B9065" s="1" t="n">
        <v>45895.66416666667</v>
      </c>
      <c r="C9065" s="1" t="n">
        <v>46185</v>
      </c>
      <c r="D9065" t="inlineStr">
        <is>
          <t>VÄSTERNORRLANDS LÄN</t>
        </is>
      </c>
      <c r="E9065" t="inlineStr">
        <is>
          <t>SOLLEFTEÅ</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63660-2023</t>
        </is>
      </c>
      <c r="B9066" s="1" t="n">
        <v>45275</v>
      </c>
      <c r="C9066" s="1" t="n">
        <v>46185</v>
      </c>
      <c r="D9066" t="inlineStr">
        <is>
          <t>VÄSTERNORRLANDS LÄN</t>
        </is>
      </c>
      <c r="E9066" t="inlineStr">
        <is>
          <t>ÖRNSKÖLDSVIK</t>
        </is>
      </c>
      <c r="G9066" t="n">
        <v>16.3</v>
      </c>
      <c r="H9066" t="n">
        <v>0</v>
      </c>
      <c r="I9066" t="n">
        <v>0</v>
      </c>
      <c r="J9066" t="n">
        <v>0</v>
      </c>
      <c r="K9066" t="n">
        <v>0</v>
      </c>
      <c r="L9066" t="n">
        <v>0</v>
      </c>
      <c r="M9066" t="n">
        <v>0</v>
      </c>
      <c r="N9066" t="n">
        <v>0</v>
      </c>
      <c r="O9066" t="n">
        <v>0</v>
      </c>
      <c r="P9066" t="n">
        <v>0</v>
      </c>
      <c r="Q9066" t="n">
        <v>0</v>
      </c>
      <c r="R9066" s="2" t="inlineStr"/>
    </row>
    <row r="9067" ht="15" customHeight="1">
      <c r="A9067" t="inlineStr">
        <is>
          <t>A 27470-2023</t>
        </is>
      </c>
      <c r="B9067" s="1" t="n">
        <v>45097</v>
      </c>
      <c r="C9067" s="1" t="n">
        <v>46185</v>
      </c>
      <c r="D9067" t="inlineStr">
        <is>
          <t>VÄSTERNORRLANDS LÄN</t>
        </is>
      </c>
      <c r="E9067" t="inlineStr">
        <is>
          <t>SUNDSVALL</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20370-2026</t>
        </is>
      </c>
      <c r="B9068" s="1" t="n">
        <v>46139.67865740741</v>
      </c>
      <c r="C9068" s="1" t="n">
        <v>46185</v>
      </c>
      <c r="D9068" t="inlineStr">
        <is>
          <t>VÄSTERNORRLANDS LÄN</t>
        </is>
      </c>
      <c r="E9068" t="inlineStr">
        <is>
          <t>SOLLEFTEÅ</t>
        </is>
      </c>
      <c r="F9068" t="inlineStr">
        <is>
          <t>SCA</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20378-2026</t>
        </is>
      </c>
      <c r="B9069" s="1" t="n">
        <v>46139.68799768519</v>
      </c>
      <c r="C9069" s="1" t="n">
        <v>46185</v>
      </c>
      <c r="D9069" t="inlineStr">
        <is>
          <t>VÄSTERNORRLANDS LÄN</t>
        </is>
      </c>
      <c r="E9069" t="inlineStr">
        <is>
          <t>ÖRNSKÖLDSVIK</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20380-2026</t>
        </is>
      </c>
      <c r="B9070" s="1" t="n">
        <v>46139.6905787037</v>
      </c>
      <c r="C9070" s="1" t="n">
        <v>46185</v>
      </c>
      <c r="D9070" t="inlineStr">
        <is>
          <t>VÄSTERNORRLANDS LÄN</t>
        </is>
      </c>
      <c r="E9070" t="inlineStr">
        <is>
          <t>ÖRNSKÖLDSVIK</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20386-2026</t>
        </is>
      </c>
      <c r="B9071" s="1" t="n">
        <v>46139</v>
      </c>
      <c r="C9071" s="1" t="n">
        <v>46185</v>
      </c>
      <c r="D9071" t="inlineStr">
        <is>
          <t>VÄSTERNORRLANDS LÄN</t>
        </is>
      </c>
      <c r="E9071" t="inlineStr">
        <is>
          <t>ÖRNSKÖLDSVIK</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44407-2023</t>
        </is>
      </c>
      <c r="B9072" s="1" t="n">
        <v>45188.9465625</v>
      </c>
      <c r="C9072" s="1" t="n">
        <v>46185</v>
      </c>
      <c r="D9072" t="inlineStr">
        <is>
          <t>VÄSTERNORRLANDS LÄN</t>
        </is>
      </c>
      <c r="E9072" t="inlineStr">
        <is>
          <t>SOLLEFTEÅ</t>
        </is>
      </c>
      <c r="F9072" t="inlineStr">
        <is>
          <t>SCA</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44408-2023</t>
        </is>
      </c>
      <c r="B9073" s="1" t="n">
        <v>45188.94663194445</v>
      </c>
      <c r="C9073" s="1" t="n">
        <v>46185</v>
      </c>
      <c r="D9073" t="inlineStr">
        <is>
          <t>VÄSTERNORRLANDS LÄN</t>
        </is>
      </c>
      <c r="E9073" t="inlineStr">
        <is>
          <t>SOLLEFTEÅ</t>
        </is>
      </c>
      <c r="F9073" t="inlineStr">
        <is>
          <t>SCA</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20439-2026</t>
        </is>
      </c>
      <c r="B9074" s="1" t="n">
        <v>46140</v>
      </c>
      <c r="C9074" s="1" t="n">
        <v>46185</v>
      </c>
      <c r="D9074" t="inlineStr">
        <is>
          <t>VÄSTERNORRLANDS LÄN</t>
        </is>
      </c>
      <c r="E9074" t="inlineStr">
        <is>
          <t>SUNDSVALL</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20443-2026</t>
        </is>
      </c>
      <c r="B9075" s="1" t="n">
        <v>46140.40697916667</v>
      </c>
      <c r="C9075" s="1" t="n">
        <v>46185</v>
      </c>
      <c r="D9075" t="inlineStr">
        <is>
          <t>VÄSTERNORRLANDS LÄN</t>
        </is>
      </c>
      <c r="E9075" t="inlineStr">
        <is>
          <t>ÅNGE</t>
        </is>
      </c>
      <c r="F9075" t="inlineStr">
        <is>
          <t>SCA</t>
        </is>
      </c>
      <c r="G9075" t="n">
        <v>10.2</v>
      </c>
      <c r="H9075" t="n">
        <v>0</v>
      </c>
      <c r="I9075" t="n">
        <v>0</v>
      </c>
      <c r="J9075" t="n">
        <v>0</v>
      </c>
      <c r="K9075" t="n">
        <v>0</v>
      </c>
      <c r="L9075" t="n">
        <v>0</v>
      </c>
      <c r="M9075" t="n">
        <v>0</v>
      </c>
      <c r="N9075" t="n">
        <v>0</v>
      </c>
      <c r="O9075" t="n">
        <v>0</v>
      </c>
      <c r="P9075" t="n">
        <v>0</v>
      </c>
      <c r="Q9075" t="n">
        <v>0</v>
      </c>
      <c r="R9075" s="2" t="inlineStr"/>
    </row>
    <row r="9076" ht="15" customHeight="1">
      <c r="A9076" t="inlineStr">
        <is>
          <t>A 20454-2026</t>
        </is>
      </c>
      <c r="B9076" s="1" t="n">
        <v>46140</v>
      </c>
      <c r="C9076" s="1" t="n">
        <v>46185</v>
      </c>
      <c r="D9076" t="inlineStr">
        <is>
          <t>VÄSTERNORRLANDS LÄN</t>
        </is>
      </c>
      <c r="E9076" t="inlineStr">
        <is>
          <t>KRAMFORS</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20463-2026</t>
        </is>
      </c>
      <c r="B9077" s="1" t="n">
        <v>46140.44861111111</v>
      </c>
      <c r="C9077" s="1" t="n">
        <v>46185</v>
      </c>
      <c r="D9077" t="inlineStr">
        <is>
          <t>VÄSTERNORRLANDS LÄN</t>
        </is>
      </c>
      <c r="E9077" t="inlineStr">
        <is>
          <t>ÅNGE</t>
        </is>
      </c>
      <c r="F9077" t="inlineStr">
        <is>
          <t>SCA</t>
        </is>
      </c>
      <c r="G9077" t="n">
        <v>10.8</v>
      </c>
      <c r="H9077" t="n">
        <v>0</v>
      </c>
      <c r="I9077" t="n">
        <v>0</v>
      </c>
      <c r="J9077" t="n">
        <v>0</v>
      </c>
      <c r="K9077" t="n">
        <v>0</v>
      </c>
      <c r="L9077" t="n">
        <v>0</v>
      </c>
      <c r="M9077" t="n">
        <v>0</v>
      </c>
      <c r="N9077" t="n">
        <v>0</v>
      </c>
      <c r="O9077" t="n">
        <v>0</v>
      </c>
      <c r="P9077" t="n">
        <v>0</v>
      </c>
      <c r="Q9077" t="n">
        <v>0</v>
      </c>
      <c r="R9077" s="2" t="inlineStr"/>
    </row>
    <row r="9078" ht="15" customHeight="1">
      <c r="A9078" t="inlineStr">
        <is>
          <t>A 27072-2024</t>
        </is>
      </c>
      <c r="B9078" s="1" t="n">
        <v>45471.46767361111</v>
      </c>
      <c r="C9078" s="1" t="n">
        <v>46185</v>
      </c>
      <c r="D9078" t="inlineStr">
        <is>
          <t>VÄSTERNORRLANDS LÄN</t>
        </is>
      </c>
      <c r="E9078" t="inlineStr">
        <is>
          <t>ÖRNSKÖLDSVIK</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18246-2024</t>
        </is>
      </c>
      <c r="B9079" s="1" t="n">
        <v>45421</v>
      </c>
      <c r="C9079" s="1" t="n">
        <v>46185</v>
      </c>
      <c r="D9079" t="inlineStr">
        <is>
          <t>VÄSTERNORRLANDS LÄN</t>
        </is>
      </c>
      <c r="E9079" t="inlineStr">
        <is>
          <t>SUNDSVALL</t>
        </is>
      </c>
      <c r="G9079" t="n">
        <v>8.1</v>
      </c>
      <c r="H9079" t="n">
        <v>0</v>
      </c>
      <c r="I9079" t="n">
        <v>0</v>
      </c>
      <c r="J9079" t="n">
        <v>0</v>
      </c>
      <c r="K9079" t="n">
        <v>0</v>
      </c>
      <c r="L9079" t="n">
        <v>0</v>
      </c>
      <c r="M9079" t="n">
        <v>0</v>
      </c>
      <c r="N9079" t="n">
        <v>0</v>
      </c>
      <c r="O9079" t="n">
        <v>0</v>
      </c>
      <c r="P9079" t="n">
        <v>0</v>
      </c>
      <c r="Q9079" t="n">
        <v>0</v>
      </c>
      <c r="R9079" s="2" t="inlineStr"/>
    </row>
    <row r="9080" ht="15" customHeight="1">
      <c r="A9080" t="inlineStr">
        <is>
          <t>A 36163-2022</t>
        </is>
      </c>
      <c r="B9080" s="1" t="n">
        <v>44803.39111111111</v>
      </c>
      <c r="C9080" s="1" t="n">
        <v>46185</v>
      </c>
      <c r="D9080" t="inlineStr">
        <is>
          <t>VÄSTERNORRLANDS LÄN</t>
        </is>
      </c>
      <c r="E9080" t="inlineStr">
        <is>
          <t>ÖRNSKÖLDSVIK</t>
        </is>
      </c>
      <c r="F9080" t="inlineStr">
        <is>
          <t>Holmen skog AB</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21398-2026</t>
        </is>
      </c>
      <c r="B9081" s="1" t="n">
        <v>46146</v>
      </c>
      <c r="C9081" s="1" t="n">
        <v>46185</v>
      </c>
      <c r="D9081" t="inlineStr">
        <is>
          <t>VÄSTERNORRLANDS LÄN</t>
        </is>
      </c>
      <c r="E9081" t="inlineStr">
        <is>
          <t>ÖRNSKÖLDSVIK</t>
        </is>
      </c>
      <c r="G9081" t="n">
        <v>8.300000000000001</v>
      </c>
      <c r="H9081" t="n">
        <v>0</v>
      </c>
      <c r="I9081" t="n">
        <v>0</v>
      </c>
      <c r="J9081" t="n">
        <v>0</v>
      </c>
      <c r="K9081" t="n">
        <v>0</v>
      </c>
      <c r="L9081" t="n">
        <v>0</v>
      </c>
      <c r="M9081" t="n">
        <v>0</v>
      </c>
      <c r="N9081" t="n">
        <v>0</v>
      </c>
      <c r="O9081" t="n">
        <v>0</v>
      </c>
      <c r="P9081" t="n">
        <v>0</v>
      </c>
      <c r="Q9081" t="n">
        <v>0</v>
      </c>
      <c r="R9081" s="2" t="inlineStr"/>
    </row>
    <row r="9082" ht="15" customHeight="1">
      <c r="A9082" t="inlineStr">
        <is>
          <t>A 39723-2024</t>
        </is>
      </c>
      <c r="B9082" s="1" t="n">
        <v>45552.61725694445</v>
      </c>
      <c r="C9082" s="1" t="n">
        <v>46185</v>
      </c>
      <c r="D9082" t="inlineStr">
        <is>
          <t>VÄSTERNORRLANDS LÄN</t>
        </is>
      </c>
      <c r="E9082" t="inlineStr">
        <is>
          <t>ÖRNSKÖLDSVIK</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10413-2024</t>
        </is>
      </c>
      <c r="B9083" s="1" t="n">
        <v>45365</v>
      </c>
      <c r="C9083" s="1" t="n">
        <v>46185</v>
      </c>
      <c r="D9083" t="inlineStr">
        <is>
          <t>VÄSTERNORRLANDS LÄN</t>
        </is>
      </c>
      <c r="E9083" t="inlineStr">
        <is>
          <t>KRAMFORS</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13440-2025</t>
        </is>
      </c>
      <c r="B9084" s="1" t="n">
        <v>45736</v>
      </c>
      <c r="C9084" s="1" t="n">
        <v>46185</v>
      </c>
      <c r="D9084" t="inlineStr">
        <is>
          <t>VÄSTERNORRLANDS LÄN</t>
        </is>
      </c>
      <c r="E9084" t="inlineStr">
        <is>
          <t>SUNDSVALL</t>
        </is>
      </c>
      <c r="F9084" t="inlineStr">
        <is>
          <t>SCA</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61969-2025</t>
        </is>
      </c>
      <c r="B9085" s="1" t="n">
        <v>46003.59466435185</v>
      </c>
      <c r="C9085" s="1" t="n">
        <v>46185</v>
      </c>
      <c r="D9085" t="inlineStr">
        <is>
          <t>VÄSTERNORRLANDS LÄN</t>
        </is>
      </c>
      <c r="E9085" t="inlineStr">
        <is>
          <t>SUNDSVALL</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60003-2023</t>
        </is>
      </c>
      <c r="B9086" s="1" t="n">
        <v>45257</v>
      </c>
      <c r="C9086" s="1" t="n">
        <v>46185</v>
      </c>
      <c r="D9086" t="inlineStr">
        <is>
          <t>VÄSTERNORRLANDS LÄN</t>
        </is>
      </c>
      <c r="E9086" t="inlineStr">
        <is>
          <t>ÅNGE</t>
        </is>
      </c>
      <c r="F9086" t="inlineStr">
        <is>
          <t>SCA</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56058-2025</t>
        </is>
      </c>
      <c r="B9087" s="1" t="n">
        <v>45973.63584490741</v>
      </c>
      <c r="C9087" s="1" t="n">
        <v>46185</v>
      </c>
      <c r="D9087" t="inlineStr">
        <is>
          <t>VÄSTERNORRLANDS LÄN</t>
        </is>
      </c>
      <c r="E9087" t="inlineStr">
        <is>
          <t>KRAMFORS</t>
        </is>
      </c>
      <c r="G9087" t="n">
        <v>4.8</v>
      </c>
      <c r="H9087" t="n">
        <v>0</v>
      </c>
      <c r="I9087" t="n">
        <v>0</v>
      </c>
      <c r="J9087" t="n">
        <v>0</v>
      </c>
      <c r="K9087" t="n">
        <v>0</v>
      </c>
      <c r="L9087" t="n">
        <v>0</v>
      </c>
      <c r="M9087" t="n">
        <v>0</v>
      </c>
      <c r="N9087" t="n">
        <v>0</v>
      </c>
      <c r="O9087" t="n">
        <v>0</v>
      </c>
      <c r="P9087" t="n">
        <v>0</v>
      </c>
      <c r="Q9087" t="n">
        <v>0</v>
      </c>
      <c r="R9087" s="2" t="inlineStr"/>
    </row>
    <row r="9088" ht="15" customHeight="1">
      <c r="A9088" t="inlineStr">
        <is>
          <t>A 29148-2025</t>
        </is>
      </c>
      <c r="B9088" s="1" t="n">
        <v>45821.6271412037</v>
      </c>
      <c r="C9088" s="1" t="n">
        <v>46185</v>
      </c>
      <c r="D9088" t="inlineStr">
        <is>
          <t>VÄSTERNORRLANDS LÄN</t>
        </is>
      </c>
      <c r="E9088" t="inlineStr">
        <is>
          <t>KRAMFORS</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20272-2026</t>
        </is>
      </c>
      <c r="B9089" s="1" t="n">
        <v>46139</v>
      </c>
      <c r="C9089" s="1" t="n">
        <v>46185</v>
      </c>
      <c r="D9089" t="inlineStr">
        <is>
          <t>VÄSTERNORRLANDS LÄN</t>
        </is>
      </c>
      <c r="E9089" t="inlineStr">
        <is>
          <t>TIMRÅ</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213-2024</t>
        </is>
      </c>
      <c r="B9090" s="1" t="n">
        <v>45293</v>
      </c>
      <c r="C9090" s="1" t="n">
        <v>46185</v>
      </c>
      <c r="D9090" t="inlineStr">
        <is>
          <t>VÄSTERNORRLANDS LÄN</t>
        </is>
      </c>
      <c r="E9090" t="inlineStr">
        <is>
          <t>ÅNGE</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31931-2025</t>
        </is>
      </c>
      <c r="B9091" s="1" t="n">
        <v>45834.95619212963</v>
      </c>
      <c r="C9091" s="1" t="n">
        <v>46185</v>
      </c>
      <c r="D9091" t="inlineStr">
        <is>
          <t>VÄSTERNORRLANDS LÄN</t>
        </is>
      </c>
      <c r="E9091" t="inlineStr">
        <is>
          <t>SUNDSVALL</t>
        </is>
      </c>
      <c r="G9091" t="n">
        <v>6.8</v>
      </c>
      <c r="H9091" t="n">
        <v>0</v>
      </c>
      <c r="I9091" t="n">
        <v>0</v>
      </c>
      <c r="J9091" t="n">
        <v>0</v>
      </c>
      <c r="K9091" t="n">
        <v>0</v>
      </c>
      <c r="L9091" t="n">
        <v>0</v>
      </c>
      <c r="M9091" t="n">
        <v>0</v>
      </c>
      <c r="N9091" t="n">
        <v>0</v>
      </c>
      <c r="O9091" t="n">
        <v>0</v>
      </c>
      <c r="P9091" t="n">
        <v>0</v>
      </c>
      <c r="Q9091" t="n">
        <v>0</v>
      </c>
      <c r="R9091" s="2" t="inlineStr"/>
    </row>
    <row r="9092" ht="15" customHeight="1">
      <c r="A9092" t="inlineStr">
        <is>
          <t>A 863-2024</t>
        </is>
      </c>
      <c r="B9092" s="1" t="n">
        <v>45301.28461805556</v>
      </c>
      <c r="C9092" s="1" t="n">
        <v>46185</v>
      </c>
      <c r="D9092" t="inlineStr">
        <is>
          <t>VÄSTERNORRLANDS LÄN</t>
        </is>
      </c>
      <c r="E9092" t="inlineStr">
        <is>
          <t>ÖRNSKÖLDSVIK</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55014-2025</t>
        </is>
      </c>
      <c r="B9093" s="1" t="n">
        <v>45967.61597222222</v>
      </c>
      <c r="C9093" s="1" t="n">
        <v>46185</v>
      </c>
      <c r="D9093" t="inlineStr">
        <is>
          <t>VÄSTERNORRLANDS LÄN</t>
        </is>
      </c>
      <c r="E9093" t="inlineStr">
        <is>
          <t>SOLLEFTEÅ</t>
        </is>
      </c>
      <c r="G9093" t="n">
        <v>12.5</v>
      </c>
      <c r="H9093" t="n">
        <v>0</v>
      </c>
      <c r="I9093" t="n">
        <v>0</v>
      </c>
      <c r="J9093" t="n">
        <v>0</v>
      </c>
      <c r="K9093" t="n">
        <v>0</v>
      </c>
      <c r="L9093" t="n">
        <v>0</v>
      </c>
      <c r="M9093" t="n">
        <v>0</v>
      </c>
      <c r="N9093" t="n">
        <v>0</v>
      </c>
      <c r="O9093" t="n">
        <v>0</v>
      </c>
      <c r="P9093" t="n">
        <v>0</v>
      </c>
      <c r="Q9093" t="n">
        <v>0</v>
      </c>
      <c r="R9093" s="2" t="inlineStr"/>
    </row>
    <row r="9094" ht="15" customHeight="1">
      <c r="A9094" t="inlineStr">
        <is>
          <t>A 61297-2023</t>
        </is>
      </c>
      <c r="B9094" s="1" t="n">
        <v>45261</v>
      </c>
      <c r="C9094" s="1" t="n">
        <v>46185</v>
      </c>
      <c r="D9094" t="inlineStr">
        <is>
          <t>VÄSTERNORRLANDS LÄN</t>
        </is>
      </c>
      <c r="E9094" t="inlineStr">
        <is>
          <t>ÖRNSKÖLDSVIK</t>
        </is>
      </c>
      <c r="G9094" t="n">
        <v>5.6</v>
      </c>
      <c r="H9094" t="n">
        <v>0</v>
      </c>
      <c r="I9094" t="n">
        <v>0</v>
      </c>
      <c r="J9094" t="n">
        <v>0</v>
      </c>
      <c r="K9094" t="n">
        <v>0</v>
      </c>
      <c r="L9094" t="n">
        <v>0</v>
      </c>
      <c r="M9094" t="n">
        <v>0</v>
      </c>
      <c r="N9094" t="n">
        <v>0</v>
      </c>
      <c r="O9094" t="n">
        <v>0</v>
      </c>
      <c r="P9094" t="n">
        <v>0</v>
      </c>
      <c r="Q9094" t="n">
        <v>0</v>
      </c>
      <c r="R9094" s="2" t="inlineStr"/>
    </row>
    <row r="9095" ht="15" customHeight="1">
      <c r="A9095" t="inlineStr">
        <is>
          <t>A 68315-2021</t>
        </is>
      </c>
      <c r="B9095" s="1" t="n">
        <v>44526</v>
      </c>
      <c r="C9095" s="1" t="n">
        <v>46185</v>
      </c>
      <c r="D9095" t="inlineStr">
        <is>
          <t>VÄSTERNORRLANDS LÄN</t>
        </is>
      </c>
      <c r="E9095" t="inlineStr">
        <is>
          <t>ÖRNSKÖLDSVIK</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4361-2024</t>
        </is>
      </c>
      <c r="B9096" s="1" t="n">
        <v>45325.65047453704</v>
      </c>
      <c r="C9096" s="1" t="n">
        <v>46185</v>
      </c>
      <c r="D9096" t="inlineStr">
        <is>
          <t>VÄSTERNORRLANDS LÄN</t>
        </is>
      </c>
      <c r="E9096" t="inlineStr">
        <is>
          <t>ÅNGE</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52356-2025</t>
        </is>
      </c>
      <c r="B9097" s="1" t="n">
        <v>45953.80394675926</v>
      </c>
      <c r="C9097" s="1" t="n">
        <v>46185</v>
      </c>
      <c r="D9097" t="inlineStr">
        <is>
          <t>VÄSTERNORRLANDS LÄN</t>
        </is>
      </c>
      <c r="E9097" t="inlineStr">
        <is>
          <t>TIMRÅ</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26500-2024</t>
        </is>
      </c>
      <c r="B9098" s="1" t="n">
        <v>45469.57174768519</v>
      </c>
      <c r="C9098" s="1" t="n">
        <v>46185</v>
      </c>
      <c r="D9098" t="inlineStr">
        <is>
          <t>VÄSTERNORRLANDS LÄN</t>
        </is>
      </c>
      <c r="E9098" t="inlineStr">
        <is>
          <t>SOLLEFTEÅ</t>
        </is>
      </c>
      <c r="F9098" t="inlineStr">
        <is>
          <t>Holmen skog AB</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25966-2026</t>
        </is>
      </c>
      <c r="B9099" s="1" t="n">
        <v>46181.36848379629</v>
      </c>
      <c r="C9099" s="1" t="n">
        <v>46185</v>
      </c>
      <c r="D9099" t="inlineStr">
        <is>
          <t>VÄSTERNORRLANDS LÄN</t>
        </is>
      </c>
      <c r="E9099" t="inlineStr">
        <is>
          <t>SOLLEFTEÅ</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25982-2026</t>
        </is>
      </c>
      <c r="B9100" s="1" t="n">
        <v>46181.4071412037</v>
      </c>
      <c r="C9100" s="1" t="n">
        <v>46185</v>
      </c>
      <c r="D9100" t="inlineStr">
        <is>
          <t>VÄSTERNORRLANDS LÄN</t>
        </is>
      </c>
      <c r="E9100" t="inlineStr">
        <is>
          <t>KRAMFORS</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741-2024</t>
        </is>
      </c>
      <c r="B9101" s="1" t="n">
        <v>45300.46591435185</v>
      </c>
      <c r="C9101" s="1" t="n">
        <v>46185</v>
      </c>
      <c r="D9101" t="inlineStr">
        <is>
          <t>VÄSTERNORRLANDS LÄN</t>
        </is>
      </c>
      <c r="E9101" t="inlineStr">
        <is>
          <t>ÅNGE</t>
        </is>
      </c>
      <c r="G9101" t="n">
        <v>8</v>
      </c>
      <c r="H9101" t="n">
        <v>0</v>
      </c>
      <c r="I9101" t="n">
        <v>0</v>
      </c>
      <c r="J9101" t="n">
        <v>0</v>
      </c>
      <c r="K9101" t="n">
        <v>0</v>
      </c>
      <c r="L9101" t="n">
        <v>0</v>
      </c>
      <c r="M9101" t="n">
        <v>0</v>
      </c>
      <c r="N9101" t="n">
        <v>0</v>
      </c>
      <c r="O9101" t="n">
        <v>0</v>
      </c>
      <c r="P9101" t="n">
        <v>0</v>
      </c>
      <c r="Q9101" t="n">
        <v>0</v>
      </c>
      <c r="R9101" s="2" t="inlineStr"/>
    </row>
    <row r="9102" ht="15" customHeight="1">
      <c r="A9102" t="inlineStr">
        <is>
          <t>A 20694-2025</t>
        </is>
      </c>
      <c r="B9102" s="1" t="n">
        <v>45776.46938657408</v>
      </c>
      <c r="C9102" s="1" t="n">
        <v>46185</v>
      </c>
      <c r="D9102" t="inlineStr">
        <is>
          <t>VÄSTERNORRLANDS LÄN</t>
        </is>
      </c>
      <c r="E9102" t="inlineStr">
        <is>
          <t>SUNDSVALL</t>
        </is>
      </c>
      <c r="F9102" t="inlineStr">
        <is>
          <t>SCA</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32383-2025</t>
        </is>
      </c>
      <c r="B9103" s="1" t="n">
        <v>45837.80671296296</v>
      </c>
      <c r="C9103" s="1" t="n">
        <v>46185</v>
      </c>
      <c r="D9103" t="inlineStr">
        <is>
          <t>VÄSTERNORRLANDS LÄN</t>
        </is>
      </c>
      <c r="E9103" t="inlineStr">
        <is>
          <t>SUNDSVALL</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22690-2024</t>
        </is>
      </c>
      <c r="B9104" s="1" t="n">
        <v>45448.31293981482</v>
      </c>
      <c r="C9104" s="1" t="n">
        <v>46185</v>
      </c>
      <c r="D9104" t="inlineStr">
        <is>
          <t>VÄSTERNORRLANDS LÄN</t>
        </is>
      </c>
      <c r="E9104" t="inlineStr">
        <is>
          <t>SOLLEFTEÅ</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57051-2025</t>
        </is>
      </c>
      <c r="B9105" s="1" t="n">
        <v>45979.34736111111</v>
      </c>
      <c r="C9105" s="1" t="n">
        <v>46185</v>
      </c>
      <c r="D9105" t="inlineStr">
        <is>
          <t>VÄSTERNORRLANDS LÄN</t>
        </is>
      </c>
      <c r="E9105" t="inlineStr">
        <is>
          <t>SUNDSVALL</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41456-2022</t>
        </is>
      </c>
      <c r="B9106" s="1" t="n">
        <v>44826</v>
      </c>
      <c r="C9106" s="1" t="n">
        <v>46185</v>
      </c>
      <c r="D9106" t="inlineStr">
        <is>
          <t>VÄSTERNORRLANDS LÄN</t>
        </is>
      </c>
      <c r="E9106" t="inlineStr">
        <is>
          <t>SOLLEFTEÅ</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41457-2022</t>
        </is>
      </c>
      <c r="B9107" s="1" t="n">
        <v>44826</v>
      </c>
      <c r="C9107" s="1" t="n">
        <v>46185</v>
      </c>
      <c r="D9107" t="inlineStr">
        <is>
          <t>VÄSTERNORRLANDS LÄN</t>
        </is>
      </c>
      <c r="E9107" t="inlineStr">
        <is>
          <t>TIMRÅ</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39347-2024</t>
        </is>
      </c>
      <c r="B9108" s="1" t="n">
        <v>45551.44858796296</v>
      </c>
      <c r="C9108" s="1" t="n">
        <v>46185</v>
      </c>
      <c r="D9108" t="inlineStr">
        <is>
          <t>VÄSTERNORRLANDS LÄN</t>
        </is>
      </c>
      <c r="E9108" t="inlineStr">
        <is>
          <t>SUNDSVALL</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50929-2025</t>
        </is>
      </c>
      <c r="B9109" s="1" t="n">
        <v>45946.67913194445</v>
      </c>
      <c r="C9109" s="1" t="n">
        <v>46185</v>
      </c>
      <c r="D9109" t="inlineStr">
        <is>
          <t>VÄSTERNORRLANDS LÄN</t>
        </is>
      </c>
      <c r="E9109" t="inlineStr">
        <is>
          <t>SOLLEFTEÅ</t>
        </is>
      </c>
      <c r="F9109" t="inlineStr">
        <is>
          <t>SCA</t>
        </is>
      </c>
      <c r="G9109" t="n">
        <v>8.699999999999999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41465-2022</t>
        </is>
      </c>
      <c r="B9110" s="1" t="n">
        <v>44826.94804398148</v>
      </c>
      <c r="C9110" s="1" t="n">
        <v>46185</v>
      </c>
      <c r="D9110" t="inlineStr">
        <is>
          <t>VÄSTERNORRLANDS LÄN</t>
        </is>
      </c>
      <c r="E9110" t="inlineStr">
        <is>
          <t>TIMRÅ</t>
        </is>
      </c>
      <c r="F9110" t="inlineStr">
        <is>
          <t>SCA</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38661-2024</t>
        </is>
      </c>
      <c r="B9111" s="1" t="n">
        <v>45547.25223379629</v>
      </c>
      <c r="C9111" s="1" t="n">
        <v>46185</v>
      </c>
      <c r="D9111" t="inlineStr">
        <is>
          <t>VÄSTERNORRLANDS LÄN</t>
        </is>
      </c>
      <c r="E9111" t="inlineStr">
        <is>
          <t>ÖRNSKÖLDSVIK</t>
        </is>
      </c>
      <c r="F9111" t="inlineStr">
        <is>
          <t>Holmen skog AB</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16246-2025</t>
        </is>
      </c>
      <c r="B9112" s="1" t="n">
        <v>45749</v>
      </c>
      <c r="C9112" s="1" t="n">
        <v>46185</v>
      </c>
      <c r="D9112" t="inlineStr">
        <is>
          <t>VÄSTERNORRLANDS LÄN</t>
        </is>
      </c>
      <c r="E9112" t="inlineStr">
        <is>
          <t>HÄRNÖSAND</t>
        </is>
      </c>
      <c r="G9112" t="n">
        <v>0.3</v>
      </c>
      <c r="H9112" t="n">
        <v>0</v>
      </c>
      <c r="I9112" t="n">
        <v>0</v>
      </c>
      <c r="J9112" t="n">
        <v>0</v>
      </c>
      <c r="K9112" t="n">
        <v>0</v>
      </c>
      <c r="L9112" t="n">
        <v>0</v>
      </c>
      <c r="M9112" t="n">
        <v>0</v>
      </c>
      <c r="N9112" t="n">
        <v>0</v>
      </c>
      <c r="O9112" t="n">
        <v>0</v>
      </c>
      <c r="P9112" t="n">
        <v>0</v>
      </c>
      <c r="Q9112" t="n">
        <v>0</v>
      </c>
      <c r="R9112" s="2" t="inlineStr"/>
    </row>
    <row r="9113" ht="15" customHeight="1">
      <c r="A9113" t="inlineStr">
        <is>
          <t>A 51527-2025</t>
        </is>
      </c>
      <c r="B9113" s="1" t="n">
        <v>45950.67748842593</v>
      </c>
      <c r="C9113" s="1" t="n">
        <v>46185</v>
      </c>
      <c r="D9113" t="inlineStr">
        <is>
          <t>VÄSTERNORRLANDS LÄN</t>
        </is>
      </c>
      <c r="E9113" t="inlineStr">
        <is>
          <t>SOLLEFTEÅ</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41805-2022</t>
        </is>
      </c>
      <c r="B9114" s="1" t="n">
        <v>44827</v>
      </c>
      <c r="C9114" s="1" t="n">
        <v>46185</v>
      </c>
      <c r="D9114" t="inlineStr">
        <is>
          <t>VÄSTERNORRLANDS LÄN</t>
        </is>
      </c>
      <c r="E9114" t="inlineStr">
        <is>
          <t>SUNDSVALL</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54611-2023</t>
        </is>
      </c>
      <c r="B9115" s="1" t="n">
        <v>45233</v>
      </c>
      <c r="C9115" s="1" t="n">
        <v>46185</v>
      </c>
      <c r="D9115" t="inlineStr">
        <is>
          <t>VÄSTERNORRLANDS LÄN</t>
        </is>
      </c>
      <c r="E9115" t="inlineStr">
        <is>
          <t>ÅNGE</t>
        </is>
      </c>
      <c r="F9115" t="inlineStr">
        <is>
          <t>SCA</t>
        </is>
      </c>
      <c r="G9115" t="n">
        <v>6.2</v>
      </c>
      <c r="H9115" t="n">
        <v>0</v>
      </c>
      <c r="I9115" t="n">
        <v>0</v>
      </c>
      <c r="J9115" t="n">
        <v>0</v>
      </c>
      <c r="K9115" t="n">
        <v>0</v>
      </c>
      <c r="L9115" t="n">
        <v>0</v>
      </c>
      <c r="M9115" t="n">
        <v>0</v>
      </c>
      <c r="N9115" t="n">
        <v>0</v>
      </c>
      <c r="O9115" t="n">
        <v>0</v>
      </c>
      <c r="P9115" t="n">
        <v>0</v>
      </c>
      <c r="Q9115" t="n">
        <v>0</v>
      </c>
      <c r="R9115" s="2" t="inlineStr"/>
    </row>
    <row r="9116" ht="15" customHeight="1">
      <c r="A9116" t="inlineStr">
        <is>
          <t>A 17516-2025</t>
        </is>
      </c>
      <c r="B9116" s="1" t="n">
        <v>45757</v>
      </c>
      <c r="C9116" s="1" t="n">
        <v>46185</v>
      </c>
      <c r="D9116" t="inlineStr">
        <is>
          <t>VÄSTERNORRLANDS LÄN</t>
        </is>
      </c>
      <c r="E9116" t="inlineStr">
        <is>
          <t>HÄRNÖSAND</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61606-2023</t>
        </is>
      </c>
      <c r="B9117" s="1" t="n">
        <v>45261</v>
      </c>
      <c r="C9117" s="1" t="n">
        <v>46185</v>
      </c>
      <c r="D9117" t="inlineStr">
        <is>
          <t>VÄSTERNORRLANDS LÄN</t>
        </is>
      </c>
      <c r="E9117" t="inlineStr">
        <is>
          <t>TIMRÅ</t>
        </is>
      </c>
      <c r="G9117" t="n">
        <v>0.3</v>
      </c>
      <c r="H9117" t="n">
        <v>0</v>
      </c>
      <c r="I9117" t="n">
        <v>0</v>
      </c>
      <c r="J9117" t="n">
        <v>0</v>
      </c>
      <c r="K9117" t="n">
        <v>0</v>
      </c>
      <c r="L9117" t="n">
        <v>0</v>
      </c>
      <c r="M9117" t="n">
        <v>0</v>
      </c>
      <c r="N9117" t="n">
        <v>0</v>
      </c>
      <c r="O9117" t="n">
        <v>0</v>
      </c>
      <c r="P9117" t="n">
        <v>0</v>
      </c>
      <c r="Q9117" t="n">
        <v>0</v>
      </c>
      <c r="R9117" s="2" t="inlineStr"/>
    </row>
    <row r="9118" ht="15" customHeight="1">
      <c r="A9118" t="inlineStr">
        <is>
          <t>A 29914-2024</t>
        </is>
      </c>
      <c r="B9118" s="1" t="n">
        <v>45487.92814814814</v>
      </c>
      <c r="C9118" s="1" t="n">
        <v>46185</v>
      </c>
      <c r="D9118" t="inlineStr">
        <is>
          <t>VÄSTERNORRLANDS LÄN</t>
        </is>
      </c>
      <c r="E9118" t="inlineStr">
        <is>
          <t>SOLLEFTEÅ</t>
        </is>
      </c>
      <c r="G9118" t="n">
        <v>6.3</v>
      </c>
      <c r="H9118" t="n">
        <v>0</v>
      </c>
      <c r="I9118" t="n">
        <v>0</v>
      </c>
      <c r="J9118" t="n">
        <v>0</v>
      </c>
      <c r="K9118" t="n">
        <v>0</v>
      </c>
      <c r="L9118" t="n">
        <v>0</v>
      </c>
      <c r="M9118" t="n">
        <v>0</v>
      </c>
      <c r="N9118" t="n">
        <v>0</v>
      </c>
      <c r="O9118" t="n">
        <v>0</v>
      </c>
      <c r="P9118" t="n">
        <v>0</v>
      </c>
      <c r="Q9118" t="n">
        <v>0</v>
      </c>
      <c r="R9118" s="2" t="inlineStr"/>
    </row>
    <row r="9119" ht="15" customHeight="1">
      <c r="A9119" t="inlineStr">
        <is>
          <t>A 17032-2025</t>
        </is>
      </c>
      <c r="B9119" s="1" t="n">
        <v>45755</v>
      </c>
      <c r="C9119" s="1" t="n">
        <v>46185</v>
      </c>
      <c r="D9119" t="inlineStr">
        <is>
          <t>VÄSTERNORRLANDS LÄN</t>
        </is>
      </c>
      <c r="E9119" t="inlineStr">
        <is>
          <t>SOLLEFTEÅ</t>
        </is>
      </c>
      <c r="F9119" t="inlineStr">
        <is>
          <t>SCA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27818-2023</t>
        </is>
      </c>
      <c r="B9120" s="1" t="n">
        <v>45098.50498842593</v>
      </c>
      <c r="C9120" s="1" t="n">
        <v>46185</v>
      </c>
      <c r="D9120" t="inlineStr">
        <is>
          <t>VÄSTERNORRLANDS LÄN</t>
        </is>
      </c>
      <c r="E9120" t="inlineStr">
        <is>
          <t>ÖRNSKÖLDSVIK</t>
        </is>
      </c>
      <c r="F9120" t="inlineStr">
        <is>
          <t>Holmen skog AB</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11272-2026</t>
        </is>
      </c>
      <c r="B9121" s="1" t="n">
        <v>46080</v>
      </c>
      <c r="C9121" s="1" t="n">
        <v>46185</v>
      </c>
      <c r="D9121" t="inlineStr">
        <is>
          <t>VÄSTERNORRLANDS LÄN</t>
        </is>
      </c>
      <c r="E9121" t="inlineStr">
        <is>
          <t>SUNDSVALL</t>
        </is>
      </c>
      <c r="F9121" t="inlineStr">
        <is>
          <t>SCA</t>
        </is>
      </c>
      <c r="G9121" t="n">
        <v>4.1</v>
      </c>
      <c r="H9121" t="n">
        <v>0</v>
      </c>
      <c r="I9121" t="n">
        <v>0</v>
      </c>
      <c r="J9121" t="n">
        <v>0</v>
      </c>
      <c r="K9121" t="n">
        <v>0</v>
      </c>
      <c r="L9121" t="n">
        <v>0</v>
      </c>
      <c r="M9121" t="n">
        <v>0</v>
      </c>
      <c r="N9121" t="n">
        <v>0</v>
      </c>
      <c r="O9121" t="n">
        <v>0</v>
      </c>
      <c r="P9121" t="n">
        <v>0</v>
      </c>
      <c r="Q9121" t="n">
        <v>0</v>
      </c>
      <c r="R9121" s="2" t="inlineStr"/>
    </row>
    <row r="9122" ht="15" customHeight="1">
      <c r="A9122" t="inlineStr">
        <is>
          <t>A 20383-2026</t>
        </is>
      </c>
      <c r="B9122" s="1" t="n">
        <v>46139.69844907407</v>
      </c>
      <c r="C9122" s="1" t="n">
        <v>46185</v>
      </c>
      <c r="D9122" t="inlineStr">
        <is>
          <t>VÄSTERNORRLANDS LÄN</t>
        </is>
      </c>
      <c r="E9122" t="inlineStr">
        <is>
          <t>SOLLEFTEÅ</t>
        </is>
      </c>
      <c r="F9122" t="inlineStr">
        <is>
          <t>SCA</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50576-2025</t>
        </is>
      </c>
      <c r="B9123" s="1" t="n">
        <v>45945.58091435185</v>
      </c>
      <c r="C9123" s="1" t="n">
        <v>46185</v>
      </c>
      <c r="D9123" t="inlineStr">
        <is>
          <t>VÄSTERNORRLANDS LÄN</t>
        </is>
      </c>
      <c r="E9123" t="inlineStr">
        <is>
          <t>SUNDSVALL</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35780-2025</t>
        </is>
      </c>
      <c r="B9124" s="1" t="n">
        <v>45860.70089120371</v>
      </c>
      <c r="C9124" s="1" t="n">
        <v>46185</v>
      </c>
      <c r="D9124" t="inlineStr">
        <is>
          <t>VÄSTERNORRLANDS LÄN</t>
        </is>
      </c>
      <c r="E9124" t="inlineStr">
        <is>
          <t>SUNDSVALL</t>
        </is>
      </c>
      <c r="G9124" t="n">
        <v>8</v>
      </c>
      <c r="H9124" t="n">
        <v>0</v>
      </c>
      <c r="I9124" t="n">
        <v>0</v>
      </c>
      <c r="J9124" t="n">
        <v>0</v>
      </c>
      <c r="K9124" t="n">
        <v>0</v>
      </c>
      <c r="L9124" t="n">
        <v>0</v>
      </c>
      <c r="M9124" t="n">
        <v>0</v>
      </c>
      <c r="N9124" t="n">
        <v>0</v>
      </c>
      <c r="O9124" t="n">
        <v>0</v>
      </c>
      <c r="P9124" t="n">
        <v>0</v>
      </c>
      <c r="Q9124" t="n">
        <v>0</v>
      </c>
      <c r="R9124" s="2" t="inlineStr"/>
    </row>
    <row r="9125" ht="15" customHeight="1">
      <c r="A9125" t="inlineStr">
        <is>
          <t>A 62091-2025</t>
        </is>
      </c>
      <c r="B9125" s="1" t="n">
        <v>46006.3859375</v>
      </c>
      <c r="C9125" s="1" t="n">
        <v>46185</v>
      </c>
      <c r="D9125" t="inlineStr">
        <is>
          <t>VÄSTERNORRLANDS LÄN</t>
        </is>
      </c>
      <c r="E9125" t="inlineStr">
        <is>
          <t>ÅNGE</t>
        </is>
      </c>
      <c r="F9125" t="inlineStr">
        <is>
          <t>SCA</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63510-2023</t>
        </is>
      </c>
      <c r="B9126" s="1" t="n">
        <v>45274.69578703704</v>
      </c>
      <c r="C9126" s="1" t="n">
        <v>46185</v>
      </c>
      <c r="D9126" t="inlineStr">
        <is>
          <t>VÄSTERNORRLANDS LÄN</t>
        </is>
      </c>
      <c r="E9126" t="inlineStr">
        <is>
          <t>ÖRNSKÖLDSVIK</t>
        </is>
      </c>
      <c r="F9126" t="inlineStr">
        <is>
          <t>Övriga Aktiebolag</t>
        </is>
      </c>
      <c r="G9126" t="n">
        <v>6.9</v>
      </c>
      <c r="H9126" t="n">
        <v>0</v>
      </c>
      <c r="I9126" t="n">
        <v>0</v>
      </c>
      <c r="J9126" t="n">
        <v>0</v>
      </c>
      <c r="K9126" t="n">
        <v>0</v>
      </c>
      <c r="L9126" t="n">
        <v>0</v>
      </c>
      <c r="M9126" t="n">
        <v>0</v>
      </c>
      <c r="N9126" t="n">
        <v>0</v>
      </c>
      <c r="O9126" t="n">
        <v>0</v>
      </c>
      <c r="P9126" t="n">
        <v>0</v>
      </c>
      <c r="Q9126" t="n">
        <v>0</v>
      </c>
      <c r="R9126" s="2" t="inlineStr"/>
    </row>
    <row r="9127" ht="15" customHeight="1">
      <c r="A9127" t="inlineStr">
        <is>
          <t>A 20428-2026</t>
        </is>
      </c>
      <c r="B9127" s="1" t="n">
        <v>46140.37024305556</v>
      </c>
      <c r="C9127" s="1" t="n">
        <v>46185</v>
      </c>
      <c r="D9127" t="inlineStr">
        <is>
          <t>VÄSTERNORRLANDS LÄN</t>
        </is>
      </c>
      <c r="E9127" t="inlineStr">
        <is>
          <t>KRAMFORS</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37148-2025</t>
        </is>
      </c>
      <c r="B9128" s="1" t="n">
        <v>45875.57324074074</v>
      </c>
      <c r="C9128" s="1" t="n">
        <v>46185</v>
      </c>
      <c r="D9128" t="inlineStr">
        <is>
          <t>VÄSTERNORRLANDS LÄN</t>
        </is>
      </c>
      <c r="E9128" t="inlineStr">
        <is>
          <t>KRAMFORS</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5071-2024</t>
        </is>
      </c>
      <c r="B9129" s="1" t="n">
        <v>45329</v>
      </c>
      <c r="C9129" s="1" t="n">
        <v>46185</v>
      </c>
      <c r="D9129" t="inlineStr">
        <is>
          <t>VÄSTERNORRLANDS LÄN</t>
        </is>
      </c>
      <c r="E9129" t="inlineStr">
        <is>
          <t>KRAMFORS</t>
        </is>
      </c>
      <c r="G9129" t="n">
        <v>25.2</v>
      </c>
      <c r="H9129" t="n">
        <v>0</v>
      </c>
      <c r="I9129" t="n">
        <v>0</v>
      </c>
      <c r="J9129" t="n">
        <v>0</v>
      </c>
      <c r="K9129" t="n">
        <v>0</v>
      </c>
      <c r="L9129" t="n">
        <v>0</v>
      </c>
      <c r="M9129" t="n">
        <v>0</v>
      </c>
      <c r="N9129" t="n">
        <v>0</v>
      </c>
      <c r="O9129" t="n">
        <v>0</v>
      </c>
      <c r="P9129" t="n">
        <v>0</v>
      </c>
      <c r="Q9129" t="n">
        <v>0</v>
      </c>
      <c r="R9129" s="2" t="inlineStr"/>
    </row>
    <row r="9130" ht="15" customHeight="1">
      <c r="A9130" t="inlineStr">
        <is>
          <t>A 8711-2025</t>
        </is>
      </c>
      <c r="B9130" s="1" t="n">
        <v>45712.49378472222</v>
      </c>
      <c r="C9130" s="1" t="n">
        <v>46185</v>
      </c>
      <c r="D9130" t="inlineStr">
        <is>
          <t>VÄSTERNORRLANDS LÄN</t>
        </is>
      </c>
      <c r="E9130" t="inlineStr">
        <is>
          <t>KRAMFORS</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32494-2022</t>
        </is>
      </c>
      <c r="B9131" s="1" t="n">
        <v>44782</v>
      </c>
      <c r="C9131" s="1" t="n">
        <v>46185</v>
      </c>
      <c r="D9131" t="inlineStr">
        <is>
          <t>VÄSTERNORRLANDS LÄN</t>
        </is>
      </c>
      <c r="E9131" t="inlineStr">
        <is>
          <t>KRAMFORS</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14589-2025</t>
        </is>
      </c>
      <c r="B9132" s="1" t="n">
        <v>45741</v>
      </c>
      <c r="C9132" s="1" t="n">
        <v>46185</v>
      </c>
      <c r="D9132" t="inlineStr">
        <is>
          <t>VÄSTERNORRLANDS LÄN</t>
        </is>
      </c>
      <c r="E9132" t="inlineStr">
        <is>
          <t>ÖRNSKÖLDSVIK</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34593-2025</t>
        </is>
      </c>
      <c r="B9133" s="1" t="n">
        <v>45847.6316087963</v>
      </c>
      <c r="C9133" s="1" t="n">
        <v>46185</v>
      </c>
      <c r="D9133" t="inlineStr">
        <is>
          <t>VÄSTERNORRLANDS LÄN</t>
        </is>
      </c>
      <c r="E9133" t="inlineStr">
        <is>
          <t>ÅNGE</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49487-2024</t>
        </is>
      </c>
      <c r="B9134" s="1" t="n">
        <v>45596.35813657408</v>
      </c>
      <c r="C9134" s="1" t="n">
        <v>46185</v>
      </c>
      <c r="D9134" t="inlineStr">
        <is>
          <t>VÄSTERNORRLANDS LÄN</t>
        </is>
      </c>
      <c r="E9134" t="inlineStr">
        <is>
          <t>ÅNGE</t>
        </is>
      </c>
      <c r="G9134" t="n">
        <v>4.3</v>
      </c>
      <c r="H9134" t="n">
        <v>0</v>
      </c>
      <c r="I9134" t="n">
        <v>0</v>
      </c>
      <c r="J9134" t="n">
        <v>0</v>
      </c>
      <c r="K9134" t="n">
        <v>0</v>
      </c>
      <c r="L9134" t="n">
        <v>0</v>
      </c>
      <c r="M9134" t="n">
        <v>0</v>
      </c>
      <c r="N9134" t="n">
        <v>0</v>
      </c>
      <c r="O9134" t="n">
        <v>0</v>
      </c>
      <c r="P9134" t="n">
        <v>0</v>
      </c>
      <c r="Q9134" t="n">
        <v>0</v>
      </c>
      <c r="R9134" s="2" t="inlineStr"/>
    </row>
    <row r="9135" ht="15" customHeight="1">
      <c r="A9135" t="inlineStr">
        <is>
          <t>A 62363-2023</t>
        </is>
      </c>
      <c r="B9135" s="1" t="n">
        <v>45267</v>
      </c>
      <c r="C9135" s="1" t="n">
        <v>46185</v>
      </c>
      <c r="D9135" t="inlineStr">
        <is>
          <t>VÄSTERNORRLANDS LÄN</t>
        </is>
      </c>
      <c r="E9135" t="inlineStr">
        <is>
          <t>SOLLEFTEÅ</t>
        </is>
      </c>
      <c r="F9135" t="inlineStr">
        <is>
          <t>SCA</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14673-2025</t>
        </is>
      </c>
      <c r="B9136" s="1" t="n">
        <v>45742.55309027778</v>
      </c>
      <c r="C9136" s="1" t="n">
        <v>46185</v>
      </c>
      <c r="D9136" t="inlineStr">
        <is>
          <t>VÄSTERNORRLANDS LÄN</t>
        </is>
      </c>
      <c r="E9136" t="inlineStr">
        <is>
          <t>ÅNGE</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52034-2022</t>
        </is>
      </c>
      <c r="B9137" s="1" t="n">
        <v>44872</v>
      </c>
      <c r="C9137" s="1" t="n">
        <v>46185</v>
      </c>
      <c r="D9137" t="inlineStr">
        <is>
          <t>VÄSTERNORRLANDS LÄN</t>
        </is>
      </c>
      <c r="E9137" t="inlineStr">
        <is>
          <t>SOLLEFTEÅ</t>
        </is>
      </c>
      <c r="F9137" t="inlineStr">
        <is>
          <t>SCA</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29591-2025</t>
        </is>
      </c>
      <c r="B9138" s="1" t="n">
        <v>45825.40010416666</v>
      </c>
      <c r="C9138" s="1" t="n">
        <v>46185</v>
      </c>
      <c r="D9138" t="inlineStr">
        <is>
          <t>VÄSTERNORRLANDS LÄN</t>
        </is>
      </c>
      <c r="E9138" t="inlineStr">
        <is>
          <t>KRAMFORS</t>
        </is>
      </c>
      <c r="G9138" t="n">
        <v>5.4</v>
      </c>
      <c r="H9138" t="n">
        <v>0</v>
      </c>
      <c r="I9138" t="n">
        <v>0</v>
      </c>
      <c r="J9138" t="n">
        <v>0</v>
      </c>
      <c r="K9138" t="n">
        <v>0</v>
      </c>
      <c r="L9138" t="n">
        <v>0</v>
      </c>
      <c r="M9138" t="n">
        <v>0</v>
      </c>
      <c r="N9138" t="n">
        <v>0</v>
      </c>
      <c r="O9138" t="n">
        <v>0</v>
      </c>
      <c r="P9138" t="n">
        <v>0</v>
      </c>
      <c r="Q9138" t="n">
        <v>0</v>
      </c>
      <c r="R9138" s="2" t="inlineStr"/>
    </row>
    <row r="9139" ht="15" customHeight="1">
      <c r="A9139" t="inlineStr">
        <is>
          <t>A 26164-2026</t>
        </is>
      </c>
      <c r="B9139" s="1" t="n">
        <v>46181.85819444444</v>
      </c>
      <c r="C9139" s="1" t="n">
        <v>46185</v>
      </c>
      <c r="D9139" t="inlineStr">
        <is>
          <t>VÄSTERNORRLANDS LÄN</t>
        </is>
      </c>
      <c r="E9139" t="inlineStr">
        <is>
          <t>SUNDSVALL</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28814-2025</t>
        </is>
      </c>
      <c r="B9140" s="1" t="n">
        <v>45820.52846064815</v>
      </c>
      <c r="C9140" s="1" t="n">
        <v>46185</v>
      </c>
      <c r="D9140" t="inlineStr">
        <is>
          <t>VÄSTERNORRLANDS LÄN</t>
        </is>
      </c>
      <c r="E9140" t="inlineStr">
        <is>
          <t>ÅNGE</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63138-2023</t>
        </is>
      </c>
      <c r="B9141" s="1" t="n">
        <v>45272</v>
      </c>
      <c r="C9141" s="1" t="n">
        <v>46185</v>
      </c>
      <c r="D9141" t="inlineStr">
        <is>
          <t>VÄSTERNORRLANDS LÄN</t>
        </is>
      </c>
      <c r="E9141" t="inlineStr">
        <is>
          <t>SOLLEFTEÅ</t>
        </is>
      </c>
      <c r="G9141" t="n">
        <v>6.2</v>
      </c>
      <c r="H9141" t="n">
        <v>0</v>
      </c>
      <c r="I9141" t="n">
        <v>0</v>
      </c>
      <c r="J9141" t="n">
        <v>0</v>
      </c>
      <c r="K9141" t="n">
        <v>0</v>
      </c>
      <c r="L9141" t="n">
        <v>0</v>
      </c>
      <c r="M9141" t="n">
        <v>0</v>
      </c>
      <c r="N9141" t="n">
        <v>0</v>
      </c>
      <c r="O9141" t="n">
        <v>0</v>
      </c>
      <c r="P9141" t="n">
        <v>0</v>
      </c>
      <c r="Q9141" t="n">
        <v>0</v>
      </c>
      <c r="R9141" s="2" t="inlineStr"/>
    </row>
    <row r="9142" ht="15" customHeight="1">
      <c r="A9142" t="inlineStr">
        <is>
          <t>A 8637-2026</t>
        </is>
      </c>
      <c r="B9142" s="1" t="n">
        <v>46066.35460648148</v>
      </c>
      <c r="C9142" s="1" t="n">
        <v>46185</v>
      </c>
      <c r="D9142" t="inlineStr">
        <is>
          <t>VÄSTERNORRLANDS LÄN</t>
        </is>
      </c>
      <c r="E9142" t="inlineStr">
        <is>
          <t>TIMRÅ</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7692-2024</t>
        </is>
      </c>
      <c r="B9143" s="1" t="n">
        <v>45349</v>
      </c>
      <c r="C9143" s="1" t="n">
        <v>46185</v>
      </c>
      <c r="D9143" t="inlineStr">
        <is>
          <t>VÄSTERNORRLANDS LÄN</t>
        </is>
      </c>
      <c r="E9143" t="inlineStr">
        <is>
          <t>ÅNGE</t>
        </is>
      </c>
      <c r="F9143" t="inlineStr">
        <is>
          <t>SCA</t>
        </is>
      </c>
      <c r="G9143" t="n">
        <v>8.300000000000001</v>
      </c>
      <c r="H9143" t="n">
        <v>0</v>
      </c>
      <c r="I9143" t="n">
        <v>0</v>
      </c>
      <c r="J9143" t="n">
        <v>0</v>
      </c>
      <c r="K9143" t="n">
        <v>0</v>
      </c>
      <c r="L9143" t="n">
        <v>0</v>
      </c>
      <c r="M9143" t="n">
        <v>0</v>
      </c>
      <c r="N9143" t="n">
        <v>0</v>
      </c>
      <c r="O9143" t="n">
        <v>0</v>
      </c>
      <c r="P9143" t="n">
        <v>0</v>
      </c>
      <c r="Q9143" t="n">
        <v>0</v>
      </c>
      <c r="R9143" s="2" t="inlineStr"/>
    </row>
    <row r="9144" ht="15" customHeight="1">
      <c r="A9144" t="inlineStr">
        <is>
          <t>A 34513-2022</t>
        </is>
      </c>
      <c r="B9144" s="1" t="n">
        <v>44792</v>
      </c>
      <c r="C9144" s="1" t="n">
        <v>46185</v>
      </c>
      <c r="D9144" t="inlineStr">
        <is>
          <t>VÄSTERNORRLANDS LÄN</t>
        </is>
      </c>
      <c r="E9144" t="inlineStr">
        <is>
          <t>HÄRNÖSAND</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34546-2022</t>
        </is>
      </c>
      <c r="B9145" s="1" t="n">
        <v>44793.93449074074</v>
      </c>
      <c r="C9145" s="1" t="n">
        <v>46185</v>
      </c>
      <c r="D9145" t="inlineStr">
        <is>
          <t>VÄSTERNORRLANDS LÄN</t>
        </is>
      </c>
      <c r="E9145" t="inlineStr">
        <is>
          <t>ÖRNSKÖLDSVIK</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13785-2025</t>
        </is>
      </c>
      <c r="B9146" s="1" t="n">
        <v>45737.45123842593</v>
      </c>
      <c r="C9146" s="1" t="n">
        <v>46185</v>
      </c>
      <c r="D9146" t="inlineStr">
        <is>
          <t>VÄSTERNORRLANDS LÄN</t>
        </is>
      </c>
      <c r="E9146" t="inlineStr">
        <is>
          <t>ÖRNSKÖLDSVIK</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64642-2021</t>
        </is>
      </c>
      <c r="B9147" s="1" t="n">
        <v>44511</v>
      </c>
      <c r="C9147" s="1" t="n">
        <v>46185</v>
      </c>
      <c r="D9147" t="inlineStr">
        <is>
          <t>VÄSTERNORRLANDS LÄN</t>
        </is>
      </c>
      <c r="E9147" t="inlineStr">
        <is>
          <t>SUNDSVALL</t>
        </is>
      </c>
      <c r="F9147" t="inlineStr">
        <is>
          <t>SCA</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59765-2025</t>
        </is>
      </c>
      <c r="B9148" s="1" t="n">
        <v>45992.59473379629</v>
      </c>
      <c r="C9148" s="1" t="n">
        <v>46185</v>
      </c>
      <c r="D9148" t="inlineStr">
        <is>
          <t>VÄSTERNORRLANDS LÄN</t>
        </is>
      </c>
      <c r="E9148" t="inlineStr">
        <is>
          <t>SOLLEFTEÅ</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60597-2025</t>
        </is>
      </c>
      <c r="B9149" s="1" t="n">
        <v>45996</v>
      </c>
      <c r="C9149" s="1" t="n">
        <v>46185</v>
      </c>
      <c r="D9149" t="inlineStr">
        <is>
          <t>VÄSTERNORRLANDS LÄN</t>
        </is>
      </c>
      <c r="E9149" t="inlineStr">
        <is>
          <t>SOLLEFTEÅ</t>
        </is>
      </c>
      <c r="G9149" t="n">
        <v>4</v>
      </c>
      <c r="H9149" t="n">
        <v>0</v>
      </c>
      <c r="I9149" t="n">
        <v>0</v>
      </c>
      <c r="J9149" t="n">
        <v>0</v>
      </c>
      <c r="K9149" t="n">
        <v>0</v>
      </c>
      <c r="L9149" t="n">
        <v>0</v>
      </c>
      <c r="M9149" t="n">
        <v>0</v>
      </c>
      <c r="N9149" t="n">
        <v>0</v>
      </c>
      <c r="O9149" t="n">
        <v>0</v>
      </c>
      <c r="P9149" t="n">
        <v>0</v>
      </c>
      <c r="Q9149" t="n">
        <v>0</v>
      </c>
      <c r="R9149" s="2" t="inlineStr"/>
    </row>
    <row r="9150" ht="15" customHeight="1">
      <c r="A9150" t="inlineStr">
        <is>
          <t>A 49829-2024</t>
        </is>
      </c>
      <c r="B9150" s="1" t="n">
        <v>45597</v>
      </c>
      <c r="C9150" s="1" t="n">
        <v>46185</v>
      </c>
      <c r="D9150" t="inlineStr">
        <is>
          <t>VÄSTERNORRLANDS LÄN</t>
        </is>
      </c>
      <c r="E9150" t="inlineStr">
        <is>
          <t>SOLLEFTEÅ</t>
        </is>
      </c>
      <c r="F9150" t="inlineStr">
        <is>
          <t>SCA</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29673-2024</t>
        </is>
      </c>
      <c r="B9151" s="1" t="n">
        <v>45484.94210648148</v>
      </c>
      <c r="C9151" s="1" t="n">
        <v>46185</v>
      </c>
      <c r="D9151" t="inlineStr">
        <is>
          <t>VÄSTERNORRLANDS LÄN</t>
        </is>
      </c>
      <c r="E9151" t="inlineStr">
        <is>
          <t>ÅNGE</t>
        </is>
      </c>
      <c r="F9151" t="inlineStr">
        <is>
          <t>SCA</t>
        </is>
      </c>
      <c r="G9151" t="n">
        <v>4.9</v>
      </c>
      <c r="H9151" t="n">
        <v>0</v>
      </c>
      <c r="I9151" t="n">
        <v>0</v>
      </c>
      <c r="J9151" t="n">
        <v>0</v>
      </c>
      <c r="K9151" t="n">
        <v>0</v>
      </c>
      <c r="L9151" t="n">
        <v>0</v>
      </c>
      <c r="M9151" t="n">
        <v>0</v>
      </c>
      <c r="N9151" t="n">
        <v>0</v>
      </c>
      <c r="O9151" t="n">
        <v>0</v>
      </c>
      <c r="P9151" t="n">
        <v>0</v>
      </c>
      <c r="Q9151" t="n">
        <v>0</v>
      </c>
      <c r="R9151" s="2" t="inlineStr"/>
    </row>
    <row r="9152" ht="15" customHeight="1">
      <c r="A9152" t="inlineStr">
        <is>
          <t>A 266-2026</t>
        </is>
      </c>
      <c r="B9152" s="1" t="n">
        <v>46027.45084490741</v>
      </c>
      <c r="C9152" s="1" t="n">
        <v>46185</v>
      </c>
      <c r="D9152" t="inlineStr">
        <is>
          <t>VÄSTERNORRLANDS LÄN</t>
        </is>
      </c>
      <c r="E9152" t="inlineStr">
        <is>
          <t>SUNDSVALL</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5602-2025</t>
        </is>
      </c>
      <c r="B9153" s="1" t="n">
        <v>45693</v>
      </c>
      <c r="C9153" s="1" t="n">
        <v>46185</v>
      </c>
      <c r="D9153" t="inlineStr">
        <is>
          <t>VÄSTERNORRLANDS LÄN</t>
        </is>
      </c>
      <c r="E9153" t="inlineStr">
        <is>
          <t>ÅNGE</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30612-2024</t>
        </is>
      </c>
      <c r="B9154" s="1" t="n">
        <v>45495</v>
      </c>
      <c r="C9154" s="1" t="n">
        <v>46185</v>
      </c>
      <c r="D9154" t="inlineStr">
        <is>
          <t>VÄSTERNORRLANDS LÄN</t>
        </is>
      </c>
      <c r="E9154" t="inlineStr">
        <is>
          <t>TIMRÅ</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7404-2024</t>
        </is>
      </c>
      <c r="B9155" s="1" t="n">
        <v>45345</v>
      </c>
      <c r="C9155" s="1" t="n">
        <v>46185</v>
      </c>
      <c r="D9155" t="inlineStr">
        <is>
          <t>VÄSTERNORRLANDS LÄN</t>
        </is>
      </c>
      <c r="E9155" t="inlineStr">
        <is>
          <t>SUNDSVALL</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7412-2024</t>
        </is>
      </c>
      <c r="B9156" s="1" t="n">
        <v>45345</v>
      </c>
      <c r="C9156" s="1" t="n">
        <v>46185</v>
      </c>
      <c r="D9156" t="inlineStr">
        <is>
          <t>VÄSTERNORRLANDS LÄN</t>
        </is>
      </c>
      <c r="E9156" t="inlineStr">
        <is>
          <t>SUNDSVALL</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26191-2026</t>
        </is>
      </c>
      <c r="B9157" s="1" t="n">
        <v>46182.3659375</v>
      </c>
      <c r="C9157" s="1" t="n">
        <v>46185</v>
      </c>
      <c r="D9157" t="inlineStr">
        <is>
          <t>VÄSTERNORRLANDS LÄN</t>
        </is>
      </c>
      <c r="E9157" t="inlineStr">
        <is>
          <t>SUNDSVALL</t>
        </is>
      </c>
      <c r="G9157" t="n">
        <v>6.4</v>
      </c>
      <c r="H9157" t="n">
        <v>0</v>
      </c>
      <c r="I9157" t="n">
        <v>0</v>
      </c>
      <c r="J9157" t="n">
        <v>0</v>
      </c>
      <c r="K9157" t="n">
        <v>0</v>
      </c>
      <c r="L9157" t="n">
        <v>0</v>
      </c>
      <c r="M9157" t="n">
        <v>0</v>
      </c>
      <c r="N9157" t="n">
        <v>0</v>
      </c>
      <c r="O9157" t="n">
        <v>0</v>
      </c>
      <c r="P9157" t="n">
        <v>0</v>
      </c>
      <c r="Q9157" t="n">
        <v>0</v>
      </c>
      <c r="R9157" s="2" t="inlineStr"/>
    </row>
    <row r="9158" ht="15" customHeight="1">
      <c r="A9158" t="inlineStr">
        <is>
          <t>A 12675-2025</t>
        </is>
      </c>
      <c r="B9158" s="1" t="n">
        <v>45733.4356712963</v>
      </c>
      <c r="C9158" s="1" t="n">
        <v>46185</v>
      </c>
      <c r="D9158" t="inlineStr">
        <is>
          <t>VÄSTERNORRLANDS LÄN</t>
        </is>
      </c>
      <c r="E9158" t="inlineStr">
        <is>
          <t>HÄRNÖSAND</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12706-2025</t>
        </is>
      </c>
      <c r="B9159" s="1" t="n">
        <v>45733.46958333333</v>
      </c>
      <c r="C9159" s="1" t="n">
        <v>46185</v>
      </c>
      <c r="D9159" t="inlineStr">
        <is>
          <t>VÄSTERNORRLANDS LÄN</t>
        </is>
      </c>
      <c r="E9159" t="inlineStr">
        <is>
          <t>SOLLEFTEÅ</t>
        </is>
      </c>
      <c r="F9159" t="inlineStr">
        <is>
          <t>SCA</t>
        </is>
      </c>
      <c r="G9159" t="n">
        <v>21.7</v>
      </c>
      <c r="H9159" t="n">
        <v>0</v>
      </c>
      <c r="I9159" t="n">
        <v>0</v>
      </c>
      <c r="J9159" t="n">
        <v>0</v>
      </c>
      <c r="K9159" t="n">
        <v>0</v>
      </c>
      <c r="L9159" t="n">
        <v>0</v>
      </c>
      <c r="M9159" t="n">
        <v>0</v>
      </c>
      <c r="N9159" t="n">
        <v>0</v>
      </c>
      <c r="O9159" t="n">
        <v>0</v>
      </c>
      <c r="P9159" t="n">
        <v>0</v>
      </c>
      <c r="Q9159" t="n">
        <v>0</v>
      </c>
      <c r="R9159" s="2" t="inlineStr"/>
    </row>
    <row r="9160" ht="15" customHeight="1">
      <c r="A9160" t="inlineStr">
        <is>
          <t>A 30710-2024</t>
        </is>
      </c>
      <c r="B9160" s="1" t="n">
        <v>45496</v>
      </c>
      <c r="C9160" s="1" t="n">
        <v>46185</v>
      </c>
      <c r="D9160" t="inlineStr">
        <is>
          <t>VÄSTERNORRLANDS LÄN</t>
        </is>
      </c>
      <c r="E9160" t="inlineStr">
        <is>
          <t>HÄRNÖSAND</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26267-2026</t>
        </is>
      </c>
      <c r="B9161" s="1" t="n">
        <v>46182.53173611111</v>
      </c>
      <c r="C9161" s="1" t="n">
        <v>46185</v>
      </c>
      <c r="D9161" t="inlineStr">
        <is>
          <t>VÄSTERNORRLANDS LÄN</t>
        </is>
      </c>
      <c r="E9161" t="inlineStr">
        <is>
          <t>ÅNGE</t>
        </is>
      </c>
      <c r="F9161" t="inlineStr">
        <is>
          <t>SCA</t>
        </is>
      </c>
      <c r="G9161" t="n">
        <v>17.4</v>
      </c>
      <c r="H9161" t="n">
        <v>0</v>
      </c>
      <c r="I9161" t="n">
        <v>0</v>
      </c>
      <c r="J9161" t="n">
        <v>0</v>
      </c>
      <c r="K9161" t="n">
        <v>0</v>
      </c>
      <c r="L9161" t="n">
        <v>0</v>
      </c>
      <c r="M9161" t="n">
        <v>0</v>
      </c>
      <c r="N9161" t="n">
        <v>0</v>
      </c>
      <c r="O9161" t="n">
        <v>0</v>
      </c>
      <c r="P9161" t="n">
        <v>0</v>
      </c>
      <c r="Q9161" t="n">
        <v>0</v>
      </c>
      <c r="R9161" s="2" t="inlineStr"/>
    </row>
    <row r="9162" ht="15" customHeight="1">
      <c r="A9162" t="inlineStr">
        <is>
          <t>A 26268-2026</t>
        </is>
      </c>
      <c r="B9162" s="1" t="n">
        <v>46182.531875</v>
      </c>
      <c r="C9162" s="1" t="n">
        <v>46185</v>
      </c>
      <c r="D9162" t="inlineStr">
        <is>
          <t>VÄSTERNORRLANDS LÄN</t>
        </is>
      </c>
      <c r="E9162" t="inlineStr">
        <is>
          <t>ÅNGE</t>
        </is>
      </c>
      <c r="G9162" t="n">
        <v>6</v>
      </c>
      <c r="H9162" t="n">
        <v>0</v>
      </c>
      <c r="I9162" t="n">
        <v>0</v>
      </c>
      <c r="J9162" t="n">
        <v>0</v>
      </c>
      <c r="K9162" t="n">
        <v>0</v>
      </c>
      <c r="L9162" t="n">
        <v>0</v>
      </c>
      <c r="M9162" t="n">
        <v>0</v>
      </c>
      <c r="N9162" t="n">
        <v>0</v>
      </c>
      <c r="O9162" t="n">
        <v>0</v>
      </c>
      <c r="P9162" t="n">
        <v>0</v>
      </c>
      <c r="Q9162" t="n">
        <v>0</v>
      </c>
      <c r="R9162" s="2" t="inlineStr"/>
      <c r="U9162">
        <f>HYPERLINK("https://klasma.github.io/Logging_2260/knärot/A 26268-2026 karta knärot.png", "A 26268-2026")</f>
        <v/>
      </c>
      <c r="V9162">
        <f>HYPERLINK("https://klasma.github.io/Logging_2260/klagomål/A 26268-2026 FSC-klagomål.docx", "A 26268-2026")</f>
        <v/>
      </c>
      <c r="W9162">
        <f>HYPERLINK("https://klasma.github.io/Logging_2260/klagomålsmail/A 26268-2026 FSC-klagomål mail.docx", "A 26268-2026")</f>
        <v/>
      </c>
      <c r="X9162">
        <f>HYPERLINK("https://klasma.github.io/Logging_2260/tillsyn/A 26268-2026 tillsynsbegäran.docx", "A 26268-2026")</f>
        <v/>
      </c>
      <c r="Y9162">
        <f>HYPERLINK("https://klasma.github.io/Logging_2260/tillsynsmail/A 26268-2026 tillsynsbegäran mail.docx", "A 26268-2026")</f>
        <v/>
      </c>
    </row>
    <row r="9163" ht="15" customHeight="1">
      <c r="A9163" t="inlineStr">
        <is>
          <t>A 30751-2024</t>
        </is>
      </c>
      <c r="B9163" s="1" t="n">
        <v>45496.69339120371</v>
      </c>
      <c r="C9163" s="1" t="n">
        <v>46185</v>
      </c>
      <c r="D9163" t="inlineStr">
        <is>
          <t>VÄSTERNORRLANDS LÄN</t>
        </is>
      </c>
      <c r="E9163" t="inlineStr">
        <is>
          <t>ÅNGE</t>
        </is>
      </c>
      <c r="G9163" t="n">
        <v>0.3</v>
      </c>
      <c r="H9163" t="n">
        <v>0</v>
      </c>
      <c r="I9163" t="n">
        <v>0</v>
      </c>
      <c r="J9163" t="n">
        <v>0</v>
      </c>
      <c r="K9163" t="n">
        <v>0</v>
      </c>
      <c r="L9163" t="n">
        <v>0</v>
      </c>
      <c r="M9163" t="n">
        <v>0</v>
      </c>
      <c r="N9163" t="n">
        <v>0</v>
      </c>
      <c r="O9163" t="n">
        <v>0</v>
      </c>
      <c r="P9163" t="n">
        <v>0</v>
      </c>
      <c r="Q9163" t="n">
        <v>0</v>
      </c>
      <c r="R9163" s="2" t="inlineStr"/>
    </row>
    <row r="9164" ht="15" customHeight="1">
      <c r="A9164" t="inlineStr">
        <is>
          <t>A 36368-2024</t>
        </is>
      </c>
      <c r="B9164" s="1" t="n">
        <v>45534.6622337963</v>
      </c>
      <c r="C9164" s="1" t="n">
        <v>46185</v>
      </c>
      <c r="D9164" t="inlineStr">
        <is>
          <t>VÄSTERNORRLANDS LÄN</t>
        </is>
      </c>
      <c r="E9164" t="inlineStr">
        <is>
          <t>ÖRNSKÖLDSVIK</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41187-2023</t>
        </is>
      </c>
      <c r="B9165" s="1" t="n">
        <v>45174</v>
      </c>
      <c r="C9165" s="1" t="n">
        <v>46185</v>
      </c>
      <c r="D9165" t="inlineStr">
        <is>
          <t>VÄSTERNORRLANDS LÄN</t>
        </is>
      </c>
      <c r="E9165" t="inlineStr">
        <is>
          <t>ÖRNSKÖLDSVIK</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35395-2023</t>
        </is>
      </c>
      <c r="B9166" s="1" t="n">
        <v>45146.58788194445</v>
      </c>
      <c r="C9166" s="1" t="n">
        <v>46185</v>
      </c>
      <c r="D9166" t="inlineStr">
        <is>
          <t>VÄSTERNORRLANDS LÄN</t>
        </is>
      </c>
      <c r="E9166" t="inlineStr">
        <is>
          <t>ÖRNSKÖLDSVIK</t>
        </is>
      </c>
      <c r="F9166" t="inlineStr">
        <is>
          <t>Holmen skog AB</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26183-2026</t>
        </is>
      </c>
      <c r="B9167" s="1" t="n">
        <v>46182.34524305556</v>
      </c>
      <c r="C9167" s="1" t="n">
        <v>46185</v>
      </c>
      <c r="D9167" t="inlineStr">
        <is>
          <t>VÄSTERNORRLANDS LÄN</t>
        </is>
      </c>
      <c r="E9167" t="inlineStr">
        <is>
          <t>SOLLEFTEÅ</t>
        </is>
      </c>
      <c r="F9167" t="inlineStr">
        <is>
          <t>SCA</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60566-2023</t>
        </is>
      </c>
      <c r="B9168" s="1" t="n">
        <v>45259</v>
      </c>
      <c r="C9168" s="1" t="n">
        <v>46185</v>
      </c>
      <c r="D9168" t="inlineStr">
        <is>
          <t>VÄSTERNORRLANDS LÄN</t>
        </is>
      </c>
      <c r="E9168" t="inlineStr">
        <is>
          <t>KRAMFORS</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61490-2023</t>
        </is>
      </c>
      <c r="B9169" s="1" t="n">
        <v>45264</v>
      </c>
      <c r="C9169" s="1" t="n">
        <v>46185</v>
      </c>
      <c r="D9169" t="inlineStr">
        <is>
          <t>VÄSTERNORRLANDS LÄN</t>
        </is>
      </c>
      <c r="E9169" t="inlineStr">
        <is>
          <t>SUNDSVALL</t>
        </is>
      </c>
      <c r="F9169" t="inlineStr">
        <is>
          <t>SCA</t>
        </is>
      </c>
      <c r="G9169" t="n">
        <v>9.699999999999999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26218-2026</t>
        </is>
      </c>
      <c r="B9170" s="1" t="n">
        <v>46182.44846064815</v>
      </c>
      <c r="C9170" s="1" t="n">
        <v>46185</v>
      </c>
      <c r="D9170" t="inlineStr">
        <is>
          <t>VÄSTERNORRLANDS LÄN</t>
        </is>
      </c>
      <c r="E9170" t="inlineStr">
        <is>
          <t>ÅNGE</t>
        </is>
      </c>
      <c r="F9170" t="inlineStr">
        <is>
          <t>SCA</t>
        </is>
      </c>
      <c r="G9170" t="n">
        <v>22.2</v>
      </c>
      <c r="H9170" t="n">
        <v>0</v>
      </c>
      <c r="I9170" t="n">
        <v>0</v>
      </c>
      <c r="J9170" t="n">
        <v>0</v>
      </c>
      <c r="K9170" t="n">
        <v>0</v>
      </c>
      <c r="L9170" t="n">
        <v>0</v>
      </c>
      <c r="M9170" t="n">
        <v>0</v>
      </c>
      <c r="N9170" t="n">
        <v>0</v>
      </c>
      <c r="O9170" t="n">
        <v>0</v>
      </c>
      <c r="P9170" t="n">
        <v>0</v>
      </c>
      <c r="Q9170" t="n">
        <v>0</v>
      </c>
      <c r="R9170" s="2" t="inlineStr"/>
    </row>
    <row r="9171" ht="15" customHeight="1">
      <c r="A9171" t="inlineStr">
        <is>
          <t>A 56584-2023</t>
        </is>
      </c>
      <c r="B9171" s="1" t="n">
        <v>45238</v>
      </c>
      <c r="C9171" s="1" t="n">
        <v>46185</v>
      </c>
      <c r="D9171" t="inlineStr">
        <is>
          <t>VÄSTERNORRLANDS LÄN</t>
        </is>
      </c>
      <c r="E9171" t="inlineStr">
        <is>
          <t>ÖRNSKÖLDSVIK</t>
        </is>
      </c>
      <c r="F9171" t="inlineStr">
        <is>
          <t>Kyrkan</t>
        </is>
      </c>
      <c r="G9171" t="n">
        <v>7.8</v>
      </c>
      <c r="H9171" t="n">
        <v>0</v>
      </c>
      <c r="I9171" t="n">
        <v>0</v>
      </c>
      <c r="J9171" t="n">
        <v>0</v>
      </c>
      <c r="K9171" t="n">
        <v>0</v>
      </c>
      <c r="L9171" t="n">
        <v>0</v>
      </c>
      <c r="M9171" t="n">
        <v>0</v>
      </c>
      <c r="N9171" t="n">
        <v>0</v>
      </c>
      <c r="O9171" t="n">
        <v>0</v>
      </c>
      <c r="P9171" t="n">
        <v>0</v>
      </c>
      <c r="Q9171" t="n">
        <v>0</v>
      </c>
      <c r="R9171" s="2" t="inlineStr"/>
    </row>
    <row r="9172" ht="15" customHeight="1">
      <c r="A9172" t="inlineStr">
        <is>
          <t>A 8411-2024</t>
        </is>
      </c>
      <c r="B9172" s="1" t="n">
        <v>45352</v>
      </c>
      <c r="C9172" s="1" t="n">
        <v>46185</v>
      </c>
      <c r="D9172" t="inlineStr">
        <is>
          <t>VÄSTERNORRLANDS LÄN</t>
        </is>
      </c>
      <c r="E9172" t="inlineStr">
        <is>
          <t>HÄRNÖSAND</t>
        </is>
      </c>
      <c r="F9172" t="inlineStr">
        <is>
          <t>SCA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31721-2024</t>
        </is>
      </c>
      <c r="B9173" s="1" t="n">
        <v>45509</v>
      </c>
      <c r="C9173" s="1" t="n">
        <v>46185</v>
      </c>
      <c r="D9173" t="inlineStr">
        <is>
          <t>VÄSTERNORRLANDS LÄN</t>
        </is>
      </c>
      <c r="E9173" t="inlineStr">
        <is>
          <t>ÖRNSKÖLDSVIK</t>
        </is>
      </c>
      <c r="F9173" t="inlineStr">
        <is>
          <t>Holmen skog AB</t>
        </is>
      </c>
      <c r="G9173" t="n">
        <v>5.9</v>
      </c>
      <c r="H9173" t="n">
        <v>0</v>
      </c>
      <c r="I9173" t="n">
        <v>0</v>
      </c>
      <c r="J9173" t="n">
        <v>0</v>
      </c>
      <c r="K9173" t="n">
        <v>0</v>
      </c>
      <c r="L9173" t="n">
        <v>0</v>
      </c>
      <c r="M9173" t="n">
        <v>0</v>
      </c>
      <c r="N9173" t="n">
        <v>0</v>
      </c>
      <c r="O9173" t="n">
        <v>0</v>
      </c>
      <c r="P9173" t="n">
        <v>0</v>
      </c>
      <c r="Q9173" t="n">
        <v>0</v>
      </c>
      <c r="R9173" s="2" t="inlineStr"/>
    </row>
    <row r="9174" ht="15" customHeight="1">
      <c r="A9174" t="inlineStr">
        <is>
          <t>A 20424-2026</t>
        </is>
      </c>
      <c r="B9174" s="1" t="n">
        <v>46140.36515046296</v>
      </c>
      <c r="C9174" s="1" t="n">
        <v>46185</v>
      </c>
      <c r="D9174" t="inlineStr">
        <is>
          <t>VÄSTERNORRLANDS LÄN</t>
        </is>
      </c>
      <c r="E9174" t="inlineStr">
        <is>
          <t>SOLLEFTEÅ</t>
        </is>
      </c>
      <c r="F9174" t="inlineStr">
        <is>
          <t>SCA</t>
        </is>
      </c>
      <c r="G9174" t="n">
        <v>4.3</v>
      </c>
      <c r="H9174" t="n">
        <v>0</v>
      </c>
      <c r="I9174" t="n">
        <v>0</v>
      </c>
      <c r="J9174" t="n">
        <v>0</v>
      </c>
      <c r="K9174" t="n">
        <v>0</v>
      </c>
      <c r="L9174" t="n">
        <v>0</v>
      </c>
      <c r="M9174" t="n">
        <v>0</v>
      </c>
      <c r="N9174" t="n">
        <v>0</v>
      </c>
      <c r="O9174" t="n">
        <v>0</v>
      </c>
      <c r="P9174" t="n">
        <v>0</v>
      </c>
      <c r="Q9174" t="n">
        <v>0</v>
      </c>
      <c r="R9174" s="2" t="inlineStr"/>
    </row>
    <row r="9175" ht="15" customHeight="1">
      <c r="A9175" t="inlineStr">
        <is>
          <t>A 38099-2024</t>
        </is>
      </c>
      <c r="B9175" s="1" t="n">
        <v>45545.35920138889</v>
      </c>
      <c r="C9175" s="1" t="n">
        <v>46185</v>
      </c>
      <c r="D9175" t="inlineStr">
        <is>
          <t>VÄSTERNORRLANDS LÄN</t>
        </is>
      </c>
      <c r="E9175" t="inlineStr">
        <is>
          <t>ÅNGE</t>
        </is>
      </c>
      <c r="F9175" t="inlineStr">
        <is>
          <t>Holmen skog AB</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48046-2022</t>
        </is>
      </c>
      <c r="B9176" s="1" t="n">
        <v>44855.92417824074</v>
      </c>
      <c r="C9176" s="1" t="n">
        <v>46185</v>
      </c>
      <c r="D9176" t="inlineStr">
        <is>
          <t>VÄSTERNORRLANDS LÄN</t>
        </is>
      </c>
      <c r="E9176" t="inlineStr">
        <is>
          <t>KRAMFORS</t>
        </is>
      </c>
      <c r="G9176" t="n">
        <v>10</v>
      </c>
      <c r="H9176" t="n">
        <v>0</v>
      </c>
      <c r="I9176" t="n">
        <v>0</v>
      </c>
      <c r="J9176" t="n">
        <v>0</v>
      </c>
      <c r="K9176" t="n">
        <v>0</v>
      </c>
      <c r="L9176" t="n">
        <v>0</v>
      </c>
      <c r="M9176" t="n">
        <v>0</v>
      </c>
      <c r="N9176" t="n">
        <v>0</v>
      </c>
      <c r="O9176" t="n">
        <v>0</v>
      </c>
      <c r="P9176" t="n">
        <v>0</v>
      </c>
      <c r="Q9176" t="n">
        <v>0</v>
      </c>
      <c r="R9176" s="2" t="inlineStr"/>
    </row>
    <row r="9177" ht="15" customHeight="1">
      <c r="A9177" t="inlineStr">
        <is>
          <t>A 44636-2024</t>
        </is>
      </c>
      <c r="B9177" s="1" t="n">
        <v>45574.51491898148</v>
      </c>
      <c r="C9177" s="1" t="n">
        <v>46185</v>
      </c>
      <c r="D9177" t="inlineStr">
        <is>
          <t>VÄSTERNORRLANDS LÄN</t>
        </is>
      </c>
      <c r="E9177" t="inlineStr">
        <is>
          <t>ÅNGE</t>
        </is>
      </c>
      <c r="F9177" t="inlineStr">
        <is>
          <t>SCA</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37674-2024</t>
        </is>
      </c>
      <c r="B9178" s="1" t="n">
        <v>45541</v>
      </c>
      <c r="C9178" s="1" t="n">
        <v>46185</v>
      </c>
      <c r="D9178" t="inlineStr">
        <is>
          <t>VÄSTERNORRLANDS LÄN</t>
        </is>
      </c>
      <c r="E9178" t="inlineStr">
        <is>
          <t>KRAMFORS</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37676-2024</t>
        </is>
      </c>
      <c r="B9179" s="1" t="n">
        <v>45541</v>
      </c>
      <c r="C9179" s="1" t="n">
        <v>46185</v>
      </c>
      <c r="D9179" t="inlineStr">
        <is>
          <t>VÄSTERNORRLANDS LÄN</t>
        </is>
      </c>
      <c r="E9179" t="inlineStr">
        <is>
          <t>TIMRÅ</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45773-2024</t>
        </is>
      </c>
      <c r="B9180" s="1" t="n">
        <v>45579.65280092593</v>
      </c>
      <c r="C9180" s="1" t="n">
        <v>46185</v>
      </c>
      <c r="D9180" t="inlineStr">
        <is>
          <t>VÄSTERNORRLANDS LÄN</t>
        </is>
      </c>
      <c r="E9180" t="inlineStr">
        <is>
          <t>ÖRNSKÖLDSVIK</t>
        </is>
      </c>
      <c r="F9180" t="inlineStr">
        <is>
          <t>Holmen skog AB</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15617-2025</t>
        </is>
      </c>
      <c r="B9181" s="1" t="n">
        <v>45748.35231481482</v>
      </c>
      <c r="C9181" s="1" t="n">
        <v>46185</v>
      </c>
      <c r="D9181" t="inlineStr">
        <is>
          <t>VÄSTERNORRLANDS LÄN</t>
        </is>
      </c>
      <c r="E9181" t="inlineStr">
        <is>
          <t>SUNDSVALL</t>
        </is>
      </c>
      <c r="F9181" t="inlineStr">
        <is>
          <t>SCA</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20324-2026</t>
        </is>
      </c>
      <c r="B9182" s="1" t="n">
        <v>46136</v>
      </c>
      <c r="C9182" s="1" t="n">
        <v>46185</v>
      </c>
      <c r="D9182" t="inlineStr">
        <is>
          <t>VÄSTERNORRLANDS LÄN</t>
        </is>
      </c>
      <c r="E9182" t="inlineStr">
        <is>
          <t>SOLLEFTEÅ</t>
        </is>
      </c>
      <c r="F9182" t="inlineStr">
        <is>
          <t>Kommuner</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15621-2025</t>
        </is>
      </c>
      <c r="B9183" s="1" t="n">
        <v>45748.35635416667</v>
      </c>
      <c r="C9183" s="1" t="n">
        <v>46185</v>
      </c>
      <c r="D9183" t="inlineStr">
        <is>
          <t>VÄSTERNORRLANDS LÄN</t>
        </is>
      </c>
      <c r="E9183" t="inlineStr">
        <is>
          <t>SOLLEFTEÅ</t>
        </is>
      </c>
      <c r="F9183" t="inlineStr">
        <is>
          <t>SCA</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38985-2023</t>
        </is>
      </c>
      <c r="B9184" s="1" t="n">
        <v>45163</v>
      </c>
      <c r="C9184" s="1" t="n">
        <v>46185</v>
      </c>
      <c r="D9184" t="inlineStr">
        <is>
          <t>VÄSTERNORRLANDS LÄN</t>
        </is>
      </c>
      <c r="E9184" t="inlineStr">
        <is>
          <t>KRAMFORS</t>
        </is>
      </c>
      <c r="F9184" t="inlineStr">
        <is>
          <t>Kommuner</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60628-2021</t>
        </is>
      </c>
      <c r="B9185" s="1" t="n">
        <v>44495</v>
      </c>
      <c r="C9185" s="1" t="n">
        <v>46185</v>
      </c>
      <c r="D9185" t="inlineStr">
        <is>
          <t>VÄSTERNORRLANDS LÄN</t>
        </is>
      </c>
      <c r="E9185" t="inlineStr">
        <is>
          <t>ÖRNSKÖLDSVIK</t>
        </is>
      </c>
      <c r="G9185" t="n">
        <v>0.3</v>
      </c>
      <c r="H9185" t="n">
        <v>0</v>
      </c>
      <c r="I9185" t="n">
        <v>0</v>
      </c>
      <c r="J9185" t="n">
        <v>0</v>
      </c>
      <c r="K9185" t="n">
        <v>0</v>
      </c>
      <c r="L9185" t="n">
        <v>0</v>
      </c>
      <c r="M9185" t="n">
        <v>0</v>
      </c>
      <c r="N9185" t="n">
        <v>0</v>
      </c>
      <c r="O9185" t="n">
        <v>0</v>
      </c>
      <c r="P9185" t="n">
        <v>0</v>
      </c>
      <c r="Q9185" t="n">
        <v>0</v>
      </c>
      <c r="R9185" s="2" t="inlineStr"/>
    </row>
    <row r="9186" ht="15" customHeight="1">
      <c r="A9186" t="inlineStr">
        <is>
          <t>A 26976-2023</t>
        </is>
      </c>
      <c r="B9186" s="1" t="n">
        <v>45091</v>
      </c>
      <c r="C9186" s="1" t="n">
        <v>46185</v>
      </c>
      <c r="D9186" t="inlineStr">
        <is>
          <t>VÄSTERNORRLANDS LÄN</t>
        </is>
      </c>
      <c r="E9186" t="inlineStr">
        <is>
          <t>HÄRNÖSAND</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46988-2023</t>
        </is>
      </c>
      <c r="B9187" s="1" t="n">
        <v>45201.47769675926</v>
      </c>
      <c r="C9187" s="1" t="n">
        <v>46185</v>
      </c>
      <c r="D9187" t="inlineStr">
        <is>
          <t>VÄSTERNORRLANDS LÄN</t>
        </is>
      </c>
      <c r="E9187" t="inlineStr">
        <is>
          <t>ÖRNSKÖLDSVIK</t>
        </is>
      </c>
      <c r="F9187" t="inlineStr">
        <is>
          <t>Holmen skog AB</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22547-2023</t>
        </is>
      </c>
      <c r="B9188" s="1" t="n">
        <v>45069</v>
      </c>
      <c r="C9188" s="1" t="n">
        <v>46185</v>
      </c>
      <c r="D9188" t="inlineStr">
        <is>
          <t>VÄSTERNORRLANDS LÄN</t>
        </is>
      </c>
      <c r="E9188" t="inlineStr">
        <is>
          <t>ÖRNSKÖLDSVIK</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55152-2024</t>
        </is>
      </c>
      <c r="B9189" s="1" t="n">
        <v>45621.49590277778</v>
      </c>
      <c r="C9189" s="1" t="n">
        <v>46185</v>
      </c>
      <c r="D9189" t="inlineStr">
        <is>
          <t>VÄSTERNORRLANDS LÄN</t>
        </is>
      </c>
      <c r="E9189" t="inlineStr">
        <is>
          <t>SUNDSVALL</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20158-2026</t>
        </is>
      </c>
      <c r="B9190" s="1" t="n">
        <v>46138.5943287037</v>
      </c>
      <c r="C9190" s="1" t="n">
        <v>46185</v>
      </c>
      <c r="D9190" t="inlineStr">
        <is>
          <t>VÄSTERNORRLANDS LÄN</t>
        </is>
      </c>
      <c r="E9190" t="inlineStr">
        <is>
          <t>ÅNGE</t>
        </is>
      </c>
      <c r="F9190" t="inlineStr">
        <is>
          <t>SCA</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20172-2026</t>
        </is>
      </c>
      <c r="B9191" s="1" t="n">
        <v>46139.34449074074</v>
      </c>
      <c r="C9191" s="1" t="n">
        <v>46185</v>
      </c>
      <c r="D9191" t="inlineStr">
        <is>
          <t>VÄSTERNORRLANDS LÄN</t>
        </is>
      </c>
      <c r="E9191" t="inlineStr">
        <is>
          <t>ÅNGE</t>
        </is>
      </c>
      <c r="F9191" t="inlineStr">
        <is>
          <t>SCA</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14842-2025</t>
        </is>
      </c>
      <c r="B9192" s="1" t="n">
        <v>45743.38627314815</v>
      </c>
      <c r="C9192" s="1" t="n">
        <v>46185</v>
      </c>
      <c r="D9192" t="inlineStr">
        <is>
          <t>VÄSTERNORRLANDS LÄN</t>
        </is>
      </c>
      <c r="E9192" t="inlineStr">
        <is>
          <t>KRAMFORS</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31525-2022</t>
        </is>
      </c>
      <c r="B9193" s="1" t="n">
        <v>44775.25996527778</v>
      </c>
      <c r="C9193" s="1" t="n">
        <v>46185</v>
      </c>
      <c r="D9193" t="inlineStr">
        <is>
          <t>VÄSTERNORRLANDS LÄN</t>
        </is>
      </c>
      <c r="E9193" t="inlineStr">
        <is>
          <t>SUNDSVALL</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20338-2026</t>
        </is>
      </c>
      <c r="B9194" s="1" t="n">
        <v>46139.62092592593</v>
      </c>
      <c r="C9194" s="1" t="n">
        <v>46185</v>
      </c>
      <c r="D9194" t="inlineStr">
        <is>
          <t>VÄSTERNORRLANDS LÄN</t>
        </is>
      </c>
      <c r="E9194" t="inlineStr">
        <is>
          <t>SOLLEFTEÅ</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39796-2023</t>
        </is>
      </c>
      <c r="B9195" s="1" t="n">
        <v>45167</v>
      </c>
      <c r="C9195" s="1" t="n">
        <v>46185</v>
      </c>
      <c r="D9195" t="inlineStr">
        <is>
          <t>VÄSTERNORRLANDS LÄN</t>
        </is>
      </c>
      <c r="E9195" t="inlineStr">
        <is>
          <t>SUNDSVALL</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64375-2023</t>
        </is>
      </c>
      <c r="B9196" s="1" t="n">
        <v>45280</v>
      </c>
      <c r="C9196" s="1" t="n">
        <v>46185</v>
      </c>
      <c r="D9196" t="inlineStr">
        <is>
          <t>VÄSTERNORRLANDS LÄN</t>
        </is>
      </c>
      <c r="E9196" t="inlineStr">
        <is>
          <t>ÅNGE</t>
        </is>
      </c>
      <c r="G9196" t="n">
        <v>7.5</v>
      </c>
      <c r="H9196" t="n">
        <v>0</v>
      </c>
      <c r="I9196" t="n">
        <v>0</v>
      </c>
      <c r="J9196" t="n">
        <v>0</v>
      </c>
      <c r="K9196" t="n">
        <v>0</v>
      </c>
      <c r="L9196" t="n">
        <v>0</v>
      </c>
      <c r="M9196" t="n">
        <v>0</v>
      </c>
      <c r="N9196" t="n">
        <v>0</v>
      </c>
      <c r="O9196" t="n">
        <v>0</v>
      </c>
      <c r="P9196" t="n">
        <v>0</v>
      </c>
      <c r="Q9196" t="n">
        <v>0</v>
      </c>
      <c r="R9196" s="2" t="inlineStr"/>
    </row>
    <row r="9197" ht="15" customHeight="1">
      <c r="A9197" t="inlineStr">
        <is>
          <t>A 64377-2023</t>
        </is>
      </c>
      <c r="B9197" s="1" t="n">
        <v>45280</v>
      </c>
      <c r="C9197" s="1" t="n">
        <v>46185</v>
      </c>
      <c r="D9197" t="inlineStr">
        <is>
          <t>VÄSTERNORRLANDS LÄN</t>
        </is>
      </c>
      <c r="E9197" t="inlineStr">
        <is>
          <t>HÄRNÖSAND</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39625-2023</t>
        </is>
      </c>
      <c r="B9198" s="1" t="n">
        <v>45167.4912962963</v>
      </c>
      <c r="C9198" s="1" t="n">
        <v>46185</v>
      </c>
      <c r="D9198" t="inlineStr">
        <is>
          <t>VÄSTERNORRLANDS LÄN</t>
        </is>
      </c>
      <c r="E9198" t="inlineStr">
        <is>
          <t>ÖRNSKÖLDSVIK</t>
        </is>
      </c>
      <c r="F9198" t="inlineStr">
        <is>
          <t>Holmen skog AB</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6736-2025</t>
        </is>
      </c>
      <c r="B9199" s="1" t="n">
        <v>45700.59442129629</v>
      </c>
      <c r="C9199" s="1" t="n">
        <v>46185</v>
      </c>
      <c r="D9199" t="inlineStr">
        <is>
          <t>VÄSTERNORRLANDS LÄN</t>
        </is>
      </c>
      <c r="E9199" t="inlineStr">
        <is>
          <t>SOLLEFTEÅ</t>
        </is>
      </c>
      <c r="F9199" t="inlineStr">
        <is>
          <t>SCA</t>
        </is>
      </c>
      <c r="G9199" t="n">
        <v>0.2</v>
      </c>
      <c r="H9199" t="n">
        <v>0</v>
      </c>
      <c r="I9199" t="n">
        <v>0</v>
      </c>
      <c r="J9199" t="n">
        <v>0</v>
      </c>
      <c r="K9199" t="n">
        <v>0</v>
      </c>
      <c r="L9199" t="n">
        <v>0</v>
      </c>
      <c r="M9199" t="n">
        <v>0</v>
      </c>
      <c r="N9199" t="n">
        <v>0</v>
      </c>
      <c r="O9199" t="n">
        <v>0</v>
      </c>
      <c r="P9199" t="n">
        <v>0</v>
      </c>
      <c r="Q9199" t="n">
        <v>0</v>
      </c>
      <c r="R9199" s="2" t="inlineStr"/>
    </row>
    <row r="9200" ht="15" customHeight="1">
      <c r="A9200" t="inlineStr">
        <is>
          <t>A 5223-2026</t>
        </is>
      </c>
      <c r="B9200" s="1" t="n">
        <v>46049.79012731482</v>
      </c>
      <c r="C9200" s="1" t="n">
        <v>46185</v>
      </c>
      <c r="D9200" t="inlineStr">
        <is>
          <t>VÄSTERNORRLANDS LÄN</t>
        </is>
      </c>
      <c r="E9200" t="inlineStr">
        <is>
          <t>ÅNGE</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3877-2026</t>
        </is>
      </c>
      <c r="B9201" s="1" t="n">
        <v>46043</v>
      </c>
      <c r="C9201" s="1" t="n">
        <v>46185</v>
      </c>
      <c r="D9201" t="inlineStr">
        <is>
          <t>VÄSTERNORRLANDS LÄN</t>
        </is>
      </c>
      <c r="E9201" t="inlineStr">
        <is>
          <t>SUNDSVALL</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14413-2026</t>
        </is>
      </c>
      <c r="B9202" s="1" t="n">
        <v>46100</v>
      </c>
      <c r="C9202" s="1" t="n">
        <v>46185</v>
      </c>
      <c r="D9202" t="inlineStr">
        <is>
          <t>VÄSTERNORRLANDS LÄN</t>
        </is>
      </c>
      <c r="E9202" t="inlineStr">
        <is>
          <t>ÅNGE</t>
        </is>
      </c>
      <c r="F9202" t="inlineStr">
        <is>
          <t>SCA</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19983-2023</t>
        </is>
      </c>
      <c r="B9203" s="1" t="n">
        <v>45054.60201388889</v>
      </c>
      <c r="C9203" s="1" t="n">
        <v>46185</v>
      </c>
      <c r="D9203" t="inlineStr">
        <is>
          <t>VÄSTERNORRLANDS LÄN</t>
        </is>
      </c>
      <c r="E9203" t="inlineStr">
        <is>
          <t>ÖRNSKÖLDSVIK</t>
        </is>
      </c>
      <c r="F9203" t="inlineStr">
        <is>
          <t>Holmen skog AB</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43370-2021</t>
        </is>
      </c>
      <c r="B9204" s="1" t="n">
        <v>44432</v>
      </c>
      <c r="C9204" s="1" t="n">
        <v>46185</v>
      </c>
      <c r="D9204" t="inlineStr">
        <is>
          <t>VÄSTERNORRLANDS LÄN</t>
        </is>
      </c>
      <c r="E9204" t="inlineStr">
        <is>
          <t>ÖRNSKÖLDSVIK</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53997-2024</t>
        </is>
      </c>
      <c r="B9205" s="1" t="n">
        <v>45616.3599537037</v>
      </c>
      <c r="C9205" s="1" t="n">
        <v>46185</v>
      </c>
      <c r="D9205" t="inlineStr">
        <is>
          <t>VÄSTERNORRLANDS LÄN</t>
        </is>
      </c>
      <c r="E9205" t="inlineStr">
        <is>
          <t>ÖRNSKÖLDSVIK</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20347-2026</t>
        </is>
      </c>
      <c r="B9206" s="1" t="n">
        <v>46139.63677083333</v>
      </c>
      <c r="C9206" s="1" t="n">
        <v>46185</v>
      </c>
      <c r="D9206" t="inlineStr">
        <is>
          <t>VÄSTERNORRLANDS LÄN</t>
        </is>
      </c>
      <c r="E9206" t="inlineStr">
        <is>
          <t>ÖRNSKÖLDSVIK</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20365-2026</t>
        </is>
      </c>
      <c r="B9207" s="1" t="n">
        <v>46139.67778935185</v>
      </c>
      <c r="C9207" s="1" t="n">
        <v>46185</v>
      </c>
      <c r="D9207" t="inlineStr">
        <is>
          <t>VÄSTERNORRLANDS LÄN</t>
        </is>
      </c>
      <c r="E9207" t="inlineStr">
        <is>
          <t>SOLLEFTEÅ</t>
        </is>
      </c>
      <c r="F9207" t="inlineStr">
        <is>
          <t>SCA</t>
        </is>
      </c>
      <c r="G9207" t="n">
        <v>13.1</v>
      </c>
      <c r="H9207" t="n">
        <v>0</v>
      </c>
      <c r="I9207" t="n">
        <v>0</v>
      </c>
      <c r="J9207" t="n">
        <v>0</v>
      </c>
      <c r="K9207" t="n">
        <v>0</v>
      </c>
      <c r="L9207" t="n">
        <v>0</v>
      </c>
      <c r="M9207" t="n">
        <v>0</v>
      </c>
      <c r="N9207" t="n">
        <v>0</v>
      </c>
      <c r="O9207" t="n">
        <v>0</v>
      </c>
      <c r="P9207" t="n">
        <v>0</v>
      </c>
      <c r="Q9207" t="n">
        <v>0</v>
      </c>
      <c r="R9207" s="2" t="inlineStr"/>
    </row>
    <row r="9208" ht="15" customHeight="1">
      <c r="A9208" t="inlineStr">
        <is>
          <t>A 441-2024</t>
        </is>
      </c>
      <c r="B9208" s="1" t="n">
        <v>45296.60201388889</v>
      </c>
      <c r="C9208" s="1" t="n">
        <v>46185</v>
      </c>
      <c r="D9208" t="inlineStr">
        <is>
          <t>VÄSTERNORRLANDS LÄN</t>
        </is>
      </c>
      <c r="E9208" t="inlineStr">
        <is>
          <t>ÖRNSKÖLDSVIK</t>
        </is>
      </c>
      <c r="F9208" t="inlineStr">
        <is>
          <t>Holmen skog AB</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53858-2024</t>
        </is>
      </c>
      <c r="B9209" s="1" t="n">
        <v>45615</v>
      </c>
      <c r="C9209" s="1" t="n">
        <v>46185</v>
      </c>
      <c r="D9209" t="inlineStr">
        <is>
          <t>VÄSTERNORRLANDS LÄN</t>
        </is>
      </c>
      <c r="E9209" t="inlineStr">
        <is>
          <t>ÅNGE</t>
        </is>
      </c>
      <c r="F9209" t="inlineStr">
        <is>
          <t>SCA</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44118-2024</t>
        </is>
      </c>
      <c r="B9210" s="1" t="n">
        <v>45572.63793981481</v>
      </c>
      <c r="C9210" s="1" t="n">
        <v>46185</v>
      </c>
      <c r="D9210" t="inlineStr">
        <is>
          <t>VÄSTERNORRLANDS LÄN</t>
        </is>
      </c>
      <c r="E9210" t="inlineStr">
        <is>
          <t>ÖRNSKÖLDSVIK</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43168-2024</t>
        </is>
      </c>
      <c r="B9211" s="1" t="n">
        <v>45567.656875</v>
      </c>
      <c r="C9211" s="1" t="n">
        <v>46185</v>
      </c>
      <c r="D9211" t="inlineStr">
        <is>
          <t>VÄSTERNORRLANDS LÄN</t>
        </is>
      </c>
      <c r="E9211" t="inlineStr">
        <is>
          <t>SUNDSVALL</t>
        </is>
      </c>
      <c r="F9211" t="inlineStr">
        <is>
          <t>SCA</t>
        </is>
      </c>
      <c r="G9211" t="n">
        <v>3.7</v>
      </c>
      <c r="H9211" t="n">
        <v>0</v>
      </c>
      <c r="I9211" t="n">
        <v>0</v>
      </c>
      <c r="J9211" t="n">
        <v>0</v>
      </c>
      <c r="K9211" t="n">
        <v>0</v>
      </c>
      <c r="L9211" t="n">
        <v>0</v>
      </c>
      <c r="M9211" t="n">
        <v>0</v>
      </c>
      <c r="N9211" t="n">
        <v>0</v>
      </c>
      <c r="O9211" t="n">
        <v>0</v>
      </c>
      <c r="P9211" t="n">
        <v>0</v>
      </c>
      <c r="Q9211" t="n">
        <v>0</v>
      </c>
      <c r="R9211" s="2" t="inlineStr"/>
    </row>
    <row r="9212" ht="15" customHeight="1">
      <c r="A9212" t="inlineStr">
        <is>
          <t>A 26063-2026</t>
        </is>
      </c>
      <c r="B9212" s="1" t="n">
        <v>46181.60241898148</v>
      </c>
      <c r="C9212" s="1" t="n">
        <v>46185</v>
      </c>
      <c r="D9212" t="inlineStr">
        <is>
          <t>VÄSTERNORRLANDS LÄN</t>
        </is>
      </c>
      <c r="E9212" t="inlineStr">
        <is>
          <t>SUNDSVALL</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51227-2024</t>
        </is>
      </c>
      <c r="B9213" s="1" t="n">
        <v>45603.65729166667</v>
      </c>
      <c r="C9213" s="1" t="n">
        <v>46185</v>
      </c>
      <c r="D9213" t="inlineStr">
        <is>
          <t>VÄSTERNORRLANDS LÄN</t>
        </is>
      </c>
      <c r="E9213" t="inlineStr">
        <is>
          <t>SOLLEFTEÅ</t>
        </is>
      </c>
      <c r="F9213" t="inlineStr">
        <is>
          <t>SCA</t>
        </is>
      </c>
      <c r="G9213" t="n">
        <v>5.5</v>
      </c>
      <c r="H9213" t="n">
        <v>0</v>
      </c>
      <c r="I9213" t="n">
        <v>0</v>
      </c>
      <c r="J9213" t="n">
        <v>0</v>
      </c>
      <c r="K9213" t="n">
        <v>0</v>
      </c>
      <c r="L9213" t="n">
        <v>0</v>
      </c>
      <c r="M9213" t="n">
        <v>0</v>
      </c>
      <c r="N9213" t="n">
        <v>0</v>
      </c>
      <c r="O9213" t="n">
        <v>0</v>
      </c>
      <c r="P9213" t="n">
        <v>0</v>
      </c>
      <c r="Q9213" t="n">
        <v>0</v>
      </c>
      <c r="R9213" s="2" t="inlineStr"/>
    </row>
    <row r="9214" ht="15" customHeight="1">
      <c r="A9214" t="inlineStr">
        <is>
          <t>A 45772-2025</t>
        </is>
      </c>
      <c r="B9214" s="1" t="n">
        <v>45923.53576388889</v>
      </c>
      <c r="C9214" s="1" t="n">
        <v>46185</v>
      </c>
      <c r="D9214" t="inlineStr">
        <is>
          <t>VÄSTERNORRLANDS LÄN</t>
        </is>
      </c>
      <c r="E9214" t="inlineStr">
        <is>
          <t>ÖRNSKÖLDSVIK</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46735-2022</t>
        </is>
      </c>
      <c r="B9215" s="1" t="n">
        <v>44851</v>
      </c>
      <c r="C9215" s="1" t="n">
        <v>46185</v>
      </c>
      <c r="D9215" t="inlineStr">
        <is>
          <t>VÄSTERNORRLANDS LÄN</t>
        </is>
      </c>
      <c r="E9215" t="inlineStr">
        <is>
          <t>SUNDSVALL</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26180-2026</t>
        </is>
      </c>
      <c r="B9216" s="1" t="n">
        <v>46182.34479166667</v>
      </c>
      <c r="C9216" s="1" t="n">
        <v>46185</v>
      </c>
      <c r="D9216" t="inlineStr">
        <is>
          <t>VÄSTERNORRLANDS LÄN</t>
        </is>
      </c>
      <c r="E9216" t="inlineStr">
        <is>
          <t>ÖRNSKÖLDSVIK</t>
        </is>
      </c>
      <c r="F9216" t="inlineStr">
        <is>
          <t>SCA</t>
        </is>
      </c>
      <c r="G9216" t="n">
        <v>15.9</v>
      </c>
      <c r="H9216" t="n">
        <v>0</v>
      </c>
      <c r="I9216" t="n">
        <v>0</v>
      </c>
      <c r="J9216" t="n">
        <v>0</v>
      </c>
      <c r="K9216" t="n">
        <v>0</v>
      </c>
      <c r="L9216" t="n">
        <v>0</v>
      </c>
      <c r="M9216" t="n">
        <v>0</v>
      </c>
      <c r="N9216" t="n">
        <v>0</v>
      </c>
      <c r="O9216" t="n">
        <v>0</v>
      </c>
      <c r="P9216" t="n">
        <v>0</v>
      </c>
      <c r="Q9216" t="n">
        <v>0</v>
      </c>
      <c r="R9216" s="2" t="inlineStr"/>
    </row>
    <row r="9217" ht="15" customHeight="1">
      <c r="A9217" t="inlineStr">
        <is>
          <t>A 47109-2023</t>
        </is>
      </c>
      <c r="B9217" s="1" t="n">
        <v>45201.66905092593</v>
      </c>
      <c r="C9217" s="1" t="n">
        <v>46185</v>
      </c>
      <c r="D9217" t="inlineStr">
        <is>
          <t>VÄSTERNORRLANDS LÄN</t>
        </is>
      </c>
      <c r="E9217" t="inlineStr">
        <is>
          <t>ÖRNSKÖLDSVIK</t>
        </is>
      </c>
      <c r="F9217" t="inlineStr">
        <is>
          <t>Holmen skog AB</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37867-2024</t>
        </is>
      </c>
      <c r="B9218" s="1" t="n">
        <v>45544</v>
      </c>
      <c r="C9218" s="1" t="n">
        <v>46185</v>
      </c>
      <c r="D9218" t="inlineStr">
        <is>
          <t>VÄSTERNORRLANDS LÄN</t>
        </is>
      </c>
      <c r="E9218" t="inlineStr">
        <is>
          <t>KRAMFORS</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26236-2026</t>
        </is>
      </c>
      <c r="B9219" s="1" t="n">
        <v>46181</v>
      </c>
      <c r="C9219" s="1" t="n">
        <v>46185</v>
      </c>
      <c r="D9219" t="inlineStr">
        <is>
          <t>VÄSTERNORRLANDS LÄN</t>
        </is>
      </c>
      <c r="E9219" t="inlineStr">
        <is>
          <t>ÖRNSKÖLDSVIK</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26266-2026</t>
        </is>
      </c>
      <c r="B9220" s="1" t="n">
        <v>46182.53135416667</v>
      </c>
      <c r="C9220" s="1" t="n">
        <v>46185</v>
      </c>
      <c r="D9220" t="inlineStr">
        <is>
          <t>VÄSTERNORRLANDS LÄN</t>
        </is>
      </c>
      <c r="E9220" t="inlineStr">
        <is>
          <t>ÖRNSKÖLDSVIK</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32203-2023</t>
        </is>
      </c>
      <c r="B9221" s="1" t="n">
        <v>45119.92622685185</v>
      </c>
      <c r="C9221" s="1" t="n">
        <v>46185</v>
      </c>
      <c r="D9221" t="inlineStr">
        <is>
          <t>VÄSTERNORRLANDS LÄN</t>
        </is>
      </c>
      <c r="E9221" t="inlineStr">
        <is>
          <t>SUNDSVALL</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26270-2026</t>
        </is>
      </c>
      <c r="B9222" s="1" t="n">
        <v>46181</v>
      </c>
      <c r="C9222" s="1" t="n">
        <v>46185</v>
      </c>
      <c r="D9222" t="inlineStr">
        <is>
          <t>VÄSTERNORRLANDS LÄN</t>
        </is>
      </c>
      <c r="E9222" t="inlineStr">
        <is>
          <t>ÖRNSKÖLDSVIK</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60296-2021</t>
        </is>
      </c>
      <c r="B9223" s="1" t="n">
        <v>44495</v>
      </c>
      <c r="C9223" s="1" t="n">
        <v>46185</v>
      </c>
      <c r="D9223" t="inlineStr">
        <is>
          <t>VÄSTERNORRLANDS LÄN</t>
        </is>
      </c>
      <c r="E9223" t="inlineStr">
        <is>
          <t>ÅNGE</t>
        </is>
      </c>
      <c r="G9223" t="n">
        <v>0.4</v>
      </c>
      <c r="H9223" t="n">
        <v>0</v>
      </c>
      <c r="I9223" t="n">
        <v>0</v>
      </c>
      <c r="J9223" t="n">
        <v>0</v>
      </c>
      <c r="K9223" t="n">
        <v>0</v>
      </c>
      <c r="L9223" t="n">
        <v>0</v>
      </c>
      <c r="M9223" t="n">
        <v>0</v>
      </c>
      <c r="N9223" t="n">
        <v>0</v>
      </c>
      <c r="O9223" t="n">
        <v>0</v>
      </c>
      <c r="P9223" t="n">
        <v>0</v>
      </c>
      <c r="Q9223" t="n">
        <v>0</v>
      </c>
      <c r="R9223" s="2" t="inlineStr"/>
    </row>
    <row r="9224" ht="15" customHeight="1">
      <c r="A9224" t="inlineStr">
        <is>
          <t>A 20326-2025</t>
        </is>
      </c>
      <c r="B9224" s="1" t="n">
        <v>45775.35231481482</v>
      </c>
      <c r="C9224" s="1" t="n">
        <v>46185</v>
      </c>
      <c r="D9224" t="inlineStr">
        <is>
          <t>VÄSTERNORRLANDS LÄN</t>
        </is>
      </c>
      <c r="E9224" t="inlineStr">
        <is>
          <t>ÖRNSKÖLDSVIK</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63556-2021</t>
        </is>
      </c>
      <c r="B9225" s="1" t="n">
        <v>44508.70231481481</v>
      </c>
      <c r="C9225" s="1" t="n">
        <v>46185</v>
      </c>
      <c r="D9225" t="inlineStr">
        <is>
          <t>VÄSTERNORRLANDS LÄN</t>
        </is>
      </c>
      <c r="E9225" t="inlineStr">
        <is>
          <t>ÅNGE</t>
        </is>
      </c>
      <c r="G9225" t="n">
        <v>4.2</v>
      </c>
      <c r="H9225" t="n">
        <v>0</v>
      </c>
      <c r="I9225" t="n">
        <v>0</v>
      </c>
      <c r="J9225" t="n">
        <v>0</v>
      </c>
      <c r="K9225" t="n">
        <v>0</v>
      </c>
      <c r="L9225" t="n">
        <v>0</v>
      </c>
      <c r="M9225" t="n">
        <v>0</v>
      </c>
      <c r="N9225" t="n">
        <v>0</v>
      </c>
      <c r="O9225" t="n">
        <v>0</v>
      </c>
      <c r="P9225" t="n">
        <v>0</v>
      </c>
      <c r="Q9225" t="n">
        <v>0</v>
      </c>
      <c r="R9225" s="2" t="inlineStr"/>
    </row>
    <row r="9226" ht="15" customHeight="1">
      <c r="A9226" t="inlineStr">
        <is>
          <t>A 20255-2026</t>
        </is>
      </c>
      <c r="B9226" s="1" t="n">
        <v>46139.48972222222</v>
      </c>
      <c r="C9226" s="1" t="n">
        <v>46185</v>
      </c>
      <c r="D9226" t="inlineStr">
        <is>
          <t>VÄSTERNORRLANDS LÄN</t>
        </is>
      </c>
      <c r="E9226" t="inlineStr">
        <is>
          <t>KRAMFORS</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63112-2025</t>
        </is>
      </c>
      <c r="B9227" s="1" t="n">
        <v>46009</v>
      </c>
      <c r="C9227" s="1" t="n">
        <v>46185</v>
      </c>
      <c r="D9227" t="inlineStr">
        <is>
          <t>VÄSTERNORRLANDS LÄN</t>
        </is>
      </c>
      <c r="E9227" t="inlineStr">
        <is>
          <t>SUNDSVALL</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39370-2024</t>
        </is>
      </c>
      <c r="B9228" s="1" t="n">
        <v>45551</v>
      </c>
      <c r="C9228" s="1" t="n">
        <v>46185</v>
      </c>
      <c r="D9228" t="inlineStr">
        <is>
          <t>VÄSTERNORRLANDS LÄN</t>
        </is>
      </c>
      <c r="E9228" t="inlineStr">
        <is>
          <t>SUNDSVALL</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36329-2025</t>
        </is>
      </c>
      <c r="B9229" s="1" t="n">
        <v>45868.42763888889</v>
      </c>
      <c r="C9229" s="1" t="n">
        <v>46185</v>
      </c>
      <c r="D9229" t="inlineStr">
        <is>
          <t>VÄSTERNORRLANDS LÄN</t>
        </is>
      </c>
      <c r="E9229" t="inlineStr">
        <is>
          <t>SUNDSVALL</t>
        </is>
      </c>
      <c r="G9229" t="n">
        <v>9.5</v>
      </c>
      <c r="H9229" t="n">
        <v>0</v>
      </c>
      <c r="I9229" t="n">
        <v>0</v>
      </c>
      <c r="J9229" t="n">
        <v>0</v>
      </c>
      <c r="K9229" t="n">
        <v>0</v>
      </c>
      <c r="L9229" t="n">
        <v>0</v>
      </c>
      <c r="M9229" t="n">
        <v>0</v>
      </c>
      <c r="N9229" t="n">
        <v>0</v>
      </c>
      <c r="O9229" t="n">
        <v>0</v>
      </c>
      <c r="P9229" t="n">
        <v>0</v>
      </c>
      <c r="Q9229" t="n">
        <v>0</v>
      </c>
      <c r="R9229" s="2" t="inlineStr"/>
    </row>
    <row r="9230" ht="15" customHeight="1">
      <c r="A9230" t="inlineStr">
        <is>
          <t>A 10922-2024</t>
        </is>
      </c>
      <c r="B9230" s="1" t="n">
        <v>45370</v>
      </c>
      <c r="C9230" s="1" t="n">
        <v>46185</v>
      </c>
      <c r="D9230" t="inlineStr">
        <is>
          <t>VÄSTERNORRLANDS LÄN</t>
        </is>
      </c>
      <c r="E9230" t="inlineStr">
        <is>
          <t>ÅNGE</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31463-2025</t>
        </is>
      </c>
      <c r="B9231" s="1" t="n">
        <v>45833.55240740741</v>
      </c>
      <c r="C9231" s="1" t="n">
        <v>46185</v>
      </c>
      <c r="D9231" t="inlineStr">
        <is>
          <t>VÄSTERNORRLANDS LÄN</t>
        </is>
      </c>
      <c r="E9231" t="inlineStr">
        <is>
          <t>HÄRNÖSAND</t>
        </is>
      </c>
      <c r="G9231" t="n">
        <v>7.9</v>
      </c>
      <c r="H9231" t="n">
        <v>0</v>
      </c>
      <c r="I9231" t="n">
        <v>0</v>
      </c>
      <c r="J9231" t="n">
        <v>0</v>
      </c>
      <c r="K9231" t="n">
        <v>0</v>
      </c>
      <c r="L9231" t="n">
        <v>0</v>
      </c>
      <c r="M9231" t="n">
        <v>0</v>
      </c>
      <c r="N9231" t="n">
        <v>0</v>
      </c>
      <c r="O9231" t="n">
        <v>0</v>
      </c>
      <c r="P9231" t="n">
        <v>0</v>
      </c>
      <c r="Q9231" t="n">
        <v>0</v>
      </c>
      <c r="R9231" s="2" t="inlineStr"/>
    </row>
    <row r="9232" ht="15" customHeight="1">
      <c r="A9232" t="inlineStr">
        <is>
          <t>A 60938-2025</t>
        </is>
      </c>
      <c r="B9232" s="1" t="n">
        <v>45996</v>
      </c>
      <c r="C9232" s="1" t="n">
        <v>46185</v>
      </c>
      <c r="D9232" t="inlineStr">
        <is>
          <t>VÄSTERNORRLANDS LÄN</t>
        </is>
      </c>
      <c r="E9232" t="inlineStr">
        <is>
          <t>ÖRNSKÖLDSVIK</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21176-2025</t>
        </is>
      </c>
      <c r="B9233" s="1" t="n">
        <v>45779.42798611111</v>
      </c>
      <c r="C9233" s="1" t="n">
        <v>46185</v>
      </c>
      <c r="D9233" t="inlineStr">
        <is>
          <t>VÄSTERNORRLANDS LÄN</t>
        </is>
      </c>
      <c r="E9233" t="inlineStr">
        <is>
          <t>ÅNGE</t>
        </is>
      </c>
      <c r="F9233" t="inlineStr">
        <is>
          <t>SCA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55602-2024</t>
        </is>
      </c>
      <c r="B9234" s="1" t="n">
        <v>45622</v>
      </c>
      <c r="C9234" s="1" t="n">
        <v>46185</v>
      </c>
      <c r="D9234" t="inlineStr">
        <is>
          <t>VÄSTERNORRLANDS LÄN</t>
        </is>
      </c>
      <c r="E9234" t="inlineStr">
        <is>
          <t>TIMRÅ</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58702-2023</t>
        </is>
      </c>
      <c r="B9235" s="1" t="n">
        <v>45251.68495370371</v>
      </c>
      <c r="C9235" s="1" t="n">
        <v>46185</v>
      </c>
      <c r="D9235" t="inlineStr">
        <is>
          <t>VÄSTERNORRLANDS LÄN</t>
        </is>
      </c>
      <c r="E9235" t="inlineStr">
        <is>
          <t>ÖRNSKÖLDSVIK</t>
        </is>
      </c>
      <c r="F9235" t="inlineStr">
        <is>
          <t>Holmen skog AB</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62484-2023</t>
        </is>
      </c>
      <c r="B9236" s="1" t="n">
        <v>45268.57909722222</v>
      </c>
      <c r="C9236" s="1" t="n">
        <v>46185</v>
      </c>
      <c r="D9236" t="inlineStr">
        <is>
          <t>VÄSTERNORRLANDS LÄN</t>
        </is>
      </c>
      <c r="E9236" t="inlineStr">
        <is>
          <t>ÖRNSKÖLDSVIK</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1002-2024</t>
        </is>
      </c>
      <c r="B9237" s="1" t="n">
        <v>45301</v>
      </c>
      <c r="C9237" s="1" t="n">
        <v>46185</v>
      </c>
      <c r="D9237" t="inlineStr">
        <is>
          <t>VÄSTERNORRLANDS LÄN</t>
        </is>
      </c>
      <c r="E9237" t="inlineStr">
        <is>
          <t>ÖRNSKÖLDSVIK</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46920-2025</t>
        </is>
      </c>
      <c r="B9238" s="1" t="n">
        <v>45929.43368055556</v>
      </c>
      <c r="C9238" s="1" t="n">
        <v>46185</v>
      </c>
      <c r="D9238" t="inlineStr">
        <is>
          <t>VÄSTERNORRLANDS LÄN</t>
        </is>
      </c>
      <c r="E9238" t="inlineStr">
        <is>
          <t>SOLLEFTEÅ</t>
        </is>
      </c>
      <c r="G9238" t="n">
        <v>5.6</v>
      </c>
      <c r="H9238" t="n">
        <v>0</v>
      </c>
      <c r="I9238" t="n">
        <v>0</v>
      </c>
      <c r="J9238" t="n">
        <v>0</v>
      </c>
      <c r="K9238" t="n">
        <v>0</v>
      </c>
      <c r="L9238" t="n">
        <v>0</v>
      </c>
      <c r="M9238" t="n">
        <v>0</v>
      </c>
      <c r="N9238" t="n">
        <v>0</v>
      </c>
      <c r="O9238" t="n">
        <v>0</v>
      </c>
      <c r="P9238" t="n">
        <v>0</v>
      </c>
      <c r="Q9238" t="n">
        <v>0</v>
      </c>
      <c r="R9238" s="2" t="inlineStr"/>
    </row>
    <row r="9239" ht="15" customHeight="1">
      <c r="A9239" t="inlineStr">
        <is>
          <t>A 27549-2025</t>
        </is>
      </c>
      <c r="B9239" s="1" t="n">
        <v>45813.47001157407</v>
      </c>
      <c r="C9239" s="1" t="n">
        <v>46185</v>
      </c>
      <c r="D9239" t="inlineStr">
        <is>
          <t>VÄSTERNORRLANDS LÄN</t>
        </is>
      </c>
      <c r="E9239" t="inlineStr">
        <is>
          <t>KRAMFORS</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50272-2023</t>
        </is>
      </c>
      <c r="B9240" s="1" t="n">
        <v>45216</v>
      </c>
      <c r="C9240" s="1" t="n">
        <v>46185</v>
      </c>
      <c r="D9240" t="inlineStr">
        <is>
          <t>VÄSTERNORRLANDS LÄN</t>
        </is>
      </c>
      <c r="E9240" t="inlineStr">
        <is>
          <t>SUNDSVALL</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14554-2024</t>
        </is>
      </c>
      <c r="B9241" s="1" t="n">
        <v>45394</v>
      </c>
      <c r="C9241" s="1" t="n">
        <v>46185</v>
      </c>
      <c r="D9241" t="inlineStr">
        <is>
          <t>VÄSTERNORRLANDS LÄN</t>
        </is>
      </c>
      <c r="E9241" t="inlineStr">
        <is>
          <t>SOLLEFTEÅ</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29759-2025</t>
        </is>
      </c>
      <c r="B9242" s="1" t="n">
        <v>45825</v>
      </c>
      <c r="C9242" s="1" t="n">
        <v>46185</v>
      </c>
      <c r="D9242" t="inlineStr">
        <is>
          <t>VÄSTERNORRLANDS LÄN</t>
        </is>
      </c>
      <c r="E9242" t="inlineStr">
        <is>
          <t>SOLLEFTEÅ</t>
        </is>
      </c>
      <c r="F9242" t="inlineStr">
        <is>
          <t>SCA</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28642-2022</t>
        </is>
      </c>
      <c r="B9243" s="1" t="n">
        <v>44748</v>
      </c>
      <c r="C9243" s="1" t="n">
        <v>46185</v>
      </c>
      <c r="D9243" t="inlineStr">
        <is>
          <t>VÄSTERNORRLANDS LÄN</t>
        </is>
      </c>
      <c r="E9243" t="inlineStr">
        <is>
          <t>ÖRNSKÖLDSVIK</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21089-2024</t>
        </is>
      </c>
      <c r="B9244" s="1" t="n">
        <v>45439.94987268518</v>
      </c>
      <c r="C9244" s="1" t="n">
        <v>46185</v>
      </c>
      <c r="D9244" t="inlineStr">
        <is>
          <t>VÄSTERNORRLANDS LÄN</t>
        </is>
      </c>
      <c r="E9244" t="inlineStr">
        <is>
          <t>ÅNGE</t>
        </is>
      </c>
      <c r="F9244" t="inlineStr">
        <is>
          <t>SCA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53379-2023</t>
        </is>
      </c>
      <c r="B9245" s="1" t="n">
        <v>45222</v>
      </c>
      <c r="C9245" s="1" t="n">
        <v>46185</v>
      </c>
      <c r="D9245" t="inlineStr">
        <is>
          <t>VÄSTERNORRLANDS LÄN</t>
        </is>
      </c>
      <c r="E9245" t="inlineStr">
        <is>
          <t>SOLLEFTEÅ</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21124-2024</t>
        </is>
      </c>
      <c r="B9246" s="1" t="n">
        <v>45440.33819444444</v>
      </c>
      <c r="C9246" s="1" t="n">
        <v>46185</v>
      </c>
      <c r="D9246" t="inlineStr">
        <is>
          <t>VÄSTERNORRLANDS LÄN</t>
        </is>
      </c>
      <c r="E9246" t="inlineStr">
        <is>
          <t>ÖRNSKÖLDSVIK</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7147-2023</t>
        </is>
      </c>
      <c r="B9247" s="1" t="n">
        <v>44965</v>
      </c>
      <c r="C9247" s="1" t="n">
        <v>46185</v>
      </c>
      <c r="D9247" t="inlineStr">
        <is>
          <t>VÄSTERNORRLANDS LÄN</t>
        </is>
      </c>
      <c r="E9247" t="inlineStr">
        <is>
          <t>ÖRNSKÖLDSVIK</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26378-2024</t>
        </is>
      </c>
      <c r="B9248" s="1" t="n">
        <v>45469.41646990741</v>
      </c>
      <c r="C9248" s="1" t="n">
        <v>46185</v>
      </c>
      <c r="D9248" t="inlineStr">
        <is>
          <t>VÄSTERNORRLANDS LÄN</t>
        </is>
      </c>
      <c r="E9248" t="inlineStr">
        <is>
          <t>ÖRNSKÖLDSVIK</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26444-2024</t>
        </is>
      </c>
      <c r="B9249" s="1" t="n">
        <v>45469.50122685185</v>
      </c>
      <c r="C9249" s="1" t="n">
        <v>46185</v>
      </c>
      <c r="D9249" t="inlineStr">
        <is>
          <t>VÄSTERNORRLANDS LÄN</t>
        </is>
      </c>
      <c r="E9249" t="inlineStr">
        <is>
          <t>SOLLEFTEÅ</t>
        </is>
      </c>
      <c r="F9249" t="inlineStr">
        <is>
          <t>Holmen skog AB</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59593-2023</t>
        </is>
      </c>
      <c r="B9250" s="1" t="n">
        <v>45254.61885416666</v>
      </c>
      <c r="C9250" s="1" t="n">
        <v>46185</v>
      </c>
      <c r="D9250" t="inlineStr">
        <is>
          <t>VÄSTERNORRLANDS LÄN</t>
        </is>
      </c>
      <c r="E9250" t="inlineStr">
        <is>
          <t>SOLLEFTEÅ</t>
        </is>
      </c>
      <c r="F9250" t="inlineStr">
        <is>
          <t>Holmen skog AB</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12119-2026</t>
        </is>
      </c>
      <c r="B9251" s="1" t="n">
        <v>46086</v>
      </c>
      <c r="C9251" s="1" t="n">
        <v>46185</v>
      </c>
      <c r="D9251" t="inlineStr">
        <is>
          <t>VÄSTERNORRLANDS LÄN</t>
        </is>
      </c>
      <c r="E9251" t="inlineStr">
        <is>
          <t>SUNDSVALL</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33735-2024</t>
        </is>
      </c>
      <c r="B9252" s="1" t="n">
        <v>45520</v>
      </c>
      <c r="C9252" s="1" t="n">
        <v>46185</v>
      </c>
      <c r="D9252" t="inlineStr">
        <is>
          <t>VÄSTERNORRLANDS LÄN</t>
        </is>
      </c>
      <c r="E9252" t="inlineStr">
        <is>
          <t>SUNDSVALL</t>
        </is>
      </c>
      <c r="F9252" t="inlineStr">
        <is>
          <t>SCA</t>
        </is>
      </c>
      <c r="G9252" t="n">
        <v>5.6</v>
      </c>
      <c r="H9252" t="n">
        <v>0</v>
      </c>
      <c r="I9252" t="n">
        <v>0</v>
      </c>
      <c r="J9252" t="n">
        <v>0</v>
      </c>
      <c r="K9252" t="n">
        <v>0</v>
      </c>
      <c r="L9252" t="n">
        <v>0</v>
      </c>
      <c r="M9252" t="n">
        <v>0</v>
      </c>
      <c r="N9252" t="n">
        <v>0</v>
      </c>
      <c r="O9252" t="n">
        <v>0</v>
      </c>
      <c r="P9252" t="n">
        <v>0</v>
      </c>
      <c r="Q9252" t="n">
        <v>0</v>
      </c>
      <c r="R9252" s="2" t="inlineStr"/>
    </row>
    <row r="9253" ht="15" customHeight="1">
      <c r="A9253" t="inlineStr">
        <is>
          <t>A 51197-2024</t>
        </is>
      </c>
      <c r="B9253" s="1" t="n">
        <v>45603.61863425926</v>
      </c>
      <c r="C9253" s="1" t="n">
        <v>46185</v>
      </c>
      <c r="D9253" t="inlineStr">
        <is>
          <t>VÄSTERNORRLANDS LÄN</t>
        </is>
      </c>
      <c r="E9253" t="inlineStr">
        <is>
          <t>ÖRNSKÖLDSVIK</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11711-2025</t>
        </is>
      </c>
      <c r="B9254" s="1" t="n">
        <v>45727.59398148148</v>
      </c>
      <c r="C9254" s="1" t="n">
        <v>46185</v>
      </c>
      <c r="D9254" t="inlineStr">
        <is>
          <t>VÄSTERNORRLANDS LÄN</t>
        </is>
      </c>
      <c r="E9254" t="inlineStr">
        <is>
          <t>SOLLEFTEÅ</t>
        </is>
      </c>
      <c r="G9254" t="n">
        <v>7.5</v>
      </c>
      <c r="H9254" t="n">
        <v>0</v>
      </c>
      <c r="I9254" t="n">
        <v>0</v>
      </c>
      <c r="J9254" t="n">
        <v>0</v>
      </c>
      <c r="K9254" t="n">
        <v>0</v>
      </c>
      <c r="L9254" t="n">
        <v>0</v>
      </c>
      <c r="M9254" t="n">
        <v>0</v>
      </c>
      <c r="N9254" t="n">
        <v>0</v>
      </c>
      <c r="O9254" t="n">
        <v>0</v>
      </c>
      <c r="P9254" t="n">
        <v>0</v>
      </c>
      <c r="Q9254" t="n">
        <v>0</v>
      </c>
      <c r="R9254" s="2" t="inlineStr"/>
    </row>
    <row r="9255" ht="15" customHeight="1">
      <c r="A9255" t="inlineStr">
        <is>
          <t>A 59393-2024</t>
        </is>
      </c>
      <c r="B9255" s="1" t="n">
        <v>45637</v>
      </c>
      <c r="C9255" s="1" t="n">
        <v>46185</v>
      </c>
      <c r="D9255" t="inlineStr">
        <is>
          <t>VÄSTERNORRLANDS LÄN</t>
        </is>
      </c>
      <c r="E9255" t="inlineStr">
        <is>
          <t>ÖRNSKÖLDSVIK</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20393-2022</t>
        </is>
      </c>
      <c r="B9256" s="1" t="n">
        <v>44699</v>
      </c>
      <c r="C9256" s="1" t="n">
        <v>46185</v>
      </c>
      <c r="D9256" t="inlineStr">
        <is>
          <t>VÄSTERNORRLANDS LÄN</t>
        </is>
      </c>
      <c r="E9256" t="inlineStr">
        <is>
          <t>ÅNGE</t>
        </is>
      </c>
      <c r="G9256" t="n">
        <v>6.9</v>
      </c>
      <c r="H9256" t="n">
        <v>0</v>
      </c>
      <c r="I9256" t="n">
        <v>0</v>
      </c>
      <c r="J9256" t="n">
        <v>0</v>
      </c>
      <c r="K9256" t="n">
        <v>0</v>
      </c>
      <c r="L9256" t="n">
        <v>0</v>
      </c>
      <c r="M9256" t="n">
        <v>0</v>
      </c>
      <c r="N9256" t="n">
        <v>0</v>
      </c>
      <c r="O9256" t="n">
        <v>0</v>
      </c>
      <c r="P9256" t="n">
        <v>0</v>
      </c>
      <c r="Q9256" t="n">
        <v>0</v>
      </c>
      <c r="R9256" s="2" t="inlineStr"/>
    </row>
    <row r="9257" ht="15" customHeight="1">
      <c r="A9257" t="inlineStr">
        <is>
          <t>A 18263-2025</t>
        </is>
      </c>
      <c r="B9257" s="1" t="n">
        <v>45762.36509259259</v>
      </c>
      <c r="C9257" s="1" t="n">
        <v>46185</v>
      </c>
      <c r="D9257" t="inlineStr">
        <is>
          <t>VÄSTERNORRLANDS LÄN</t>
        </is>
      </c>
      <c r="E9257" t="inlineStr">
        <is>
          <t>SOLLEFTEÅ</t>
        </is>
      </c>
      <c r="F9257" t="inlineStr">
        <is>
          <t>SCA</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19577-2024</t>
        </is>
      </c>
      <c r="B9258" s="1" t="n">
        <v>45429</v>
      </c>
      <c r="C9258" s="1" t="n">
        <v>46185</v>
      </c>
      <c r="D9258" t="inlineStr">
        <is>
          <t>VÄSTERNORRLANDS LÄN</t>
        </is>
      </c>
      <c r="E9258" t="inlineStr">
        <is>
          <t>SOLLEFTEÅ</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4727-2023</t>
        </is>
      </c>
      <c r="B9259" s="1" t="n">
        <v>44953</v>
      </c>
      <c r="C9259" s="1" t="n">
        <v>46185</v>
      </c>
      <c r="D9259" t="inlineStr">
        <is>
          <t>VÄSTERNORRLANDS LÄN</t>
        </is>
      </c>
      <c r="E9259" t="inlineStr">
        <is>
          <t>ÅNGE</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35650-2024</t>
        </is>
      </c>
      <c r="B9260" s="1" t="n">
        <v>45532.34123842593</v>
      </c>
      <c r="C9260" s="1" t="n">
        <v>46185</v>
      </c>
      <c r="D9260" t="inlineStr">
        <is>
          <t>VÄSTERNORRLANDS LÄN</t>
        </is>
      </c>
      <c r="E9260" t="inlineStr">
        <is>
          <t>ÅNGE</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3357-2024</t>
        </is>
      </c>
      <c r="B9261" s="1" t="n">
        <v>45317</v>
      </c>
      <c r="C9261" s="1" t="n">
        <v>46185</v>
      </c>
      <c r="D9261" t="inlineStr">
        <is>
          <t>VÄSTERNORRLANDS LÄN</t>
        </is>
      </c>
      <c r="E9261" t="inlineStr">
        <is>
          <t>ÅNGE</t>
        </is>
      </c>
      <c r="G9261" t="n">
        <v>8</v>
      </c>
      <c r="H9261" t="n">
        <v>0</v>
      </c>
      <c r="I9261" t="n">
        <v>0</v>
      </c>
      <c r="J9261" t="n">
        <v>0</v>
      </c>
      <c r="K9261" t="n">
        <v>0</v>
      </c>
      <c r="L9261" t="n">
        <v>0</v>
      </c>
      <c r="M9261" t="n">
        <v>0</v>
      </c>
      <c r="N9261" t="n">
        <v>0</v>
      </c>
      <c r="O9261" t="n">
        <v>0</v>
      </c>
      <c r="P9261" t="n">
        <v>0</v>
      </c>
      <c r="Q9261" t="n">
        <v>0</v>
      </c>
      <c r="R9261" s="2" t="inlineStr"/>
    </row>
    <row r="9262" ht="15" customHeight="1">
      <c r="A9262" t="inlineStr">
        <is>
          <t>A 2883-2025</t>
        </is>
      </c>
      <c r="B9262" s="1" t="n">
        <v>45677</v>
      </c>
      <c r="C9262" s="1" t="n">
        <v>46185</v>
      </c>
      <c r="D9262" t="inlineStr">
        <is>
          <t>VÄSTERNORRLANDS LÄN</t>
        </is>
      </c>
      <c r="E9262" t="inlineStr">
        <is>
          <t>SOLLEFTEÅ</t>
        </is>
      </c>
      <c r="F9262" t="inlineStr">
        <is>
          <t>SCA</t>
        </is>
      </c>
      <c r="G9262" t="n">
        <v>4.8</v>
      </c>
      <c r="H9262" t="n">
        <v>0</v>
      </c>
      <c r="I9262" t="n">
        <v>0</v>
      </c>
      <c r="J9262" t="n">
        <v>0</v>
      </c>
      <c r="K9262" t="n">
        <v>0</v>
      </c>
      <c r="L9262" t="n">
        <v>0</v>
      </c>
      <c r="M9262" t="n">
        <v>0</v>
      </c>
      <c r="N9262" t="n">
        <v>0</v>
      </c>
      <c r="O9262" t="n">
        <v>0</v>
      </c>
      <c r="P9262" t="n">
        <v>0</v>
      </c>
      <c r="Q9262" t="n">
        <v>0</v>
      </c>
      <c r="R9262" s="2" t="inlineStr"/>
    </row>
    <row r="9263" ht="15" customHeight="1">
      <c r="A9263" t="inlineStr">
        <is>
          <t>A 46332-2023</t>
        </is>
      </c>
      <c r="B9263" s="1" t="n">
        <v>45196</v>
      </c>
      <c r="C9263" s="1" t="n">
        <v>46185</v>
      </c>
      <c r="D9263" t="inlineStr">
        <is>
          <t>VÄSTERNORRLANDS LÄN</t>
        </is>
      </c>
      <c r="E9263" t="inlineStr">
        <is>
          <t>ÅNGE</t>
        </is>
      </c>
      <c r="F9263" t="inlineStr">
        <is>
          <t>SCA</t>
        </is>
      </c>
      <c r="G9263" t="n">
        <v>6.1</v>
      </c>
      <c r="H9263" t="n">
        <v>0</v>
      </c>
      <c r="I9263" t="n">
        <v>0</v>
      </c>
      <c r="J9263" t="n">
        <v>0</v>
      </c>
      <c r="K9263" t="n">
        <v>0</v>
      </c>
      <c r="L9263" t="n">
        <v>0</v>
      </c>
      <c r="M9263" t="n">
        <v>0</v>
      </c>
      <c r="N9263" t="n">
        <v>0</v>
      </c>
      <c r="O9263" t="n">
        <v>0</v>
      </c>
      <c r="P9263" t="n">
        <v>0</v>
      </c>
      <c r="Q9263" t="n">
        <v>0</v>
      </c>
      <c r="R9263" s="2" t="inlineStr"/>
    </row>
    <row r="9264" ht="15" customHeight="1">
      <c r="A9264" t="inlineStr">
        <is>
          <t>A 63491-2025</t>
        </is>
      </c>
      <c r="B9264" s="1" t="n">
        <v>46013.47121527778</v>
      </c>
      <c r="C9264" s="1" t="n">
        <v>46185</v>
      </c>
      <c r="D9264" t="inlineStr">
        <is>
          <t>VÄSTERNORRLANDS LÄN</t>
        </is>
      </c>
      <c r="E9264" t="inlineStr">
        <is>
          <t>SUNDSVALL</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25046-2026</t>
        </is>
      </c>
      <c r="B9265" s="1" t="n">
        <v>46174</v>
      </c>
      <c r="C9265" s="1" t="n">
        <v>46185</v>
      </c>
      <c r="D9265" t="inlineStr">
        <is>
          <t>VÄSTERNORRLANDS LÄN</t>
        </is>
      </c>
      <c r="E9265" t="inlineStr">
        <is>
          <t>TIMRÅ</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640-2026</t>
        </is>
      </c>
      <c r="B9266" s="1" t="n">
        <v>46024</v>
      </c>
      <c r="C9266" s="1" t="n">
        <v>46185</v>
      </c>
      <c r="D9266" t="inlineStr">
        <is>
          <t>VÄSTERNORRLANDS LÄN</t>
        </is>
      </c>
      <c r="E9266" t="inlineStr">
        <is>
          <t>TIMRÅ</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709-2026</t>
        </is>
      </c>
      <c r="B9267" s="1" t="n">
        <v>46029</v>
      </c>
      <c r="C9267" s="1" t="n">
        <v>46185</v>
      </c>
      <c r="D9267" t="inlineStr">
        <is>
          <t>VÄSTERNORRLANDS LÄN</t>
        </is>
      </c>
      <c r="E9267" t="inlineStr">
        <is>
          <t>KRAMFORS</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63814-2023</t>
        </is>
      </c>
      <c r="B9268" s="1" t="n">
        <v>45278</v>
      </c>
      <c r="C9268" s="1" t="n">
        <v>46185</v>
      </c>
      <c r="D9268" t="inlineStr">
        <is>
          <t>VÄSTERNORRLANDS LÄN</t>
        </is>
      </c>
      <c r="E9268" t="inlineStr">
        <is>
          <t>SUNDSVALL</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59594-2024</t>
        </is>
      </c>
      <c r="B9269" s="1" t="n">
        <v>45638.69611111111</v>
      </c>
      <c r="C9269" s="1" t="n">
        <v>46185</v>
      </c>
      <c r="D9269" t="inlineStr">
        <is>
          <t>VÄSTERNORRLANDS LÄN</t>
        </is>
      </c>
      <c r="E9269" t="inlineStr">
        <is>
          <t>ÖRNSKÖLDSVIK</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56023-2022</t>
        </is>
      </c>
      <c r="B9270" s="1" t="n">
        <v>44887</v>
      </c>
      <c r="C9270" s="1" t="n">
        <v>46185</v>
      </c>
      <c r="D9270" t="inlineStr">
        <is>
          <t>VÄSTERNORRLANDS LÄN</t>
        </is>
      </c>
      <c r="E9270" t="inlineStr">
        <is>
          <t>ÖRNSKÖLDSVIK</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25116-2024</t>
        </is>
      </c>
      <c r="B9271" s="1" t="n">
        <v>45462</v>
      </c>
      <c r="C9271" s="1" t="n">
        <v>46185</v>
      </c>
      <c r="D9271" t="inlineStr">
        <is>
          <t>VÄSTERNORRLANDS LÄN</t>
        </is>
      </c>
      <c r="E9271" t="inlineStr">
        <is>
          <t>HÄRNÖSAND</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63726-2025</t>
        </is>
      </c>
      <c r="B9272" s="1" t="n">
        <v>46010</v>
      </c>
      <c r="C9272" s="1" t="n">
        <v>46185</v>
      </c>
      <c r="D9272" t="inlineStr">
        <is>
          <t>VÄSTERNORRLANDS LÄN</t>
        </is>
      </c>
      <c r="E9272" t="inlineStr">
        <is>
          <t>SOLLEFTEÅ</t>
        </is>
      </c>
      <c r="G9272" t="n">
        <v>5</v>
      </c>
      <c r="H9272" t="n">
        <v>0</v>
      </c>
      <c r="I9272" t="n">
        <v>0</v>
      </c>
      <c r="J9272" t="n">
        <v>0</v>
      </c>
      <c r="K9272" t="n">
        <v>0</v>
      </c>
      <c r="L9272" t="n">
        <v>0</v>
      </c>
      <c r="M9272" t="n">
        <v>0</v>
      </c>
      <c r="N9272" t="n">
        <v>0</v>
      </c>
      <c r="O9272" t="n">
        <v>0</v>
      </c>
      <c r="P9272" t="n">
        <v>0</v>
      </c>
      <c r="Q9272" t="n">
        <v>0</v>
      </c>
      <c r="R9272" s="2" t="inlineStr"/>
    </row>
    <row r="9273" ht="15" customHeight="1">
      <c r="A9273" t="inlineStr">
        <is>
          <t>A 20462-2026</t>
        </is>
      </c>
      <c r="B9273" s="1" t="n">
        <v>46140.44841435185</v>
      </c>
      <c r="C9273" s="1" t="n">
        <v>46185</v>
      </c>
      <c r="D9273" t="inlineStr">
        <is>
          <t>VÄSTERNORRLANDS LÄN</t>
        </is>
      </c>
      <c r="E9273" t="inlineStr">
        <is>
          <t>SOLLEFTEÅ</t>
        </is>
      </c>
      <c r="F9273" t="inlineStr">
        <is>
          <t>SCA</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4775-2024</t>
        </is>
      </c>
      <c r="B9274" s="1" t="n">
        <v>45328</v>
      </c>
      <c r="C9274" s="1" t="n">
        <v>46185</v>
      </c>
      <c r="D9274" t="inlineStr">
        <is>
          <t>VÄSTERNORRLANDS LÄN</t>
        </is>
      </c>
      <c r="E9274" t="inlineStr">
        <is>
          <t>KRAMFORS</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9070-2025</t>
        </is>
      </c>
      <c r="B9275" s="1" t="n">
        <v>45713.65658564815</v>
      </c>
      <c r="C9275" s="1" t="n">
        <v>46185</v>
      </c>
      <c r="D9275" t="inlineStr">
        <is>
          <t>VÄSTERNORRLANDS LÄN</t>
        </is>
      </c>
      <c r="E9275" t="inlineStr">
        <is>
          <t>SOLLEFTEÅ</t>
        </is>
      </c>
      <c r="F9275" t="inlineStr">
        <is>
          <t>SCA</t>
        </is>
      </c>
      <c r="G9275" t="n">
        <v>6.4</v>
      </c>
      <c r="H9275" t="n">
        <v>0</v>
      </c>
      <c r="I9275" t="n">
        <v>0</v>
      </c>
      <c r="J9275" t="n">
        <v>0</v>
      </c>
      <c r="K9275" t="n">
        <v>0</v>
      </c>
      <c r="L9275" t="n">
        <v>0</v>
      </c>
      <c r="M9275" t="n">
        <v>0</v>
      </c>
      <c r="N9275" t="n">
        <v>0</v>
      </c>
      <c r="O9275" t="n">
        <v>0</v>
      </c>
      <c r="P9275" t="n">
        <v>0</v>
      </c>
      <c r="Q9275" t="n">
        <v>0</v>
      </c>
      <c r="R9275" s="2" t="inlineStr"/>
    </row>
    <row r="9276" ht="15" customHeight="1">
      <c r="A9276" t="inlineStr">
        <is>
          <t>A 20473-2026</t>
        </is>
      </c>
      <c r="B9276" s="1" t="n">
        <v>46140.46928240741</v>
      </c>
      <c r="C9276" s="1" t="n">
        <v>46185</v>
      </c>
      <c r="D9276" t="inlineStr">
        <is>
          <t>VÄSTERNORRLANDS LÄN</t>
        </is>
      </c>
      <c r="E9276" t="inlineStr">
        <is>
          <t>ÅNGE</t>
        </is>
      </c>
      <c r="F9276" t="inlineStr">
        <is>
          <t>SCA</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56765-2023</t>
        </is>
      </c>
      <c r="B9277" s="1" t="n">
        <v>45244</v>
      </c>
      <c r="C9277" s="1" t="n">
        <v>46185</v>
      </c>
      <c r="D9277" t="inlineStr">
        <is>
          <t>VÄSTERNORRLANDS LÄN</t>
        </is>
      </c>
      <c r="E9277" t="inlineStr">
        <is>
          <t>TIMRÅ</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25586-2025</t>
        </is>
      </c>
      <c r="B9278" s="1" t="n">
        <v>45803</v>
      </c>
      <c r="C9278" s="1" t="n">
        <v>46185</v>
      </c>
      <c r="D9278" t="inlineStr">
        <is>
          <t>VÄSTERNORRLANDS LÄN</t>
        </is>
      </c>
      <c r="E9278" t="inlineStr">
        <is>
          <t>SUNDSVALL</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4144-2025</t>
        </is>
      </c>
      <c r="B9279" s="1" t="n">
        <v>45685</v>
      </c>
      <c r="C9279" s="1" t="n">
        <v>46185</v>
      </c>
      <c r="D9279" t="inlineStr">
        <is>
          <t>VÄSTERNORRLANDS LÄN</t>
        </is>
      </c>
      <c r="E9279" t="inlineStr">
        <is>
          <t>KRAMFORS</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61832-2025</t>
        </is>
      </c>
      <c r="B9280" s="1" t="n">
        <v>46003.34456018519</v>
      </c>
      <c r="C9280" s="1" t="n">
        <v>46185</v>
      </c>
      <c r="D9280" t="inlineStr">
        <is>
          <t>VÄSTERNORRLANDS LÄN</t>
        </is>
      </c>
      <c r="E9280" t="inlineStr">
        <is>
          <t>SOLLEFTEÅ</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24293-2025</t>
        </is>
      </c>
      <c r="B9281" s="1" t="n">
        <v>45797.46899305555</v>
      </c>
      <c r="C9281" s="1" t="n">
        <v>46185</v>
      </c>
      <c r="D9281" t="inlineStr">
        <is>
          <t>VÄSTERNORRLANDS LÄN</t>
        </is>
      </c>
      <c r="E9281" t="inlineStr">
        <is>
          <t>SUNDSVALL</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53303-2024</t>
        </is>
      </c>
      <c r="B9282" s="1" t="n">
        <v>45614.38878472222</v>
      </c>
      <c r="C9282" s="1" t="n">
        <v>46185</v>
      </c>
      <c r="D9282" t="inlineStr">
        <is>
          <t>VÄSTERNORRLANDS LÄN</t>
        </is>
      </c>
      <c r="E9282" t="inlineStr">
        <is>
          <t>TIMRÅ</t>
        </is>
      </c>
      <c r="F9282" t="inlineStr">
        <is>
          <t>SCA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28371-2025</t>
        </is>
      </c>
      <c r="B9283" s="1" t="n">
        <v>45818</v>
      </c>
      <c r="C9283" s="1" t="n">
        <v>46185</v>
      </c>
      <c r="D9283" t="inlineStr">
        <is>
          <t>VÄSTERNORRLANDS LÄN</t>
        </is>
      </c>
      <c r="E9283" t="inlineStr">
        <is>
          <t>ÖRNSKÖLDSVIK</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31089-2025</t>
        </is>
      </c>
      <c r="B9284" s="1" t="n">
        <v>45832.59292824074</v>
      </c>
      <c r="C9284" s="1" t="n">
        <v>46185</v>
      </c>
      <c r="D9284" t="inlineStr">
        <is>
          <t>VÄSTERNORRLANDS LÄN</t>
        </is>
      </c>
      <c r="E9284" t="inlineStr">
        <is>
          <t>ÖRNSKÖLDSVIK</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33522-2025</t>
        </is>
      </c>
      <c r="B9285" s="1" t="n">
        <v>45841.54479166667</v>
      </c>
      <c r="C9285" s="1" t="n">
        <v>46185</v>
      </c>
      <c r="D9285" t="inlineStr">
        <is>
          <t>VÄSTERNORRLANDS LÄN</t>
        </is>
      </c>
      <c r="E9285" t="inlineStr">
        <is>
          <t>KRAMFORS</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68084-2021</t>
        </is>
      </c>
      <c r="B9286" s="1" t="n">
        <v>44526.33138888889</v>
      </c>
      <c r="C9286" s="1" t="n">
        <v>46185</v>
      </c>
      <c r="D9286" t="inlineStr">
        <is>
          <t>VÄSTERNORRLANDS LÄN</t>
        </is>
      </c>
      <c r="E9286" t="inlineStr">
        <is>
          <t>ÖRNSKÖLDSVIK</t>
        </is>
      </c>
      <c r="F9286" t="inlineStr">
        <is>
          <t>Övriga Aktiebolag</t>
        </is>
      </c>
      <c r="G9286" t="n">
        <v>9.699999999999999</v>
      </c>
      <c r="H9286" t="n">
        <v>0</v>
      </c>
      <c r="I9286" t="n">
        <v>0</v>
      </c>
      <c r="J9286" t="n">
        <v>0</v>
      </c>
      <c r="K9286" t="n">
        <v>0</v>
      </c>
      <c r="L9286" t="n">
        <v>0</v>
      </c>
      <c r="M9286" t="n">
        <v>0</v>
      </c>
      <c r="N9286" t="n">
        <v>0</v>
      </c>
      <c r="O9286" t="n">
        <v>0</v>
      </c>
      <c r="P9286" t="n">
        <v>0</v>
      </c>
      <c r="Q9286" t="n">
        <v>0</v>
      </c>
      <c r="R9286" s="2" t="inlineStr"/>
    </row>
    <row r="9287" ht="15" customHeight="1">
      <c r="A9287" t="inlineStr">
        <is>
          <t>A 3197-2024</t>
        </is>
      </c>
      <c r="B9287" s="1" t="n">
        <v>45316</v>
      </c>
      <c r="C9287" s="1" t="n">
        <v>46185</v>
      </c>
      <c r="D9287" t="inlineStr">
        <is>
          <t>VÄSTERNORRLANDS LÄN</t>
        </is>
      </c>
      <c r="E9287" t="inlineStr">
        <is>
          <t>SUNDSVALL</t>
        </is>
      </c>
      <c r="G9287" t="n">
        <v>5</v>
      </c>
      <c r="H9287" t="n">
        <v>0</v>
      </c>
      <c r="I9287" t="n">
        <v>0</v>
      </c>
      <c r="J9287" t="n">
        <v>0</v>
      </c>
      <c r="K9287" t="n">
        <v>0</v>
      </c>
      <c r="L9287" t="n">
        <v>0</v>
      </c>
      <c r="M9287" t="n">
        <v>0</v>
      </c>
      <c r="N9287" t="n">
        <v>0</v>
      </c>
      <c r="O9287" t="n">
        <v>0</v>
      </c>
      <c r="P9287" t="n">
        <v>0</v>
      </c>
      <c r="Q9287" t="n">
        <v>0</v>
      </c>
      <c r="R9287" s="2" t="inlineStr"/>
    </row>
    <row r="9288" ht="15" customHeight="1">
      <c r="A9288" t="inlineStr">
        <is>
          <t>A 52987-2022</t>
        </is>
      </c>
      <c r="B9288" s="1" t="n">
        <v>44875</v>
      </c>
      <c r="C9288" s="1" t="n">
        <v>46185</v>
      </c>
      <c r="D9288" t="inlineStr">
        <is>
          <t>VÄSTERNORRLANDS LÄN</t>
        </is>
      </c>
      <c r="E9288" t="inlineStr">
        <is>
          <t>HÄRNÖSAND</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5447-2025</t>
        </is>
      </c>
      <c r="B9289" s="1" t="n">
        <v>45692</v>
      </c>
      <c r="C9289" s="1" t="n">
        <v>46185</v>
      </c>
      <c r="D9289" t="inlineStr">
        <is>
          <t>VÄSTERNORRLANDS LÄN</t>
        </is>
      </c>
      <c r="E9289" t="inlineStr">
        <is>
          <t>SOLLEFTEÅ</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33675-2025</t>
        </is>
      </c>
      <c r="B9290" s="1" t="n">
        <v>45841.67796296296</v>
      </c>
      <c r="C9290" s="1" t="n">
        <v>46185</v>
      </c>
      <c r="D9290" t="inlineStr">
        <is>
          <t>VÄSTERNORRLANDS LÄN</t>
        </is>
      </c>
      <c r="E9290" t="inlineStr">
        <is>
          <t>SOLLEFTEÅ</t>
        </is>
      </c>
      <c r="F9290" t="inlineStr">
        <is>
          <t>SCA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102-2025</t>
        </is>
      </c>
      <c r="B9291" s="1" t="n">
        <v>45649</v>
      </c>
      <c r="C9291" s="1" t="n">
        <v>46185</v>
      </c>
      <c r="D9291" t="inlineStr">
        <is>
          <t>VÄSTERNORRLANDS LÄN</t>
        </is>
      </c>
      <c r="E9291" t="inlineStr">
        <is>
          <t>ÖRNSKÖLDSVIK</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15799-2025</t>
        </is>
      </c>
      <c r="B9292" s="1" t="n">
        <v>45748.64768518518</v>
      </c>
      <c r="C9292" s="1" t="n">
        <v>46185</v>
      </c>
      <c r="D9292" t="inlineStr">
        <is>
          <t>VÄSTERNORRLANDS LÄN</t>
        </is>
      </c>
      <c r="E9292" t="inlineStr">
        <is>
          <t>ÅNGE</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44662-2024</t>
        </is>
      </c>
      <c r="B9293" s="1" t="n">
        <v>45574.53189814815</v>
      </c>
      <c r="C9293" s="1" t="n">
        <v>46185</v>
      </c>
      <c r="D9293" t="inlineStr">
        <is>
          <t>VÄSTERNORRLANDS LÄN</t>
        </is>
      </c>
      <c r="E9293" t="inlineStr">
        <is>
          <t>SOLLEFTEÅ</t>
        </is>
      </c>
      <c r="F9293" t="inlineStr">
        <is>
          <t>SCA</t>
        </is>
      </c>
      <c r="G9293" t="n">
        <v>6.7</v>
      </c>
      <c r="H9293" t="n">
        <v>0</v>
      </c>
      <c r="I9293" t="n">
        <v>0</v>
      </c>
      <c r="J9293" t="n">
        <v>0</v>
      </c>
      <c r="K9293" t="n">
        <v>0</v>
      </c>
      <c r="L9293" t="n">
        <v>0</v>
      </c>
      <c r="M9293" t="n">
        <v>0</v>
      </c>
      <c r="N9293" t="n">
        <v>0</v>
      </c>
      <c r="O9293" t="n">
        <v>0</v>
      </c>
      <c r="P9293" t="n">
        <v>0</v>
      </c>
      <c r="Q9293" t="n">
        <v>0</v>
      </c>
      <c r="R9293" s="2" t="inlineStr"/>
    </row>
    <row r="9294" ht="15" customHeight="1">
      <c r="A9294" t="inlineStr">
        <is>
          <t>A 44871-2025</t>
        </is>
      </c>
      <c r="B9294" s="1" t="n">
        <v>45918.46938657408</v>
      </c>
      <c r="C9294" s="1" t="n">
        <v>46185</v>
      </c>
      <c r="D9294" t="inlineStr">
        <is>
          <t>VÄSTERNORRLANDS LÄN</t>
        </is>
      </c>
      <c r="E9294" t="inlineStr">
        <is>
          <t>SOLLEFTEÅ</t>
        </is>
      </c>
      <c r="F9294" t="inlineStr">
        <is>
          <t>SCA</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29279-2024</t>
        </is>
      </c>
      <c r="B9295" s="1" t="n">
        <v>45482.95092592593</v>
      </c>
      <c r="C9295" s="1" t="n">
        <v>46185</v>
      </c>
      <c r="D9295" t="inlineStr">
        <is>
          <t>VÄSTERNORRLANDS LÄN</t>
        </is>
      </c>
      <c r="E9295" t="inlineStr">
        <is>
          <t>HÄRNÖSAND</t>
        </is>
      </c>
      <c r="F9295" t="inlineStr">
        <is>
          <t>SCA</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34904-2022</t>
        </is>
      </c>
      <c r="B9296" s="1" t="n">
        <v>44796</v>
      </c>
      <c r="C9296" s="1" t="n">
        <v>46185</v>
      </c>
      <c r="D9296" t="inlineStr">
        <is>
          <t>VÄSTERNORRLANDS LÄN</t>
        </is>
      </c>
      <c r="E9296" t="inlineStr">
        <is>
          <t>ÖRNSKÖLDSVIK</t>
        </is>
      </c>
      <c r="G9296" t="n">
        <v>9.699999999999999</v>
      </c>
      <c r="H9296" t="n">
        <v>0</v>
      </c>
      <c r="I9296" t="n">
        <v>0</v>
      </c>
      <c r="J9296" t="n">
        <v>0</v>
      </c>
      <c r="K9296" t="n">
        <v>0</v>
      </c>
      <c r="L9296" t="n">
        <v>0</v>
      </c>
      <c r="M9296" t="n">
        <v>0</v>
      </c>
      <c r="N9296" t="n">
        <v>0</v>
      </c>
      <c r="O9296" t="n">
        <v>0</v>
      </c>
      <c r="P9296" t="n">
        <v>0</v>
      </c>
      <c r="Q9296" t="n">
        <v>0</v>
      </c>
      <c r="R9296" s="2" t="inlineStr"/>
    </row>
    <row r="9297" ht="15" customHeight="1">
      <c r="A9297" t="inlineStr">
        <is>
          <t>A 62019-2023</t>
        </is>
      </c>
      <c r="B9297" s="1" t="n">
        <v>45266</v>
      </c>
      <c r="C9297" s="1" t="n">
        <v>46185</v>
      </c>
      <c r="D9297" t="inlineStr">
        <is>
          <t>VÄSTERNORRLANDS LÄN</t>
        </is>
      </c>
      <c r="E9297" t="inlineStr">
        <is>
          <t>ÖRNSKÖLDSVIK</t>
        </is>
      </c>
      <c r="F9297" t="inlineStr">
        <is>
          <t>Holmen skog AB</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19900-2025</t>
        </is>
      </c>
      <c r="B9298" s="1" t="n">
        <v>45771.588125</v>
      </c>
      <c r="C9298" s="1" t="n">
        <v>46185</v>
      </c>
      <c r="D9298" t="inlineStr">
        <is>
          <t>VÄSTERNORRLANDS LÄN</t>
        </is>
      </c>
      <c r="E9298" t="inlineStr">
        <is>
          <t>HÄRNÖSAND</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1191-2026</t>
        </is>
      </c>
      <c r="B9299" s="1" t="n">
        <v>46031.36658564815</v>
      </c>
      <c r="C9299" s="1" t="n">
        <v>46185</v>
      </c>
      <c r="D9299" t="inlineStr">
        <is>
          <t>VÄSTERNORRLANDS LÄN</t>
        </is>
      </c>
      <c r="E9299" t="inlineStr">
        <is>
          <t>ÖRNSKÖLDSVIK</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45217-2024</t>
        </is>
      </c>
      <c r="B9300" s="1" t="n">
        <v>45575</v>
      </c>
      <c r="C9300" s="1" t="n">
        <v>46185</v>
      </c>
      <c r="D9300" t="inlineStr">
        <is>
          <t>VÄSTERNORRLANDS LÄN</t>
        </is>
      </c>
      <c r="E9300" t="inlineStr">
        <is>
          <t>ÖRNSKÖLDSVIK</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63492-2023</t>
        </is>
      </c>
      <c r="B9301" s="1" t="n">
        <v>45273</v>
      </c>
      <c r="C9301" s="1" t="n">
        <v>46185</v>
      </c>
      <c r="D9301" t="inlineStr">
        <is>
          <t>VÄSTERNORRLANDS LÄN</t>
        </is>
      </c>
      <c r="E9301" t="inlineStr">
        <is>
          <t>KRAMFORS</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22962-2024</t>
        </is>
      </c>
      <c r="B9302" s="1" t="n">
        <v>45449.51231481481</v>
      </c>
      <c r="C9302" s="1" t="n">
        <v>46185</v>
      </c>
      <c r="D9302" t="inlineStr">
        <is>
          <t>VÄSTERNORRLANDS LÄN</t>
        </is>
      </c>
      <c r="E9302" t="inlineStr">
        <is>
          <t>ÖRNSKÖLDSVIK</t>
        </is>
      </c>
      <c r="F9302" t="inlineStr">
        <is>
          <t>Holmen skog AB</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8219-2026</t>
        </is>
      </c>
      <c r="B9303" s="1" t="n">
        <v>46064.46196759259</v>
      </c>
      <c r="C9303" s="1" t="n">
        <v>46185</v>
      </c>
      <c r="D9303" t="inlineStr">
        <is>
          <t>VÄSTERNORRLANDS LÄN</t>
        </is>
      </c>
      <c r="E9303" t="inlineStr">
        <is>
          <t>KRAMFORS</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10705-2026</t>
        </is>
      </c>
      <c r="B9304" s="1" t="n">
        <v>46078.44865740741</v>
      </c>
      <c r="C9304" s="1" t="n">
        <v>46185</v>
      </c>
      <c r="D9304" t="inlineStr">
        <is>
          <t>VÄSTERNORRLANDS LÄN</t>
        </is>
      </c>
      <c r="E9304" t="inlineStr">
        <is>
          <t>ÅNGE</t>
        </is>
      </c>
      <c r="F9304" t="inlineStr">
        <is>
          <t>SCA</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26220-2026</t>
        </is>
      </c>
      <c r="B9305" s="1" t="n">
        <v>46182</v>
      </c>
      <c r="C9305" s="1" t="n">
        <v>46185</v>
      </c>
      <c r="D9305" t="inlineStr">
        <is>
          <t>VÄSTERNORRLANDS LÄN</t>
        </is>
      </c>
      <c r="E9305" t="inlineStr">
        <is>
          <t>ÖRNSKÖLDSVIK</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34221-2024</t>
        </is>
      </c>
      <c r="B9306" s="1" t="n">
        <v>45524</v>
      </c>
      <c r="C9306" s="1" t="n">
        <v>46185</v>
      </c>
      <c r="D9306" t="inlineStr">
        <is>
          <t>VÄSTERNORRLANDS LÄN</t>
        </is>
      </c>
      <c r="E9306" t="inlineStr">
        <is>
          <t>ÖRNSKÖLDSVIK</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12638-2025</t>
        </is>
      </c>
      <c r="B9307" s="1" t="n">
        <v>45733.3852662037</v>
      </c>
      <c r="C9307" s="1" t="n">
        <v>46185</v>
      </c>
      <c r="D9307" t="inlineStr">
        <is>
          <t>VÄSTERNORRLANDS LÄN</t>
        </is>
      </c>
      <c r="E9307" t="inlineStr">
        <is>
          <t>KRAMFORS</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46827-2025</t>
        </is>
      </c>
      <c r="B9308" s="1" t="n">
        <v>45927.34444444445</v>
      </c>
      <c r="C9308" s="1" t="n">
        <v>46185</v>
      </c>
      <c r="D9308" t="inlineStr">
        <is>
          <t>VÄSTERNORRLANDS LÄN</t>
        </is>
      </c>
      <c r="E9308" t="inlineStr">
        <is>
          <t>TIMRÅ</t>
        </is>
      </c>
      <c r="F9308" t="inlineStr">
        <is>
          <t>SCA</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31785-2024</t>
        </is>
      </c>
      <c r="B9309" s="1" t="n">
        <v>45509.50349537037</v>
      </c>
      <c r="C9309" s="1" t="n">
        <v>46185</v>
      </c>
      <c r="D9309" t="inlineStr">
        <is>
          <t>VÄSTERNORRLANDS LÄN</t>
        </is>
      </c>
      <c r="E9309" t="inlineStr">
        <is>
          <t>ÖRNSKÖLDSVIK</t>
        </is>
      </c>
      <c r="F9309" t="inlineStr">
        <is>
          <t>Holmen skog AB</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31786-2024</t>
        </is>
      </c>
      <c r="B9310" s="1" t="n">
        <v>45509.50989583333</v>
      </c>
      <c r="C9310" s="1" t="n">
        <v>46185</v>
      </c>
      <c r="D9310" t="inlineStr">
        <is>
          <t>VÄSTERNORRLANDS LÄN</t>
        </is>
      </c>
      <c r="E9310" t="inlineStr">
        <is>
          <t>ÖRNSKÖLDSVIK</t>
        </is>
      </c>
      <c r="F9310" t="inlineStr">
        <is>
          <t>Holmen skog AB</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48426-2025</t>
        </is>
      </c>
      <c r="B9311" s="1" t="n">
        <v>45934.71929398148</v>
      </c>
      <c r="C9311" s="1" t="n">
        <v>46185</v>
      </c>
      <c r="D9311" t="inlineStr">
        <is>
          <t>VÄSTERNORRLANDS LÄN</t>
        </is>
      </c>
      <c r="E9311" t="inlineStr">
        <is>
          <t>SUNDSVALL</t>
        </is>
      </c>
      <c r="F9311" t="inlineStr">
        <is>
          <t>SCA</t>
        </is>
      </c>
      <c r="G9311" t="n">
        <v>19.9</v>
      </c>
      <c r="H9311" t="n">
        <v>0</v>
      </c>
      <c r="I9311" t="n">
        <v>0</v>
      </c>
      <c r="J9311" t="n">
        <v>0</v>
      </c>
      <c r="K9311" t="n">
        <v>0</v>
      </c>
      <c r="L9311" t="n">
        <v>0</v>
      </c>
      <c r="M9311" t="n">
        <v>0</v>
      </c>
      <c r="N9311" t="n">
        <v>0</v>
      </c>
      <c r="O9311" t="n">
        <v>0</v>
      </c>
      <c r="P9311" t="n">
        <v>0</v>
      </c>
      <c r="Q9311" t="n">
        <v>0</v>
      </c>
      <c r="R9311" s="2" t="inlineStr"/>
    </row>
    <row r="9312" ht="15" customHeight="1">
      <c r="A9312" t="inlineStr">
        <is>
          <t>A 31866-2024</t>
        </is>
      </c>
      <c r="B9312" s="1" t="n">
        <v>45509</v>
      </c>
      <c r="C9312" s="1" t="n">
        <v>46185</v>
      </c>
      <c r="D9312" t="inlineStr">
        <is>
          <t>VÄSTERNORRLANDS LÄN</t>
        </is>
      </c>
      <c r="E9312" t="inlineStr">
        <is>
          <t>ÅNGE</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31867-2024</t>
        </is>
      </c>
      <c r="B9313" s="1" t="n">
        <v>45509</v>
      </c>
      <c r="C9313" s="1" t="n">
        <v>46185</v>
      </c>
      <c r="D9313" t="inlineStr">
        <is>
          <t>VÄSTERNORRLANDS LÄN</t>
        </is>
      </c>
      <c r="E9313" t="inlineStr">
        <is>
          <t>ÅNGE</t>
        </is>
      </c>
      <c r="G9313" t="n">
        <v>7.8</v>
      </c>
      <c r="H9313" t="n">
        <v>0</v>
      </c>
      <c r="I9313" t="n">
        <v>0</v>
      </c>
      <c r="J9313" t="n">
        <v>0</v>
      </c>
      <c r="K9313" t="n">
        <v>0</v>
      </c>
      <c r="L9313" t="n">
        <v>0</v>
      </c>
      <c r="M9313" t="n">
        <v>0</v>
      </c>
      <c r="N9313" t="n">
        <v>0</v>
      </c>
      <c r="O9313" t="n">
        <v>0</v>
      </c>
      <c r="P9313" t="n">
        <v>0</v>
      </c>
      <c r="Q9313" t="n">
        <v>0</v>
      </c>
      <c r="R9313" s="2" t="inlineStr"/>
    </row>
    <row r="9314" ht="15" customHeight="1">
      <c r="A9314" t="inlineStr">
        <is>
          <t>A 26277-2026</t>
        </is>
      </c>
      <c r="B9314" s="1" t="n">
        <v>46182.55135416667</v>
      </c>
      <c r="C9314" s="1" t="n">
        <v>46185</v>
      </c>
      <c r="D9314" t="inlineStr">
        <is>
          <t>VÄSTERNORRLANDS LÄN</t>
        </is>
      </c>
      <c r="E9314" t="inlineStr">
        <is>
          <t>ÖRNSKÖLDSVIK</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47246-2024</t>
        </is>
      </c>
      <c r="B9315" s="1" t="n">
        <v>45586.69940972222</v>
      </c>
      <c r="C9315" s="1" t="n">
        <v>46185</v>
      </c>
      <c r="D9315" t="inlineStr">
        <is>
          <t>VÄSTERNORRLANDS LÄN</t>
        </is>
      </c>
      <c r="E9315" t="inlineStr">
        <is>
          <t>SUNDSVALL</t>
        </is>
      </c>
      <c r="F9315" t="inlineStr">
        <is>
          <t>SCA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1269-2024</t>
        </is>
      </c>
      <c r="B9316" s="1" t="n">
        <v>45302</v>
      </c>
      <c r="C9316" s="1" t="n">
        <v>46185</v>
      </c>
      <c r="D9316" t="inlineStr">
        <is>
          <t>VÄSTERNORRLANDS LÄN</t>
        </is>
      </c>
      <c r="E9316" t="inlineStr">
        <is>
          <t>SOLLEFTEÅ</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49360-2024</t>
        </is>
      </c>
      <c r="B9317" s="1" t="n">
        <v>45595.626875</v>
      </c>
      <c r="C9317" s="1" t="n">
        <v>46185</v>
      </c>
      <c r="D9317" t="inlineStr">
        <is>
          <t>VÄSTERNORRLANDS LÄN</t>
        </is>
      </c>
      <c r="E9317" t="inlineStr">
        <is>
          <t>SUNDSVALL</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26163-2026</t>
        </is>
      </c>
      <c r="B9318" s="1" t="n">
        <v>46181.85326388889</v>
      </c>
      <c r="C9318" s="1" t="n">
        <v>46185</v>
      </c>
      <c r="D9318" t="inlineStr">
        <is>
          <t>VÄSTERNORRLANDS LÄN</t>
        </is>
      </c>
      <c r="E9318" t="inlineStr">
        <is>
          <t>SUNDSVALL</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53921-2022</t>
        </is>
      </c>
      <c r="B9319" s="1" t="n">
        <v>44880</v>
      </c>
      <c r="C9319" s="1" t="n">
        <v>46185</v>
      </c>
      <c r="D9319" t="inlineStr">
        <is>
          <t>VÄSTERNORRLANDS LÄN</t>
        </is>
      </c>
      <c r="E9319" t="inlineStr">
        <is>
          <t>SUNDSVALL</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53929-2022</t>
        </is>
      </c>
      <c r="B9320" s="1" t="n">
        <v>44880</v>
      </c>
      <c r="C9320" s="1" t="n">
        <v>46185</v>
      </c>
      <c r="D9320" t="inlineStr">
        <is>
          <t>VÄSTERNORRLANDS LÄN</t>
        </is>
      </c>
      <c r="E9320" t="inlineStr">
        <is>
          <t>SOLLEFTEÅ</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53939-2022</t>
        </is>
      </c>
      <c r="B9321" s="1" t="n">
        <v>44880.95625</v>
      </c>
      <c r="C9321" s="1" t="n">
        <v>46185</v>
      </c>
      <c r="D9321" t="inlineStr">
        <is>
          <t>VÄSTERNORRLANDS LÄN</t>
        </is>
      </c>
      <c r="E9321" t="inlineStr">
        <is>
          <t>SUNDSVALL</t>
        </is>
      </c>
      <c r="F9321" t="inlineStr">
        <is>
          <t>SCA</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53943-2022</t>
        </is>
      </c>
      <c r="B9322" s="1" t="n">
        <v>44880</v>
      </c>
      <c r="C9322" s="1" t="n">
        <v>46185</v>
      </c>
      <c r="D9322" t="inlineStr">
        <is>
          <t>VÄSTERNORRLANDS LÄN</t>
        </is>
      </c>
      <c r="E9322" t="inlineStr">
        <is>
          <t>SUNDSVALL</t>
        </is>
      </c>
      <c r="F9322" t="inlineStr">
        <is>
          <t>SCA</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53947-2022</t>
        </is>
      </c>
      <c r="B9323" s="1" t="n">
        <v>44880.95685185185</v>
      </c>
      <c r="C9323" s="1" t="n">
        <v>46185</v>
      </c>
      <c r="D9323" t="inlineStr">
        <is>
          <t>VÄSTERNORRLANDS LÄN</t>
        </is>
      </c>
      <c r="E9323" t="inlineStr">
        <is>
          <t>SOLLEFTEÅ</t>
        </is>
      </c>
      <c r="F9323" t="inlineStr">
        <is>
          <t>SCA</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50557-2024</t>
        </is>
      </c>
      <c r="B9324" s="1" t="n">
        <v>45601</v>
      </c>
      <c r="C9324" s="1" t="n">
        <v>46185</v>
      </c>
      <c r="D9324" t="inlineStr">
        <is>
          <t>VÄSTERNORRLANDS LÄN</t>
        </is>
      </c>
      <c r="E9324" t="inlineStr">
        <is>
          <t>SOLLEFTEÅ</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39178-2024</t>
        </is>
      </c>
      <c r="B9325" s="1" t="n">
        <v>45548.65692129629</v>
      </c>
      <c r="C9325" s="1" t="n">
        <v>46185</v>
      </c>
      <c r="D9325" t="inlineStr">
        <is>
          <t>VÄSTERNORRLANDS LÄN</t>
        </is>
      </c>
      <c r="E9325" t="inlineStr">
        <is>
          <t>ÅNGE</t>
        </is>
      </c>
      <c r="F9325" t="inlineStr">
        <is>
          <t>SCA</t>
        </is>
      </c>
      <c r="G9325" t="n">
        <v>4.2</v>
      </c>
      <c r="H9325" t="n">
        <v>0</v>
      </c>
      <c r="I9325" t="n">
        <v>0</v>
      </c>
      <c r="J9325" t="n">
        <v>0</v>
      </c>
      <c r="K9325" t="n">
        <v>0</v>
      </c>
      <c r="L9325" t="n">
        <v>0</v>
      </c>
      <c r="M9325" t="n">
        <v>0</v>
      </c>
      <c r="N9325" t="n">
        <v>0</v>
      </c>
      <c r="O9325" t="n">
        <v>0</v>
      </c>
      <c r="P9325" t="n">
        <v>0</v>
      </c>
      <c r="Q9325" t="n">
        <v>0</v>
      </c>
      <c r="R9325" s="2" t="inlineStr"/>
    </row>
    <row r="9326" ht="15" customHeight="1">
      <c r="A9326" t="inlineStr">
        <is>
          <t>A 5416-2026</t>
        </is>
      </c>
      <c r="B9326" s="1" t="n">
        <v>46050.53677083334</v>
      </c>
      <c r="C9326" s="1" t="n">
        <v>46185</v>
      </c>
      <c r="D9326" t="inlineStr">
        <is>
          <t>VÄSTERNORRLANDS LÄN</t>
        </is>
      </c>
      <c r="E9326" t="inlineStr">
        <is>
          <t>SUNDSVALL</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36313-2025</t>
        </is>
      </c>
      <c r="B9327" s="1" t="n">
        <v>45868.34456018519</v>
      </c>
      <c r="C9327" s="1" t="n">
        <v>46185</v>
      </c>
      <c r="D9327" t="inlineStr">
        <is>
          <t>VÄSTERNORRLANDS LÄN</t>
        </is>
      </c>
      <c r="E9327" t="inlineStr">
        <is>
          <t>SOLLEFTEÅ</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55655-2024</t>
        </is>
      </c>
      <c r="B9328" s="1" t="n">
        <v>45622.63578703703</v>
      </c>
      <c r="C9328" s="1" t="n">
        <v>46185</v>
      </c>
      <c r="D9328" t="inlineStr">
        <is>
          <t>VÄSTERNORRLANDS LÄN</t>
        </is>
      </c>
      <c r="E9328" t="inlineStr">
        <is>
          <t>ÖRNSKÖLDSVIK</t>
        </is>
      </c>
      <c r="F9328" t="inlineStr">
        <is>
          <t>SCA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47871-2024</t>
        </is>
      </c>
      <c r="B9329" s="1" t="n">
        <v>45588</v>
      </c>
      <c r="C9329" s="1" t="n">
        <v>46185</v>
      </c>
      <c r="D9329" t="inlineStr">
        <is>
          <t>VÄSTERNORRLANDS LÄN</t>
        </is>
      </c>
      <c r="E9329" t="inlineStr">
        <is>
          <t>ÖRNSKÖLDSVIK</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58-2026</t>
        </is>
      </c>
      <c r="B9330" s="1" t="n">
        <v>46024</v>
      </c>
      <c r="C9330" s="1" t="n">
        <v>46185</v>
      </c>
      <c r="D9330" t="inlineStr">
        <is>
          <t>VÄSTERNORRLANDS LÄN</t>
        </is>
      </c>
      <c r="E9330" t="inlineStr">
        <is>
          <t>ÅNGE</t>
        </is>
      </c>
      <c r="F9330" t="inlineStr">
        <is>
          <t>Kyrkan</t>
        </is>
      </c>
      <c r="G9330" t="n">
        <v>7.2</v>
      </c>
      <c r="H9330" t="n">
        <v>0</v>
      </c>
      <c r="I9330" t="n">
        <v>0</v>
      </c>
      <c r="J9330" t="n">
        <v>0</v>
      </c>
      <c r="K9330" t="n">
        <v>0</v>
      </c>
      <c r="L9330" t="n">
        <v>0</v>
      </c>
      <c r="M9330" t="n">
        <v>0</v>
      </c>
      <c r="N9330" t="n">
        <v>0</v>
      </c>
      <c r="O9330" t="n">
        <v>0</v>
      </c>
      <c r="P9330" t="n">
        <v>0</v>
      </c>
      <c r="Q9330" t="n">
        <v>0</v>
      </c>
      <c r="R9330" s="2" t="inlineStr"/>
    </row>
    <row r="9331" ht="15" customHeight="1">
      <c r="A9331" t="inlineStr">
        <is>
          <t>A 22767-2025</t>
        </is>
      </c>
      <c r="B9331" s="1" t="n">
        <v>45789.63309027778</v>
      </c>
      <c r="C9331" s="1" t="n">
        <v>46185</v>
      </c>
      <c r="D9331" t="inlineStr">
        <is>
          <t>VÄSTERNORRLANDS LÄN</t>
        </is>
      </c>
      <c r="E9331" t="inlineStr">
        <is>
          <t>SOLLEFTEÅ</t>
        </is>
      </c>
      <c r="G9331" t="n">
        <v>5.8</v>
      </c>
      <c r="H9331" t="n">
        <v>0</v>
      </c>
      <c r="I9331" t="n">
        <v>0</v>
      </c>
      <c r="J9331" t="n">
        <v>0</v>
      </c>
      <c r="K9331" t="n">
        <v>0</v>
      </c>
      <c r="L9331" t="n">
        <v>0</v>
      </c>
      <c r="M9331" t="n">
        <v>0</v>
      </c>
      <c r="N9331" t="n">
        <v>0</v>
      </c>
      <c r="O9331" t="n">
        <v>0</v>
      </c>
      <c r="P9331" t="n">
        <v>0</v>
      </c>
      <c r="Q9331" t="n">
        <v>0</v>
      </c>
      <c r="R9331" s="2" t="inlineStr"/>
    </row>
    <row r="9332" ht="15" customHeight="1">
      <c r="A9332" t="inlineStr">
        <is>
          <t>A 34390-2025</t>
        </is>
      </c>
      <c r="B9332" s="1" t="n">
        <v>45846.57333333333</v>
      </c>
      <c r="C9332" s="1" t="n">
        <v>46185</v>
      </c>
      <c r="D9332" t="inlineStr">
        <is>
          <t>VÄSTERNORRLANDS LÄN</t>
        </is>
      </c>
      <c r="E9332" t="inlineStr">
        <is>
          <t>SUNDSVALL</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39779-2021</t>
        </is>
      </c>
      <c r="B9333" s="1" t="n">
        <v>44417</v>
      </c>
      <c r="C9333" s="1" t="n">
        <v>46185</v>
      </c>
      <c r="D9333" t="inlineStr">
        <is>
          <t>VÄSTERNORRLANDS LÄN</t>
        </is>
      </c>
      <c r="E9333" t="inlineStr">
        <is>
          <t>ÖRNSKÖLDSVIK</t>
        </is>
      </c>
      <c r="F9333" t="inlineStr">
        <is>
          <t>Holmen skog AB</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11574-2026</t>
        </is>
      </c>
      <c r="B9334" s="1" t="n">
        <v>46084.38381944445</v>
      </c>
      <c r="C9334" s="1" t="n">
        <v>46185</v>
      </c>
      <c r="D9334" t="inlineStr">
        <is>
          <t>VÄSTERNORRLANDS LÄN</t>
        </is>
      </c>
      <c r="E9334" t="inlineStr">
        <is>
          <t>KRAMFORS</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46101-2024</t>
        </is>
      </c>
      <c r="B9335" s="1" t="n">
        <v>45581</v>
      </c>
      <c r="C9335" s="1" t="n">
        <v>46185</v>
      </c>
      <c r="D9335" t="inlineStr">
        <is>
          <t>VÄSTERNORRLANDS LÄN</t>
        </is>
      </c>
      <c r="E9335" t="inlineStr">
        <is>
          <t>SOLLEFTEÅ</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53373-2025</t>
        </is>
      </c>
      <c r="B9336" s="1" t="n">
        <v>45959.50439814815</v>
      </c>
      <c r="C9336" s="1" t="n">
        <v>46185</v>
      </c>
      <c r="D9336" t="inlineStr">
        <is>
          <t>VÄSTERNORRLANDS LÄN</t>
        </is>
      </c>
      <c r="E9336" t="inlineStr">
        <is>
          <t>KRAMFORS</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33717-2025</t>
        </is>
      </c>
      <c r="B9337" s="1" t="n">
        <v>45841.89357638889</v>
      </c>
      <c r="C9337" s="1" t="n">
        <v>46185</v>
      </c>
      <c r="D9337" t="inlineStr">
        <is>
          <t>VÄSTERNORRLANDS LÄN</t>
        </is>
      </c>
      <c r="E9337" t="inlineStr">
        <is>
          <t>ÅNGE</t>
        </is>
      </c>
      <c r="G9337" t="n">
        <v>14.3</v>
      </c>
      <c r="H9337" t="n">
        <v>0</v>
      </c>
      <c r="I9337" t="n">
        <v>0</v>
      </c>
      <c r="J9337" t="n">
        <v>0</v>
      </c>
      <c r="K9337" t="n">
        <v>0</v>
      </c>
      <c r="L9337" t="n">
        <v>0</v>
      </c>
      <c r="M9337" t="n">
        <v>0</v>
      </c>
      <c r="N9337" t="n">
        <v>0</v>
      </c>
      <c r="O9337" t="n">
        <v>0</v>
      </c>
      <c r="P9337" t="n">
        <v>0</v>
      </c>
      <c r="Q9337" t="n">
        <v>0</v>
      </c>
      <c r="R9337" s="2" t="inlineStr"/>
    </row>
    <row r="9338" ht="15" customHeight="1">
      <c r="A9338" t="inlineStr">
        <is>
          <t>A 42035-2025</t>
        </is>
      </c>
      <c r="B9338" s="1" t="n">
        <v>45903.61159722223</v>
      </c>
      <c r="C9338" s="1" t="n">
        <v>46185</v>
      </c>
      <c r="D9338" t="inlineStr">
        <is>
          <t>VÄSTERNORRLANDS LÄN</t>
        </is>
      </c>
      <c r="E9338" t="inlineStr">
        <is>
          <t>ÖRNSKÖLDSVIK</t>
        </is>
      </c>
      <c r="G9338" t="n">
        <v>6.8</v>
      </c>
      <c r="H9338" t="n">
        <v>0</v>
      </c>
      <c r="I9338" t="n">
        <v>0</v>
      </c>
      <c r="J9338" t="n">
        <v>0</v>
      </c>
      <c r="K9338" t="n">
        <v>0</v>
      </c>
      <c r="L9338" t="n">
        <v>0</v>
      </c>
      <c r="M9338" t="n">
        <v>0</v>
      </c>
      <c r="N9338" t="n">
        <v>0</v>
      </c>
      <c r="O9338" t="n">
        <v>0</v>
      </c>
      <c r="P9338" t="n">
        <v>0</v>
      </c>
      <c r="Q9338" t="n">
        <v>0</v>
      </c>
      <c r="R9338" s="2" t="inlineStr"/>
    </row>
    <row r="9339" ht="15" customHeight="1">
      <c r="A9339" t="inlineStr">
        <is>
          <t>A 21226-2024</t>
        </is>
      </c>
      <c r="B9339" s="1" t="n">
        <v>45440.57903935185</v>
      </c>
      <c r="C9339" s="1" t="n">
        <v>46185</v>
      </c>
      <c r="D9339" t="inlineStr">
        <is>
          <t>VÄSTERNORRLANDS LÄN</t>
        </is>
      </c>
      <c r="E9339" t="inlineStr">
        <is>
          <t>ÖRNSKÖLDSVIK</t>
        </is>
      </c>
      <c r="F9339" t="inlineStr">
        <is>
          <t>Holmen skog AB</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21247-2024</t>
        </is>
      </c>
      <c r="B9340" s="1" t="n">
        <v>45440</v>
      </c>
      <c r="C9340" s="1" t="n">
        <v>46185</v>
      </c>
      <c r="D9340" t="inlineStr">
        <is>
          <t>VÄSTERNORRLANDS LÄN</t>
        </is>
      </c>
      <c r="E9340" t="inlineStr">
        <is>
          <t>SUNDSVALL</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19991-2024</t>
        </is>
      </c>
      <c r="B9341" s="1" t="n">
        <v>45433</v>
      </c>
      <c r="C9341" s="1" t="n">
        <v>46185</v>
      </c>
      <c r="D9341" t="inlineStr">
        <is>
          <t>VÄSTERNORRLANDS LÄN</t>
        </is>
      </c>
      <c r="E9341" t="inlineStr">
        <is>
          <t>ÖRNSKÖLDSVIK</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51479-2024</t>
        </is>
      </c>
      <c r="B9342" s="1" t="n">
        <v>45604.51273148148</v>
      </c>
      <c r="C9342" s="1" t="n">
        <v>46185</v>
      </c>
      <c r="D9342" t="inlineStr">
        <is>
          <t>VÄSTERNORRLANDS LÄN</t>
        </is>
      </c>
      <c r="E9342" t="inlineStr">
        <is>
          <t>ÖRNSKÖLDSVIK</t>
        </is>
      </c>
      <c r="F9342" t="inlineStr">
        <is>
          <t>Holmen skog AB</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57288-2024</t>
        </is>
      </c>
      <c r="B9343" s="1" t="n">
        <v>45629.58568287037</v>
      </c>
      <c r="C9343" s="1" t="n">
        <v>46185</v>
      </c>
      <c r="D9343" t="inlineStr">
        <is>
          <t>VÄSTERNORRLANDS LÄN</t>
        </is>
      </c>
      <c r="E9343" t="inlineStr">
        <is>
          <t>SUNDSVALL</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17729-2024</t>
        </is>
      </c>
      <c r="B9344" s="1" t="n">
        <v>45418.56018518518</v>
      </c>
      <c r="C9344" s="1" t="n">
        <v>46185</v>
      </c>
      <c r="D9344" t="inlineStr">
        <is>
          <t>VÄSTERNORRLANDS LÄN</t>
        </is>
      </c>
      <c r="E9344" t="inlineStr">
        <is>
          <t>KRAMFORS</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43843-2024</t>
        </is>
      </c>
      <c r="B9345" s="1" t="n">
        <v>45572</v>
      </c>
      <c r="C9345" s="1" t="n">
        <v>46185</v>
      </c>
      <c r="D9345" t="inlineStr">
        <is>
          <t>VÄSTERNORRLANDS LÄN</t>
        </is>
      </c>
      <c r="E9345" t="inlineStr">
        <is>
          <t>SOLLEFTEÅ</t>
        </is>
      </c>
      <c r="F9345" t="inlineStr">
        <is>
          <t>SCA</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23137-2024</t>
        </is>
      </c>
      <c r="B9346" s="1" t="n">
        <v>45450.62260416667</v>
      </c>
      <c r="C9346" s="1" t="n">
        <v>46185</v>
      </c>
      <c r="D9346" t="inlineStr">
        <is>
          <t>VÄSTERNORRLANDS LÄN</t>
        </is>
      </c>
      <c r="E9346" t="inlineStr">
        <is>
          <t>ÖRNSKÖLDSVIK</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31204-2023</t>
        </is>
      </c>
      <c r="B9347" s="1" t="n">
        <v>45113.95047453704</v>
      </c>
      <c r="C9347" s="1" t="n">
        <v>46185</v>
      </c>
      <c r="D9347" t="inlineStr">
        <is>
          <t>VÄSTERNORRLANDS LÄN</t>
        </is>
      </c>
      <c r="E9347" t="inlineStr">
        <is>
          <t>SUNDSVALL</t>
        </is>
      </c>
      <c r="F9347" t="inlineStr">
        <is>
          <t>SCA</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31918-2023</t>
        </is>
      </c>
      <c r="B9348" s="1" t="n">
        <v>45118</v>
      </c>
      <c r="C9348" s="1" t="n">
        <v>46185</v>
      </c>
      <c r="D9348" t="inlineStr">
        <is>
          <t>VÄSTERNORRLANDS LÄN</t>
        </is>
      </c>
      <c r="E9348" t="inlineStr">
        <is>
          <t>SOLLEFTEÅ</t>
        </is>
      </c>
      <c r="F9348" t="inlineStr">
        <is>
          <t>SCA</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48031-2024</t>
        </is>
      </c>
      <c r="B9349" s="1" t="n">
        <v>45589.48760416666</v>
      </c>
      <c r="C9349" s="1" t="n">
        <v>46185</v>
      </c>
      <c r="D9349" t="inlineStr">
        <is>
          <t>VÄSTERNORRLANDS LÄN</t>
        </is>
      </c>
      <c r="E9349" t="inlineStr">
        <is>
          <t>TIMRÅ</t>
        </is>
      </c>
      <c r="G9349" t="n">
        <v>8.9</v>
      </c>
      <c r="H9349" t="n">
        <v>0</v>
      </c>
      <c r="I9349" t="n">
        <v>0</v>
      </c>
      <c r="J9349" t="n">
        <v>0</v>
      </c>
      <c r="K9349" t="n">
        <v>0</v>
      </c>
      <c r="L9349" t="n">
        <v>0</v>
      </c>
      <c r="M9349" t="n">
        <v>0</v>
      </c>
      <c r="N9349" t="n">
        <v>0</v>
      </c>
      <c r="O9349" t="n">
        <v>0</v>
      </c>
      <c r="P9349" t="n">
        <v>0</v>
      </c>
      <c r="Q9349" t="n">
        <v>0</v>
      </c>
      <c r="R9349" s="2" t="inlineStr"/>
    </row>
    <row r="9350" ht="15" customHeight="1">
      <c r="A9350" t="inlineStr">
        <is>
          <t>A 31922-2023</t>
        </is>
      </c>
      <c r="B9350" s="1" t="n">
        <v>45118.94021990741</v>
      </c>
      <c r="C9350" s="1" t="n">
        <v>46185</v>
      </c>
      <c r="D9350" t="inlineStr">
        <is>
          <t>VÄSTERNORRLANDS LÄN</t>
        </is>
      </c>
      <c r="E9350" t="inlineStr">
        <is>
          <t>SOLLEFTEÅ</t>
        </is>
      </c>
      <c r="F9350" t="inlineStr">
        <is>
          <t>SCA</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8195-2025</t>
        </is>
      </c>
      <c r="B9351" s="1" t="n">
        <v>45708</v>
      </c>
      <c r="C9351" s="1" t="n">
        <v>46185</v>
      </c>
      <c r="D9351" t="inlineStr">
        <is>
          <t>VÄSTERNORRLANDS LÄN</t>
        </is>
      </c>
      <c r="E9351" t="inlineStr">
        <is>
          <t>SOLLEFTEÅ</t>
        </is>
      </c>
      <c r="F9351" t="inlineStr">
        <is>
          <t>SCA</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20061-2026</t>
        </is>
      </c>
      <c r="B9352" s="1" t="n">
        <v>46136.5859375</v>
      </c>
      <c r="C9352" s="1" t="n">
        <v>46185</v>
      </c>
      <c r="D9352" t="inlineStr">
        <is>
          <t>VÄSTERNORRLANDS LÄN</t>
        </is>
      </c>
      <c r="E9352" t="inlineStr">
        <is>
          <t>KRAMFORS</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51193-2024</t>
        </is>
      </c>
      <c r="B9353" s="1" t="n">
        <v>45603.61511574074</v>
      </c>
      <c r="C9353" s="1" t="n">
        <v>46185</v>
      </c>
      <c r="D9353" t="inlineStr">
        <is>
          <t>VÄSTERNORRLANDS LÄN</t>
        </is>
      </c>
      <c r="E9353" t="inlineStr">
        <is>
          <t>SOLLEFTEÅ</t>
        </is>
      </c>
      <c r="F9353" t="inlineStr">
        <is>
          <t>SCA</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35448-2022</t>
        </is>
      </c>
      <c r="B9354" s="1" t="n">
        <v>44798</v>
      </c>
      <c r="C9354" s="1" t="n">
        <v>46185</v>
      </c>
      <c r="D9354" t="inlineStr">
        <is>
          <t>VÄSTERNORRLANDS LÄN</t>
        </is>
      </c>
      <c r="E9354" t="inlineStr">
        <is>
          <t>TIMRÅ</t>
        </is>
      </c>
      <c r="G9354" t="n">
        <v>2.8</v>
      </c>
      <c r="H9354" t="n">
        <v>0</v>
      </c>
      <c r="I9354" t="n">
        <v>0</v>
      </c>
      <c r="J9354" t="n">
        <v>0</v>
      </c>
      <c r="K9354" t="n">
        <v>0</v>
      </c>
      <c r="L9354" t="n">
        <v>0</v>
      </c>
      <c r="M9354" t="n">
        <v>0</v>
      </c>
      <c r="N9354" t="n">
        <v>0</v>
      </c>
      <c r="O9354" t="n">
        <v>0</v>
      </c>
      <c r="P9354" t="n">
        <v>0</v>
      </c>
      <c r="Q9354" t="n">
        <v>0</v>
      </c>
      <c r="R9354" s="2" t="inlineStr"/>
    </row>
    <row r="9355" ht="15" customHeight="1">
      <c r="A9355" t="inlineStr">
        <is>
          <t>A 1817-2025</t>
        </is>
      </c>
      <c r="B9355" s="1" t="n">
        <v>45671.51324074074</v>
      </c>
      <c r="C9355" s="1" t="n">
        <v>46185</v>
      </c>
      <c r="D9355" t="inlineStr">
        <is>
          <t>VÄSTERNORRLANDS LÄN</t>
        </is>
      </c>
      <c r="E9355" t="inlineStr">
        <is>
          <t>TIMRÅ</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29193-2024</t>
        </is>
      </c>
      <c r="B9356" s="1" t="n">
        <v>45482.56510416666</v>
      </c>
      <c r="C9356" s="1" t="n">
        <v>46185</v>
      </c>
      <c r="D9356" t="inlineStr">
        <is>
          <t>VÄSTERNORRLANDS LÄN</t>
        </is>
      </c>
      <c r="E9356" t="inlineStr">
        <is>
          <t>ÅNGE</t>
        </is>
      </c>
      <c r="G9356" t="n">
        <v>5.6</v>
      </c>
      <c r="H9356" t="n">
        <v>0</v>
      </c>
      <c r="I9356" t="n">
        <v>0</v>
      </c>
      <c r="J9356" t="n">
        <v>0</v>
      </c>
      <c r="K9356" t="n">
        <v>0</v>
      </c>
      <c r="L9356" t="n">
        <v>0</v>
      </c>
      <c r="M9356" t="n">
        <v>0</v>
      </c>
      <c r="N9356" t="n">
        <v>0</v>
      </c>
      <c r="O9356" t="n">
        <v>0</v>
      </c>
      <c r="P9356" t="n">
        <v>0</v>
      </c>
      <c r="Q9356" t="n">
        <v>0</v>
      </c>
      <c r="R9356" s="2" t="inlineStr"/>
    </row>
    <row r="9357" ht="15" customHeight="1">
      <c r="A9357" t="inlineStr">
        <is>
          <t>A 15875-2024</t>
        </is>
      </c>
      <c r="B9357" s="1" t="n">
        <v>45405.32438657407</v>
      </c>
      <c r="C9357" s="1" t="n">
        <v>46185</v>
      </c>
      <c r="D9357" t="inlineStr">
        <is>
          <t>VÄSTERNORRLANDS LÄN</t>
        </is>
      </c>
      <c r="E9357" t="inlineStr">
        <is>
          <t>SOLLEFTEÅ</t>
        </is>
      </c>
      <c r="G9357" t="n">
        <v>7.1</v>
      </c>
      <c r="H9357" t="n">
        <v>0</v>
      </c>
      <c r="I9357" t="n">
        <v>0</v>
      </c>
      <c r="J9357" t="n">
        <v>0</v>
      </c>
      <c r="K9357" t="n">
        <v>0</v>
      </c>
      <c r="L9357" t="n">
        <v>0</v>
      </c>
      <c r="M9357" t="n">
        <v>0</v>
      </c>
      <c r="N9357" t="n">
        <v>0</v>
      </c>
      <c r="O9357" t="n">
        <v>0</v>
      </c>
      <c r="P9357" t="n">
        <v>0</v>
      </c>
      <c r="Q9357" t="n">
        <v>0</v>
      </c>
      <c r="R9357" s="2" t="inlineStr"/>
    </row>
    <row r="9358" ht="15" customHeight="1">
      <c r="A9358" t="inlineStr">
        <is>
          <t>A 42040-2024</t>
        </is>
      </c>
      <c r="B9358" s="1" t="n">
        <v>45561.80983796297</v>
      </c>
      <c r="C9358" s="1" t="n">
        <v>46185</v>
      </c>
      <c r="D9358" t="inlineStr">
        <is>
          <t>VÄSTERNORRLANDS LÄN</t>
        </is>
      </c>
      <c r="E9358" t="inlineStr">
        <is>
          <t>ÅNGE</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13424-2025</t>
        </is>
      </c>
      <c r="B9359" s="1" t="n">
        <v>45736.32135416667</v>
      </c>
      <c r="C9359" s="1" t="n">
        <v>46185</v>
      </c>
      <c r="D9359" t="inlineStr">
        <is>
          <t>VÄSTERNORRLANDS LÄN</t>
        </is>
      </c>
      <c r="E9359" t="inlineStr">
        <is>
          <t>ÖRNSKÖLDSVIK</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50888-2023</t>
        </is>
      </c>
      <c r="B9360" s="1" t="n">
        <v>45218.39269675926</v>
      </c>
      <c r="C9360" s="1" t="n">
        <v>46185</v>
      </c>
      <c r="D9360" t="inlineStr">
        <is>
          <t>VÄSTERNORRLANDS LÄN</t>
        </is>
      </c>
      <c r="E9360" t="inlineStr">
        <is>
          <t>ÖRNSKÖLDSVIK</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26366-2026</t>
        </is>
      </c>
      <c r="B9361" s="1" t="n">
        <v>46182.8246412037</v>
      </c>
      <c r="C9361" s="1" t="n">
        <v>46185</v>
      </c>
      <c r="D9361" t="inlineStr">
        <is>
          <t>VÄSTERNORRLANDS LÄN</t>
        </is>
      </c>
      <c r="E9361" t="inlineStr">
        <is>
          <t>ÖRNSKÖLDSVIK</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815-2024</t>
        </is>
      </c>
      <c r="B9362" s="1" t="n">
        <v>45300.63804398148</v>
      </c>
      <c r="C9362" s="1" t="n">
        <v>46185</v>
      </c>
      <c r="D9362" t="inlineStr">
        <is>
          <t>VÄSTERNORRLANDS LÄN</t>
        </is>
      </c>
      <c r="E9362" t="inlineStr">
        <is>
          <t>KRAMFORS</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12803-2024</t>
        </is>
      </c>
      <c r="B9363" s="1" t="n">
        <v>45384</v>
      </c>
      <c r="C9363" s="1" t="n">
        <v>46185</v>
      </c>
      <c r="D9363" t="inlineStr">
        <is>
          <t>VÄSTERNORRLANDS LÄN</t>
        </is>
      </c>
      <c r="E9363" t="inlineStr">
        <is>
          <t>SUNDSVALL</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57991-2022</t>
        </is>
      </c>
      <c r="B9364" s="1" t="n">
        <v>44900.48915509259</v>
      </c>
      <c r="C9364" s="1" t="n">
        <v>46185</v>
      </c>
      <c r="D9364" t="inlineStr">
        <is>
          <t>VÄSTERNORRLANDS LÄN</t>
        </is>
      </c>
      <c r="E9364" t="inlineStr">
        <is>
          <t>SOLLEFTEÅ</t>
        </is>
      </c>
      <c r="G9364" t="n">
        <v>14.2</v>
      </c>
      <c r="H9364" t="n">
        <v>0</v>
      </c>
      <c r="I9364" t="n">
        <v>0</v>
      </c>
      <c r="J9364" t="n">
        <v>0</v>
      </c>
      <c r="K9364" t="n">
        <v>0</v>
      </c>
      <c r="L9364" t="n">
        <v>0</v>
      </c>
      <c r="M9364" t="n">
        <v>0</v>
      </c>
      <c r="N9364" t="n">
        <v>0</v>
      </c>
      <c r="O9364" t="n">
        <v>0</v>
      </c>
      <c r="P9364" t="n">
        <v>0</v>
      </c>
      <c r="Q9364" t="n">
        <v>0</v>
      </c>
      <c r="R9364" s="2" t="inlineStr"/>
    </row>
    <row r="9365" ht="15" customHeight="1">
      <c r="A9365" t="inlineStr">
        <is>
          <t>A 48215-2025</t>
        </is>
      </c>
      <c r="B9365" s="1" t="n">
        <v>45933.49534722222</v>
      </c>
      <c r="C9365" s="1" t="n">
        <v>46185</v>
      </c>
      <c r="D9365" t="inlineStr">
        <is>
          <t>VÄSTERNORRLANDS LÄN</t>
        </is>
      </c>
      <c r="E9365" t="inlineStr">
        <is>
          <t>ÖRNSKÖLDSVIK</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68866-2021</t>
        </is>
      </c>
      <c r="B9366" s="1" t="n">
        <v>44529</v>
      </c>
      <c r="C9366" s="1" t="n">
        <v>46185</v>
      </c>
      <c r="D9366" t="inlineStr">
        <is>
          <t>VÄSTERNORRLANDS LÄN</t>
        </is>
      </c>
      <c r="E9366" t="inlineStr">
        <is>
          <t>ÖRNSKÖLDSVIK</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68880-2021</t>
        </is>
      </c>
      <c r="B9367" s="1" t="n">
        <v>44529</v>
      </c>
      <c r="C9367" s="1" t="n">
        <v>46185</v>
      </c>
      <c r="D9367" t="inlineStr">
        <is>
          <t>VÄSTERNORRLANDS LÄN</t>
        </is>
      </c>
      <c r="E9367" t="inlineStr">
        <is>
          <t>SUNDSVALL</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52706-2024</t>
        </is>
      </c>
      <c r="B9368" s="1" t="n">
        <v>45610.4243287037</v>
      </c>
      <c r="C9368" s="1" t="n">
        <v>46185</v>
      </c>
      <c r="D9368" t="inlineStr">
        <is>
          <t>VÄSTERNORRLANDS LÄN</t>
        </is>
      </c>
      <c r="E9368" t="inlineStr">
        <is>
          <t>SUNDSVALL</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59421-2024</t>
        </is>
      </c>
      <c r="B9369" s="1" t="n">
        <v>45638.41244212963</v>
      </c>
      <c r="C9369" s="1" t="n">
        <v>46185</v>
      </c>
      <c r="D9369" t="inlineStr">
        <is>
          <t>VÄSTERNORRLANDS LÄN</t>
        </is>
      </c>
      <c r="E9369" t="inlineStr">
        <is>
          <t>SOLLEFTEÅ</t>
        </is>
      </c>
      <c r="G9369" t="n">
        <v>5.1</v>
      </c>
      <c r="H9369" t="n">
        <v>0</v>
      </c>
      <c r="I9369" t="n">
        <v>0</v>
      </c>
      <c r="J9369" t="n">
        <v>0</v>
      </c>
      <c r="K9369" t="n">
        <v>0</v>
      </c>
      <c r="L9369" t="n">
        <v>0</v>
      </c>
      <c r="M9369" t="n">
        <v>0</v>
      </c>
      <c r="N9369" t="n">
        <v>0</v>
      </c>
      <c r="O9369" t="n">
        <v>0</v>
      </c>
      <c r="P9369" t="n">
        <v>0</v>
      </c>
      <c r="Q9369" t="n">
        <v>0</v>
      </c>
      <c r="R9369" s="2" t="inlineStr"/>
    </row>
    <row r="9370" ht="15" customHeight="1">
      <c r="A9370" t="inlineStr">
        <is>
          <t>A 39444-2025</t>
        </is>
      </c>
      <c r="B9370" s="1" t="n">
        <v>45889.69826388889</v>
      </c>
      <c r="C9370" s="1" t="n">
        <v>46185</v>
      </c>
      <c r="D9370" t="inlineStr">
        <is>
          <t>VÄSTERNORRLANDS LÄN</t>
        </is>
      </c>
      <c r="E9370" t="inlineStr">
        <is>
          <t>ÅNGE</t>
        </is>
      </c>
      <c r="F9370" t="inlineStr">
        <is>
          <t>SCA</t>
        </is>
      </c>
      <c r="G9370" t="n">
        <v>7.9</v>
      </c>
      <c r="H9370" t="n">
        <v>0</v>
      </c>
      <c r="I9370" t="n">
        <v>0</v>
      </c>
      <c r="J9370" t="n">
        <v>0</v>
      </c>
      <c r="K9370" t="n">
        <v>0</v>
      </c>
      <c r="L9370" t="n">
        <v>0</v>
      </c>
      <c r="M9370" t="n">
        <v>0</v>
      </c>
      <c r="N9370" t="n">
        <v>0</v>
      </c>
      <c r="O9370" t="n">
        <v>0</v>
      </c>
      <c r="P9370" t="n">
        <v>0</v>
      </c>
      <c r="Q9370" t="n">
        <v>0</v>
      </c>
      <c r="R9370" s="2" t="inlineStr"/>
    </row>
    <row r="9371" ht="15" customHeight="1">
      <c r="A9371" t="inlineStr">
        <is>
          <t>A 4808-2026</t>
        </is>
      </c>
      <c r="B9371" s="1" t="n">
        <v>46048</v>
      </c>
      <c r="C9371" s="1" t="n">
        <v>46185</v>
      </c>
      <c r="D9371" t="inlineStr">
        <is>
          <t>VÄSTERNORRLANDS LÄN</t>
        </is>
      </c>
      <c r="E9371" t="inlineStr">
        <is>
          <t>SUNDSVALL</t>
        </is>
      </c>
      <c r="F9371" t="inlineStr">
        <is>
          <t>Holmen skog AB</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34691-2024</t>
        </is>
      </c>
      <c r="B9372" s="1" t="n">
        <v>45526.54516203704</v>
      </c>
      <c r="C9372" s="1" t="n">
        <v>46185</v>
      </c>
      <c r="D9372" t="inlineStr">
        <is>
          <t>VÄSTERNORRLANDS LÄN</t>
        </is>
      </c>
      <c r="E9372" t="inlineStr">
        <is>
          <t>ÅNGE</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51440-2021</t>
        </is>
      </c>
      <c r="B9373" s="1" t="n">
        <v>44461</v>
      </c>
      <c r="C9373" s="1" t="n">
        <v>46185</v>
      </c>
      <c r="D9373" t="inlineStr">
        <is>
          <t>VÄSTERNORRLANDS LÄN</t>
        </is>
      </c>
      <c r="E9373" t="inlineStr">
        <is>
          <t>SOLLEFTEÅ</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55251-2024</t>
        </is>
      </c>
      <c r="B9374" s="1" t="n">
        <v>45621.59560185186</v>
      </c>
      <c r="C9374" s="1" t="n">
        <v>46185</v>
      </c>
      <c r="D9374" t="inlineStr">
        <is>
          <t>VÄSTERNORRLANDS LÄN</t>
        </is>
      </c>
      <c r="E9374" t="inlineStr">
        <is>
          <t>ÖRNSKÖLDSVIK</t>
        </is>
      </c>
      <c r="G9374" t="n">
        <v>5</v>
      </c>
      <c r="H9374" t="n">
        <v>0</v>
      </c>
      <c r="I9374" t="n">
        <v>0</v>
      </c>
      <c r="J9374" t="n">
        <v>0</v>
      </c>
      <c r="K9374" t="n">
        <v>0</v>
      </c>
      <c r="L9374" t="n">
        <v>0</v>
      </c>
      <c r="M9374" t="n">
        <v>0</v>
      </c>
      <c r="N9374" t="n">
        <v>0</v>
      </c>
      <c r="O9374" t="n">
        <v>0</v>
      </c>
      <c r="P9374" t="n">
        <v>0</v>
      </c>
      <c r="Q9374" t="n">
        <v>0</v>
      </c>
      <c r="R9374" s="2" t="inlineStr"/>
    </row>
    <row r="9375" ht="15" customHeight="1">
      <c r="A9375" t="inlineStr">
        <is>
          <t>A 30762-2024</t>
        </is>
      </c>
      <c r="B9375" s="1" t="n">
        <v>45496.92956018518</v>
      </c>
      <c r="C9375" s="1" t="n">
        <v>46185</v>
      </c>
      <c r="D9375" t="inlineStr">
        <is>
          <t>VÄSTERNORRLANDS LÄN</t>
        </is>
      </c>
      <c r="E9375" t="inlineStr">
        <is>
          <t>HÄRNÖSAND</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51783-2024</t>
        </is>
      </c>
      <c r="B9376" s="1" t="n">
        <v>45607.45813657407</v>
      </c>
      <c r="C9376" s="1" t="n">
        <v>46185</v>
      </c>
      <c r="D9376" t="inlineStr">
        <is>
          <t>VÄSTERNORRLANDS LÄN</t>
        </is>
      </c>
      <c r="E9376" t="inlineStr">
        <is>
          <t>ÖRNSKÖLDSVIK</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3822-2026</t>
        </is>
      </c>
      <c r="B9377" s="1" t="n">
        <v>46043</v>
      </c>
      <c r="C9377" s="1" t="n">
        <v>46185</v>
      </c>
      <c r="D9377" t="inlineStr">
        <is>
          <t>VÄSTERNORRLANDS LÄN</t>
        </is>
      </c>
      <c r="E9377" t="inlineStr">
        <is>
          <t>SUNDSVALL</t>
        </is>
      </c>
      <c r="G9377" t="n">
        <v>4.9</v>
      </c>
      <c r="H9377" t="n">
        <v>0</v>
      </c>
      <c r="I9377" t="n">
        <v>0</v>
      </c>
      <c r="J9377" t="n">
        <v>0</v>
      </c>
      <c r="K9377" t="n">
        <v>0</v>
      </c>
      <c r="L9377" t="n">
        <v>0</v>
      </c>
      <c r="M9377" t="n">
        <v>0</v>
      </c>
      <c r="N9377" t="n">
        <v>0</v>
      </c>
      <c r="O9377" t="n">
        <v>0</v>
      </c>
      <c r="P9377" t="n">
        <v>0</v>
      </c>
      <c r="Q9377" t="n">
        <v>0</v>
      </c>
      <c r="R9377" s="2" t="inlineStr"/>
    </row>
    <row r="9378" ht="15" customHeight="1">
      <c r="A9378" t="inlineStr">
        <is>
          <t>A 50007-2024</t>
        </is>
      </c>
      <c r="B9378" s="1" t="n">
        <v>45598.57574074074</v>
      </c>
      <c r="C9378" s="1" t="n">
        <v>46185</v>
      </c>
      <c r="D9378" t="inlineStr">
        <is>
          <t>VÄSTERNORRLANDS LÄN</t>
        </is>
      </c>
      <c r="E9378" t="inlineStr">
        <is>
          <t>SOLLEFTEÅ</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54210-2024</t>
        </is>
      </c>
      <c r="B9379" s="1" t="n">
        <v>45616.65662037037</v>
      </c>
      <c r="C9379" s="1" t="n">
        <v>46185</v>
      </c>
      <c r="D9379" t="inlineStr">
        <is>
          <t>VÄSTERNORRLANDS LÄN</t>
        </is>
      </c>
      <c r="E9379" t="inlineStr">
        <is>
          <t>ÅNGE</t>
        </is>
      </c>
      <c r="F9379" t="inlineStr">
        <is>
          <t>SCA</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6270-2024</t>
        </is>
      </c>
      <c r="B9380" s="1" t="n">
        <v>45337</v>
      </c>
      <c r="C9380" s="1" t="n">
        <v>46185</v>
      </c>
      <c r="D9380" t="inlineStr">
        <is>
          <t>VÄSTERNORRLANDS LÄN</t>
        </is>
      </c>
      <c r="E9380" t="inlineStr">
        <is>
          <t>SUNDSVALL</t>
        </is>
      </c>
      <c r="G9380" t="n">
        <v>9.5</v>
      </c>
      <c r="H9380" t="n">
        <v>0</v>
      </c>
      <c r="I9380" t="n">
        <v>0</v>
      </c>
      <c r="J9380" t="n">
        <v>0</v>
      </c>
      <c r="K9380" t="n">
        <v>0</v>
      </c>
      <c r="L9380" t="n">
        <v>0</v>
      </c>
      <c r="M9380" t="n">
        <v>0</v>
      </c>
      <c r="N9380" t="n">
        <v>0</v>
      </c>
      <c r="O9380" t="n">
        <v>0</v>
      </c>
      <c r="P9380" t="n">
        <v>0</v>
      </c>
      <c r="Q9380" t="n">
        <v>0</v>
      </c>
      <c r="R9380" s="2" t="inlineStr"/>
    </row>
    <row r="9381" ht="15" customHeight="1">
      <c r="A9381" t="inlineStr">
        <is>
          <t>A 33897-2024</t>
        </is>
      </c>
      <c r="B9381" s="1" t="n">
        <v>45523</v>
      </c>
      <c r="C9381" s="1" t="n">
        <v>46185</v>
      </c>
      <c r="D9381" t="inlineStr">
        <is>
          <t>VÄSTERNORRLANDS LÄN</t>
        </is>
      </c>
      <c r="E9381" t="inlineStr">
        <is>
          <t>ÖRNSKÖLDSVIK</t>
        </is>
      </c>
      <c r="F9381" t="inlineStr">
        <is>
          <t>Holmen skog AB</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1385-2022</t>
        </is>
      </c>
      <c r="B9382" s="1" t="n">
        <v>44573.38556712963</v>
      </c>
      <c r="C9382" s="1" t="n">
        <v>46185</v>
      </c>
      <c r="D9382" t="inlineStr">
        <is>
          <t>VÄSTERNORRLANDS LÄN</t>
        </is>
      </c>
      <c r="E9382" t="inlineStr">
        <is>
          <t>KRAMFORS</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25795-2023</t>
        </is>
      </c>
      <c r="B9383" s="1" t="n">
        <v>45085</v>
      </c>
      <c r="C9383" s="1" t="n">
        <v>46185</v>
      </c>
      <c r="D9383" t="inlineStr">
        <is>
          <t>VÄSTERNORRLANDS LÄN</t>
        </is>
      </c>
      <c r="E9383" t="inlineStr">
        <is>
          <t>SOLLEFTEÅ</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58172-2022</t>
        </is>
      </c>
      <c r="B9384" s="1" t="n">
        <v>44900.95525462963</v>
      </c>
      <c r="C9384" s="1" t="n">
        <v>46185</v>
      </c>
      <c r="D9384" t="inlineStr">
        <is>
          <t>VÄSTERNORRLANDS LÄN</t>
        </is>
      </c>
      <c r="E9384" t="inlineStr">
        <is>
          <t>SOLLEFTEÅ</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16365-2023</t>
        </is>
      </c>
      <c r="B9385" s="1" t="n">
        <v>45028</v>
      </c>
      <c r="C9385" s="1" t="n">
        <v>46185</v>
      </c>
      <c r="D9385" t="inlineStr">
        <is>
          <t>VÄSTERNORRLANDS LÄN</t>
        </is>
      </c>
      <c r="E9385" t="inlineStr">
        <is>
          <t>ÅNGE</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6258-2023</t>
        </is>
      </c>
      <c r="B9386" s="1" t="n">
        <v>44957</v>
      </c>
      <c r="C9386" s="1" t="n">
        <v>46185</v>
      </c>
      <c r="D9386" t="inlineStr">
        <is>
          <t>VÄSTERNORRLANDS LÄN</t>
        </is>
      </c>
      <c r="E9386" t="inlineStr">
        <is>
          <t>HÄRNÖSAND</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6271-2023</t>
        </is>
      </c>
      <c r="B9387" s="1" t="n">
        <v>44959</v>
      </c>
      <c r="C9387" s="1" t="n">
        <v>46185</v>
      </c>
      <c r="D9387" t="inlineStr">
        <is>
          <t>VÄSTERNORRLANDS LÄN</t>
        </is>
      </c>
      <c r="E9387" t="inlineStr">
        <is>
          <t>SOLLEFTEÅ</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48021-2024</t>
        </is>
      </c>
      <c r="B9388" s="1" t="n">
        <v>45589.47032407407</v>
      </c>
      <c r="C9388" s="1" t="n">
        <v>46185</v>
      </c>
      <c r="D9388" t="inlineStr">
        <is>
          <t>VÄSTERNORRLANDS LÄN</t>
        </is>
      </c>
      <c r="E9388" t="inlineStr">
        <is>
          <t>SOLLEFTEÅ</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18231-2026</t>
        </is>
      </c>
      <c r="B9389" s="1" t="n">
        <v>46126</v>
      </c>
      <c r="C9389" s="1" t="n">
        <v>46185</v>
      </c>
      <c r="D9389" t="inlineStr">
        <is>
          <t>VÄSTERNORRLANDS LÄN</t>
        </is>
      </c>
      <c r="E9389" t="inlineStr">
        <is>
          <t>SUNDSVALL</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12957-2025</t>
        </is>
      </c>
      <c r="B9390" s="1" t="n">
        <v>45734.41164351852</v>
      </c>
      <c r="C9390" s="1" t="n">
        <v>46185</v>
      </c>
      <c r="D9390" t="inlineStr">
        <is>
          <t>VÄSTERNORRLANDS LÄN</t>
        </is>
      </c>
      <c r="E9390" t="inlineStr">
        <is>
          <t>KRAMFORS</t>
        </is>
      </c>
      <c r="G9390" t="n">
        <v>10.4</v>
      </c>
      <c r="H9390" t="n">
        <v>0</v>
      </c>
      <c r="I9390" t="n">
        <v>0</v>
      </c>
      <c r="J9390" t="n">
        <v>0</v>
      </c>
      <c r="K9390" t="n">
        <v>0</v>
      </c>
      <c r="L9390" t="n">
        <v>0</v>
      </c>
      <c r="M9390" t="n">
        <v>0</v>
      </c>
      <c r="N9390" t="n">
        <v>0</v>
      </c>
      <c r="O9390" t="n">
        <v>0</v>
      </c>
      <c r="P9390" t="n">
        <v>0</v>
      </c>
      <c r="Q9390" t="n">
        <v>0</v>
      </c>
      <c r="R9390" s="2" t="inlineStr"/>
    </row>
    <row r="9391" ht="15" customHeight="1">
      <c r="A9391" t="inlineStr">
        <is>
          <t>A 14645-2025</t>
        </is>
      </c>
      <c r="B9391" s="1" t="n">
        <v>45742</v>
      </c>
      <c r="C9391" s="1" t="n">
        <v>46185</v>
      </c>
      <c r="D9391" t="inlineStr">
        <is>
          <t>VÄSTERNORRLANDS LÄN</t>
        </is>
      </c>
      <c r="E9391" t="inlineStr">
        <is>
          <t>ÖRNSKÖLDSVIK</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20122-2026</t>
        </is>
      </c>
      <c r="B9392" s="1" t="n">
        <v>46136.66071759259</v>
      </c>
      <c r="C9392" s="1" t="n">
        <v>46185</v>
      </c>
      <c r="D9392" t="inlineStr">
        <is>
          <t>VÄSTERNORRLANDS LÄN</t>
        </is>
      </c>
      <c r="E9392" t="inlineStr">
        <is>
          <t>SOLLEFTEÅ</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394-2024</t>
        </is>
      </c>
      <c r="B9393" s="1" t="n">
        <v>45296</v>
      </c>
      <c r="C9393" s="1" t="n">
        <v>46185</v>
      </c>
      <c r="D9393" t="inlineStr">
        <is>
          <t>VÄSTERNORRLANDS LÄN</t>
        </is>
      </c>
      <c r="E9393" t="inlineStr">
        <is>
          <t>SOLLEFTEÅ</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35120-2025</t>
        </is>
      </c>
      <c r="B9394" s="1" t="n">
        <v>45852</v>
      </c>
      <c r="C9394" s="1" t="n">
        <v>46185</v>
      </c>
      <c r="D9394" t="inlineStr">
        <is>
          <t>VÄSTERNORRLANDS LÄN</t>
        </is>
      </c>
      <c r="E9394" t="inlineStr">
        <is>
          <t>SUNDSVALL</t>
        </is>
      </c>
      <c r="G9394" t="n">
        <v>9.4</v>
      </c>
      <c r="H9394" t="n">
        <v>0</v>
      </c>
      <c r="I9394" t="n">
        <v>0</v>
      </c>
      <c r="J9394" t="n">
        <v>0</v>
      </c>
      <c r="K9394" t="n">
        <v>0</v>
      </c>
      <c r="L9394" t="n">
        <v>0</v>
      </c>
      <c r="M9394" t="n">
        <v>0</v>
      </c>
      <c r="N9394" t="n">
        <v>0</v>
      </c>
      <c r="O9394" t="n">
        <v>0</v>
      </c>
      <c r="P9394" t="n">
        <v>0</v>
      </c>
      <c r="Q9394" t="n">
        <v>0</v>
      </c>
      <c r="R9394" s="2" t="inlineStr"/>
    </row>
    <row r="9395" ht="15" customHeight="1">
      <c r="A9395" t="inlineStr">
        <is>
          <t>A 50828-2025</t>
        </is>
      </c>
      <c r="B9395" s="1" t="n">
        <v>45946.55261574074</v>
      </c>
      <c r="C9395" s="1" t="n">
        <v>46185</v>
      </c>
      <c r="D9395" t="inlineStr">
        <is>
          <t>VÄSTERNORRLANDS LÄN</t>
        </is>
      </c>
      <c r="E9395" t="inlineStr">
        <is>
          <t>SUNDSVALL</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50844-2025</t>
        </is>
      </c>
      <c r="B9396" s="1" t="n">
        <v>45946.57359953703</v>
      </c>
      <c r="C9396" s="1" t="n">
        <v>46185</v>
      </c>
      <c r="D9396" t="inlineStr">
        <is>
          <t>VÄSTERNORRLANDS LÄN</t>
        </is>
      </c>
      <c r="E9396" t="inlineStr">
        <is>
          <t>KRAMFORS</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24620-2026</t>
        </is>
      </c>
      <c r="B9397" s="1" t="n">
        <v>46171</v>
      </c>
      <c r="C9397" s="1" t="n">
        <v>46185</v>
      </c>
      <c r="D9397" t="inlineStr">
        <is>
          <t>VÄSTERNORRLANDS LÄN</t>
        </is>
      </c>
      <c r="E9397" t="inlineStr">
        <is>
          <t>ÖRNSKÖLDSVIK</t>
        </is>
      </c>
      <c r="G9397" t="n">
        <v>4.9</v>
      </c>
      <c r="H9397" t="n">
        <v>0</v>
      </c>
      <c r="I9397" t="n">
        <v>0</v>
      </c>
      <c r="J9397" t="n">
        <v>0</v>
      </c>
      <c r="K9397" t="n">
        <v>0</v>
      </c>
      <c r="L9397" t="n">
        <v>0</v>
      </c>
      <c r="M9397" t="n">
        <v>0</v>
      </c>
      <c r="N9397" t="n">
        <v>0</v>
      </c>
      <c r="O9397" t="n">
        <v>0</v>
      </c>
      <c r="P9397" t="n">
        <v>0</v>
      </c>
      <c r="Q9397" t="n">
        <v>0</v>
      </c>
      <c r="R9397" s="2" t="inlineStr"/>
    </row>
    <row r="9398" ht="15" customHeight="1">
      <c r="A9398" t="inlineStr">
        <is>
          <t>A 62098-2023</t>
        </is>
      </c>
      <c r="B9398" s="1" t="n">
        <v>45266</v>
      </c>
      <c r="C9398" s="1" t="n">
        <v>46185</v>
      </c>
      <c r="D9398" t="inlineStr">
        <is>
          <t>VÄSTERNORRLANDS LÄN</t>
        </is>
      </c>
      <c r="E9398" t="inlineStr">
        <is>
          <t>SOLLEFTEÅ</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62100-2023</t>
        </is>
      </c>
      <c r="B9399" s="1" t="n">
        <v>45266.92689814815</v>
      </c>
      <c r="C9399" s="1" t="n">
        <v>46185</v>
      </c>
      <c r="D9399" t="inlineStr">
        <is>
          <t>VÄSTERNORRLANDS LÄN</t>
        </is>
      </c>
      <c r="E9399" t="inlineStr">
        <is>
          <t>SOLLEFTEÅ</t>
        </is>
      </c>
      <c r="G9399" t="n">
        <v>16.6</v>
      </c>
      <c r="H9399" t="n">
        <v>0</v>
      </c>
      <c r="I9399" t="n">
        <v>0</v>
      </c>
      <c r="J9399" t="n">
        <v>0</v>
      </c>
      <c r="K9399" t="n">
        <v>0</v>
      </c>
      <c r="L9399" t="n">
        <v>0</v>
      </c>
      <c r="M9399" t="n">
        <v>0</v>
      </c>
      <c r="N9399" t="n">
        <v>0</v>
      </c>
      <c r="O9399" t="n">
        <v>0</v>
      </c>
      <c r="P9399" t="n">
        <v>0</v>
      </c>
      <c r="Q9399" t="n">
        <v>0</v>
      </c>
      <c r="R9399" s="2" t="inlineStr"/>
    </row>
    <row r="9400" ht="15" customHeight="1">
      <c r="A9400" t="inlineStr">
        <is>
          <t>A 12786-2025</t>
        </is>
      </c>
      <c r="B9400" s="1" t="n">
        <v>45733.60231481482</v>
      </c>
      <c r="C9400" s="1" t="n">
        <v>46185</v>
      </c>
      <c r="D9400" t="inlineStr">
        <is>
          <t>VÄSTERNORRLANDS LÄN</t>
        </is>
      </c>
      <c r="E9400" t="inlineStr">
        <is>
          <t>TIMRÅ</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61577-2023</t>
        </is>
      </c>
      <c r="B9401" s="1" t="n">
        <v>45265.47366898148</v>
      </c>
      <c r="C9401" s="1" t="n">
        <v>46185</v>
      </c>
      <c r="D9401" t="inlineStr">
        <is>
          <t>VÄSTERNORRLANDS LÄN</t>
        </is>
      </c>
      <c r="E9401" t="inlineStr">
        <is>
          <t>ÅNGE</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1735-2025</t>
        </is>
      </c>
      <c r="B9402" s="1" t="n">
        <v>45671.38594907407</v>
      </c>
      <c r="C9402" s="1" t="n">
        <v>46185</v>
      </c>
      <c r="D9402" t="inlineStr">
        <is>
          <t>VÄSTERNORRLANDS LÄN</t>
        </is>
      </c>
      <c r="E9402" t="inlineStr">
        <is>
          <t>ÅNGE</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45939-2023</t>
        </is>
      </c>
      <c r="B9403" s="1" t="n">
        <v>45195.94578703704</v>
      </c>
      <c r="C9403" s="1" t="n">
        <v>46185</v>
      </c>
      <c r="D9403" t="inlineStr">
        <is>
          <t>VÄSTERNORRLANDS LÄN</t>
        </is>
      </c>
      <c r="E9403" t="inlineStr">
        <is>
          <t>ÅNGE</t>
        </is>
      </c>
      <c r="F9403" t="inlineStr">
        <is>
          <t>SCA</t>
        </is>
      </c>
      <c r="G9403" t="n">
        <v>5.7</v>
      </c>
      <c r="H9403" t="n">
        <v>0</v>
      </c>
      <c r="I9403" t="n">
        <v>0</v>
      </c>
      <c r="J9403" t="n">
        <v>0</v>
      </c>
      <c r="K9403" t="n">
        <v>0</v>
      </c>
      <c r="L9403" t="n">
        <v>0</v>
      </c>
      <c r="M9403" t="n">
        <v>0</v>
      </c>
      <c r="N9403" t="n">
        <v>0</v>
      </c>
      <c r="O9403" t="n">
        <v>0</v>
      </c>
      <c r="P9403" t="n">
        <v>0</v>
      </c>
      <c r="Q9403" t="n">
        <v>0</v>
      </c>
      <c r="R9403" s="2" t="inlineStr"/>
    </row>
    <row r="9404" ht="15" customHeight="1">
      <c r="A9404" t="inlineStr">
        <is>
          <t>A 21348-2025</t>
        </is>
      </c>
      <c r="B9404" s="1" t="n">
        <v>45782.40679398148</v>
      </c>
      <c r="C9404" s="1" t="n">
        <v>46185</v>
      </c>
      <c r="D9404" t="inlineStr">
        <is>
          <t>VÄSTERNORRLANDS LÄN</t>
        </is>
      </c>
      <c r="E9404" t="inlineStr">
        <is>
          <t>SOLLEFTEÅ</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3161-2022</t>
        </is>
      </c>
      <c r="B9405" s="1" t="n">
        <v>44582.58618055555</v>
      </c>
      <c r="C9405" s="1" t="n">
        <v>46185</v>
      </c>
      <c r="D9405" t="inlineStr">
        <is>
          <t>VÄSTERNORRLANDS LÄN</t>
        </is>
      </c>
      <c r="E9405" t="inlineStr">
        <is>
          <t>SUNDSVALL</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22853-2025</t>
        </is>
      </c>
      <c r="B9406" s="1" t="n">
        <v>45790.34443287037</v>
      </c>
      <c r="C9406" s="1" t="n">
        <v>46185</v>
      </c>
      <c r="D9406" t="inlineStr">
        <is>
          <t>VÄSTERNORRLANDS LÄN</t>
        </is>
      </c>
      <c r="E9406" t="inlineStr">
        <is>
          <t>SOLLEFTEÅ</t>
        </is>
      </c>
      <c r="F9406" t="inlineStr">
        <is>
          <t>SCA</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15314-2024</t>
        </is>
      </c>
      <c r="B9407" s="1" t="n">
        <v>45400</v>
      </c>
      <c r="C9407" s="1" t="n">
        <v>46185</v>
      </c>
      <c r="D9407" t="inlineStr">
        <is>
          <t>VÄSTERNORRLANDS LÄN</t>
        </is>
      </c>
      <c r="E9407" t="inlineStr">
        <is>
          <t>KRAMFORS</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20294-2026</t>
        </is>
      </c>
      <c r="B9408" s="1" t="n">
        <v>46139.55780092593</v>
      </c>
      <c r="C9408" s="1" t="n">
        <v>46185</v>
      </c>
      <c r="D9408" t="inlineStr">
        <is>
          <t>VÄSTERNORRLANDS LÄN</t>
        </is>
      </c>
      <c r="E9408" t="inlineStr">
        <is>
          <t>ÖRNSKÖLDSVIK</t>
        </is>
      </c>
      <c r="F9408" t="inlineStr">
        <is>
          <t>Holmen skog AB</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9121-2024</t>
        </is>
      </c>
      <c r="B9409" s="1" t="n">
        <v>45358.04099537037</v>
      </c>
      <c r="C9409" s="1" t="n">
        <v>46185</v>
      </c>
      <c r="D9409" t="inlineStr">
        <is>
          <t>VÄSTERNORRLANDS LÄN</t>
        </is>
      </c>
      <c r="E9409" t="inlineStr">
        <is>
          <t>SOLLEFTEÅ</t>
        </is>
      </c>
      <c r="F9409" t="inlineStr">
        <is>
          <t>SCA</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61585-2022</t>
        </is>
      </c>
      <c r="B9410" s="1" t="n">
        <v>44916.63380787037</v>
      </c>
      <c r="C9410" s="1" t="n">
        <v>46185</v>
      </c>
      <c r="D9410" t="inlineStr">
        <is>
          <t>VÄSTERNORRLANDS LÄN</t>
        </is>
      </c>
      <c r="E9410" t="inlineStr">
        <is>
          <t>ÅNGE</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51668-2024</t>
        </is>
      </c>
      <c r="B9411" s="1" t="n">
        <v>45606.84892361111</v>
      </c>
      <c r="C9411" s="1" t="n">
        <v>46185</v>
      </c>
      <c r="D9411" t="inlineStr">
        <is>
          <t>VÄSTERNORRLANDS LÄN</t>
        </is>
      </c>
      <c r="E9411" t="inlineStr">
        <is>
          <t>ÖRNSKÖLDSVIK</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55588-2024</t>
        </is>
      </c>
      <c r="B9412" s="1" t="n">
        <v>45622</v>
      </c>
      <c r="C9412" s="1" t="n">
        <v>46185</v>
      </c>
      <c r="D9412" t="inlineStr">
        <is>
          <t>VÄSTERNORRLANDS LÄN</t>
        </is>
      </c>
      <c r="E9412" t="inlineStr">
        <is>
          <t>TIMRÅ</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20093-2026</t>
        </is>
      </c>
      <c r="B9413" s="1" t="n">
        <v>46135</v>
      </c>
      <c r="C9413" s="1" t="n">
        <v>46185</v>
      </c>
      <c r="D9413" t="inlineStr">
        <is>
          <t>VÄSTERNORRLANDS LÄN</t>
        </is>
      </c>
      <c r="E9413" t="inlineStr">
        <is>
          <t>ÅNGE</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29544-2025</t>
        </is>
      </c>
      <c r="B9414" s="1" t="n">
        <v>45825.34547453704</v>
      </c>
      <c r="C9414" s="1" t="n">
        <v>46185</v>
      </c>
      <c r="D9414" t="inlineStr">
        <is>
          <t>VÄSTERNORRLANDS LÄN</t>
        </is>
      </c>
      <c r="E9414" t="inlineStr">
        <is>
          <t>HÄRNÖSAND</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26344-2026</t>
        </is>
      </c>
      <c r="B9415" s="1" t="n">
        <v>46182.65672453704</v>
      </c>
      <c r="C9415" s="1" t="n">
        <v>46185</v>
      </c>
      <c r="D9415" t="inlineStr">
        <is>
          <t>VÄSTERNORRLANDS LÄN</t>
        </is>
      </c>
      <c r="E9415" t="inlineStr">
        <is>
          <t>ÖRNSKÖLDSVIK</t>
        </is>
      </c>
      <c r="F9415" t="inlineStr">
        <is>
          <t>SCA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26005-2026</t>
        </is>
      </c>
      <c r="B9416" s="1" t="n">
        <v>46181.4484375</v>
      </c>
      <c r="C9416" s="1" t="n">
        <v>46185</v>
      </c>
      <c r="D9416" t="inlineStr">
        <is>
          <t>VÄSTERNORRLANDS LÄN</t>
        </is>
      </c>
      <c r="E9416" t="inlineStr">
        <is>
          <t>KRAMFORS</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33739-2024</t>
        </is>
      </c>
      <c r="B9417" s="1" t="n">
        <v>45520.55943287037</v>
      </c>
      <c r="C9417" s="1" t="n">
        <v>46185</v>
      </c>
      <c r="D9417" t="inlineStr">
        <is>
          <t>VÄSTERNORRLANDS LÄN</t>
        </is>
      </c>
      <c r="E9417" t="inlineStr">
        <is>
          <t>SOLLEFTEÅ</t>
        </is>
      </c>
      <c r="F9417" t="inlineStr">
        <is>
          <t>SCA</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33749-2024</t>
        </is>
      </c>
      <c r="B9418" s="1" t="n">
        <v>45520</v>
      </c>
      <c r="C9418" s="1" t="n">
        <v>46185</v>
      </c>
      <c r="D9418" t="inlineStr">
        <is>
          <t>VÄSTERNORRLANDS LÄN</t>
        </is>
      </c>
      <c r="E9418" t="inlineStr">
        <is>
          <t>TIMRÅ</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33771-2024</t>
        </is>
      </c>
      <c r="B9419" s="1" t="n">
        <v>45520.57565972222</v>
      </c>
      <c r="C9419" s="1" t="n">
        <v>46185</v>
      </c>
      <c r="D9419" t="inlineStr">
        <is>
          <t>VÄSTERNORRLANDS LÄN</t>
        </is>
      </c>
      <c r="E9419" t="inlineStr">
        <is>
          <t>ÖRNSKÖLDSVIK</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53385-2022</t>
        </is>
      </c>
      <c r="B9420" s="1" t="n">
        <v>44879</v>
      </c>
      <c r="C9420" s="1" t="n">
        <v>46185</v>
      </c>
      <c r="D9420" t="inlineStr">
        <is>
          <t>VÄSTERNORRLANDS LÄN</t>
        </is>
      </c>
      <c r="E9420" t="inlineStr">
        <is>
          <t>KRAMFORS</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18364-2024</t>
        </is>
      </c>
      <c r="B9421" s="1" t="n">
        <v>45422</v>
      </c>
      <c r="C9421" s="1" t="n">
        <v>46185</v>
      </c>
      <c r="D9421" t="inlineStr">
        <is>
          <t>VÄSTERNORRLANDS LÄN</t>
        </is>
      </c>
      <c r="E9421" t="inlineStr">
        <is>
          <t>SOLLEFTEÅ</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44795-2025</t>
        </is>
      </c>
      <c r="B9422" s="1" t="n">
        <v>45918.34467592592</v>
      </c>
      <c r="C9422" s="1" t="n">
        <v>46185</v>
      </c>
      <c r="D9422" t="inlineStr">
        <is>
          <t>VÄSTERNORRLANDS LÄN</t>
        </is>
      </c>
      <c r="E9422" t="inlineStr">
        <is>
          <t>TIMRÅ</t>
        </is>
      </c>
      <c r="F9422" t="inlineStr">
        <is>
          <t>SCA</t>
        </is>
      </c>
      <c r="G9422" t="n">
        <v>4.7</v>
      </c>
      <c r="H9422" t="n">
        <v>0</v>
      </c>
      <c r="I9422" t="n">
        <v>0</v>
      </c>
      <c r="J9422" t="n">
        <v>0</v>
      </c>
      <c r="K9422" t="n">
        <v>0</v>
      </c>
      <c r="L9422" t="n">
        <v>0</v>
      </c>
      <c r="M9422" t="n">
        <v>0</v>
      </c>
      <c r="N9422" t="n">
        <v>0</v>
      </c>
      <c r="O9422" t="n">
        <v>0</v>
      </c>
      <c r="P9422" t="n">
        <v>0</v>
      </c>
      <c r="Q9422" t="n">
        <v>0</v>
      </c>
      <c r="R9422" s="2" t="inlineStr"/>
    </row>
    <row r="9423" ht="15" customHeight="1">
      <c r="A9423" t="inlineStr">
        <is>
          <t>A 7585-2024</t>
        </is>
      </c>
      <c r="B9423" s="1" t="n">
        <v>45348</v>
      </c>
      <c r="C9423" s="1" t="n">
        <v>46185</v>
      </c>
      <c r="D9423" t="inlineStr">
        <is>
          <t>VÄSTERNORRLANDS LÄN</t>
        </is>
      </c>
      <c r="E9423" t="inlineStr">
        <is>
          <t>SOLLEFTEÅ</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34011-2024</t>
        </is>
      </c>
      <c r="B9424" s="1" t="n">
        <v>45523</v>
      </c>
      <c r="C9424" s="1" t="n">
        <v>46185</v>
      </c>
      <c r="D9424" t="inlineStr">
        <is>
          <t>VÄSTERNORRLANDS LÄN</t>
        </is>
      </c>
      <c r="E9424" t="inlineStr">
        <is>
          <t>HÄRNÖSAND</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108-2025</t>
        </is>
      </c>
      <c r="B9425" s="1" t="n">
        <v>45649</v>
      </c>
      <c r="C9425" s="1" t="n">
        <v>46185</v>
      </c>
      <c r="D9425" t="inlineStr">
        <is>
          <t>VÄSTERNORRLANDS LÄN</t>
        </is>
      </c>
      <c r="E9425" t="inlineStr">
        <is>
          <t>ÖRNSKÖLDSVIK</t>
        </is>
      </c>
      <c r="G9425" t="n">
        <v>13.6</v>
      </c>
      <c r="H9425" t="n">
        <v>0</v>
      </c>
      <c r="I9425" t="n">
        <v>0</v>
      </c>
      <c r="J9425" t="n">
        <v>0</v>
      </c>
      <c r="K9425" t="n">
        <v>0</v>
      </c>
      <c r="L9425" t="n">
        <v>0</v>
      </c>
      <c r="M9425" t="n">
        <v>0</v>
      </c>
      <c r="N9425" t="n">
        <v>0</v>
      </c>
      <c r="O9425" t="n">
        <v>0</v>
      </c>
      <c r="P9425" t="n">
        <v>0</v>
      </c>
      <c r="Q9425" t="n">
        <v>0</v>
      </c>
      <c r="R9425" s="2" t="inlineStr"/>
    </row>
    <row r="9426" ht="15" customHeight="1">
      <c r="A9426" t="inlineStr">
        <is>
          <t>A 26256-2026</t>
        </is>
      </c>
      <c r="B9426" s="1" t="n">
        <v>46182</v>
      </c>
      <c r="C9426" s="1" t="n">
        <v>46185</v>
      </c>
      <c r="D9426" t="inlineStr">
        <is>
          <t>VÄSTERNORRLANDS LÄN</t>
        </is>
      </c>
      <c r="E9426" t="inlineStr">
        <is>
          <t>HÄRNÖSAND</t>
        </is>
      </c>
      <c r="G9426" t="n">
        <v>7.5</v>
      </c>
      <c r="H9426" t="n">
        <v>0</v>
      </c>
      <c r="I9426" t="n">
        <v>0</v>
      </c>
      <c r="J9426" t="n">
        <v>0</v>
      </c>
      <c r="K9426" t="n">
        <v>0</v>
      </c>
      <c r="L9426" t="n">
        <v>0</v>
      </c>
      <c r="M9426" t="n">
        <v>0</v>
      </c>
      <c r="N9426" t="n">
        <v>0</v>
      </c>
      <c r="O9426" t="n">
        <v>0</v>
      </c>
      <c r="P9426" t="n">
        <v>0</v>
      </c>
      <c r="Q9426" t="n">
        <v>0</v>
      </c>
      <c r="R9426" s="2" t="inlineStr"/>
    </row>
    <row r="9427" ht="15" customHeight="1">
      <c r="A9427" t="inlineStr">
        <is>
          <t>A 59766-2025</t>
        </is>
      </c>
      <c r="B9427" s="1" t="n">
        <v>45992.59480324074</v>
      </c>
      <c r="C9427" s="1" t="n">
        <v>46185</v>
      </c>
      <c r="D9427" t="inlineStr">
        <is>
          <t>VÄSTERNORRLANDS LÄN</t>
        </is>
      </c>
      <c r="E9427" t="inlineStr">
        <is>
          <t>SOLLEFTEÅ</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25981-2026</t>
        </is>
      </c>
      <c r="B9428" s="1" t="n">
        <v>46181.40708333333</v>
      </c>
      <c r="C9428" s="1" t="n">
        <v>46185</v>
      </c>
      <c r="D9428" t="inlineStr">
        <is>
          <t>VÄSTERNORRLANDS LÄN</t>
        </is>
      </c>
      <c r="E9428" t="inlineStr">
        <is>
          <t>HÄRNÖSAND</t>
        </is>
      </c>
      <c r="G9428" t="n">
        <v>8.6</v>
      </c>
      <c r="H9428" t="n">
        <v>0</v>
      </c>
      <c r="I9428" t="n">
        <v>0</v>
      </c>
      <c r="J9428" t="n">
        <v>0</v>
      </c>
      <c r="K9428" t="n">
        <v>0</v>
      </c>
      <c r="L9428" t="n">
        <v>0</v>
      </c>
      <c r="M9428" t="n">
        <v>0</v>
      </c>
      <c r="N9428" t="n">
        <v>0</v>
      </c>
      <c r="O9428" t="n">
        <v>0</v>
      </c>
      <c r="P9428" t="n">
        <v>0</v>
      </c>
      <c r="Q9428" t="n">
        <v>0</v>
      </c>
      <c r="R9428" s="2" t="inlineStr"/>
    </row>
    <row r="9429" ht="15" customHeight="1">
      <c r="A9429" t="inlineStr">
        <is>
          <t>A 34931-2021</t>
        </is>
      </c>
      <c r="B9429" s="1" t="n">
        <v>44379</v>
      </c>
      <c r="C9429" s="1" t="n">
        <v>46185</v>
      </c>
      <c r="D9429" t="inlineStr">
        <is>
          <t>VÄSTERNORRLANDS LÄN</t>
        </is>
      </c>
      <c r="E9429" t="inlineStr">
        <is>
          <t>SUNDSVALL</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25984-2026</t>
        </is>
      </c>
      <c r="B9430" s="1" t="n">
        <v>46181.40871527778</v>
      </c>
      <c r="C9430" s="1" t="n">
        <v>46185</v>
      </c>
      <c r="D9430" t="inlineStr">
        <is>
          <t>VÄSTERNORRLANDS LÄN</t>
        </is>
      </c>
      <c r="E9430" t="inlineStr">
        <is>
          <t>SOLLEFTEÅ</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25990-2026</t>
        </is>
      </c>
      <c r="B9431" s="1" t="n">
        <v>46181.43123842592</v>
      </c>
      <c r="C9431" s="1" t="n">
        <v>46185</v>
      </c>
      <c r="D9431" t="inlineStr">
        <is>
          <t>VÄSTERNORRLANDS LÄN</t>
        </is>
      </c>
      <c r="E9431" t="inlineStr">
        <is>
          <t>SOLLEFTEÅ</t>
        </is>
      </c>
      <c r="G9431" t="n">
        <v>5.9</v>
      </c>
      <c r="H9431" t="n">
        <v>0</v>
      </c>
      <c r="I9431" t="n">
        <v>0</v>
      </c>
      <c r="J9431" t="n">
        <v>0</v>
      </c>
      <c r="K9431" t="n">
        <v>0</v>
      </c>
      <c r="L9431" t="n">
        <v>0</v>
      </c>
      <c r="M9431" t="n">
        <v>0</v>
      </c>
      <c r="N9431" t="n">
        <v>0</v>
      </c>
      <c r="O9431" t="n">
        <v>0</v>
      </c>
      <c r="P9431" t="n">
        <v>0</v>
      </c>
      <c r="Q9431" t="n">
        <v>0</v>
      </c>
      <c r="R9431" s="2" t="inlineStr"/>
    </row>
    <row r="9432" ht="15" customHeight="1">
      <c r="A9432" t="inlineStr">
        <is>
          <t>A 2123-2025</t>
        </is>
      </c>
      <c r="B9432" s="1" t="n">
        <v>45672</v>
      </c>
      <c r="C9432" s="1" t="n">
        <v>46185</v>
      </c>
      <c r="D9432" t="inlineStr">
        <is>
          <t>VÄSTERNORRLANDS LÄN</t>
        </is>
      </c>
      <c r="E9432" t="inlineStr">
        <is>
          <t>TIMRÅ</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2150-2025</t>
        </is>
      </c>
      <c r="B9433" s="1" t="n">
        <v>45672.69993055556</v>
      </c>
      <c r="C9433" s="1" t="n">
        <v>46185</v>
      </c>
      <c r="D9433" t="inlineStr">
        <is>
          <t>VÄSTERNORRLANDS LÄN</t>
        </is>
      </c>
      <c r="E9433" t="inlineStr">
        <is>
          <t>KRAMFORS</t>
        </is>
      </c>
      <c r="G9433" t="n">
        <v>5.4</v>
      </c>
      <c r="H9433" t="n">
        <v>0</v>
      </c>
      <c r="I9433" t="n">
        <v>0</v>
      </c>
      <c r="J9433" t="n">
        <v>0</v>
      </c>
      <c r="K9433" t="n">
        <v>0</v>
      </c>
      <c r="L9433" t="n">
        <v>0</v>
      </c>
      <c r="M9433" t="n">
        <v>0</v>
      </c>
      <c r="N9433" t="n">
        <v>0</v>
      </c>
      <c r="O9433" t="n">
        <v>0</v>
      </c>
      <c r="P9433" t="n">
        <v>0</v>
      </c>
      <c r="Q9433" t="n">
        <v>0</v>
      </c>
      <c r="R9433" s="2" t="inlineStr"/>
    </row>
    <row r="9434" ht="15" customHeight="1">
      <c r="A9434" t="inlineStr">
        <is>
          <t>A 22362-2025</t>
        </is>
      </c>
      <c r="B9434" s="1" t="n">
        <v>45786.46815972222</v>
      </c>
      <c r="C9434" s="1" t="n">
        <v>46185</v>
      </c>
      <c r="D9434" t="inlineStr">
        <is>
          <t>VÄSTERNORRLANDS LÄN</t>
        </is>
      </c>
      <c r="E9434" t="inlineStr">
        <is>
          <t>ÖRNSKÖLDSVIK</t>
        </is>
      </c>
      <c r="F9434" t="inlineStr">
        <is>
          <t>Holmen skog AB</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10890-2022</t>
        </is>
      </c>
      <c r="B9435" s="1" t="n">
        <v>44627</v>
      </c>
      <c r="C9435" s="1" t="n">
        <v>46185</v>
      </c>
      <c r="D9435" t="inlineStr">
        <is>
          <t>VÄSTERNORRLANDS LÄN</t>
        </is>
      </c>
      <c r="E9435" t="inlineStr">
        <is>
          <t>SUNDSVALL</t>
        </is>
      </c>
      <c r="F9435" t="inlineStr">
        <is>
          <t>Kommuner</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11269-2022</t>
        </is>
      </c>
      <c r="B9436" s="1" t="n">
        <v>44629.71497685185</v>
      </c>
      <c r="C9436" s="1" t="n">
        <v>46185</v>
      </c>
      <c r="D9436" t="inlineStr">
        <is>
          <t>VÄSTERNORRLANDS LÄN</t>
        </is>
      </c>
      <c r="E9436" t="inlineStr">
        <is>
          <t>TIMRÅ</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35581-2024</t>
        </is>
      </c>
      <c r="B9437" s="1" t="n">
        <v>45531</v>
      </c>
      <c r="C9437" s="1" t="n">
        <v>46185</v>
      </c>
      <c r="D9437" t="inlineStr">
        <is>
          <t>VÄSTERNORRLANDS LÄN</t>
        </is>
      </c>
      <c r="E9437" t="inlineStr">
        <is>
          <t>ÅNGE</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59034-2022</t>
        </is>
      </c>
      <c r="B9438" s="1" t="n">
        <v>44903</v>
      </c>
      <c r="C9438" s="1" t="n">
        <v>46185</v>
      </c>
      <c r="D9438" t="inlineStr">
        <is>
          <t>VÄSTERNORRLANDS LÄN</t>
        </is>
      </c>
      <c r="E9438" t="inlineStr">
        <is>
          <t>HÄRNÖSAND</t>
        </is>
      </c>
      <c r="F9438" t="inlineStr">
        <is>
          <t>SCA</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25939-2026</t>
        </is>
      </c>
      <c r="B9439" s="1" t="n">
        <v>46181.28189814815</v>
      </c>
      <c r="C9439" s="1" t="n">
        <v>46185</v>
      </c>
      <c r="D9439" t="inlineStr">
        <is>
          <t>VÄSTERNORRLANDS LÄN</t>
        </is>
      </c>
      <c r="E9439" t="inlineStr">
        <is>
          <t>ÖRNSKÖLDSVIK</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25974-2026</t>
        </is>
      </c>
      <c r="B9440" s="1" t="n">
        <v>46181.3863425926</v>
      </c>
      <c r="C9440" s="1" t="n">
        <v>46185</v>
      </c>
      <c r="D9440" t="inlineStr">
        <is>
          <t>VÄSTERNORRLANDS LÄN</t>
        </is>
      </c>
      <c r="E9440" t="inlineStr">
        <is>
          <t>HÄRNÖSAND</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61345-2022</t>
        </is>
      </c>
      <c r="B9441" s="1" t="n">
        <v>44915</v>
      </c>
      <c r="C9441" s="1" t="n">
        <v>46185</v>
      </c>
      <c r="D9441" t="inlineStr">
        <is>
          <t>VÄSTERNORRLANDS LÄN</t>
        </is>
      </c>
      <c r="E9441" t="inlineStr">
        <is>
          <t>SOLLEFTEÅ</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66504-2021</t>
        </is>
      </c>
      <c r="B9442" s="1" t="n">
        <v>44517</v>
      </c>
      <c r="C9442" s="1" t="n">
        <v>46185</v>
      </c>
      <c r="D9442" t="inlineStr">
        <is>
          <t>VÄSTERNORRLANDS LÄN</t>
        </is>
      </c>
      <c r="E9442" t="inlineStr">
        <is>
          <t>ÖRNSKÖLDSVIK</t>
        </is>
      </c>
      <c r="G9442" t="n">
        <v>7</v>
      </c>
      <c r="H9442" t="n">
        <v>0</v>
      </c>
      <c r="I9442" t="n">
        <v>0</v>
      </c>
      <c r="J9442" t="n">
        <v>0</v>
      </c>
      <c r="K9442" t="n">
        <v>0</v>
      </c>
      <c r="L9442" t="n">
        <v>0</v>
      </c>
      <c r="M9442" t="n">
        <v>0</v>
      </c>
      <c r="N9442" t="n">
        <v>0</v>
      </c>
      <c r="O9442" t="n">
        <v>0</v>
      </c>
      <c r="P9442" t="n">
        <v>0</v>
      </c>
      <c r="Q9442" t="n">
        <v>0</v>
      </c>
      <c r="R9442" s="2" t="inlineStr"/>
    </row>
    <row r="9443" ht="15" customHeight="1">
      <c r="A9443" t="inlineStr">
        <is>
          <t>A 43394-2025</t>
        </is>
      </c>
      <c r="B9443" s="1" t="n">
        <v>45911.37017361111</v>
      </c>
      <c r="C9443" s="1" t="n">
        <v>46185</v>
      </c>
      <c r="D9443" t="inlineStr">
        <is>
          <t>VÄSTERNORRLANDS LÄN</t>
        </is>
      </c>
      <c r="E9443" t="inlineStr">
        <is>
          <t>KRAMFORS</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62865-2025</t>
        </is>
      </c>
      <c r="B9444" s="1" t="n">
        <v>46008</v>
      </c>
      <c r="C9444" s="1" t="n">
        <v>46185</v>
      </c>
      <c r="D9444" t="inlineStr">
        <is>
          <t>VÄSTERNORRLANDS LÄN</t>
        </is>
      </c>
      <c r="E9444" t="inlineStr">
        <is>
          <t>ÖRNSKÖLDSVIK</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31115-2025</t>
        </is>
      </c>
      <c r="B9445" s="1" t="n">
        <v>45832.61564814814</v>
      </c>
      <c r="C9445" s="1" t="n">
        <v>46185</v>
      </c>
      <c r="D9445" t="inlineStr">
        <is>
          <t>VÄSTERNORRLANDS LÄN</t>
        </is>
      </c>
      <c r="E9445" t="inlineStr">
        <is>
          <t>SUNDSVALL</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26089-2026</t>
        </is>
      </c>
      <c r="B9446" s="1" t="n">
        <v>46181.6358912037</v>
      </c>
      <c r="C9446" s="1" t="n">
        <v>46185</v>
      </c>
      <c r="D9446" t="inlineStr">
        <is>
          <t>VÄSTERNORRLANDS LÄN</t>
        </is>
      </c>
      <c r="E9446" t="inlineStr">
        <is>
          <t>KRAMFORS</t>
        </is>
      </c>
      <c r="F9446" t="inlineStr">
        <is>
          <t>SCA</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25703-2024</t>
        </is>
      </c>
      <c r="B9447" s="1" t="n">
        <v>45463</v>
      </c>
      <c r="C9447" s="1" t="n">
        <v>46185</v>
      </c>
      <c r="D9447" t="inlineStr">
        <is>
          <t>VÄSTERNORRLANDS LÄN</t>
        </is>
      </c>
      <c r="E9447" t="inlineStr">
        <is>
          <t>SOLLEFTEÅ</t>
        </is>
      </c>
      <c r="F9447" t="inlineStr">
        <is>
          <t>SCA</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25711-2024</t>
        </is>
      </c>
      <c r="B9448" s="1" t="n">
        <v>45463</v>
      </c>
      <c r="C9448" s="1" t="n">
        <v>46185</v>
      </c>
      <c r="D9448" t="inlineStr">
        <is>
          <t>VÄSTERNORRLANDS LÄN</t>
        </is>
      </c>
      <c r="E9448" t="inlineStr">
        <is>
          <t>SOLLEFTEÅ</t>
        </is>
      </c>
      <c r="F9448" t="inlineStr">
        <is>
          <t>SCA</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3022-2023</t>
        </is>
      </c>
      <c r="B9449" s="1" t="n">
        <v>44945</v>
      </c>
      <c r="C9449" s="1" t="n">
        <v>46185</v>
      </c>
      <c r="D9449" t="inlineStr">
        <is>
          <t>VÄSTERNORRLANDS LÄN</t>
        </is>
      </c>
      <c r="E9449" t="inlineStr">
        <is>
          <t>ÅNGE</t>
        </is>
      </c>
      <c r="F9449" t="inlineStr">
        <is>
          <t>SCA</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3024-2023</t>
        </is>
      </c>
      <c r="B9450" s="1" t="n">
        <v>44945</v>
      </c>
      <c r="C9450" s="1" t="n">
        <v>46185</v>
      </c>
      <c r="D9450" t="inlineStr">
        <is>
          <t>VÄSTERNORRLANDS LÄN</t>
        </is>
      </c>
      <c r="E9450" t="inlineStr">
        <is>
          <t>HÄRNÖSAND</t>
        </is>
      </c>
      <c r="F9450" t="inlineStr">
        <is>
          <t>SCA</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26427-2025</t>
        </is>
      </c>
      <c r="B9451" s="1" t="n">
        <v>45807</v>
      </c>
      <c r="C9451" s="1" t="n">
        <v>46185</v>
      </c>
      <c r="D9451" t="inlineStr">
        <is>
          <t>VÄSTERNORRLANDS LÄN</t>
        </is>
      </c>
      <c r="E9451" t="inlineStr">
        <is>
          <t>SUNDSVALL</t>
        </is>
      </c>
      <c r="F9451" t="inlineStr">
        <is>
          <t>Naturvårdsverket</t>
        </is>
      </c>
      <c r="G9451" t="n">
        <v>16.6</v>
      </c>
      <c r="H9451" t="n">
        <v>0</v>
      </c>
      <c r="I9451" t="n">
        <v>0</v>
      </c>
      <c r="J9451" t="n">
        <v>0</v>
      </c>
      <c r="K9451" t="n">
        <v>0</v>
      </c>
      <c r="L9451" t="n">
        <v>0</v>
      </c>
      <c r="M9451" t="n">
        <v>0</v>
      </c>
      <c r="N9451" t="n">
        <v>0</v>
      </c>
      <c r="O9451" t="n">
        <v>0</v>
      </c>
      <c r="P9451" t="n">
        <v>0</v>
      </c>
      <c r="Q9451" t="n">
        <v>0</v>
      </c>
      <c r="R9451" s="2" t="inlineStr"/>
    </row>
    <row r="9452" ht="15" customHeight="1">
      <c r="A9452" t="inlineStr">
        <is>
          <t>A 37046-2024</t>
        </is>
      </c>
      <c r="B9452" s="1" t="n">
        <v>45539.42739583334</v>
      </c>
      <c r="C9452" s="1" t="n">
        <v>46185</v>
      </c>
      <c r="D9452" t="inlineStr">
        <is>
          <t>VÄSTERNORRLANDS LÄN</t>
        </is>
      </c>
      <c r="E9452" t="inlineStr">
        <is>
          <t>SOLLEFTEÅ</t>
        </is>
      </c>
      <c r="F9452" t="inlineStr">
        <is>
          <t>SCA</t>
        </is>
      </c>
      <c r="G9452" t="n">
        <v>6.2</v>
      </c>
      <c r="H9452" t="n">
        <v>0</v>
      </c>
      <c r="I9452" t="n">
        <v>0</v>
      </c>
      <c r="J9452" t="n">
        <v>0</v>
      </c>
      <c r="K9452" t="n">
        <v>0</v>
      </c>
      <c r="L9452" t="n">
        <v>0</v>
      </c>
      <c r="M9452" t="n">
        <v>0</v>
      </c>
      <c r="N9452" t="n">
        <v>0</v>
      </c>
      <c r="O9452" t="n">
        <v>0</v>
      </c>
      <c r="P9452" t="n">
        <v>0</v>
      </c>
      <c r="Q9452" t="n">
        <v>0</v>
      </c>
      <c r="R9452" s="2" t="inlineStr"/>
    </row>
    <row r="9453" ht="15" customHeight="1">
      <c r="A9453" t="inlineStr">
        <is>
          <t>A 26617-2026</t>
        </is>
      </c>
      <c r="B9453" s="1" t="n">
        <v>46184.33732638889</v>
      </c>
      <c r="C9453" s="1" t="n">
        <v>46185</v>
      </c>
      <c r="D9453" t="inlineStr">
        <is>
          <t>VÄSTERNORRLANDS LÄN</t>
        </is>
      </c>
      <c r="E9453" t="inlineStr">
        <is>
          <t>ÖRNSKÖLDSVIK</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26664-2026</t>
        </is>
      </c>
      <c r="B9454" s="1" t="n">
        <v>46184.42236111111</v>
      </c>
      <c r="C9454" s="1" t="n">
        <v>46185</v>
      </c>
      <c r="D9454" t="inlineStr">
        <is>
          <t>VÄSTERNORRLANDS LÄN</t>
        </is>
      </c>
      <c r="E9454" t="inlineStr">
        <is>
          <t>HÄRNÖSAND</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41484-2021</t>
        </is>
      </c>
      <c r="B9455" s="1" t="n">
        <v>44424</v>
      </c>
      <c r="C9455" s="1" t="n">
        <v>46185</v>
      </c>
      <c r="D9455" t="inlineStr">
        <is>
          <t>VÄSTERNORRLANDS LÄN</t>
        </is>
      </c>
      <c r="E9455" t="inlineStr">
        <is>
          <t>HÄRNÖSAND</t>
        </is>
      </c>
      <c r="G9455" t="n">
        <v>7</v>
      </c>
      <c r="H9455" t="n">
        <v>0</v>
      </c>
      <c r="I9455" t="n">
        <v>0</v>
      </c>
      <c r="J9455" t="n">
        <v>0</v>
      </c>
      <c r="K9455" t="n">
        <v>0</v>
      </c>
      <c r="L9455" t="n">
        <v>0</v>
      </c>
      <c r="M9455" t="n">
        <v>0</v>
      </c>
      <c r="N9455" t="n">
        <v>0</v>
      </c>
      <c r="O9455" t="n">
        <v>0</v>
      </c>
      <c r="P9455" t="n">
        <v>0</v>
      </c>
      <c r="Q9455" t="n">
        <v>0</v>
      </c>
      <c r="R9455" s="2" t="inlineStr"/>
    </row>
    <row r="9456" ht="15" customHeight="1">
      <c r="A9456" t="inlineStr">
        <is>
          <t>A 53221-2021</t>
        </is>
      </c>
      <c r="B9456" s="1" t="n">
        <v>44467</v>
      </c>
      <c r="C9456" s="1" t="n">
        <v>46185</v>
      </c>
      <c r="D9456" t="inlineStr">
        <is>
          <t>VÄSTERNORRLANDS LÄN</t>
        </is>
      </c>
      <c r="E9456" t="inlineStr">
        <is>
          <t>ÖRNSKÖLDSVIK</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9529-2024</t>
        </is>
      </c>
      <c r="B9457" s="1" t="n">
        <v>45359</v>
      </c>
      <c r="C9457" s="1" t="n">
        <v>46185</v>
      </c>
      <c r="D9457" t="inlineStr">
        <is>
          <t>VÄSTERNORRLANDS LÄN</t>
        </is>
      </c>
      <c r="E9457" t="inlineStr">
        <is>
          <t>ÖRNSKÖLDSVIK</t>
        </is>
      </c>
      <c r="F9457" t="inlineStr">
        <is>
          <t>Holmen skog AB</t>
        </is>
      </c>
      <c r="G9457" t="n">
        <v>0.3</v>
      </c>
      <c r="H9457" t="n">
        <v>0</v>
      </c>
      <c r="I9457" t="n">
        <v>0</v>
      </c>
      <c r="J9457" t="n">
        <v>0</v>
      </c>
      <c r="K9457" t="n">
        <v>0</v>
      </c>
      <c r="L9457" t="n">
        <v>0</v>
      </c>
      <c r="M9457" t="n">
        <v>0</v>
      </c>
      <c r="N9457" t="n">
        <v>0</v>
      </c>
      <c r="O9457" t="n">
        <v>0</v>
      </c>
      <c r="P9457" t="n">
        <v>0</v>
      </c>
      <c r="Q9457" t="n">
        <v>0</v>
      </c>
      <c r="R9457" s="2" t="inlineStr"/>
    </row>
    <row r="9458" ht="15" customHeight="1">
      <c r="A9458" t="inlineStr">
        <is>
          <t>A 20673-2026</t>
        </is>
      </c>
      <c r="B9458" s="1" t="n">
        <v>46141.44366898148</v>
      </c>
      <c r="C9458" s="1" t="n">
        <v>46185</v>
      </c>
      <c r="D9458" t="inlineStr">
        <is>
          <t>VÄSTERNORRLANDS LÄN</t>
        </is>
      </c>
      <c r="E9458" t="inlineStr">
        <is>
          <t>KRAMFORS</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20929-2026</t>
        </is>
      </c>
      <c r="B9459" s="1" t="n">
        <v>46142.49005787037</v>
      </c>
      <c r="C9459" s="1" t="n">
        <v>46185</v>
      </c>
      <c r="D9459" t="inlineStr">
        <is>
          <t>VÄSTERNORRLANDS LÄN</t>
        </is>
      </c>
      <c r="E9459" t="inlineStr">
        <is>
          <t>SOLLEFTEÅ</t>
        </is>
      </c>
      <c r="F9459" t="inlineStr">
        <is>
          <t>SCA</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28175-2025</t>
        </is>
      </c>
      <c r="B9460" s="1" t="n">
        <v>45818</v>
      </c>
      <c r="C9460" s="1" t="n">
        <v>46185</v>
      </c>
      <c r="D9460" t="inlineStr">
        <is>
          <t>VÄSTERNORRLANDS LÄN</t>
        </is>
      </c>
      <c r="E9460" t="inlineStr">
        <is>
          <t>KRAMFORS</t>
        </is>
      </c>
      <c r="G9460" t="n">
        <v>4.1</v>
      </c>
      <c r="H9460" t="n">
        <v>0</v>
      </c>
      <c r="I9460" t="n">
        <v>0</v>
      </c>
      <c r="J9460" t="n">
        <v>0</v>
      </c>
      <c r="K9460" t="n">
        <v>0</v>
      </c>
      <c r="L9460" t="n">
        <v>0</v>
      </c>
      <c r="M9460" t="n">
        <v>0</v>
      </c>
      <c r="N9460" t="n">
        <v>0</v>
      </c>
      <c r="O9460" t="n">
        <v>0</v>
      </c>
      <c r="P9460" t="n">
        <v>0</v>
      </c>
      <c r="Q9460" t="n">
        <v>0</v>
      </c>
      <c r="R9460" s="2" t="inlineStr"/>
    </row>
    <row r="9461" ht="15" customHeight="1">
      <c r="A9461" t="inlineStr">
        <is>
          <t>A 59770-2022</t>
        </is>
      </c>
      <c r="B9461" s="1" t="n">
        <v>44908</v>
      </c>
      <c r="C9461" s="1" t="n">
        <v>46185</v>
      </c>
      <c r="D9461" t="inlineStr">
        <is>
          <t>VÄSTERNORRLANDS LÄN</t>
        </is>
      </c>
      <c r="E9461" t="inlineStr">
        <is>
          <t>SUNDSVALL</t>
        </is>
      </c>
      <c r="G9461" t="n">
        <v>6.1</v>
      </c>
      <c r="H9461" t="n">
        <v>0</v>
      </c>
      <c r="I9461" t="n">
        <v>0</v>
      </c>
      <c r="J9461" t="n">
        <v>0</v>
      </c>
      <c r="K9461" t="n">
        <v>0</v>
      </c>
      <c r="L9461" t="n">
        <v>0</v>
      </c>
      <c r="M9461" t="n">
        <v>0</v>
      </c>
      <c r="N9461" t="n">
        <v>0</v>
      </c>
      <c r="O9461" t="n">
        <v>0</v>
      </c>
      <c r="P9461" t="n">
        <v>0</v>
      </c>
      <c r="Q9461" t="n">
        <v>0</v>
      </c>
      <c r="R9461" s="2" t="inlineStr"/>
    </row>
    <row r="9462" ht="15" customHeight="1">
      <c r="A9462" t="inlineStr">
        <is>
          <t>A 62529-2025</t>
        </is>
      </c>
      <c r="B9462" s="1" t="n">
        <v>46007.63611111111</v>
      </c>
      <c r="C9462" s="1" t="n">
        <v>46185</v>
      </c>
      <c r="D9462" t="inlineStr">
        <is>
          <t>VÄSTERNORRLANDS LÄN</t>
        </is>
      </c>
      <c r="E9462" t="inlineStr">
        <is>
          <t>SUNDSVALL</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39846-2024</t>
        </is>
      </c>
      <c r="B9463" s="1" t="n">
        <v>45553.4275</v>
      </c>
      <c r="C9463" s="1" t="n">
        <v>46185</v>
      </c>
      <c r="D9463" t="inlineStr">
        <is>
          <t>VÄSTERNORRLANDS LÄN</t>
        </is>
      </c>
      <c r="E9463" t="inlineStr">
        <is>
          <t>KRAMFORS</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20708-2026</t>
        </is>
      </c>
      <c r="B9464" s="1" t="n">
        <v>46141.49025462963</v>
      </c>
      <c r="C9464" s="1" t="n">
        <v>46185</v>
      </c>
      <c r="D9464" t="inlineStr">
        <is>
          <t>VÄSTERNORRLANDS LÄN</t>
        </is>
      </c>
      <c r="E9464" t="inlineStr">
        <is>
          <t>SUNDSVALL</t>
        </is>
      </c>
      <c r="F9464" t="inlineStr">
        <is>
          <t>SCA</t>
        </is>
      </c>
      <c r="G9464" t="n">
        <v>19.4</v>
      </c>
      <c r="H9464" t="n">
        <v>0</v>
      </c>
      <c r="I9464" t="n">
        <v>0</v>
      </c>
      <c r="J9464" t="n">
        <v>0</v>
      </c>
      <c r="K9464" t="n">
        <v>0</v>
      </c>
      <c r="L9464" t="n">
        <v>0</v>
      </c>
      <c r="M9464" t="n">
        <v>0</v>
      </c>
      <c r="N9464" t="n">
        <v>0</v>
      </c>
      <c r="O9464" t="n">
        <v>0</v>
      </c>
      <c r="P9464" t="n">
        <v>0</v>
      </c>
      <c r="Q9464" t="n">
        <v>0</v>
      </c>
      <c r="R9464" s="2" t="inlineStr"/>
    </row>
    <row r="9465" ht="15" customHeight="1">
      <c r="A9465" t="inlineStr">
        <is>
          <t>A 39021-2024</t>
        </is>
      </c>
      <c r="B9465" s="1" t="n">
        <v>45548</v>
      </c>
      <c r="C9465" s="1" t="n">
        <v>46185</v>
      </c>
      <c r="D9465" t="inlineStr">
        <is>
          <t>VÄSTERNORRLANDS LÄN</t>
        </is>
      </c>
      <c r="E9465" t="inlineStr">
        <is>
          <t>ÅNGE</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58994-2024</t>
        </is>
      </c>
      <c r="B9466" s="1" t="n">
        <v>45636.63717592593</v>
      </c>
      <c r="C9466" s="1" t="n">
        <v>46185</v>
      </c>
      <c r="D9466" t="inlineStr">
        <is>
          <t>VÄSTERNORRLANDS LÄN</t>
        </is>
      </c>
      <c r="E9466" t="inlineStr">
        <is>
          <t>SOLLEFTEÅ</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1402-2022</t>
        </is>
      </c>
      <c r="B9467" s="1" t="n">
        <v>44573</v>
      </c>
      <c r="C9467" s="1" t="n">
        <v>46185</v>
      </c>
      <c r="D9467" t="inlineStr">
        <is>
          <t>VÄSTERNORRLANDS LÄN</t>
        </is>
      </c>
      <c r="E9467" t="inlineStr">
        <is>
          <t>SOLLEFTEÅ</t>
        </is>
      </c>
      <c r="G9467" t="n">
        <v>8</v>
      </c>
      <c r="H9467" t="n">
        <v>0</v>
      </c>
      <c r="I9467" t="n">
        <v>0</v>
      </c>
      <c r="J9467" t="n">
        <v>0</v>
      </c>
      <c r="K9467" t="n">
        <v>0</v>
      </c>
      <c r="L9467" t="n">
        <v>0</v>
      </c>
      <c r="M9467" t="n">
        <v>0</v>
      </c>
      <c r="N9467" t="n">
        <v>0</v>
      </c>
      <c r="O9467" t="n">
        <v>0</v>
      </c>
      <c r="P9467" t="n">
        <v>0</v>
      </c>
      <c r="Q9467" t="n">
        <v>0</v>
      </c>
      <c r="R9467" s="2" t="inlineStr"/>
    </row>
    <row r="9468" ht="15" customHeight="1">
      <c r="A9468" t="inlineStr">
        <is>
          <t>A 20795-2026</t>
        </is>
      </c>
      <c r="B9468" s="1" t="n">
        <v>46141.6577662037</v>
      </c>
      <c r="C9468" s="1" t="n">
        <v>46185</v>
      </c>
      <c r="D9468" t="inlineStr">
        <is>
          <t>VÄSTERNORRLANDS LÄN</t>
        </is>
      </c>
      <c r="E9468" t="inlineStr">
        <is>
          <t>SUNDSVALL</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13875-2022</t>
        </is>
      </c>
      <c r="B9469" s="1" t="n">
        <v>44649</v>
      </c>
      <c r="C9469" s="1" t="n">
        <v>46185</v>
      </c>
      <c r="D9469" t="inlineStr">
        <is>
          <t>VÄSTERNORRLANDS LÄN</t>
        </is>
      </c>
      <c r="E9469" t="inlineStr">
        <is>
          <t>ÅNGE</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21328-2026</t>
        </is>
      </c>
      <c r="B9470" s="1" t="n">
        <v>46142</v>
      </c>
      <c r="C9470" s="1" t="n">
        <v>46185</v>
      </c>
      <c r="D9470" t="inlineStr">
        <is>
          <t>VÄSTERNORRLANDS LÄN</t>
        </is>
      </c>
      <c r="E9470" t="inlineStr">
        <is>
          <t>KRAMFORS</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16223-2024</t>
        </is>
      </c>
      <c r="B9471" s="1" t="n">
        <v>45406.96440972222</v>
      </c>
      <c r="C9471" s="1" t="n">
        <v>46185</v>
      </c>
      <c r="D9471" t="inlineStr">
        <is>
          <t>VÄSTERNORRLANDS LÄN</t>
        </is>
      </c>
      <c r="E9471" t="inlineStr">
        <is>
          <t>SUNDSVALL</t>
        </is>
      </c>
      <c r="G9471" t="n">
        <v>6.7</v>
      </c>
      <c r="H9471" t="n">
        <v>0</v>
      </c>
      <c r="I9471" t="n">
        <v>0</v>
      </c>
      <c r="J9471" t="n">
        <v>0</v>
      </c>
      <c r="K9471" t="n">
        <v>0</v>
      </c>
      <c r="L9471" t="n">
        <v>0</v>
      </c>
      <c r="M9471" t="n">
        <v>0</v>
      </c>
      <c r="N9471" t="n">
        <v>0</v>
      </c>
      <c r="O9471" t="n">
        <v>0</v>
      </c>
      <c r="P9471" t="n">
        <v>0</v>
      </c>
      <c r="Q9471" t="n">
        <v>0</v>
      </c>
      <c r="R9471" s="2" t="inlineStr"/>
    </row>
    <row r="9472" ht="15" customHeight="1">
      <c r="A9472" t="inlineStr">
        <is>
          <t>A 580-2022</t>
        </is>
      </c>
      <c r="B9472" s="1" t="n">
        <v>44566</v>
      </c>
      <c r="C9472" s="1" t="n">
        <v>46185</v>
      </c>
      <c r="D9472" t="inlineStr">
        <is>
          <t>VÄSTERNORRLANDS LÄN</t>
        </is>
      </c>
      <c r="E9472" t="inlineStr">
        <is>
          <t>TIMRÅ</t>
        </is>
      </c>
      <c r="F9472" t="inlineStr">
        <is>
          <t>SCA</t>
        </is>
      </c>
      <c r="G9472" t="n">
        <v>5.9</v>
      </c>
      <c r="H9472" t="n">
        <v>0</v>
      </c>
      <c r="I9472" t="n">
        <v>0</v>
      </c>
      <c r="J9472" t="n">
        <v>0</v>
      </c>
      <c r="K9472" t="n">
        <v>0</v>
      </c>
      <c r="L9472" t="n">
        <v>0</v>
      </c>
      <c r="M9472" t="n">
        <v>0</v>
      </c>
      <c r="N9472" t="n">
        <v>0</v>
      </c>
      <c r="O9472" t="n">
        <v>0</v>
      </c>
      <c r="P9472" t="n">
        <v>0</v>
      </c>
      <c r="Q9472" t="n">
        <v>0</v>
      </c>
      <c r="R9472" s="2" t="inlineStr"/>
    </row>
    <row r="9473" ht="15" customHeight="1">
      <c r="A9473" t="inlineStr">
        <is>
          <t>A 14732-2025</t>
        </is>
      </c>
      <c r="B9473" s="1" t="n">
        <v>45742.63611111111</v>
      </c>
      <c r="C9473" s="1" t="n">
        <v>46185</v>
      </c>
      <c r="D9473" t="inlineStr">
        <is>
          <t>VÄSTERNORRLANDS LÄN</t>
        </is>
      </c>
      <c r="E9473" t="inlineStr">
        <is>
          <t>SUNDSVALL</t>
        </is>
      </c>
      <c r="F9473" t="inlineStr">
        <is>
          <t>Kommuner</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43772-2022</t>
        </is>
      </c>
      <c r="B9474" s="1" t="n">
        <v>44837</v>
      </c>
      <c r="C9474" s="1" t="n">
        <v>46185</v>
      </c>
      <c r="D9474" t="inlineStr">
        <is>
          <t>VÄSTERNORRLANDS LÄN</t>
        </is>
      </c>
      <c r="E9474" t="inlineStr">
        <is>
          <t>SOLLEFTEÅ</t>
        </is>
      </c>
      <c r="F9474" t="inlineStr">
        <is>
          <t>Kyrkan</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6383-2024</t>
        </is>
      </c>
      <c r="B9475" s="1" t="n">
        <v>45338</v>
      </c>
      <c r="C9475" s="1" t="n">
        <v>46185</v>
      </c>
      <c r="D9475" t="inlineStr">
        <is>
          <t>VÄSTERNORRLANDS LÄN</t>
        </is>
      </c>
      <c r="E9475" t="inlineStr">
        <is>
          <t>ÖRNSKÖLDSVIK</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36567-2025</t>
        </is>
      </c>
      <c r="B9476" s="1" t="n">
        <v>45870.38320601852</v>
      </c>
      <c r="C9476" s="1" t="n">
        <v>46185</v>
      </c>
      <c r="D9476" t="inlineStr">
        <is>
          <t>VÄSTERNORRLANDS LÄN</t>
        </is>
      </c>
      <c r="E9476" t="inlineStr">
        <is>
          <t>SOLLEFTEÅ</t>
        </is>
      </c>
      <c r="G9476" t="n">
        <v>7.2</v>
      </c>
      <c r="H9476" t="n">
        <v>0</v>
      </c>
      <c r="I9476" t="n">
        <v>0</v>
      </c>
      <c r="J9476" t="n">
        <v>0</v>
      </c>
      <c r="K9476" t="n">
        <v>0</v>
      </c>
      <c r="L9476" t="n">
        <v>0</v>
      </c>
      <c r="M9476" t="n">
        <v>0</v>
      </c>
      <c r="N9476" t="n">
        <v>0</v>
      </c>
      <c r="O9476" t="n">
        <v>0</v>
      </c>
      <c r="P9476" t="n">
        <v>0</v>
      </c>
      <c r="Q9476" t="n">
        <v>0</v>
      </c>
      <c r="R9476" s="2" t="inlineStr"/>
    </row>
    <row r="9477" ht="15" customHeight="1">
      <c r="A9477" t="inlineStr">
        <is>
          <t>A 1663-2025</t>
        </is>
      </c>
      <c r="B9477" s="1" t="n">
        <v>45670</v>
      </c>
      <c r="C9477" s="1" t="n">
        <v>46185</v>
      </c>
      <c r="D9477" t="inlineStr">
        <is>
          <t>VÄSTERNORRLANDS LÄN</t>
        </is>
      </c>
      <c r="E9477" t="inlineStr">
        <is>
          <t>KRAMFORS</t>
        </is>
      </c>
      <c r="G9477" t="n">
        <v>7.1</v>
      </c>
      <c r="H9477" t="n">
        <v>0</v>
      </c>
      <c r="I9477" t="n">
        <v>0</v>
      </c>
      <c r="J9477" t="n">
        <v>0</v>
      </c>
      <c r="K9477" t="n">
        <v>0</v>
      </c>
      <c r="L9477" t="n">
        <v>0</v>
      </c>
      <c r="M9477" t="n">
        <v>0</v>
      </c>
      <c r="N9477" t="n">
        <v>0</v>
      </c>
      <c r="O9477" t="n">
        <v>0</v>
      </c>
      <c r="P9477" t="n">
        <v>0</v>
      </c>
      <c r="Q9477" t="n">
        <v>0</v>
      </c>
      <c r="R9477" s="2" t="inlineStr"/>
    </row>
    <row r="9478" ht="15" customHeight="1">
      <c r="A9478" t="inlineStr">
        <is>
          <t>A 33156-2025</t>
        </is>
      </c>
      <c r="B9478" s="1" t="n">
        <v>45840.55723379629</v>
      </c>
      <c r="C9478" s="1" t="n">
        <v>46185</v>
      </c>
      <c r="D9478" t="inlineStr">
        <is>
          <t>VÄSTERNORRLANDS LÄN</t>
        </is>
      </c>
      <c r="E9478" t="inlineStr">
        <is>
          <t>HÄRNÖSAND</t>
        </is>
      </c>
      <c r="G9478" t="n">
        <v>6.1</v>
      </c>
      <c r="H9478" t="n">
        <v>0</v>
      </c>
      <c r="I9478" t="n">
        <v>0</v>
      </c>
      <c r="J9478" t="n">
        <v>0</v>
      </c>
      <c r="K9478" t="n">
        <v>0</v>
      </c>
      <c r="L9478" t="n">
        <v>0</v>
      </c>
      <c r="M9478" t="n">
        <v>0</v>
      </c>
      <c r="N9478" t="n">
        <v>0</v>
      </c>
      <c r="O9478" t="n">
        <v>0</v>
      </c>
      <c r="P9478" t="n">
        <v>0</v>
      </c>
      <c r="Q9478" t="n">
        <v>0</v>
      </c>
      <c r="R9478" s="2" t="inlineStr"/>
    </row>
    <row r="9479" ht="15" customHeight="1">
      <c r="A9479" t="inlineStr">
        <is>
          <t>A 20751-2026</t>
        </is>
      </c>
      <c r="B9479" s="1" t="n">
        <v>46141.59443287037</v>
      </c>
      <c r="C9479" s="1" t="n">
        <v>46185</v>
      </c>
      <c r="D9479" t="inlineStr">
        <is>
          <t>VÄSTERNORRLANDS LÄN</t>
        </is>
      </c>
      <c r="E9479" t="inlineStr">
        <is>
          <t>SUNDSVALL</t>
        </is>
      </c>
      <c r="F9479" t="inlineStr">
        <is>
          <t>SCA</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4876-2023</t>
        </is>
      </c>
      <c r="B9480" s="1" t="n">
        <v>44957.94023148148</v>
      </c>
      <c r="C9480" s="1" t="n">
        <v>46185</v>
      </c>
      <c r="D9480" t="inlineStr">
        <is>
          <t>VÄSTERNORRLANDS LÄN</t>
        </is>
      </c>
      <c r="E9480" t="inlineStr">
        <is>
          <t>ÅNGE</t>
        </is>
      </c>
      <c r="F9480" t="inlineStr">
        <is>
          <t>SCA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1654-2026</t>
        </is>
      </c>
      <c r="B9481" s="1" t="n">
        <v>46034</v>
      </c>
      <c r="C9481" s="1" t="n">
        <v>46185</v>
      </c>
      <c r="D9481" t="inlineStr">
        <is>
          <t>VÄSTERNORRLANDS LÄN</t>
        </is>
      </c>
      <c r="E9481" t="inlineStr">
        <is>
          <t>ÅNGE</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45426-2021</t>
        </is>
      </c>
      <c r="B9482" s="1" t="n">
        <v>44440</v>
      </c>
      <c r="C9482" s="1" t="n">
        <v>46185</v>
      </c>
      <c r="D9482" t="inlineStr">
        <is>
          <t>VÄSTERNORRLANDS LÄN</t>
        </is>
      </c>
      <c r="E9482" t="inlineStr">
        <is>
          <t>ÖRNSKÖLDSVIK</t>
        </is>
      </c>
      <c r="F9482" t="inlineStr">
        <is>
          <t>Holmen skog AB</t>
        </is>
      </c>
      <c r="G9482" t="n">
        <v>7.5</v>
      </c>
      <c r="H9482" t="n">
        <v>0</v>
      </c>
      <c r="I9482" t="n">
        <v>0</v>
      </c>
      <c r="J9482" t="n">
        <v>0</v>
      </c>
      <c r="K9482" t="n">
        <v>0</v>
      </c>
      <c r="L9482" t="n">
        <v>0</v>
      </c>
      <c r="M9482" t="n">
        <v>0</v>
      </c>
      <c r="N9482" t="n">
        <v>0</v>
      </c>
      <c r="O9482" t="n">
        <v>0</v>
      </c>
      <c r="P9482" t="n">
        <v>0</v>
      </c>
      <c r="Q9482" t="n">
        <v>0</v>
      </c>
      <c r="R9482" s="2" t="inlineStr"/>
    </row>
    <row r="9483" ht="15" customHeight="1">
      <c r="A9483" t="inlineStr">
        <is>
          <t>A 2591-2025</t>
        </is>
      </c>
      <c r="B9483" s="1" t="n">
        <v>45674.69960648148</v>
      </c>
      <c r="C9483" s="1" t="n">
        <v>46185</v>
      </c>
      <c r="D9483" t="inlineStr">
        <is>
          <t>VÄSTERNORRLANDS LÄN</t>
        </is>
      </c>
      <c r="E9483" t="inlineStr">
        <is>
          <t>SUNDSVALL</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26771-2026</t>
        </is>
      </c>
      <c r="B9484" s="1" t="n">
        <v>46184.65663194445</v>
      </c>
      <c r="C9484" s="1" t="n">
        <v>46185</v>
      </c>
      <c r="D9484" t="inlineStr">
        <is>
          <t>VÄSTERNORRLANDS LÄN</t>
        </is>
      </c>
      <c r="E9484" t="inlineStr">
        <is>
          <t>ÖRNSKÖLDSVIK</t>
        </is>
      </c>
      <c r="G9484" t="n">
        <v>8.5</v>
      </c>
      <c r="H9484" t="n">
        <v>0</v>
      </c>
      <c r="I9484" t="n">
        <v>0</v>
      </c>
      <c r="J9484" t="n">
        <v>0</v>
      </c>
      <c r="K9484" t="n">
        <v>0</v>
      </c>
      <c r="L9484" t="n">
        <v>0</v>
      </c>
      <c r="M9484" t="n">
        <v>0</v>
      </c>
      <c r="N9484" t="n">
        <v>0</v>
      </c>
      <c r="O9484" t="n">
        <v>0</v>
      </c>
      <c r="P9484" t="n">
        <v>0</v>
      </c>
      <c r="Q9484" t="n">
        <v>0</v>
      </c>
      <c r="R9484" s="2" t="inlineStr"/>
    </row>
    <row r="9485" ht="15" customHeight="1">
      <c r="A9485" t="inlineStr">
        <is>
          <t>A 2595-2025</t>
        </is>
      </c>
      <c r="B9485" s="1" t="n">
        <v>45674.70722222222</v>
      </c>
      <c r="C9485" s="1" t="n">
        <v>46185</v>
      </c>
      <c r="D9485" t="inlineStr">
        <is>
          <t>VÄSTERNORRLANDS LÄN</t>
        </is>
      </c>
      <c r="E9485" t="inlineStr">
        <is>
          <t>SUNDSVALL</t>
        </is>
      </c>
      <c r="F9485" t="inlineStr">
        <is>
          <t>Kommuner</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26541-2026</t>
        </is>
      </c>
      <c r="B9486" s="1" t="n">
        <v>46183.60590277778</v>
      </c>
      <c r="C9486" s="1" t="n">
        <v>46185</v>
      </c>
      <c r="D9486" t="inlineStr">
        <is>
          <t>VÄSTERNORRLANDS LÄN</t>
        </is>
      </c>
      <c r="E9486" t="inlineStr">
        <is>
          <t>ÖRNSKÖLDSVIK</t>
        </is>
      </c>
      <c r="F9486" t="inlineStr">
        <is>
          <t>Holmen skog AB</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26543-2026</t>
        </is>
      </c>
      <c r="B9487" s="1" t="n">
        <v>46183.61043981482</v>
      </c>
      <c r="C9487" s="1" t="n">
        <v>46185</v>
      </c>
      <c r="D9487" t="inlineStr">
        <is>
          <t>VÄSTERNORRLANDS LÄN</t>
        </is>
      </c>
      <c r="E9487" t="inlineStr">
        <is>
          <t>ÖRNSKÖLDSVIK</t>
        </is>
      </c>
      <c r="F9487" t="inlineStr">
        <is>
          <t>Holmen skog AB</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3362-2023</t>
        </is>
      </c>
      <c r="B9488" s="1" t="n">
        <v>44945</v>
      </c>
      <c r="C9488" s="1" t="n">
        <v>46185</v>
      </c>
      <c r="D9488" t="inlineStr">
        <is>
          <t>VÄSTERNORRLANDS LÄN</t>
        </is>
      </c>
      <c r="E9488" t="inlineStr">
        <is>
          <t>ÅNGE</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26588-2026</t>
        </is>
      </c>
      <c r="B9489" s="1" t="n">
        <v>46183.69857638889</v>
      </c>
      <c r="C9489" s="1" t="n">
        <v>46185</v>
      </c>
      <c r="D9489" t="inlineStr">
        <is>
          <t>VÄSTERNORRLANDS LÄN</t>
        </is>
      </c>
      <c r="E9489" t="inlineStr">
        <is>
          <t>SOLLEFTEÅ</t>
        </is>
      </c>
      <c r="F9489" t="inlineStr">
        <is>
          <t>SCA</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26592-2026</t>
        </is>
      </c>
      <c r="B9490" s="1" t="n">
        <v>46183.70415509259</v>
      </c>
      <c r="C9490" s="1" t="n">
        <v>46185</v>
      </c>
      <c r="D9490" t="inlineStr">
        <is>
          <t>VÄSTERNORRLANDS LÄN</t>
        </is>
      </c>
      <c r="E9490" t="inlineStr">
        <is>
          <t>SUNDSVALL</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49160-2021</t>
        </is>
      </c>
      <c r="B9491" s="1" t="n">
        <v>44453.94021990741</v>
      </c>
      <c r="C9491" s="1" t="n">
        <v>46185</v>
      </c>
      <c r="D9491" t="inlineStr">
        <is>
          <t>VÄSTERNORRLANDS LÄN</t>
        </is>
      </c>
      <c r="E9491" t="inlineStr">
        <is>
          <t>SOLLEFTEÅ</t>
        </is>
      </c>
      <c r="F9491" t="inlineStr">
        <is>
          <t>SCA</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44415-2021</t>
        </is>
      </c>
      <c r="B9492" s="1" t="n">
        <v>44435</v>
      </c>
      <c r="C9492" s="1" t="n">
        <v>46185</v>
      </c>
      <c r="D9492" t="inlineStr">
        <is>
          <t>VÄSTERNORRLANDS LÄN</t>
        </is>
      </c>
      <c r="E9492" t="inlineStr">
        <is>
          <t>ÅNGE</t>
        </is>
      </c>
      <c r="G9492" t="n">
        <v>5.2</v>
      </c>
      <c r="H9492" t="n">
        <v>0</v>
      </c>
      <c r="I9492" t="n">
        <v>0</v>
      </c>
      <c r="J9492" t="n">
        <v>0</v>
      </c>
      <c r="K9492" t="n">
        <v>0</v>
      </c>
      <c r="L9492" t="n">
        <v>0</v>
      </c>
      <c r="M9492" t="n">
        <v>0</v>
      </c>
      <c r="N9492" t="n">
        <v>0</v>
      </c>
      <c r="O9492" t="n">
        <v>0</v>
      </c>
      <c r="P9492" t="n">
        <v>0</v>
      </c>
      <c r="Q9492" t="n">
        <v>0</v>
      </c>
      <c r="R9492" s="2" t="inlineStr"/>
    </row>
    <row r="9493" ht="15" customHeight="1">
      <c r="A9493" t="inlineStr">
        <is>
          <t>A 50402-2025</t>
        </is>
      </c>
      <c r="B9493" s="1" t="n">
        <v>45944.63606481482</v>
      </c>
      <c r="C9493" s="1" t="n">
        <v>46185</v>
      </c>
      <c r="D9493" t="inlineStr">
        <is>
          <t>VÄSTERNORRLANDS LÄN</t>
        </is>
      </c>
      <c r="E9493" t="inlineStr">
        <is>
          <t>SOLLEFTEÅ</t>
        </is>
      </c>
      <c r="F9493" t="inlineStr">
        <is>
          <t>SCA</t>
        </is>
      </c>
      <c r="G9493" t="n">
        <v>6.1</v>
      </c>
      <c r="H9493" t="n">
        <v>0</v>
      </c>
      <c r="I9493" t="n">
        <v>0</v>
      </c>
      <c r="J9493" t="n">
        <v>0</v>
      </c>
      <c r="K9493" t="n">
        <v>0</v>
      </c>
      <c r="L9493" t="n">
        <v>0</v>
      </c>
      <c r="M9493" t="n">
        <v>0</v>
      </c>
      <c r="N9493" t="n">
        <v>0</v>
      </c>
      <c r="O9493" t="n">
        <v>0</v>
      </c>
      <c r="P9493" t="n">
        <v>0</v>
      </c>
      <c r="Q9493" t="n">
        <v>0</v>
      </c>
      <c r="R9493" s="2" t="inlineStr"/>
    </row>
    <row r="9494" ht="15" customHeight="1">
      <c r="A9494" t="inlineStr">
        <is>
          <t>A 10409-2026</t>
        </is>
      </c>
      <c r="B9494" s="1" t="n">
        <v>46077.34508101852</v>
      </c>
      <c r="C9494" s="1" t="n">
        <v>46185</v>
      </c>
      <c r="D9494" t="inlineStr">
        <is>
          <t>VÄSTERNORRLANDS LÄN</t>
        </is>
      </c>
      <c r="E9494" t="inlineStr">
        <is>
          <t>ÅNGE</t>
        </is>
      </c>
      <c r="F9494" t="inlineStr">
        <is>
          <t>SCA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26383-2026</t>
        </is>
      </c>
      <c r="B9495" s="1" t="n">
        <v>46183.34457175926</v>
      </c>
      <c r="C9495" s="1" t="n">
        <v>46185</v>
      </c>
      <c r="D9495" t="inlineStr">
        <is>
          <t>VÄSTERNORRLANDS LÄN</t>
        </is>
      </c>
      <c r="E9495" t="inlineStr">
        <is>
          <t>ÖRNSKÖLDSVIK</t>
        </is>
      </c>
      <c r="F9495" t="inlineStr">
        <is>
          <t>SCA</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52636-2025</t>
        </is>
      </c>
      <c r="B9496" s="1" t="n">
        <v>45954.74804398148</v>
      </c>
      <c r="C9496" s="1" t="n">
        <v>46185</v>
      </c>
      <c r="D9496" t="inlineStr">
        <is>
          <t>VÄSTERNORRLANDS LÄN</t>
        </is>
      </c>
      <c r="E9496" t="inlineStr">
        <is>
          <t>SUNDSVALL</t>
        </is>
      </c>
      <c r="G9496" t="n">
        <v>7.1</v>
      </c>
      <c r="H9496" t="n">
        <v>0</v>
      </c>
      <c r="I9496" t="n">
        <v>0</v>
      </c>
      <c r="J9496" t="n">
        <v>0</v>
      </c>
      <c r="K9496" t="n">
        <v>0</v>
      </c>
      <c r="L9496" t="n">
        <v>0</v>
      </c>
      <c r="M9496" t="n">
        <v>0</v>
      </c>
      <c r="N9496" t="n">
        <v>0</v>
      </c>
      <c r="O9496" t="n">
        <v>0</v>
      </c>
      <c r="P9496" t="n">
        <v>0</v>
      </c>
      <c r="Q9496" t="n">
        <v>0</v>
      </c>
      <c r="R9496" s="2" t="inlineStr"/>
    </row>
    <row r="9497" ht="15" customHeight="1">
      <c r="A9497" t="inlineStr">
        <is>
          <t>A 26507-2026</t>
        </is>
      </c>
      <c r="B9497" s="1" t="n">
        <v>46183.5735300926</v>
      </c>
      <c r="C9497" s="1" t="n">
        <v>46185</v>
      </c>
      <c r="D9497" t="inlineStr">
        <is>
          <t>VÄSTERNORRLANDS LÄN</t>
        </is>
      </c>
      <c r="E9497" t="inlineStr">
        <is>
          <t>ÅNGE</t>
        </is>
      </c>
      <c r="F9497" t="inlineStr">
        <is>
          <t>SCA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12757-2026</t>
        </is>
      </c>
      <c r="B9498" s="1" t="n">
        <v>46091</v>
      </c>
      <c r="C9498" s="1" t="n">
        <v>46185</v>
      </c>
      <c r="D9498" t="inlineStr">
        <is>
          <t>VÄSTERNORRLANDS LÄN</t>
        </is>
      </c>
      <c r="E9498" t="inlineStr">
        <is>
          <t>ÅNGE</t>
        </is>
      </c>
      <c r="F9498" t="inlineStr">
        <is>
          <t>SCA</t>
        </is>
      </c>
      <c r="G9498" t="n">
        <v>15.5</v>
      </c>
      <c r="H9498" t="n">
        <v>0</v>
      </c>
      <c r="I9498" t="n">
        <v>0</v>
      </c>
      <c r="J9498" t="n">
        <v>0</v>
      </c>
      <c r="K9498" t="n">
        <v>0</v>
      </c>
      <c r="L9498" t="n">
        <v>0</v>
      </c>
      <c r="M9498" t="n">
        <v>0</v>
      </c>
      <c r="N9498" t="n">
        <v>0</v>
      </c>
      <c r="O9498" t="n">
        <v>0</v>
      </c>
      <c r="P9498" t="n">
        <v>0</v>
      </c>
      <c r="Q9498" t="n">
        <v>0</v>
      </c>
      <c r="R9498" s="2" t="inlineStr"/>
    </row>
    <row r="9499" ht="15" customHeight="1">
      <c r="A9499" t="inlineStr">
        <is>
          <t>A 41420-2024</t>
        </is>
      </c>
      <c r="B9499" s="1" t="n">
        <v>45560.34616898148</v>
      </c>
      <c r="C9499" s="1" t="n">
        <v>46185</v>
      </c>
      <c r="D9499" t="inlineStr">
        <is>
          <t>VÄSTERNORRLANDS LÄN</t>
        </is>
      </c>
      <c r="E9499" t="inlineStr">
        <is>
          <t>SOLLEFTEÅ</t>
        </is>
      </c>
      <c r="F9499" t="inlineStr">
        <is>
          <t>SCA</t>
        </is>
      </c>
      <c r="G9499" t="n">
        <v>6.1</v>
      </c>
      <c r="H9499" t="n">
        <v>0</v>
      </c>
      <c r="I9499" t="n">
        <v>0</v>
      </c>
      <c r="J9499" t="n">
        <v>0</v>
      </c>
      <c r="K9499" t="n">
        <v>0</v>
      </c>
      <c r="L9499" t="n">
        <v>0</v>
      </c>
      <c r="M9499" t="n">
        <v>0</v>
      </c>
      <c r="N9499" t="n">
        <v>0</v>
      </c>
      <c r="O9499" t="n">
        <v>0</v>
      </c>
      <c r="P9499" t="n">
        <v>0</v>
      </c>
      <c r="Q9499" t="n">
        <v>0</v>
      </c>
      <c r="R9499" s="2" t="inlineStr"/>
    </row>
    <row r="9500" ht="15" customHeight="1">
      <c r="A9500" t="inlineStr">
        <is>
          <t>A 18171-2023</t>
        </is>
      </c>
      <c r="B9500" s="1" t="n">
        <v>45040.94369212963</v>
      </c>
      <c r="C9500" s="1" t="n">
        <v>46185</v>
      </c>
      <c r="D9500" t="inlineStr">
        <is>
          <t>VÄSTERNORRLANDS LÄN</t>
        </is>
      </c>
      <c r="E9500" t="inlineStr">
        <is>
          <t>SUNDSVALL</t>
        </is>
      </c>
      <c r="F9500" t="inlineStr">
        <is>
          <t>SCA</t>
        </is>
      </c>
      <c r="G9500" t="n">
        <v>6.5</v>
      </c>
      <c r="H9500" t="n">
        <v>0</v>
      </c>
      <c r="I9500" t="n">
        <v>0</v>
      </c>
      <c r="J9500" t="n">
        <v>0</v>
      </c>
      <c r="K9500" t="n">
        <v>0</v>
      </c>
      <c r="L9500" t="n">
        <v>0</v>
      </c>
      <c r="M9500" t="n">
        <v>0</v>
      </c>
      <c r="N9500" t="n">
        <v>0</v>
      </c>
      <c r="O9500" t="n">
        <v>0</v>
      </c>
      <c r="P9500" t="n">
        <v>0</v>
      </c>
      <c r="Q9500" t="n">
        <v>0</v>
      </c>
      <c r="R9500" s="2" t="inlineStr"/>
    </row>
    <row r="9501" ht="15" customHeight="1">
      <c r="A9501" t="inlineStr">
        <is>
          <t>A 42566-2021</t>
        </is>
      </c>
      <c r="B9501" s="1" t="n">
        <v>44428</v>
      </c>
      <c r="C9501" s="1" t="n">
        <v>46185</v>
      </c>
      <c r="D9501" t="inlineStr">
        <is>
          <t>VÄSTERNORRLANDS LÄN</t>
        </is>
      </c>
      <c r="E9501" t="inlineStr">
        <is>
          <t>KRAMFORS</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26537-2026</t>
        </is>
      </c>
      <c r="B9502" s="1" t="n">
        <v>46183.60155092592</v>
      </c>
      <c r="C9502" s="1" t="n">
        <v>46185</v>
      </c>
      <c r="D9502" t="inlineStr">
        <is>
          <t>VÄSTERNORRLANDS LÄN</t>
        </is>
      </c>
      <c r="E9502" t="inlineStr">
        <is>
          <t>SOLLEFTEÅ</t>
        </is>
      </c>
      <c r="F9502" t="inlineStr">
        <is>
          <t>Holmen skog AB</t>
        </is>
      </c>
      <c r="G9502" t="n">
        <v>7.8</v>
      </c>
      <c r="H9502" t="n">
        <v>0</v>
      </c>
      <c r="I9502" t="n">
        <v>0</v>
      </c>
      <c r="J9502" t="n">
        <v>0</v>
      </c>
      <c r="K9502" t="n">
        <v>0</v>
      </c>
      <c r="L9502" t="n">
        <v>0</v>
      </c>
      <c r="M9502" t="n">
        <v>0</v>
      </c>
      <c r="N9502" t="n">
        <v>0</v>
      </c>
      <c r="O9502" t="n">
        <v>0</v>
      </c>
      <c r="P9502" t="n">
        <v>0</v>
      </c>
      <c r="Q9502" t="n">
        <v>0</v>
      </c>
      <c r="R9502" s="2" t="inlineStr"/>
    </row>
    <row r="9503" ht="15" customHeight="1">
      <c r="A9503" t="inlineStr">
        <is>
          <t>A 42970-2024</t>
        </is>
      </c>
      <c r="B9503" s="1" t="n">
        <v>45567.37322916667</v>
      </c>
      <c r="C9503" s="1" t="n">
        <v>46185</v>
      </c>
      <c r="D9503" t="inlineStr">
        <is>
          <t>VÄSTERNORRLANDS LÄN</t>
        </is>
      </c>
      <c r="E9503" t="inlineStr">
        <is>
          <t>SOLLEFTEÅ</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26605-2026</t>
        </is>
      </c>
      <c r="B9504" s="1" t="n">
        <v>46183.97423611111</v>
      </c>
      <c r="C9504" s="1" t="n">
        <v>46185</v>
      </c>
      <c r="D9504" t="inlineStr">
        <is>
          <t>VÄSTERNORRLANDS LÄN</t>
        </is>
      </c>
      <c r="E9504" t="inlineStr">
        <is>
          <t>ÅNGE</t>
        </is>
      </c>
      <c r="F9504" t="inlineStr">
        <is>
          <t>Sveaskog</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26717-2026</t>
        </is>
      </c>
      <c r="B9505" s="1" t="n">
        <v>46184.51086805556</v>
      </c>
      <c r="C9505" s="1" t="n">
        <v>46185</v>
      </c>
      <c r="D9505" t="inlineStr">
        <is>
          <t>VÄSTERNORRLANDS LÄN</t>
        </is>
      </c>
      <c r="E9505" t="inlineStr">
        <is>
          <t>ÅNGE</t>
        </is>
      </c>
      <c r="F9505" t="inlineStr">
        <is>
          <t>SCA</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1968-2023</t>
        </is>
      </c>
      <c r="B9506" s="1" t="n">
        <v>44938</v>
      </c>
      <c r="C9506" s="1" t="n">
        <v>46185</v>
      </c>
      <c r="D9506" t="inlineStr">
        <is>
          <t>VÄSTERNORRLANDS LÄN</t>
        </is>
      </c>
      <c r="E9506" t="inlineStr">
        <is>
          <t>ÖRNSKÖLDSVIK</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70307-2021</t>
        </is>
      </c>
      <c r="B9507" s="1" t="n">
        <v>44536</v>
      </c>
      <c r="C9507" s="1" t="n">
        <v>46185</v>
      </c>
      <c r="D9507" t="inlineStr">
        <is>
          <t>VÄSTERNORRLANDS LÄN</t>
        </is>
      </c>
      <c r="E9507" t="inlineStr">
        <is>
          <t>ÖRNSKÖLDSVIK</t>
        </is>
      </c>
      <c r="G9507" t="n">
        <v>9.699999999999999</v>
      </c>
      <c r="H9507" t="n">
        <v>0</v>
      </c>
      <c r="I9507" t="n">
        <v>0</v>
      </c>
      <c r="J9507" t="n">
        <v>0</v>
      </c>
      <c r="K9507" t="n">
        <v>0</v>
      </c>
      <c r="L9507" t="n">
        <v>0</v>
      </c>
      <c r="M9507" t="n">
        <v>0</v>
      </c>
      <c r="N9507" t="n">
        <v>0</v>
      </c>
      <c r="O9507" t="n">
        <v>0</v>
      </c>
      <c r="P9507" t="n">
        <v>0</v>
      </c>
      <c r="Q9507" t="n">
        <v>0</v>
      </c>
      <c r="R9507" s="2" t="inlineStr"/>
    </row>
    <row r="9508" ht="15" customHeight="1">
      <c r="A9508" t="inlineStr">
        <is>
          <t>A 4332-2022</t>
        </is>
      </c>
      <c r="B9508" s="1" t="n">
        <v>44588</v>
      </c>
      <c r="C9508" s="1" t="n">
        <v>46185</v>
      </c>
      <c r="D9508" t="inlineStr">
        <is>
          <t>VÄSTERNORRLANDS LÄN</t>
        </is>
      </c>
      <c r="E9508" t="inlineStr">
        <is>
          <t>SUNDSVALL</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26457-2023</t>
        </is>
      </c>
      <c r="B9509" s="1" t="n">
        <v>45089</v>
      </c>
      <c r="C9509" s="1" t="n">
        <v>46185</v>
      </c>
      <c r="D9509" t="inlineStr">
        <is>
          <t>VÄSTERNORRLANDS LÄN</t>
        </is>
      </c>
      <c r="E9509" t="inlineStr">
        <is>
          <t>ÖRNSKÖLDSVIK</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26474-2026</t>
        </is>
      </c>
      <c r="B9510" s="1" t="n">
        <v>46183.5112037037</v>
      </c>
      <c r="C9510" s="1" t="n">
        <v>46185</v>
      </c>
      <c r="D9510" t="inlineStr">
        <is>
          <t>VÄSTERNORRLANDS LÄN</t>
        </is>
      </c>
      <c r="E9510" t="inlineStr">
        <is>
          <t>TIMRÅ</t>
        </is>
      </c>
      <c r="F9510" t="inlineStr">
        <is>
          <t>SCA</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26398-2026</t>
        </is>
      </c>
      <c r="B9511" s="1" t="n">
        <v>46183.3859837963</v>
      </c>
      <c r="C9511" s="1" t="n">
        <v>46185</v>
      </c>
      <c r="D9511" t="inlineStr">
        <is>
          <t>VÄSTERNORRLANDS LÄN</t>
        </is>
      </c>
      <c r="E9511" t="inlineStr">
        <is>
          <t>SOLLEFTEÅ</t>
        </is>
      </c>
      <c r="F9511" t="inlineStr">
        <is>
          <t>SCA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12470-2026</t>
        </is>
      </c>
      <c r="B9512" s="1" t="n">
        <v>46090.54167824074</v>
      </c>
      <c r="C9512" s="1" t="n">
        <v>46185</v>
      </c>
      <c r="D9512" t="inlineStr">
        <is>
          <t>VÄSTERNORRLANDS LÄN</t>
        </is>
      </c>
      <c r="E9512" t="inlineStr">
        <is>
          <t>SUNDSVALL</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2846-2026</t>
        </is>
      </c>
      <c r="B9513" s="1" t="n">
        <v>46038</v>
      </c>
      <c r="C9513" s="1" t="n">
        <v>46185</v>
      </c>
      <c r="D9513" t="inlineStr">
        <is>
          <t>VÄSTERNORRLANDS LÄN</t>
        </is>
      </c>
      <c r="E9513" t="inlineStr">
        <is>
          <t>ÖRNSKÖLDSVIK</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40608-2022</t>
        </is>
      </c>
      <c r="B9514" s="1" t="n">
        <v>44823.94972222222</v>
      </c>
      <c r="C9514" s="1" t="n">
        <v>46185</v>
      </c>
      <c r="D9514" t="inlineStr">
        <is>
          <t>VÄSTERNORRLANDS LÄN</t>
        </is>
      </c>
      <c r="E9514" t="inlineStr">
        <is>
          <t>SOLLEFTEÅ</t>
        </is>
      </c>
      <c r="F9514" t="inlineStr">
        <is>
          <t>SCA</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69296-2021</t>
        </is>
      </c>
      <c r="B9515" s="1" t="n">
        <v>44531.45909722222</v>
      </c>
      <c r="C9515" s="1" t="n">
        <v>46185</v>
      </c>
      <c r="D9515" t="inlineStr">
        <is>
          <t>VÄSTERNORRLANDS LÄN</t>
        </is>
      </c>
      <c r="E9515" t="inlineStr">
        <is>
          <t>ÖRNSKÖLDSVIK</t>
        </is>
      </c>
      <c r="F9515" t="inlineStr">
        <is>
          <t>Holmen skog AB</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28366-2023</t>
        </is>
      </c>
      <c r="B9516" s="1" t="n">
        <v>45099</v>
      </c>
      <c r="C9516" s="1" t="n">
        <v>46185</v>
      </c>
      <c r="D9516" t="inlineStr">
        <is>
          <t>VÄSTERNORRLANDS LÄN</t>
        </is>
      </c>
      <c r="E9516" t="inlineStr">
        <is>
          <t>SOLLEFTEÅ</t>
        </is>
      </c>
      <c r="F9516" t="inlineStr">
        <is>
          <t>SCA</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28373-2023</t>
        </is>
      </c>
      <c r="B9517" s="1" t="n">
        <v>45099.95390046296</v>
      </c>
      <c r="C9517" s="1" t="n">
        <v>46185</v>
      </c>
      <c r="D9517" t="inlineStr">
        <is>
          <t>VÄSTERNORRLANDS LÄN</t>
        </is>
      </c>
      <c r="E9517" t="inlineStr">
        <is>
          <t>TIMRÅ</t>
        </is>
      </c>
      <c r="F9517" t="inlineStr">
        <is>
          <t>SCA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1897-2026</t>
        </is>
      </c>
      <c r="B9518" s="1" t="n">
        <v>46035</v>
      </c>
      <c r="C9518" s="1" t="n">
        <v>46185</v>
      </c>
      <c r="D9518" t="inlineStr">
        <is>
          <t>VÄSTERNORRLANDS LÄN</t>
        </is>
      </c>
      <c r="E9518" t="inlineStr">
        <is>
          <t>ÅNGE</t>
        </is>
      </c>
      <c r="G9518" t="n">
        <v>4.1</v>
      </c>
      <c r="H9518" t="n">
        <v>0</v>
      </c>
      <c r="I9518" t="n">
        <v>0</v>
      </c>
      <c r="J9518" t="n">
        <v>0</v>
      </c>
      <c r="K9518" t="n">
        <v>0</v>
      </c>
      <c r="L9518" t="n">
        <v>0</v>
      </c>
      <c r="M9518" t="n">
        <v>0</v>
      </c>
      <c r="N9518" t="n">
        <v>0</v>
      </c>
      <c r="O9518" t="n">
        <v>0</v>
      </c>
      <c r="P9518" t="n">
        <v>0</v>
      </c>
      <c r="Q9518" t="n">
        <v>0</v>
      </c>
      <c r="R9518" s="2" t="inlineStr"/>
    </row>
    <row r="9519" ht="15" customHeight="1">
      <c r="A9519" t="inlineStr">
        <is>
          <t>A 18987-2022</t>
        </is>
      </c>
      <c r="B9519" s="1" t="n">
        <v>44690.92653935185</v>
      </c>
      <c r="C9519" s="1" t="n">
        <v>46185</v>
      </c>
      <c r="D9519" t="inlineStr">
        <is>
          <t>VÄSTERNORRLANDS LÄN</t>
        </is>
      </c>
      <c r="E9519" t="inlineStr">
        <is>
          <t>SUNDSVALL</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26445-2026</t>
        </is>
      </c>
      <c r="B9520" s="1" t="n">
        <v>46183.46574074074</v>
      </c>
      <c r="C9520" s="1" t="n">
        <v>46185</v>
      </c>
      <c r="D9520" t="inlineStr">
        <is>
          <t>VÄSTERNORRLANDS LÄN</t>
        </is>
      </c>
      <c r="E9520" t="inlineStr">
        <is>
          <t>ÖRNSKÖLDSVIK</t>
        </is>
      </c>
      <c r="G9520" t="n">
        <v>0.4</v>
      </c>
      <c r="H9520" t="n">
        <v>0</v>
      </c>
      <c r="I9520" t="n">
        <v>0</v>
      </c>
      <c r="J9520" t="n">
        <v>0</v>
      </c>
      <c r="K9520" t="n">
        <v>0</v>
      </c>
      <c r="L9520" t="n">
        <v>0</v>
      </c>
      <c r="M9520" t="n">
        <v>0</v>
      </c>
      <c r="N9520" t="n">
        <v>0</v>
      </c>
      <c r="O9520" t="n">
        <v>0</v>
      </c>
      <c r="P9520" t="n">
        <v>0</v>
      </c>
      <c r="Q9520" t="n">
        <v>0</v>
      </c>
      <c r="R9520" s="2" t="inlineStr"/>
    </row>
    <row r="9521" ht="15" customHeight="1">
      <c r="A9521" t="inlineStr">
        <is>
          <t>A 34015-2021</t>
        </is>
      </c>
      <c r="B9521" s="1" t="n">
        <v>44379</v>
      </c>
      <c r="C9521" s="1" t="n">
        <v>46185</v>
      </c>
      <c r="D9521" t="inlineStr">
        <is>
          <t>VÄSTERNORRLANDS LÄN</t>
        </is>
      </c>
      <c r="E9521" t="inlineStr">
        <is>
          <t>ÖRNSKÖLDSVIK</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34035-2021</t>
        </is>
      </c>
      <c r="B9522" s="1" t="n">
        <v>44378</v>
      </c>
      <c r="C9522" s="1" t="n">
        <v>46185</v>
      </c>
      <c r="D9522" t="inlineStr">
        <is>
          <t>VÄSTERNORRLANDS LÄN</t>
        </is>
      </c>
      <c r="E9522" t="inlineStr">
        <is>
          <t>TIMRÅ</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45517-2025</t>
        </is>
      </c>
      <c r="B9523" s="1" t="n">
        <v>45922.58853009259</v>
      </c>
      <c r="C9523" s="1" t="n">
        <v>46185</v>
      </c>
      <c r="D9523" t="inlineStr">
        <is>
          <t>VÄSTERNORRLANDS LÄN</t>
        </is>
      </c>
      <c r="E9523" t="inlineStr">
        <is>
          <t>SUNDSVALL</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4374-2026</t>
        </is>
      </c>
      <c r="B9524" s="1" t="n">
        <v>46045</v>
      </c>
      <c r="C9524" s="1" t="n">
        <v>46185</v>
      </c>
      <c r="D9524" t="inlineStr">
        <is>
          <t>VÄSTERNORRLANDS LÄN</t>
        </is>
      </c>
      <c r="E9524" t="inlineStr">
        <is>
          <t>ÅNGE</t>
        </is>
      </c>
      <c r="G9524" t="n">
        <v>13.5</v>
      </c>
      <c r="H9524" t="n">
        <v>0</v>
      </c>
      <c r="I9524" t="n">
        <v>0</v>
      </c>
      <c r="J9524" t="n">
        <v>0</v>
      </c>
      <c r="K9524" t="n">
        <v>0</v>
      </c>
      <c r="L9524" t="n">
        <v>0</v>
      </c>
      <c r="M9524" t="n">
        <v>0</v>
      </c>
      <c r="N9524" t="n">
        <v>0</v>
      </c>
      <c r="O9524" t="n">
        <v>0</v>
      </c>
      <c r="P9524" t="n">
        <v>0</v>
      </c>
      <c r="Q9524" t="n">
        <v>0</v>
      </c>
      <c r="R9524" s="2" t="inlineStr"/>
    </row>
    <row r="9525" ht="15" customHeight="1">
      <c r="A9525" t="inlineStr">
        <is>
          <t>A 20711-2026</t>
        </is>
      </c>
      <c r="B9525" s="1" t="n">
        <v>46141.50186342592</v>
      </c>
      <c r="C9525" s="1" t="n">
        <v>46185</v>
      </c>
      <c r="D9525" t="inlineStr">
        <is>
          <t>VÄSTERNORRLANDS LÄN</t>
        </is>
      </c>
      <c r="E9525" t="inlineStr">
        <is>
          <t>SUNDSVALL</t>
        </is>
      </c>
      <c r="F9525" t="inlineStr">
        <is>
          <t>Kommuner</t>
        </is>
      </c>
      <c r="G9525" t="n">
        <v>0.2</v>
      </c>
      <c r="H9525" t="n">
        <v>0</v>
      </c>
      <c r="I9525" t="n">
        <v>0</v>
      </c>
      <c r="J9525" t="n">
        <v>0</v>
      </c>
      <c r="K9525" t="n">
        <v>0</v>
      </c>
      <c r="L9525" t="n">
        <v>0</v>
      </c>
      <c r="M9525" t="n">
        <v>0</v>
      </c>
      <c r="N9525" t="n">
        <v>0</v>
      </c>
      <c r="O9525" t="n">
        <v>0</v>
      </c>
      <c r="P9525" t="n">
        <v>0</v>
      </c>
      <c r="Q9525" t="n">
        <v>0</v>
      </c>
      <c r="R9525" s="2" t="inlineStr"/>
    </row>
    <row r="9526" ht="15" customHeight="1">
      <c r="A9526" t="inlineStr">
        <is>
          <t>A 45334-2024</t>
        </is>
      </c>
      <c r="B9526" s="1" t="n">
        <v>45576</v>
      </c>
      <c r="C9526" s="1" t="n">
        <v>46185</v>
      </c>
      <c r="D9526" t="inlineStr">
        <is>
          <t>VÄSTERNORRLANDS LÄN</t>
        </is>
      </c>
      <c r="E9526" t="inlineStr">
        <is>
          <t>SOLLEFTEÅ</t>
        </is>
      </c>
      <c r="F9526" t="inlineStr">
        <is>
          <t>SCA</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4813-2025</t>
        </is>
      </c>
      <c r="B9527" s="1" t="n">
        <v>45688</v>
      </c>
      <c r="C9527" s="1" t="n">
        <v>46185</v>
      </c>
      <c r="D9527" t="inlineStr">
        <is>
          <t>VÄSTERNORRLANDS LÄN</t>
        </is>
      </c>
      <c r="E9527" t="inlineStr">
        <is>
          <t>SUNDSVALL</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26337-2022</t>
        </is>
      </c>
      <c r="B9528" s="1" t="n">
        <v>44735</v>
      </c>
      <c r="C9528" s="1" t="n">
        <v>46185</v>
      </c>
      <c r="D9528" t="inlineStr">
        <is>
          <t>VÄSTERNORRLANDS LÄN</t>
        </is>
      </c>
      <c r="E9528" t="inlineStr">
        <is>
          <t>SUNDSVALL</t>
        </is>
      </c>
      <c r="F9528" t="inlineStr">
        <is>
          <t>Holmen skog AB</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8227-2023</t>
        </is>
      </c>
      <c r="B9529" s="1" t="n">
        <v>44971</v>
      </c>
      <c r="C9529" s="1" t="n">
        <v>46185</v>
      </c>
      <c r="D9529" t="inlineStr">
        <is>
          <t>VÄSTERNORRLANDS LÄN</t>
        </is>
      </c>
      <c r="E9529" t="inlineStr">
        <is>
          <t>ÖRNSKÖLDSVIK</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11881-2024</t>
        </is>
      </c>
      <c r="B9530" s="1" t="n">
        <v>45376</v>
      </c>
      <c r="C9530" s="1" t="n">
        <v>46185</v>
      </c>
      <c r="D9530" t="inlineStr">
        <is>
          <t>VÄSTERNORRLANDS LÄN</t>
        </is>
      </c>
      <c r="E9530" t="inlineStr">
        <is>
          <t>HÄRNÖSAND</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2161-2026</t>
        </is>
      </c>
      <c r="B9531" s="1" t="n">
        <v>46036</v>
      </c>
      <c r="C9531" s="1" t="n">
        <v>46185</v>
      </c>
      <c r="D9531" t="inlineStr">
        <is>
          <t>VÄSTERNORRLANDS LÄN</t>
        </is>
      </c>
      <c r="E9531" t="inlineStr">
        <is>
          <t>KRAMFORS</t>
        </is>
      </c>
      <c r="G9531" t="n">
        <v>7.5</v>
      </c>
      <c r="H9531" t="n">
        <v>0</v>
      </c>
      <c r="I9531" t="n">
        <v>0</v>
      </c>
      <c r="J9531" t="n">
        <v>0</v>
      </c>
      <c r="K9531" t="n">
        <v>0</v>
      </c>
      <c r="L9531" t="n">
        <v>0</v>
      </c>
      <c r="M9531" t="n">
        <v>0</v>
      </c>
      <c r="N9531" t="n">
        <v>0</v>
      </c>
      <c r="O9531" t="n">
        <v>0</v>
      </c>
      <c r="P9531" t="n">
        <v>0</v>
      </c>
      <c r="Q9531" t="n">
        <v>0</v>
      </c>
      <c r="R9531" s="2" t="inlineStr"/>
    </row>
    <row r="9532" ht="15" customHeight="1">
      <c r="A9532" t="inlineStr">
        <is>
          <t>A 2849-2026</t>
        </is>
      </c>
      <c r="B9532" s="1" t="n">
        <v>46038</v>
      </c>
      <c r="C9532" s="1" t="n">
        <v>46185</v>
      </c>
      <c r="D9532" t="inlineStr">
        <is>
          <t>VÄSTERNORRLANDS LÄN</t>
        </is>
      </c>
      <c r="E9532" t="inlineStr">
        <is>
          <t>ÖRNSKÖLDSVIK</t>
        </is>
      </c>
      <c r="G9532" t="n">
        <v>5.2</v>
      </c>
      <c r="H9532" t="n">
        <v>0</v>
      </c>
      <c r="I9532" t="n">
        <v>0</v>
      </c>
      <c r="J9532" t="n">
        <v>0</v>
      </c>
      <c r="K9532" t="n">
        <v>0</v>
      </c>
      <c r="L9532" t="n">
        <v>0</v>
      </c>
      <c r="M9532" t="n">
        <v>0</v>
      </c>
      <c r="N9532" t="n">
        <v>0</v>
      </c>
      <c r="O9532" t="n">
        <v>0</v>
      </c>
      <c r="P9532" t="n">
        <v>0</v>
      </c>
      <c r="Q9532" t="n">
        <v>0</v>
      </c>
      <c r="R9532" s="2" t="inlineStr"/>
    </row>
    <row r="9533" ht="15" customHeight="1">
      <c r="A9533" t="inlineStr">
        <is>
          <t>A 26441-2026</t>
        </is>
      </c>
      <c r="B9533" s="1" t="n">
        <v>46183.45677083333</v>
      </c>
      <c r="C9533" s="1" t="n">
        <v>46185</v>
      </c>
      <c r="D9533" t="inlineStr">
        <is>
          <t>VÄSTERNORRLANDS LÄN</t>
        </is>
      </c>
      <c r="E9533" t="inlineStr">
        <is>
          <t>ÖRNSKÖLDSVIK</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43245-2023</t>
        </is>
      </c>
      <c r="B9534" s="1" t="n">
        <v>45183</v>
      </c>
      <c r="C9534" s="1" t="n">
        <v>46185</v>
      </c>
      <c r="D9534" t="inlineStr">
        <is>
          <t>VÄSTERNORRLANDS LÄN</t>
        </is>
      </c>
      <c r="E9534" t="inlineStr">
        <is>
          <t>ÖRNSKÖLDSVIK</t>
        </is>
      </c>
      <c r="G9534" t="n">
        <v>3.2</v>
      </c>
      <c r="H9534" t="n">
        <v>0</v>
      </c>
      <c r="I9534" t="n">
        <v>0</v>
      </c>
      <c r="J9534" t="n">
        <v>0</v>
      </c>
      <c r="K9534" t="n">
        <v>0</v>
      </c>
      <c r="L9534" t="n">
        <v>0</v>
      </c>
      <c r="M9534" t="n">
        <v>0</v>
      </c>
      <c r="N9534" t="n">
        <v>0</v>
      </c>
      <c r="O9534" t="n">
        <v>0</v>
      </c>
      <c r="P9534" t="n">
        <v>0</v>
      </c>
      <c r="Q9534" t="n">
        <v>0</v>
      </c>
      <c r="R9534" s="2" t="inlineStr"/>
    </row>
    <row r="9535" ht="15" customHeight="1">
      <c r="A9535" t="inlineStr">
        <is>
          <t>A 26495-2026</t>
        </is>
      </c>
      <c r="B9535" s="1" t="n">
        <v>46183.55373842592</v>
      </c>
      <c r="C9535" s="1" t="n">
        <v>46185</v>
      </c>
      <c r="D9535" t="inlineStr">
        <is>
          <t>VÄSTERNORRLANDS LÄN</t>
        </is>
      </c>
      <c r="E9535" t="inlineStr">
        <is>
          <t>SOLLEFTEÅ</t>
        </is>
      </c>
      <c r="F9535" t="inlineStr">
        <is>
          <t>Holmen skog AB</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5918-2024</t>
        </is>
      </c>
      <c r="B9536" s="1" t="n">
        <v>45335</v>
      </c>
      <c r="C9536" s="1" t="n">
        <v>46185</v>
      </c>
      <c r="D9536" t="inlineStr">
        <is>
          <t>VÄSTERNORRLANDS LÄN</t>
        </is>
      </c>
      <c r="E9536" t="inlineStr">
        <is>
          <t>SUNDSVALL</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20861-2026</t>
        </is>
      </c>
      <c r="B9537" s="1" t="n">
        <v>46142.36534722222</v>
      </c>
      <c r="C9537" s="1" t="n">
        <v>46185</v>
      </c>
      <c r="D9537" t="inlineStr">
        <is>
          <t>VÄSTERNORRLANDS LÄN</t>
        </is>
      </c>
      <c r="E9537" t="inlineStr">
        <is>
          <t>SOLLEFTEÅ</t>
        </is>
      </c>
      <c r="F9537" t="inlineStr">
        <is>
          <t>SCA</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39915-2025</t>
        </is>
      </c>
      <c r="B9538" s="1" t="n">
        <v>45891.65678240741</v>
      </c>
      <c r="C9538" s="1" t="n">
        <v>46185</v>
      </c>
      <c r="D9538" t="inlineStr">
        <is>
          <t>VÄSTERNORRLANDS LÄN</t>
        </is>
      </c>
      <c r="E9538" t="inlineStr">
        <is>
          <t>SUNDSVALL</t>
        </is>
      </c>
      <c r="F9538" t="inlineStr">
        <is>
          <t>SCA</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13818-2024</t>
        </is>
      </c>
      <c r="B9539" s="1" t="n">
        <v>45391</v>
      </c>
      <c r="C9539" s="1" t="n">
        <v>46185</v>
      </c>
      <c r="D9539" t="inlineStr">
        <is>
          <t>VÄSTERNORRLANDS LÄN</t>
        </is>
      </c>
      <c r="E9539" t="inlineStr">
        <is>
          <t>SUNDSVALL</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5455-2023</t>
        </is>
      </c>
      <c r="B9540" s="1" t="n">
        <v>44959.93983796296</v>
      </c>
      <c r="C9540" s="1" t="n">
        <v>46185</v>
      </c>
      <c r="D9540" t="inlineStr">
        <is>
          <t>VÄSTERNORRLANDS LÄN</t>
        </is>
      </c>
      <c r="E9540" t="inlineStr">
        <is>
          <t>ÅNGE</t>
        </is>
      </c>
      <c r="F9540" t="inlineStr">
        <is>
          <t>SCA</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7184-2025</t>
        </is>
      </c>
      <c r="B9541" s="1" t="n">
        <v>45702</v>
      </c>
      <c r="C9541" s="1" t="n">
        <v>46185</v>
      </c>
      <c r="D9541" t="inlineStr">
        <is>
          <t>VÄSTERNORRLANDS LÄN</t>
        </is>
      </c>
      <c r="E9541" t="inlineStr">
        <is>
          <t>SOLLEFTEÅ</t>
        </is>
      </c>
      <c r="F9541" t="inlineStr">
        <is>
          <t>SCA</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9853-2025</t>
        </is>
      </c>
      <c r="B9542" s="1" t="n">
        <v>45716</v>
      </c>
      <c r="C9542" s="1" t="n">
        <v>46185</v>
      </c>
      <c r="D9542" t="inlineStr">
        <is>
          <t>VÄSTERNORRLANDS LÄN</t>
        </is>
      </c>
      <c r="E9542" t="inlineStr">
        <is>
          <t>ÖRNSKÖLDSVIK</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38933-2025</t>
        </is>
      </c>
      <c r="B9543" s="1" t="n">
        <v>45887.64141203704</v>
      </c>
      <c r="C9543" s="1" t="n">
        <v>46185</v>
      </c>
      <c r="D9543" t="inlineStr">
        <is>
          <t>VÄSTERNORRLANDS LÄN</t>
        </is>
      </c>
      <c r="E9543" t="inlineStr">
        <is>
          <t>ÖRNSKÖLDSVIK</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10485-2025</t>
        </is>
      </c>
      <c r="B9544" s="1" t="n">
        <v>45721</v>
      </c>
      <c r="C9544" s="1" t="n">
        <v>46185</v>
      </c>
      <c r="D9544" t="inlineStr">
        <is>
          <t>VÄSTERNORRLANDS LÄN</t>
        </is>
      </c>
      <c r="E9544" t="inlineStr">
        <is>
          <t>ÖRNSKÖLDSVIK</t>
        </is>
      </c>
      <c r="G9544" t="n">
        <v>9</v>
      </c>
      <c r="H9544" t="n">
        <v>0</v>
      </c>
      <c r="I9544" t="n">
        <v>0</v>
      </c>
      <c r="J9544" t="n">
        <v>0</v>
      </c>
      <c r="K9544" t="n">
        <v>0</v>
      </c>
      <c r="L9544" t="n">
        <v>0</v>
      </c>
      <c r="M9544" t="n">
        <v>0</v>
      </c>
      <c r="N9544" t="n">
        <v>0</v>
      </c>
      <c r="O9544" t="n">
        <v>0</v>
      </c>
      <c r="P9544" t="n">
        <v>0</v>
      </c>
      <c r="Q9544" t="n">
        <v>0</v>
      </c>
      <c r="R9544" s="2" t="inlineStr"/>
    </row>
    <row r="9545" ht="15" customHeight="1">
      <c r="A9545" t="inlineStr">
        <is>
          <t>A 42065-2025</t>
        </is>
      </c>
      <c r="B9545" s="1" t="n">
        <v>45903.65372685185</v>
      </c>
      <c r="C9545" s="1" t="n">
        <v>46185</v>
      </c>
      <c r="D9545" t="inlineStr">
        <is>
          <t>VÄSTERNORRLANDS LÄN</t>
        </is>
      </c>
      <c r="E9545" t="inlineStr">
        <is>
          <t>TIMRÅ</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3887-2023</t>
        </is>
      </c>
      <c r="B9546" s="1" t="n">
        <v>44951</v>
      </c>
      <c r="C9546" s="1" t="n">
        <v>46185</v>
      </c>
      <c r="D9546" t="inlineStr">
        <is>
          <t>VÄSTERNORRLANDS LÄN</t>
        </is>
      </c>
      <c r="E9546" t="inlineStr">
        <is>
          <t>KRAMFORS</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31693-2024</t>
        </is>
      </c>
      <c r="B9547" s="1" t="n">
        <v>45507.95694444444</v>
      </c>
      <c r="C9547" s="1" t="n">
        <v>46185</v>
      </c>
      <c r="D9547" t="inlineStr">
        <is>
          <t>VÄSTERNORRLANDS LÄN</t>
        </is>
      </c>
      <c r="E9547" t="inlineStr">
        <is>
          <t>ÖRNSKÖLDSVIK</t>
        </is>
      </c>
      <c r="F9547" t="inlineStr">
        <is>
          <t>SCA</t>
        </is>
      </c>
      <c r="G9547" t="n">
        <v>8.9</v>
      </c>
      <c r="H9547" t="n">
        <v>0</v>
      </c>
      <c r="I9547" t="n">
        <v>0</v>
      </c>
      <c r="J9547" t="n">
        <v>0</v>
      </c>
      <c r="K9547" t="n">
        <v>0</v>
      </c>
      <c r="L9547" t="n">
        <v>0</v>
      </c>
      <c r="M9547" t="n">
        <v>0</v>
      </c>
      <c r="N9547" t="n">
        <v>0</v>
      </c>
      <c r="O9547" t="n">
        <v>0</v>
      </c>
      <c r="P9547" t="n">
        <v>0</v>
      </c>
      <c r="Q9547" t="n">
        <v>0</v>
      </c>
      <c r="R9547" s="2" t="inlineStr"/>
    </row>
    <row r="9548" ht="15" customHeight="1">
      <c r="A9548" t="inlineStr">
        <is>
          <t>A 38920-2025</t>
        </is>
      </c>
      <c r="B9548" s="1" t="n">
        <v>45887.626875</v>
      </c>
      <c r="C9548" s="1" t="n">
        <v>46185</v>
      </c>
      <c r="D9548" t="inlineStr">
        <is>
          <t>VÄSTERNORRLANDS LÄN</t>
        </is>
      </c>
      <c r="E9548" t="inlineStr">
        <is>
          <t>HÄRNÖSAND</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59986-2021</t>
        </is>
      </c>
      <c r="B9549" s="1" t="n">
        <v>44494</v>
      </c>
      <c r="C9549" s="1" t="n">
        <v>46185</v>
      </c>
      <c r="D9549" t="inlineStr">
        <is>
          <t>VÄSTERNORRLANDS LÄN</t>
        </is>
      </c>
      <c r="E9549" t="inlineStr">
        <is>
          <t>ÅNGE</t>
        </is>
      </c>
      <c r="F9549" t="inlineStr">
        <is>
          <t>SCA</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58285-2022</t>
        </is>
      </c>
      <c r="B9550" s="1" t="n">
        <v>44901.49482638889</v>
      </c>
      <c r="C9550" s="1" t="n">
        <v>46185</v>
      </c>
      <c r="D9550" t="inlineStr">
        <is>
          <t>VÄSTERNORRLANDS LÄN</t>
        </is>
      </c>
      <c r="E9550" t="inlineStr">
        <is>
          <t>SUNDSVALL</t>
        </is>
      </c>
      <c r="G9550" t="n">
        <v>12.5</v>
      </c>
      <c r="H9550" t="n">
        <v>0</v>
      </c>
      <c r="I9550" t="n">
        <v>0</v>
      </c>
      <c r="J9550" t="n">
        <v>0</v>
      </c>
      <c r="K9550" t="n">
        <v>0</v>
      </c>
      <c r="L9550" t="n">
        <v>0</v>
      </c>
      <c r="M9550" t="n">
        <v>0</v>
      </c>
      <c r="N9550" t="n">
        <v>0</v>
      </c>
      <c r="O9550" t="n">
        <v>0</v>
      </c>
      <c r="P9550" t="n">
        <v>0</v>
      </c>
      <c r="Q9550" t="n">
        <v>0</v>
      </c>
      <c r="R9550" s="2" t="inlineStr"/>
    </row>
    <row r="9551" ht="15" customHeight="1">
      <c r="A9551" t="inlineStr">
        <is>
          <t>A 40590-2022</t>
        </is>
      </c>
      <c r="B9551" s="1" t="n">
        <v>44823.82476851852</v>
      </c>
      <c r="C9551" s="1" t="n">
        <v>46185</v>
      </c>
      <c r="D9551" t="inlineStr">
        <is>
          <t>VÄSTERNORRLANDS LÄN</t>
        </is>
      </c>
      <c r="E9551" t="inlineStr">
        <is>
          <t>ÖRNSKÖLDSVIK</t>
        </is>
      </c>
      <c r="G9551" t="n">
        <v>10</v>
      </c>
      <c r="H9551" t="n">
        <v>0</v>
      </c>
      <c r="I9551" t="n">
        <v>0</v>
      </c>
      <c r="J9551" t="n">
        <v>0</v>
      </c>
      <c r="K9551" t="n">
        <v>0</v>
      </c>
      <c r="L9551" t="n">
        <v>0</v>
      </c>
      <c r="M9551" t="n">
        <v>0</v>
      </c>
      <c r="N9551" t="n">
        <v>0</v>
      </c>
      <c r="O9551" t="n">
        <v>0</v>
      </c>
      <c r="P9551" t="n">
        <v>0</v>
      </c>
      <c r="Q9551" t="n">
        <v>0</v>
      </c>
      <c r="R9551" s="2" t="inlineStr"/>
    </row>
    <row r="9552" ht="15" customHeight="1">
      <c r="A9552" t="inlineStr">
        <is>
          <t>A 57203-2021</t>
        </is>
      </c>
      <c r="B9552" s="1" t="n">
        <v>44482</v>
      </c>
      <c r="C9552" s="1" t="n">
        <v>46185</v>
      </c>
      <c r="D9552" t="inlineStr">
        <is>
          <t>VÄSTERNORRLANDS LÄN</t>
        </is>
      </c>
      <c r="E9552" t="inlineStr">
        <is>
          <t>KRAMFORS</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39177-2024</t>
        </is>
      </c>
      <c r="B9553" s="1" t="n">
        <v>45548.65681712963</v>
      </c>
      <c r="C9553" s="1" t="n">
        <v>46185</v>
      </c>
      <c r="D9553" t="inlineStr">
        <is>
          <t>VÄSTERNORRLANDS LÄN</t>
        </is>
      </c>
      <c r="E9553" t="inlineStr">
        <is>
          <t>SOLLEFTEÅ</t>
        </is>
      </c>
      <c r="F9553" t="inlineStr">
        <is>
          <t>SCA</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26532-2026</t>
        </is>
      </c>
      <c r="B9554" s="1" t="n">
        <v>46183.59792824074</v>
      </c>
      <c r="C9554" s="1" t="n">
        <v>46185</v>
      </c>
      <c r="D9554" t="inlineStr">
        <is>
          <t>VÄSTERNORRLANDS LÄN</t>
        </is>
      </c>
      <c r="E9554" t="inlineStr">
        <is>
          <t>ÖRNSKÖLDSVIK</t>
        </is>
      </c>
      <c r="F9554" t="inlineStr">
        <is>
          <t>Holmen skog AB</t>
        </is>
      </c>
      <c r="G9554" t="n">
        <v>4.1</v>
      </c>
      <c r="H9554" t="n">
        <v>0</v>
      </c>
      <c r="I9554" t="n">
        <v>0</v>
      </c>
      <c r="J9554" t="n">
        <v>0</v>
      </c>
      <c r="K9554" t="n">
        <v>0</v>
      </c>
      <c r="L9554" t="n">
        <v>0</v>
      </c>
      <c r="M9554" t="n">
        <v>0</v>
      </c>
      <c r="N9554" t="n">
        <v>0</v>
      </c>
      <c r="O9554" t="n">
        <v>0</v>
      </c>
      <c r="P9554" t="n">
        <v>0</v>
      </c>
      <c r="Q9554" t="n">
        <v>0</v>
      </c>
      <c r="R9554" s="2" t="inlineStr"/>
    </row>
    <row r="9555" ht="15" customHeight="1">
      <c r="A9555" t="inlineStr">
        <is>
          <t>A 55746-2025</t>
        </is>
      </c>
      <c r="B9555" s="1" t="n">
        <v>45972.57427083333</v>
      </c>
      <c r="C9555" s="1" t="n">
        <v>46185</v>
      </c>
      <c r="D9555" t="inlineStr">
        <is>
          <t>VÄSTERNORRLANDS LÄN</t>
        </is>
      </c>
      <c r="E9555" t="inlineStr">
        <is>
          <t>SUNDSVALL</t>
        </is>
      </c>
      <c r="F9555" t="inlineStr">
        <is>
          <t>SCA</t>
        </is>
      </c>
      <c r="G9555" t="n">
        <v>8.199999999999999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26420-2026</t>
        </is>
      </c>
      <c r="B9556" s="1" t="n">
        <v>46183.42784722222</v>
      </c>
      <c r="C9556" s="1" t="n">
        <v>46185</v>
      </c>
      <c r="D9556" t="inlineStr">
        <is>
          <t>VÄSTERNORRLANDS LÄN</t>
        </is>
      </c>
      <c r="E9556" t="inlineStr">
        <is>
          <t>ÖRNSKÖLDSVIK</t>
        </is>
      </c>
      <c r="F9556" t="inlineStr">
        <is>
          <t>SCA</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26421-2026</t>
        </is>
      </c>
      <c r="B9557" s="1" t="n">
        <v>46183.42791666667</v>
      </c>
      <c r="C9557" s="1" t="n">
        <v>46185</v>
      </c>
      <c r="D9557" t="inlineStr">
        <is>
          <t>VÄSTERNORRLANDS LÄN</t>
        </is>
      </c>
      <c r="E9557" t="inlineStr">
        <is>
          <t>ÖRNSKÖLDSVIK</t>
        </is>
      </c>
      <c r="F9557" t="inlineStr">
        <is>
          <t>SCA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26345-2026</t>
        </is>
      </c>
      <c r="B9558" s="1" t="n">
        <v>46182</v>
      </c>
      <c r="C9558" s="1" t="n">
        <v>46185</v>
      </c>
      <c r="D9558" t="inlineStr">
        <is>
          <t>VÄSTERNORRLANDS LÄN</t>
        </is>
      </c>
      <c r="E9558" t="inlineStr">
        <is>
          <t>SUNDSVALL</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42482-2024</t>
        </is>
      </c>
      <c r="B9559" s="1" t="n">
        <v>45565</v>
      </c>
      <c r="C9559" s="1" t="n">
        <v>46185</v>
      </c>
      <c r="D9559" t="inlineStr">
        <is>
          <t>VÄSTERNORRLANDS LÄN</t>
        </is>
      </c>
      <c r="E9559" t="inlineStr">
        <is>
          <t>SOLLEFTEÅ</t>
        </is>
      </c>
      <c r="F9559" t="inlineStr">
        <is>
          <t>SCA</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26388-2026</t>
        </is>
      </c>
      <c r="B9560" s="1" t="n">
        <v>46183</v>
      </c>
      <c r="C9560" s="1" t="n">
        <v>46185</v>
      </c>
      <c r="D9560" t="inlineStr">
        <is>
          <t>VÄSTERNORRLANDS LÄN</t>
        </is>
      </c>
      <c r="E9560" t="inlineStr">
        <is>
          <t>SUNDSVALL</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26390-2026</t>
        </is>
      </c>
      <c r="B9561" s="1" t="n">
        <v>46183.36184027778</v>
      </c>
      <c r="C9561" s="1" t="n">
        <v>46185</v>
      </c>
      <c r="D9561" t="inlineStr">
        <is>
          <t>VÄSTERNORRLANDS LÄN</t>
        </is>
      </c>
      <c r="E9561" t="inlineStr">
        <is>
          <t>ÖRNSKÖLDSVIK</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55537-2025</t>
        </is>
      </c>
      <c r="B9562" s="1" t="n">
        <v>45971</v>
      </c>
      <c r="C9562" s="1" t="n">
        <v>46185</v>
      </c>
      <c r="D9562" t="inlineStr">
        <is>
          <t>VÄSTERNORRLANDS LÄN</t>
        </is>
      </c>
      <c r="E9562" t="inlineStr">
        <is>
          <t>ÖRNSKÖLDSVIK</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41813-2024</t>
        </is>
      </c>
      <c r="B9563" s="1" t="n">
        <v>45561.37765046296</v>
      </c>
      <c r="C9563" s="1" t="n">
        <v>46185</v>
      </c>
      <c r="D9563" t="inlineStr">
        <is>
          <t>VÄSTERNORRLANDS LÄN</t>
        </is>
      </c>
      <c r="E9563" t="inlineStr">
        <is>
          <t>KRAMFORS</t>
        </is>
      </c>
      <c r="G9563" t="n">
        <v>8.1</v>
      </c>
      <c r="H9563" t="n">
        <v>0</v>
      </c>
      <c r="I9563" t="n">
        <v>0</v>
      </c>
      <c r="J9563" t="n">
        <v>0</v>
      </c>
      <c r="K9563" t="n">
        <v>0</v>
      </c>
      <c r="L9563" t="n">
        <v>0</v>
      </c>
      <c r="M9563" t="n">
        <v>0</v>
      </c>
      <c r="N9563" t="n">
        <v>0</v>
      </c>
      <c r="O9563" t="n">
        <v>0</v>
      </c>
      <c r="P9563" t="n">
        <v>0</v>
      </c>
      <c r="Q9563" t="n">
        <v>0</v>
      </c>
      <c r="R9563" s="2" t="inlineStr"/>
    </row>
    <row r="9564" ht="15" customHeight="1">
      <c r="A9564" t="inlineStr">
        <is>
          <t>A 21004-2026</t>
        </is>
      </c>
      <c r="B9564" s="1" t="n">
        <v>46142.65670138889</v>
      </c>
      <c r="C9564" s="1" t="n">
        <v>46185</v>
      </c>
      <c r="D9564" t="inlineStr">
        <is>
          <t>VÄSTERNORRLANDS LÄN</t>
        </is>
      </c>
      <c r="E9564" t="inlineStr">
        <is>
          <t>SOLLEFTEÅ</t>
        </is>
      </c>
      <c r="F9564" t="inlineStr">
        <is>
          <t>SCA</t>
        </is>
      </c>
      <c r="G9564" t="n">
        <v>14.9</v>
      </c>
      <c r="H9564" t="n">
        <v>0</v>
      </c>
      <c r="I9564" t="n">
        <v>0</v>
      </c>
      <c r="J9564" t="n">
        <v>0</v>
      </c>
      <c r="K9564" t="n">
        <v>0</v>
      </c>
      <c r="L9564" t="n">
        <v>0</v>
      </c>
      <c r="M9564" t="n">
        <v>0</v>
      </c>
      <c r="N9564" t="n">
        <v>0</v>
      </c>
      <c r="O9564" t="n">
        <v>0</v>
      </c>
      <c r="P9564" t="n">
        <v>0</v>
      </c>
      <c r="Q9564" t="n">
        <v>0</v>
      </c>
      <c r="R9564" s="2" t="inlineStr"/>
    </row>
    <row r="9565" ht="15" customHeight="1">
      <c r="A9565" t="inlineStr">
        <is>
          <t>A 21585-2026</t>
        </is>
      </c>
      <c r="B9565" s="1" t="n">
        <v>46149</v>
      </c>
      <c r="C9565" s="1" t="n">
        <v>46185</v>
      </c>
      <c r="D9565" t="inlineStr">
        <is>
          <t>VÄSTERNORRLANDS LÄN</t>
        </is>
      </c>
      <c r="E9565" t="inlineStr">
        <is>
          <t>HÄRNÖSAND</t>
        </is>
      </c>
      <c r="G9565" t="n">
        <v>13.8</v>
      </c>
      <c r="H9565" t="n">
        <v>0</v>
      </c>
      <c r="I9565" t="n">
        <v>0</v>
      </c>
      <c r="J9565" t="n">
        <v>0</v>
      </c>
      <c r="K9565" t="n">
        <v>0</v>
      </c>
      <c r="L9565" t="n">
        <v>0</v>
      </c>
      <c r="M9565" t="n">
        <v>0</v>
      </c>
      <c r="N9565" t="n">
        <v>0</v>
      </c>
      <c r="O9565" t="n">
        <v>0</v>
      </c>
      <c r="P9565" t="n">
        <v>0</v>
      </c>
      <c r="Q9565" t="n">
        <v>0</v>
      </c>
      <c r="R9565" s="2" t="inlineStr"/>
    </row>
    <row r="9566" ht="15" customHeight="1">
      <c r="A9566" t="inlineStr">
        <is>
          <t>A 21650-2026</t>
        </is>
      </c>
      <c r="B9566" s="1" t="n">
        <v>46149</v>
      </c>
      <c r="C9566" s="1" t="n">
        <v>46185</v>
      </c>
      <c r="D9566" t="inlineStr">
        <is>
          <t>VÄSTERNORRLANDS LÄN</t>
        </is>
      </c>
      <c r="E9566" t="inlineStr">
        <is>
          <t>SOLLEFTEÅ</t>
        </is>
      </c>
      <c r="F9566" t="inlineStr">
        <is>
          <t>SCA</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1100-2022</t>
        </is>
      </c>
      <c r="B9567" s="1" t="n">
        <v>44571</v>
      </c>
      <c r="C9567" s="1" t="n">
        <v>46185</v>
      </c>
      <c r="D9567" t="inlineStr">
        <is>
          <t>VÄSTERNORRLANDS LÄN</t>
        </is>
      </c>
      <c r="E9567" t="inlineStr">
        <is>
          <t>SUNDSVALL</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59370-2025</t>
        </is>
      </c>
      <c r="B9568" s="1" t="n">
        <v>45989.4491550926</v>
      </c>
      <c r="C9568" s="1" t="n">
        <v>46185</v>
      </c>
      <c r="D9568" t="inlineStr">
        <is>
          <t>VÄSTERNORRLANDS LÄN</t>
        </is>
      </c>
      <c r="E9568" t="inlineStr">
        <is>
          <t>KRAMFORS</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62285-2023</t>
        </is>
      </c>
      <c r="B9569" s="1" t="n">
        <v>45267.65267361111</v>
      </c>
      <c r="C9569" s="1" t="n">
        <v>46185</v>
      </c>
      <c r="D9569" t="inlineStr">
        <is>
          <t>VÄSTERNORRLANDS LÄN</t>
        </is>
      </c>
      <c r="E9569" t="inlineStr">
        <is>
          <t>ÖRNSKÖLDSVIK</t>
        </is>
      </c>
      <c r="F9569" t="inlineStr">
        <is>
          <t>Holmen skog AB</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24501-2026</t>
        </is>
      </c>
      <c r="B9570" s="1" t="n">
        <v>46170.47709490741</v>
      </c>
      <c r="C9570" s="1" t="n">
        <v>46185</v>
      </c>
      <c r="D9570" t="inlineStr">
        <is>
          <t>VÄSTERNORRLANDS LÄN</t>
        </is>
      </c>
      <c r="E9570" t="inlineStr">
        <is>
          <t>ÖRNSKÖLDSVIK</t>
        </is>
      </c>
      <c r="F9570" t="inlineStr">
        <is>
          <t>Holmen skog AB</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15143-2024</t>
        </is>
      </c>
      <c r="B9571" s="1" t="n">
        <v>45399.94331018518</v>
      </c>
      <c r="C9571" s="1" t="n">
        <v>46185</v>
      </c>
      <c r="D9571" t="inlineStr">
        <is>
          <t>VÄSTERNORRLANDS LÄN</t>
        </is>
      </c>
      <c r="E9571" t="inlineStr">
        <is>
          <t>SUNDSVALL</t>
        </is>
      </c>
      <c r="F9571" t="inlineStr">
        <is>
          <t>SCA</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20682-2026</t>
        </is>
      </c>
      <c r="B9572" s="1" t="n">
        <v>46141</v>
      </c>
      <c r="C9572" s="1" t="n">
        <v>46185</v>
      </c>
      <c r="D9572" t="inlineStr">
        <is>
          <t>VÄSTERNORRLANDS LÄN</t>
        </is>
      </c>
      <c r="E9572" t="inlineStr">
        <is>
          <t>ÅNGE</t>
        </is>
      </c>
      <c r="F9572" t="inlineStr">
        <is>
          <t>SCA</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26460-2026</t>
        </is>
      </c>
      <c r="B9573" s="1" t="n">
        <v>46183.4900462963</v>
      </c>
      <c r="C9573" s="1" t="n">
        <v>46185</v>
      </c>
      <c r="D9573" t="inlineStr">
        <is>
          <t>VÄSTERNORRLANDS LÄN</t>
        </is>
      </c>
      <c r="E9573" t="inlineStr">
        <is>
          <t>ÖRNSKÖLDSVIK</t>
        </is>
      </c>
      <c r="F9573" t="inlineStr">
        <is>
          <t>SCA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7699-2026</t>
        </is>
      </c>
      <c r="B9574" s="1" t="n">
        <v>46059</v>
      </c>
      <c r="C9574" s="1" t="n">
        <v>46185</v>
      </c>
      <c r="D9574" t="inlineStr">
        <is>
          <t>VÄSTERNORRLANDS LÄN</t>
        </is>
      </c>
      <c r="E9574" t="inlineStr">
        <is>
          <t>TIMRÅ</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60462-2022</t>
        </is>
      </c>
      <c r="B9575" s="1" t="n">
        <v>44904</v>
      </c>
      <c r="C9575" s="1" t="n">
        <v>46185</v>
      </c>
      <c r="D9575" t="inlineStr">
        <is>
          <t>VÄSTERNORRLANDS LÄN</t>
        </is>
      </c>
      <c r="E9575" t="inlineStr">
        <is>
          <t>ÖRNSKÖLDSVIK</t>
        </is>
      </c>
      <c r="F9575" t="inlineStr">
        <is>
          <t>Kyrkan</t>
        </is>
      </c>
      <c r="G9575" t="n">
        <v>6</v>
      </c>
      <c r="H9575" t="n">
        <v>0</v>
      </c>
      <c r="I9575" t="n">
        <v>0</v>
      </c>
      <c r="J9575" t="n">
        <v>0</v>
      </c>
      <c r="K9575" t="n">
        <v>0</v>
      </c>
      <c r="L9575" t="n">
        <v>0</v>
      </c>
      <c r="M9575" t="n">
        <v>0</v>
      </c>
      <c r="N9575" t="n">
        <v>0</v>
      </c>
      <c r="O9575" t="n">
        <v>0</v>
      </c>
      <c r="P9575" t="n">
        <v>0</v>
      </c>
      <c r="Q9575" t="n">
        <v>0</v>
      </c>
      <c r="R9575" s="2" t="inlineStr"/>
    </row>
    <row r="9576" ht="15" customHeight="1">
      <c r="A9576" t="inlineStr">
        <is>
          <t>A 26422-2026</t>
        </is>
      </c>
      <c r="B9576" s="1" t="n">
        <v>46183.42837962963</v>
      </c>
      <c r="C9576" s="1" t="n">
        <v>46185</v>
      </c>
      <c r="D9576" t="inlineStr">
        <is>
          <t>VÄSTERNORRLANDS LÄN</t>
        </is>
      </c>
      <c r="E9576" t="inlineStr">
        <is>
          <t>ÖRNSKÖLDSVIK</t>
        </is>
      </c>
      <c r="G9576" t="n">
        <v>11.7</v>
      </c>
      <c r="H9576" t="n">
        <v>0</v>
      </c>
      <c r="I9576" t="n">
        <v>0</v>
      </c>
      <c r="J9576" t="n">
        <v>0</v>
      </c>
      <c r="K9576" t="n">
        <v>0</v>
      </c>
      <c r="L9576" t="n">
        <v>0</v>
      </c>
      <c r="M9576" t="n">
        <v>0</v>
      </c>
      <c r="N9576" t="n">
        <v>0</v>
      </c>
      <c r="O9576" t="n">
        <v>0</v>
      </c>
      <c r="P9576" t="n">
        <v>0</v>
      </c>
      <c r="Q9576" t="n">
        <v>0</v>
      </c>
      <c r="R9576" s="2" t="inlineStr"/>
    </row>
    <row r="9577" ht="15" customHeight="1">
      <c r="A9577" t="inlineStr">
        <is>
          <t>A 24653-2022</t>
        </is>
      </c>
      <c r="B9577" s="1" t="n">
        <v>44727.61612268518</v>
      </c>
      <c r="C9577" s="1" t="n">
        <v>46185</v>
      </c>
      <c r="D9577" t="inlineStr">
        <is>
          <t>VÄSTERNORRLANDS LÄN</t>
        </is>
      </c>
      <c r="E9577" t="inlineStr">
        <is>
          <t>KRAMFORS</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33940-2025</t>
        </is>
      </c>
      <c r="B9578" s="1" t="n">
        <v>45842.63925925926</v>
      </c>
      <c r="C9578" s="1" t="n">
        <v>46185</v>
      </c>
      <c r="D9578" t="inlineStr">
        <is>
          <t>VÄSTERNORRLANDS LÄN</t>
        </is>
      </c>
      <c r="E9578" t="inlineStr">
        <is>
          <t>KRAMFORS</t>
        </is>
      </c>
      <c r="G9578" t="n">
        <v>4.2</v>
      </c>
      <c r="H9578" t="n">
        <v>0</v>
      </c>
      <c r="I9578" t="n">
        <v>0</v>
      </c>
      <c r="J9578" t="n">
        <v>0</v>
      </c>
      <c r="K9578" t="n">
        <v>0</v>
      </c>
      <c r="L9578" t="n">
        <v>0</v>
      </c>
      <c r="M9578" t="n">
        <v>0</v>
      </c>
      <c r="N9578" t="n">
        <v>0</v>
      </c>
      <c r="O9578" t="n">
        <v>0</v>
      </c>
      <c r="P9578" t="n">
        <v>0</v>
      </c>
      <c r="Q9578" t="n">
        <v>0</v>
      </c>
      <c r="R9578" s="2" t="inlineStr"/>
    </row>
    <row r="9579" ht="15" customHeight="1">
      <c r="A9579" t="inlineStr">
        <is>
          <t>A 21122-2026</t>
        </is>
      </c>
      <c r="B9579" s="1" t="n">
        <v>46146</v>
      </c>
      <c r="C9579" s="1" t="n">
        <v>46185</v>
      </c>
      <c r="D9579" t="inlineStr">
        <is>
          <t>VÄSTERNORRLANDS LÄN</t>
        </is>
      </c>
      <c r="E9579" t="inlineStr">
        <is>
          <t>SOLLEFTEÅ</t>
        </is>
      </c>
      <c r="F9579" t="inlineStr">
        <is>
          <t>Holmen skog AB</t>
        </is>
      </c>
      <c r="G9579" t="n">
        <v>6.2</v>
      </c>
      <c r="H9579" t="n">
        <v>0</v>
      </c>
      <c r="I9579" t="n">
        <v>0</v>
      </c>
      <c r="J9579" t="n">
        <v>0</v>
      </c>
      <c r="K9579" t="n">
        <v>0</v>
      </c>
      <c r="L9579" t="n">
        <v>0</v>
      </c>
      <c r="M9579" t="n">
        <v>0</v>
      </c>
      <c r="N9579" t="n">
        <v>0</v>
      </c>
      <c r="O9579" t="n">
        <v>0</v>
      </c>
      <c r="P9579" t="n">
        <v>0</v>
      </c>
      <c r="Q9579" t="n">
        <v>0</v>
      </c>
      <c r="R9579" s="2" t="inlineStr"/>
    </row>
    <row r="9580" ht="15" customHeight="1">
      <c r="A9580" t="inlineStr">
        <is>
          <t>A 21927-2026</t>
        </is>
      </c>
      <c r="B9580" s="1" t="n">
        <v>46150</v>
      </c>
      <c r="C9580" s="1" t="n">
        <v>46185</v>
      </c>
      <c r="D9580" t="inlineStr">
        <is>
          <t>VÄSTERNORRLANDS LÄN</t>
        </is>
      </c>
      <c r="E9580" t="inlineStr">
        <is>
          <t>HÄRNÖSAND</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60313-2023</t>
        </is>
      </c>
      <c r="B9581" s="1" t="n">
        <v>45258.85435185185</v>
      </c>
      <c r="C9581" s="1" t="n">
        <v>46185</v>
      </c>
      <c r="D9581" t="inlineStr">
        <is>
          <t>VÄSTERNORRLANDS LÄN</t>
        </is>
      </c>
      <c r="E9581" t="inlineStr">
        <is>
          <t>ÖRNSKÖLDSVIK</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60319-2023</t>
        </is>
      </c>
      <c r="B9582" s="1" t="n">
        <v>45258.9266087963</v>
      </c>
      <c r="C9582" s="1" t="n">
        <v>46185</v>
      </c>
      <c r="D9582" t="inlineStr">
        <is>
          <t>VÄSTERNORRLANDS LÄN</t>
        </is>
      </c>
      <c r="E9582" t="inlineStr">
        <is>
          <t>ÖRNSKÖLDSVIK</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50235-2021</t>
        </is>
      </c>
      <c r="B9583" s="1" t="n">
        <v>44457</v>
      </c>
      <c r="C9583" s="1" t="n">
        <v>46185</v>
      </c>
      <c r="D9583" t="inlineStr">
        <is>
          <t>VÄSTERNORRLANDS LÄN</t>
        </is>
      </c>
      <c r="E9583" t="inlineStr">
        <is>
          <t>ÅNGE</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58478-2021</t>
        </is>
      </c>
      <c r="B9584" s="1" t="n">
        <v>44488</v>
      </c>
      <c r="C9584" s="1" t="n">
        <v>46185</v>
      </c>
      <c r="D9584" t="inlineStr">
        <is>
          <t>VÄSTERNORRLANDS LÄN</t>
        </is>
      </c>
      <c r="E9584" t="inlineStr">
        <is>
          <t>SOLLEFTEÅ</t>
        </is>
      </c>
      <c r="G9584" t="n">
        <v>9.5</v>
      </c>
      <c r="H9584" t="n">
        <v>0</v>
      </c>
      <c r="I9584" t="n">
        <v>0</v>
      </c>
      <c r="J9584" t="n">
        <v>0</v>
      </c>
      <c r="K9584" t="n">
        <v>0</v>
      </c>
      <c r="L9584" t="n">
        <v>0</v>
      </c>
      <c r="M9584" t="n">
        <v>0</v>
      </c>
      <c r="N9584" t="n">
        <v>0</v>
      </c>
      <c r="O9584" t="n">
        <v>0</v>
      </c>
      <c r="P9584" t="n">
        <v>0</v>
      </c>
      <c r="Q9584" t="n">
        <v>0</v>
      </c>
      <c r="R9584" s="2" t="inlineStr"/>
    </row>
    <row r="9585" ht="15" customHeight="1">
      <c r="A9585" t="inlineStr">
        <is>
          <t>A 55555-2025</t>
        </is>
      </c>
      <c r="B9585" s="1" t="n">
        <v>45971</v>
      </c>
      <c r="C9585" s="1" t="n">
        <v>46185</v>
      </c>
      <c r="D9585" t="inlineStr">
        <is>
          <t>VÄSTERNORRLANDS LÄN</t>
        </is>
      </c>
      <c r="E9585" t="inlineStr">
        <is>
          <t>ÖRNSKÖLDSVIK</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12751-2026</t>
        </is>
      </c>
      <c r="B9586" s="1" t="n">
        <v>46091</v>
      </c>
      <c r="C9586" s="1" t="n">
        <v>46185</v>
      </c>
      <c r="D9586" t="inlineStr">
        <is>
          <t>VÄSTERNORRLANDS LÄN</t>
        </is>
      </c>
      <c r="E9586" t="inlineStr">
        <is>
          <t>ÅNGE</t>
        </is>
      </c>
      <c r="F9586" t="inlineStr">
        <is>
          <t>SCA</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31965-2022</t>
        </is>
      </c>
      <c r="B9587" s="1" t="n">
        <v>44777.95460648148</v>
      </c>
      <c r="C9587" s="1" t="n">
        <v>46185</v>
      </c>
      <c r="D9587" t="inlineStr">
        <is>
          <t>VÄSTERNORRLANDS LÄN</t>
        </is>
      </c>
      <c r="E9587" t="inlineStr">
        <is>
          <t>SOLLEFTEÅ</t>
        </is>
      </c>
      <c r="F9587" t="inlineStr">
        <is>
          <t>SCA</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28226-2025</t>
        </is>
      </c>
      <c r="B9588" s="1" t="n">
        <v>45818</v>
      </c>
      <c r="C9588" s="1" t="n">
        <v>46185</v>
      </c>
      <c r="D9588" t="inlineStr">
        <is>
          <t>VÄSTERNORRLANDS LÄN</t>
        </is>
      </c>
      <c r="E9588" t="inlineStr">
        <is>
          <t>ÖRNSKÖLDSVIK</t>
        </is>
      </c>
      <c r="G9588" t="n">
        <v>30.6</v>
      </c>
      <c r="H9588" t="n">
        <v>0</v>
      </c>
      <c r="I9588" t="n">
        <v>0</v>
      </c>
      <c r="J9588" t="n">
        <v>0</v>
      </c>
      <c r="K9588" t="n">
        <v>0</v>
      </c>
      <c r="L9588" t="n">
        <v>0</v>
      </c>
      <c r="M9588" t="n">
        <v>0</v>
      </c>
      <c r="N9588" t="n">
        <v>0</v>
      </c>
      <c r="O9588" t="n">
        <v>0</v>
      </c>
      <c r="P9588" t="n">
        <v>0</v>
      </c>
      <c r="Q9588" t="n">
        <v>0</v>
      </c>
      <c r="R9588" s="2" t="inlineStr"/>
    </row>
    <row r="9589" ht="15" customHeight="1">
      <c r="A9589" t="inlineStr">
        <is>
          <t>A 21908-2025</t>
        </is>
      </c>
      <c r="B9589" s="1" t="n">
        <v>45784.46751157408</v>
      </c>
      <c r="C9589" s="1" t="n">
        <v>46185</v>
      </c>
      <c r="D9589" t="inlineStr">
        <is>
          <t>VÄSTERNORRLANDS LÄN</t>
        </is>
      </c>
      <c r="E9589" t="inlineStr">
        <is>
          <t>ÖRNSKÖLDSVIK</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61322-2022</t>
        </is>
      </c>
      <c r="B9590" s="1" t="n">
        <v>44909</v>
      </c>
      <c r="C9590" s="1" t="n">
        <v>46185</v>
      </c>
      <c r="D9590" t="inlineStr">
        <is>
          <t>VÄSTERNORRLANDS LÄN</t>
        </is>
      </c>
      <c r="E9590" t="inlineStr">
        <is>
          <t>ÖRNSKÖLDSVIK</t>
        </is>
      </c>
      <c r="G9590" t="n">
        <v>3.8</v>
      </c>
      <c r="H9590" t="n">
        <v>0</v>
      </c>
      <c r="I9590" t="n">
        <v>0</v>
      </c>
      <c r="J9590" t="n">
        <v>0</v>
      </c>
      <c r="K9590" t="n">
        <v>0</v>
      </c>
      <c r="L9590" t="n">
        <v>0</v>
      </c>
      <c r="M9590" t="n">
        <v>0</v>
      </c>
      <c r="N9590" t="n">
        <v>0</v>
      </c>
      <c r="O9590" t="n">
        <v>0</v>
      </c>
      <c r="P9590" t="n">
        <v>0</v>
      </c>
      <c r="Q9590" t="n">
        <v>0</v>
      </c>
      <c r="R9590" s="2" t="inlineStr"/>
    </row>
    <row r="9591" ht="15" customHeight="1">
      <c r="A9591" t="inlineStr">
        <is>
          <t>A 20839-2023</t>
        </is>
      </c>
      <c r="B9591" s="1" t="n">
        <v>45058.68923611111</v>
      </c>
      <c r="C9591" s="1" t="n">
        <v>46185</v>
      </c>
      <c r="D9591" t="inlineStr">
        <is>
          <t>VÄSTERNORRLANDS LÄN</t>
        </is>
      </c>
      <c r="E9591" t="inlineStr">
        <is>
          <t>TIMRÅ</t>
        </is>
      </c>
      <c r="G9591" t="n">
        <v>7.2</v>
      </c>
      <c r="H9591" t="n">
        <v>0</v>
      </c>
      <c r="I9591" t="n">
        <v>0</v>
      </c>
      <c r="J9591" t="n">
        <v>0</v>
      </c>
      <c r="K9591" t="n">
        <v>0</v>
      </c>
      <c r="L9591" t="n">
        <v>0</v>
      </c>
      <c r="M9591" t="n">
        <v>0</v>
      </c>
      <c r="N9591" t="n">
        <v>0</v>
      </c>
      <c r="O9591" t="n">
        <v>0</v>
      </c>
      <c r="P9591" t="n">
        <v>0</v>
      </c>
      <c r="Q9591" t="n">
        <v>0</v>
      </c>
      <c r="R9591" s="2" t="inlineStr"/>
    </row>
    <row r="9592" ht="15" customHeight="1">
      <c r="A9592" t="inlineStr">
        <is>
          <t>A 61392-2022</t>
        </is>
      </c>
      <c r="B9592" s="1" t="n">
        <v>44915.94341435185</v>
      </c>
      <c r="C9592" s="1" t="n">
        <v>46185</v>
      </c>
      <c r="D9592" t="inlineStr">
        <is>
          <t>VÄSTERNORRLANDS LÄN</t>
        </is>
      </c>
      <c r="E9592" t="inlineStr">
        <is>
          <t>ÖRNSKÖLDSVIK</t>
        </is>
      </c>
      <c r="F9592" t="inlineStr">
        <is>
          <t>SCA</t>
        </is>
      </c>
      <c r="G9592" t="n">
        <v>6.8</v>
      </c>
      <c r="H9592" t="n">
        <v>0</v>
      </c>
      <c r="I9592" t="n">
        <v>0</v>
      </c>
      <c r="J9592" t="n">
        <v>0</v>
      </c>
      <c r="K9592" t="n">
        <v>0</v>
      </c>
      <c r="L9592" t="n">
        <v>0</v>
      </c>
      <c r="M9592" t="n">
        <v>0</v>
      </c>
      <c r="N9592" t="n">
        <v>0</v>
      </c>
      <c r="O9592" t="n">
        <v>0</v>
      </c>
      <c r="P9592" t="n">
        <v>0</v>
      </c>
      <c r="Q9592" t="n">
        <v>0</v>
      </c>
      <c r="R9592" s="2" t="inlineStr"/>
    </row>
    <row r="9593" ht="15" customHeight="1">
      <c r="A9593" t="inlineStr">
        <is>
          <t>A 53326-2025</t>
        </is>
      </c>
      <c r="B9593" s="1" t="n">
        <v>45959.36498842593</v>
      </c>
      <c r="C9593" s="1" t="n">
        <v>46185</v>
      </c>
      <c r="D9593" t="inlineStr">
        <is>
          <t>VÄSTERNORRLANDS LÄN</t>
        </is>
      </c>
      <c r="E9593" t="inlineStr">
        <is>
          <t>KRAMFORS</t>
        </is>
      </c>
      <c r="G9593" t="n">
        <v>4.6</v>
      </c>
      <c r="H9593" t="n">
        <v>0</v>
      </c>
      <c r="I9593" t="n">
        <v>0</v>
      </c>
      <c r="J9593" t="n">
        <v>0</v>
      </c>
      <c r="K9593" t="n">
        <v>0</v>
      </c>
      <c r="L9593" t="n">
        <v>0</v>
      </c>
      <c r="M9593" t="n">
        <v>0</v>
      </c>
      <c r="N9593" t="n">
        <v>0</v>
      </c>
      <c r="O9593" t="n">
        <v>0</v>
      </c>
      <c r="P9593" t="n">
        <v>0</v>
      </c>
      <c r="Q9593" t="n">
        <v>0</v>
      </c>
      <c r="R9593" s="2" t="inlineStr"/>
    </row>
    <row r="9594" ht="15" customHeight="1">
      <c r="A9594" t="inlineStr">
        <is>
          <t>A 55898-2025</t>
        </is>
      </c>
      <c r="B9594" s="1" t="n">
        <v>45973.38623842593</v>
      </c>
      <c r="C9594" s="1" t="n">
        <v>46185</v>
      </c>
      <c r="D9594" t="inlineStr">
        <is>
          <t>VÄSTERNORRLANDS LÄN</t>
        </is>
      </c>
      <c r="E9594" t="inlineStr">
        <is>
          <t>SUNDSVALL</t>
        </is>
      </c>
      <c r="F9594" t="inlineStr">
        <is>
          <t>SCA</t>
        </is>
      </c>
      <c r="G9594" t="n">
        <v>5.3</v>
      </c>
      <c r="H9594" t="n">
        <v>0</v>
      </c>
      <c r="I9594" t="n">
        <v>0</v>
      </c>
      <c r="J9594" t="n">
        <v>0</v>
      </c>
      <c r="K9594" t="n">
        <v>0</v>
      </c>
      <c r="L9594" t="n">
        <v>0</v>
      </c>
      <c r="M9594" t="n">
        <v>0</v>
      </c>
      <c r="N9594" t="n">
        <v>0</v>
      </c>
      <c r="O9594" t="n">
        <v>0</v>
      </c>
      <c r="P9594" t="n">
        <v>0</v>
      </c>
      <c r="Q9594" t="n">
        <v>0</v>
      </c>
      <c r="R9594" s="2" t="inlineStr"/>
    </row>
    <row r="9595" ht="15" customHeight="1">
      <c r="A9595" t="inlineStr">
        <is>
          <t>A 20894-2026</t>
        </is>
      </c>
      <c r="B9595" s="1" t="n">
        <v>46142.44847222222</v>
      </c>
      <c r="C9595" s="1" t="n">
        <v>46185</v>
      </c>
      <c r="D9595" t="inlineStr">
        <is>
          <t>VÄSTERNORRLANDS LÄN</t>
        </is>
      </c>
      <c r="E9595" t="inlineStr">
        <is>
          <t>SOLLEFTEÅ</t>
        </is>
      </c>
      <c r="F9595" t="inlineStr">
        <is>
          <t>SCA</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47950-2024</t>
        </is>
      </c>
      <c r="B9596" s="1" t="n">
        <v>45589.36511574074</v>
      </c>
      <c r="C9596" s="1" t="n">
        <v>46185</v>
      </c>
      <c r="D9596" t="inlineStr">
        <is>
          <t>VÄSTERNORRLANDS LÄN</t>
        </is>
      </c>
      <c r="E9596" t="inlineStr">
        <is>
          <t>ÅNGE</t>
        </is>
      </c>
      <c r="F9596" t="inlineStr">
        <is>
          <t>SCA</t>
        </is>
      </c>
      <c r="G9596" t="n">
        <v>6</v>
      </c>
      <c r="H9596" t="n">
        <v>0</v>
      </c>
      <c r="I9596" t="n">
        <v>0</v>
      </c>
      <c r="J9596" t="n">
        <v>0</v>
      </c>
      <c r="K9596" t="n">
        <v>0</v>
      </c>
      <c r="L9596" t="n">
        <v>0</v>
      </c>
      <c r="M9596" t="n">
        <v>0</v>
      </c>
      <c r="N9596" t="n">
        <v>0</v>
      </c>
      <c r="O9596" t="n">
        <v>0</v>
      </c>
      <c r="P9596" t="n">
        <v>0</v>
      </c>
      <c r="Q9596" t="n">
        <v>0</v>
      </c>
      <c r="R9596" s="2" t="inlineStr"/>
    </row>
    <row r="9597" ht="15" customHeight="1">
      <c r="A9597" t="inlineStr">
        <is>
          <t>A 20264-2023</t>
        </is>
      </c>
      <c r="B9597" s="1" t="n">
        <v>45055</v>
      </c>
      <c r="C9597" s="1" t="n">
        <v>46185</v>
      </c>
      <c r="D9597" t="inlineStr">
        <is>
          <t>VÄSTERNORRLANDS LÄN</t>
        </is>
      </c>
      <c r="E9597" t="inlineStr">
        <is>
          <t>SUNDSVALL</t>
        </is>
      </c>
      <c r="G9597" t="n">
        <v>5.2</v>
      </c>
      <c r="H9597" t="n">
        <v>0</v>
      </c>
      <c r="I9597" t="n">
        <v>0</v>
      </c>
      <c r="J9597" t="n">
        <v>0</v>
      </c>
      <c r="K9597" t="n">
        <v>0</v>
      </c>
      <c r="L9597" t="n">
        <v>0</v>
      </c>
      <c r="M9597" t="n">
        <v>0</v>
      </c>
      <c r="N9597" t="n">
        <v>0</v>
      </c>
      <c r="O9597" t="n">
        <v>0</v>
      </c>
      <c r="P9597" t="n">
        <v>0</v>
      </c>
      <c r="Q9597" t="n">
        <v>0</v>
      </c>
      <c r="R9597" s="2" t="inlineStr"/>
    </row>
    <row r="9598" ht="15" customHeight="1">
      <c r="A9598" t="inlineStr">
        <is>
          <t>A 26667-2026</t>
        </is>
      </c>
      <c r="B9598" s="1" t="n">
        <v>46184.42613425926</v>
      </c>
      <c r="C9598" s="1" t="n">
        <v>46185</v>
      </c>
      <c r="D9598" t="inlineStr">
        <is>
          <t>VÄSTERNORRLANDS LÄN</t>
        </is>
      </c>
      <c r="E9598" t="inlineStr">
        <is>
          <t>HÄRNÖSAND</t>
        </is>
      </c>
      <c r="G9598" t="n">
        <v>9.1</v>
      </c>
      <c r="H9598" t="n">
        <v>0</v>
      </c>
      <c r="I9598" t="n">
        <v>0</v>
      </c>
      <c r="J9598" t="n">
        <v>0</v>
      </c>
      <c r="K9598" t="n">
        <v>0</v>
      </c>
      <c r="L9598" t="n">
        <v>0</v>
      </c>
      <c r="M9598" t="n">
        <v>0</v>
      </c>
      <c r="N9598" t="n">
        <v>0</v>
      </c>
      <c r="O9598" t="n">
        <v>0</v>
      </c>
      <c r="P9598" t="n">
        <v>0</v>
      </c>
      <c r="Q9598" t="n">
        <v>0</v>
      </c>
      <c r="R9598" s="2" t="inlineStr"/>
    </row>
    <row r="9599" ht="15" customHeight="1">
      <c r="A9599" t="inlineStr">
        <is>
          <t>A 14562-2026</t>
        </is>
      </c>
      <c r="B9599" s="1" t="n">
        <v>46100</v>
      </c>
      <c r="C9599" s="1" t="n">
        <v>46185</v>
      </c>
      <c r="D9599" t="inlineStr">
        <is>
          <t>VÄSTERNORRLANDS LÄN</t>
        </is>
      </c>
      <c r="E9599" t="inlineStr">
        <is>
          <t>ÖRNSKÖLDSVIK</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11299-2023</t>
        </is>
      </c>
      <c r="B9600" s="1" t="n">
        <v>44993.01074074074</v>
      </c>
      <c r="C9600" s="1" t="n">
        <v>46185</v>
      </c>
      <c r="D9600" t="inlineStr">
        <is>
          <t>VÄSTERNORRLANDS LÄN</t>
        </is>
      </c>
      <c r="E9600" t="inlineStr">
        <is>
          <t>ÅNGE</t>
        </is>
      </c>
      <c r="F9600" t="inlineStr">
        <is>
          <t>SCA</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42419-2025</t>
        </is>
      </c>
      <c r="B9601" s="1" t="n">
        <v>45905</v>
      </c>
      <c r="C9601" s="1" t="n">
        <v>46185</v>
      </c>
      <c r="D9601" t="inlineStr">
        <is>
          <t>VÄSTERNORRLANDS LÄN</t>
        </is>
      </c>
      <c r="E9601" t="inlineStr">
        <is>
          <t>ÖRNSKÖLDSVIK</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62834-2021</t>
        </is>
      </c>
      <c r="B9602" s="1" t="n">
        <v>44503</v>
      </c>
      <c r="C9602" s="1" t="n">
        <v>46185</v>
      </c>
      <c r="D9602" t="inlineStr">
        <is>
          <t>VÄSTERNORRLANDS LÄN</t>
        </is>
      </c>
      <c r="E9602" t="inlineStr">
        <is>
          <t>ÅNGE</t>
        </is>
      </c>
      <c r="F9602" t="inlineStr">
        <is>
          <t>Övriga statliga verk och myndigheter</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13917-2026</t>
        </is>
      </c>
      <c r="B9603" s="1" t="n">
        <v>46098</v>
      </c>
      <c r="C9603" s="1" t="n">
        <v>46185</v>
      </c>
      <c r="D9603" t="inlineStr">
        <is>
          <t>VÄSTERNORRLANDS LÄN</t>
        </is>
      </c>
      <c r="E9603" t="inlineStr">
        <is>
          <t>KRAMFORS</t>
        </is>
      </c>
      <c r="G9603" t="n">
        <v>4.8</v>
      </c>
      <c r="H9603" t="n">
        <v>0</v>
      </c>
      <c r="I9603" t="n">
        <v>0</v>
      </c>
      <c r="J9603" t="n">
        <v>0</v>
      </c>
      <c r="K9603" t="n">
        <v>0</v>
      </c>
      <c r="L9603" t="n">
        <v>0</v>
      </c>
      <c r="M9603" t="n">
        <v>0</v>
      </c>
      <c r="N9603" t="n">
        <v>0</v>
      </c>
      <c r="O9603" t="n">
        <v>0</v>
      </c>
      <c r="P9603" t="n">
        <v>0</v>
      </c>
      <c r="Q9603" t="n">
        <v>0</v>
      </c>
      <c r="R9603" s="2" t="inlineStr"/>
      <c r="U9603">
        <f>HYPERLINK("https://klasma.github.io/Logging_2282/knärot/A 13917-2026 karta knärot.png", "A 13917-2026")</f>
        <v/>
      </c>
      <c r="V9603">
        <f>HYPERLINK("https://klasma.github.io/Logging_2282/klagomål/A 13917-2026 FSC-klagomål.docx", "A 13917-2026")</f>
        <v/>
      </c>
      <c r="W9603">
        <f>HYPERLINK("https://klasma.github.io/Logging_2282/klagomålsmail/A 13917-2026 FSC-klagomål mail.docx", "A 13917-2026")</f>
        <v/>
      </c>
      <c r="X9603">
        <f>HYPERLINK("https://klasma.github.io/Logging_2282/tillsyn/A 13917-2026 tillsynsbegäran.docx", "A 13917-2026")</f>
        <v/>
      </c>
      <c r="Y9603">
        <f>HYPERLINK("https://klasma.github.io/Logging_2282/tillsynsmail/A 13917-2026 tillsynsbegäran mail.docx", "A 13917-2026")</f>
        <v/>
      </c>
    </row>
    <row r="9604" ht="15" customHeight="1">
      <c r="A9604" t="inlineStr">
        <is>
          <t>A 40483-2025</t>
        </is>
      </c>
      <c r="B9604" s="1" t="n">
        <v>45895</v>
      </c>
      <c r="C9604" s="1" t="n">
        <v>46185</v>
      </c>
      <c r="D9604" t="inlineStr">
        <is>
          <t>VÄSTERNORRLANDS LÄN</t>
        </is>
      </c>
      <c r="E9604" t="inlineStr">
        <is>
          <t>TIMRÅ</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13446-2026</t>
        </is>
      </c>
      <c r="B9605" s="1" t="n">
        <v>46094</v>
      </c>
      <c r="C9605" s="1" t="n">
        <v>46185</v>
      </c>
      <c r="D9605" t="inlineStr">
        <is>
          <t>VÄSTERNORRLANDS LÄN</t>
        </is>
      </c>
      <c r="E9605" t="inlineStr">
        <is>
          <t>TIMRÅ</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54500-2021</t>
        </is>
      </c>
      <c r="B9606" s="1" t="n">
        <v>44473.50857638889</v>
      </c>
      <c r="C9606" s="1" t="n">
        <v>46185</v>
      </c>
      <c r="D9606" t="inlineStr">
        <is>
          <t>VÄSTERNORRLANDS LÄN</t>
        </is>
      </c>
      <c r="E9606" t="inlineStr">
        <is>
          <t>ÖRNSKÖLDSVIK</t>
        </is>
      </c>
      <c r="F9606" t="inlineStr">
        <is>
          <t>Holmen skog AB</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7292-2026</t>
        </is>
      </c>
      <c r="B9607" s="1" t="n">
        <v>46058.64039351852</v>
      </c>
      <c r="C9607" s="1" t="n">
        <v>46185</v>
      </c>
      <c r="D9607" t="inlineStr">
        <is>
          <t>VÄSTERNORRLANDS LÄN</t>
        </is>
      </c>
      <c r="E9607" t="inlineStr">
        <is>
          <t>ÖRNSKÖLDSVIK</t>
        </is>
      </c>
      <c r="G9607" t="n">
        <v>7.8</v>
      </c>
      <c r="H9607" t="n">
        <v>0</v>
      </c>
      <c r="I9607" t="n">
        <v>0</v>
      </c>
      <c r="J9607" t="n">
        <v>0</v>
      </c>
      <c r="K9607" t="n">
        <v>0</v>
      </c>
      <c r="L9607" t="n">
        <v>0</v>
      </c>
      <c r="M9607" t="n">
        <v>0</v>
      </c>
      <c r="N9607" t="n">
        <v>0</v>
      </c>
      <c r="O9607" t="n">
        <v>0</v>
      </c>
      <c r="P9607" t="n">
        <v>0</v>
      </c>
      <c r="Q9607" t="n">
        <v>0</v>
      </c>
      <c r="R9607" s="2" t="inlineStr"/>
    </row>
    <row r="9608" ht="15" customHeight="1">
      <c r="A9608" t="inlineStr">
        <is>
          <t>A 3184-2026</t>
        </is>
      </c>
      <c r="B9608" s="1" t="n">
        <v>46041</v>
      </c>
      <c r="C9608" s="1" t="n">
        <v>46185</v>
      </c>
      <c r="D9608" t="inlineStr">
        <is>
          <t>VÄSTERNORRLANDS LÄN</t>
        </is>
      </c>
      <c r="E9608" t="inlineStr">
        <is>
          <t>TIMRÅ</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23100-2023</t>
        </is>
      </c>
      <c r="B9609" s="1" t="n">
        <v>45075</v>
      </c>
      <c r="C9609" s="1" t="n">
        <v>46185</v>
      </c>
      <c r="D9609" t="inlineStr">
        <is>
          <t>VÄSTERNORRLANDS LÄN</t>
        </is>
      </c>
      <c r="E9609" t="inlineStr">
        <is>
          <t>ÖRNSKÖLDSVIK</t>
        </is>
      </c>
      <c r="G9609" t="n">
        <v>0.2</v>
      </c>
      <c r="H9609" t="n">
        <v>0</v>
      </c>
      <c r="I9609" t="n">
        <v>0</v>
      </c>
      <c r="J9609" t="n">
        <v>0</v>
      </c>
      <c r="K9609" t="n">
        <v>0</v>
      </c>
      <c r="L9609" t="n">
        <v>0</v>
      </c>
      <c r="M9609" t="n">
        <v>0</v>
      </c>
      <c r="N9609" t="n">
        <v>0</v>
      </c>
      <c r="O9609" t="n">
        <v>0</v>
      </c>
      <c r="P9609" t="n">
        <v>0</v>
      </c>
      <c r="Q9609" t="n">
        <v>0</v>
      </c>
      <c r="R9609" s="2" t="inlineStr"/>
    </row>
    <row r="9610" ht="15" customHeight="1">
      <c r="A9610" t="inlineStr">
        <is>
          <t>A 6977-2026</t>
        </is>
      </c>
      <c r="B9610" s="1" t="n">
        <v>46057.59458333333</v>
      </c>
      <c r="C9610" s="1" t="n">
        <v>46185</v>
      </c>
      <c r="D9610" t="inlineStr">
        <is>
          <t>VÄSTERNORRLANDS LÄN</t>
        </is>
      </c>
      <c r="E9610" t="inlineStr">
        <is>
          <t>TIMRÅ</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25745-2025</t>
        </is>
      </c>
      <c r="B9611" s="1" t="n">
        <v>45800</v>
      </c>
      <c r="C9611" s="1" t="n">
        <v>46185</v>
      </c>
      <c r="D9611" t="inlineStr">
        <is>
          <t>VÄSTERNORRLANDS LÄN</t>
        </is>
      </c>
      <c r="E9611" t="inlineStr">
        <is>
          <t>HÄRNÖSAND</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47582-2025</t>
        </is>
      </c>
      <c r="B9612" s="1" t="n">
        <v>45931.41561342592</v>
      </c>
      <c r="C9612" s="1" t="n">
        <v>46185</v>
      </c>
      <c r="D9612" t="inlineStr">
        <is>
          <t>VÄSTERNORRLANDS LÄN</t>
        </is>
      </c>
      <c r="E9612" t="inlineStr">
        <is>
          <t>KRAMFORS</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7700-2026</t>
        </is>
      </c>
      <c r="B9613" s="1" t="n">
        <v>46059</v>
      </c>
      <c r="C9613" s="1" t="n">
        <v>46185</v>
      </c>
      <c r="D9613" t="inlineStr">
        <is>
          <t>VÄSTERNORRLANDS LÄN</t>
        </is>
      </c>
      <c r="E9613" t="inlineStr">
        <is>
          <t>TIMRÅ</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5392-2022</t>
        </is>
      </c>
      <c r="B9614" s="1" t="n">
        <v>44594</v>
      </c>
      <c r="C9614" s="1" t="n">
        <v>46185</v>
      </c>
      <c r="D9614" t="inlineStr">
        <is>
          <t>VÄSTERNORRLANDS LÄN</t>
        </is>
      </c>
      <c r="E9614" t="inlineStr">
        <is>
          <t>ÖRNSKÖLDSVIK</t>
        </is>
      </c>
      <c r="G9614" t="n">
        <v>22.3</v>
      </c>
      <c r="H9614" t="n">
        <v>0</v>
      </c>
      <c r="I9614" t="n">
        <v>0</v>
      </c>
      <c r="J9614" t="n">
        <v>0</v>
      </c>
      <c r="K9614" t="n">
        <v>0</v>
      </c>
      <c r="L9614" t="n">
        <v>0</v>
      </c>
      <c r="M9614" t="n">
        <v>0</v>
      </c>
      <c r="N9614" t="n">
        <v>0</v>
      </c>
      <c r="O9614" t="n">
        <v>0</v>
      </c>
      <c r="P9614" t="n">
        <v>0</v>
      </c>
      <c r="Q9614" t="n">
        <v>0</v>
      </c>
      <c r="R9614" s="2" t="inlineStr"/>
    </row>
    <row r="9615" ht="15" customHeight="1">
      <c r="A9615" t="inlineStr">
        <is>
          <t>A 5111-2022</t>
        </is>
      </c>
      <c r="B9615" s="1" t="n">
        <v>44593.92144675926</v>
      </c>
      <c r="C9615" s="1" t="n">
        <v>46185</v>
      </c>
      <c r="D9615" t="inlineStr">
        <is>
          <t>VÄSTERNORRLANDS LÄN</t>
        </is>
      </c>
      <c r="E9615" t="inlineStr">
        <is>
          <t>SOLLEFTEÅ</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8418-2023</t>
        </is>
      </c>
      <c r="B9616" s="1" t="n">
        <v>44971</v>
      </c>
      <c r="C9616" s="1" t="n">
        <v>46185</v>
      </c>
      <c r="D9616" t="inlineStr">
        <is>
          <t>VÄSTERNORRLANDS LÄN</t>
        </is>
      </c>
      <c r="E9616" t="inlineStr">
        <is>
          <t>ÅNGE</t>
        </is>
      </c>
      <c r="G9616" t="n">
        <v>8.6</v>
      </c>
      <c r="H9616" t="n">
        <v>0</v>
      </c>
      <c r="I9616" t="n">
        <v>0</v>
      </c>
      <c r="J9616" t="n">
        <v>0</v>
      </c>
      <c r="K9616" t="n">
        <v>0</v>
      </c>
      <c r="L9616" t="n">
        <v>0</v>
      </c>
      <c r="M9616" t="n">
        <v>0</v>
      </c>
      <c r="N9616" t="n">
        <v>0</v>
      </c>
      <c r="O9616" t="n">
        <v>0</v>
      </c>
      <c r="P9616" t="n">
        <v>0</v>
      </c>
      <c r="Q9616" t="n">
        <v>0</v>
      </c>
      <c r="R9616" s="2" t="inlineStr"/>
    </row>
    <row r="9617" ht="15" customHeight="1">
      <c r="A9617" t="inlineStr">
        <is>
          <t>A 20727-2026</t>
        </is>
      </c>
      <c r="B9617" s="1" t="n">
        <v>46141.55260416667</v>
      </c>
      <c r="C9617" s="1" t="n">
        <v>46185</v>
      </c>
      <c r="D9617" t="inlineStr">
        <is>
          <t>VÄSTERNORRLANDS LÄN</t>
        </is>
      </c>
      <c r="E9617" t="inlineStr">
        <is>
          <t>SUNDSVALL</t>
        </is>
      </c>
      <c r="F9617" t="inlineStr">
        <is>
          <t>SCA</t>
        </is>
      </c>
      <c r="G9617" t="n">
        <v>14.5</v>
      </c>
      <c r="H9617" t="n">
        <v>0</v>
      </c>
      <c r="I9617" t="n">
        <v>0</v>
      </c>
      <c r="J9617" t="n">
        <v>0</v>
      </c>
      <c r="K9617" t="n">
        <v>0</v>
      </c>
      <c r="L9617" t="n">
        <v>0</v>
      </c>
      <c r="M9617" t="n">
        <v>0</v>
      </c>
      <c r="N9617" t="n">
        <v>0</v>
      </c>
      <c r="O9617" t="n">
        <v>0</v>
      </c>
      <c r="P9617" t="n">
        <v>0</v>
      </c>
      <c r="Q9617" t="n">
        <v>0</v>
      </c>
      <c r="R9617" s="2" t="inlineStr"/>
    </row>
    <row r="9618" ht="15" customHeight="1">
      <c r="A9618" t="inlineStr">
        <is>
          <t>A 10140-2022</t>
        </is>
      </c>
      <c r="B9618" s="1" t="n">
        <v>44621</v>
      </c>
      <c r="C9618" s="1" t="n">
        <v>46185</v>
      </c>
      <c r="D9618" t="inlineStr">
        <is>
          <t>VÄSTERNORRLANDS LÄN</t>
        </is>
      </c>
      <c r="E9618" t="inlineStr">
        <is>
          <t>SOLLEFTEÅ</t>
        </is>
      </c>
      <c r="F9618" t="inlineStr">
        <is>
          <t>SCA</t>
        </is>
      </c>
      <c r="G9618" t="n">
        <v>7.8</v>
      </c>
      <c r="H9618" t="n">
        <v>0</v>
      </c>
      <c r="I9618" t="n">
        <v>0</v>
      </c>
      <c r="J9618" t="n">
        <v>0</v>
      </c>
      <c r="K9618" t="n">
        <v>0</v>
      </c>
      <c r="L9618" t="n">
        <v>0</v>
      </c>
      <c r="M9618" t="n">
        <v>0</v>
      </c>
      <c r="N9618" t="n">
        <v>0</v>
      </c>
      <c r="O9618" t="n">
        <v>0</v>
      </c>
      <c r="P9618" t="n">
        <v>0</v>
      </c>
      <c r="Q9618" t="n">
        <v>0</v>
      </c>
      <c r="R9618" s="2" t="inlineStr"/>
    </row>
    <row r="9619" ht="15" customHeight="1">
      <c r="A9619" t="inlineStr">
        <is>
          <t>A 24155-2023</t>
        </is>
      </c>
      <c r="B9619" s="1" t="n">
        <v>45076</v>
      </c>
      <c r="C9619" s="1" t="n">
        <v>46185</v>
      </c>
      <c r="D9619" t="inlineStr">
        <is>
          <t>VÄSTERNORRLANDS LÄN</t>
        </is>
      </c>
      <c r="E9619" t="inlineStr">
        <is>
          <t>SUNDSVALL</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13813-2026</t>
        </is>
      </c>
      <c r="B9620" s="1" t="n">
        <v>46098</v>
      </c>
      <c r="C9620" s="1" t="n">
        <v>46185</v>
      </c>
      <c r="D9620" t="inlineStr">
        <is>
          <t>VÄSTERNORRLANDS LÄN</t>
        </is>
      </c>
      <c r="E9620" t="inlineStr">
        <is>
          <t>TIMRÅ</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26747-2026</t>
        </is>
      </c>
      <c r="B9621" s="1" t="n">
        <v>46184.60829861111</v>
      </c>
      <c r="C9621" s="1" t="n">
        <v>46185</v>
      </c>
      <c r="D9621" t="inlineStr">
        <is>
          <t>VÄSTERNORRLANDS LÄN</t>
        </is>
      </c>
      <c r="E9621" t="inlineStr">
        <is>
          <t>ÖRNSKÖLDSVIK</t>
        </is>
      </c>
      <c r="G9621" t="n">
        <v>14.5</v>
      </c>
      <c r="H9621" t="n">
        <v>0</v>
      </c>
      <c r="I9621" t="n">
        <v>0</v>
      </c>
      <c r="J9621" t="n">
        <v>0</v>
      </c>
      <c r="K9621" t="n">
        <v>0</v>
      </c>
      <c r="L9621" t="n">
        <v>0</v>
      </c>
      <c r="M9621" t="n">
        <v>0</v>
      </c>
      <c r="N9621" t="n">
        <v>0</v>
      </c>
      <c r="O9621" t="n">
        <v>0</v>
      </c>
      <c r="P9621" t="n">
        <v>0</v>
      </c>
      <c r="Q9621" t="n">
        <v>0</v>
      </c>
      <c r="R9621" s="2" t="inlineStr"/>
    </row>
    <row r="9622" ht="15" customHeight="1">
      <c r="A9622" t="inlineStr">
        <is>
          <t>A 4006-2022</t>
        </is>
      </c>
      <c r="B9622" s="1" t="n">
        <v>44587.92019675926</v>
      </c>
      <c r="C9622" s="1" t="n">
        <v>46185</v>
      </c>
      <c r="D9622" t="inlineStr">
        <is>
          <t>VÄSTERNORRLANDS LÄN</t>
        </is>
      </c>
      <c r="E9622" t="inlineStr">
        <is>
          <t>ÅNGE</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11308-2024</t>
        </is>
      </c>
      <c r="B9623" s="1" t="n">
        <v>45371</v>
      </c>
      <c r="C9623" s="1" t="n">
        <v>46185</v>
      </c>
      <c r="D9623" t="inlineStr">
        <is>
          <t>VÄSTERNORRLANDS LÄN</t>
        </is>
      </c>
      <c r="E9623" t="inlineStr">
        <is>
          <t>ÖRNSKÖLDSVIK</t>
        </is>
      </c>
      <c r="F9623" t="inlineStr">
        <is>
          <t>Kyrkan</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20750-2026</t>
        </is>
      </c>
      <c r="B9624" s="1" t="n">
        <v>46141.59427083333</v>
      </c>
      <c r="C9624" s="1" t="n">
        <v>46185</v>
      </c>
      <c r="D9624" t="inlineStr">
        <is>
          <t>VÄSTERNORRLANDS LÄN</t>
        </is>
      </c>
      <c r="E9624" t="inlineStr">
        <is>
          <t>SUNDSVALL</t>
        </is>
      </c>
      <c r="F9624" t="inlineStr">
        <is>
          <t>SCA</t>
        </is>
      </c>
      <c r="G9624" t="n">
        <v>16.5</v>
      </c>
      <c r="H9624" t="n">
        <v>0</v>
      </c>
      <c r="I9624" t="n">
        <v>0</v>
      </c>
      <c r="J9624" t="n">
        <v>0</v>
      </c>
      <c r="K9624" t="n">
        <v>0</v>
      </c>
      <c r="L9624" t="n">
        <v>0</v>
      </c>
      <c r="M9624" t="n">
        <v>0</v>
      </c>
      <c r="N9624" t="n">
        <v>0</v>
      </c>
      <c r="O9624" t="n">
        <v>0</v>
      </c>
      <c r="P9624" t="n">
        <v>0</v>
      </c>
      <c r="Q9624" t="n">
        <v>0</v>
      </c>
      <c r="R9624" s="2" t="inlineStr"/>
    </row>
    <row r="9625" ht="15" customHeight="1">
      <c r="A9625" t="inlineStr">
        <is>
          <t>A 21639-2023</t>
        </is>
      </c>
      <c r="B9625" s="1" t="n">
        <v>45063</v>
      </c>
      <c r="C9625" s="1" t="n">
        <v>46185</v>
      </c>
      <c r="D9625" t="inlineStr">
        <is>
          <t>VÄSTERNORRLANDS LÄN</t>
        </is>
      </c>
      <c r="E9625" t="inlineStr">
        <is>
          <t>SUNDSVALL</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5492-2026</t>
        </is>
      </c>
      <c r="B9626" s="1" t="n">
        <v>46050</v>
      </c>
      <c r="C9626" s="1" t="n">
        <v>46185</v>
      </c>
      <c r="D9626" t="inlineStr">
        <is>
          <t>VÄSTERNORRLANDS LÄN</t>
        </is>
      </c>
      <c r="E9626" t="inlineStr">
        <is>
          <t>ÅNGE</t>
        </is>
      </c>
      <c r="G9626" t="n">
        <v>11.3</v>
      </c>
      <c r="H9626" t="n">
        <v>0</v>
      </c>
      <c r="I9626" t="n">
        <v>0</v>
      </c>
      <c r="J9626" t="n">
        <v>0</v>
      </c>
      <c r="K9626" t="n">
        <v>0</v>
      </c>
      <c r="L9626" t="n">
        <v>0</v>
      </c>
      <c r="M9626" t="n">
        <v>0</v>
      </c>
      <c r="N9626" t="n">
        <v>0</v>
      </c>
      <c r="O9626" t="n">
        <v>0</v>
      </c>
      <c r="P9626" t="n">
        <v>0</v>
      </c>
      <c r="Q9626" t="n">
        <v>0</v>
      </c>
      <c r="R9626" s="2" t="inlineStr"/>
    </row>
    <row r="9627" ht="15" customHeight="1">
      <c r="A9627" t="inlineStr">
        <is>
          <t>A 32812-2024</t>
        </is>
      </c>
      <c r="B9627" s="1" t="n">
        <v>45516</v>
      </c>
      <c r="C9627" s="1" t="n">
        <v>46185</v>
      </c>
      <c r="D9627" t="inlineStr">
        <is>
          <t>VÄSTERNORRLANDS LÄN</t>
        </is>
      </c>
      <c r="E9627" t="inlineStr">
        <is>
          <t>SOLLEFTEÅ</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40109-2025</t>
        </is>
      </c>
      <c r="B9628" s="1" t="n">
        <v>45894</v>
      </c>
      <c r="C9628" s="1" t="n">
        <v>46185</v>
      </c>
      <c r="D9628" t="inlineStr">
        <is>
          <t>VÄSTERNORRLANDS LÄN</t>
        </is>
      </c>
      <c r="E9628" t="inlineStr">
        <is>
          <t>KRAMFORS</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20631-2026</t>
        </is>
      </c>
      <c r="B9629" s="1" t="n">
        <v>46141.34439814815</v>
      </c>
      <c r="C9629" s="1" t="n">
        <v>46185</v>
      </c>
      <c r="D9629" t="inlineStr">
        <is>
          <t>VÄSTERNORRLANDS LÄN</t>
        </is>
      </c>
      <c r="E9629" t="inlineStr">
        <is>
          <t>SOLLEFTEÅ</t>
        </is>
      </c>
      <c r="F9629" t="inlineStr">
        <is>
          <t>SCA</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20632-2026</t>
        </is>
      </c>
      <c r="B9630" s="1" t="n">
        <v>46141.34459490741</v>
      </c>
      <c r="C9630" s="1" t="n">
        <v>46185</v>
      </c>
      <c r="D9630" t="inlineStr">
        <is>
          <t>VÄSTERNORRLANDS LÄN</t>
        </is>
      </c>
      <c r="E9630" t="inlineStr">
        <is>
          <t>SOLLEFTEÅ</t>
        </is>
      </c>
      <c r="F9630" t="inlineStr">
        <is>
          <t>SCA</t>
        </is>
      </c>
      <c r="G9630" t="n">
        <v>22.7</v>
      </c>
      <c r="H9630" t="n">
        <v>0</v>
      </c>
      <c r="I9630" t="n">
        <v>0</v>
      </c>
      <c r="J9630" t="n">
        <v>0</v>
      </c>
      <c r="K9630" t="n">
        <v>0</v>
      </c>
      <c r="L9630" t="n">
        <v>0</v>
      </c>
      <c r="M9630" t="n">
        <v>0</v>
      </c>
      <c r="N9630" t="n">
        <v>0</v>
      </c>
      <c r="O9630" t="n">
        <v>0</v>
      </c>
      <c r="P9630" t="n">
        <v>0</v>
      </c>
      <c r="Q9630" t="n">
        <v>0</v>
      </c>
      <c r="R9630" s="2" t="inlineStr"/>
    </row>
    <row r="9631" ht="15" customHeight="1">
      <c r="A9631" t="inlineStr">
        <is>
          <t>A 12761-2026</t>
        </is>
      </c>
      <c r="B9631" s="1" t="n">
        <v>46091.66013888889</v>
      </c>
      <c r="C9631" s="1" t="n">
        <v>46185</v>
      </c>
      <c r="D9631" t="inlineStr">
        <is>
          <t>VÄSTERNORRLANDS LÄN</t>
        </is>
      </c>
      <c r="E9631" t="inlineStr">
        <is>
          <t>ÅNGE</t>
        </is>
      </c>
      <c r="F9631" t="inlineStr">
        <is>
          <t>SCA</t>
        </is>
      </c>
      <c r="G9631" t="n">
        <v>15.5</v>
      </c>
      <c r="H9631" t="n">
        <v>0</v>
      </c>
      <c r="I9631" t="n">
        <v>0</v>
      </c>
      <c r="J9631" t="n">
        <v>0</v>
      </c>
      <c r="K9631" t="n">
        <v>0</v>
      </c>
      <c r="L9631" t="n">
        <v>0</v>
      </c>
      <c r="M9631" t="n">
        <v>0</v>
      </c>
      <c r="N9631" t="n">
        <v>0</v>
      </c>
      <c r="O9631" t="n">
        <v>0</v>
      </c>
      <c r="P9631" t="n">
        <v>0</v>
      </c>
      <c r="Q9631" t="n">
        <v>0</v>
      </c>
      <c r="R9631" s="2" t="inlineStr"/>
    </row>
    <row r="9632" ht="15" customHeight="1">
      <c r="A9632" t="inlineStr">
        <is>
          <t>A 10256-2023</t>
        </is>
      </c>
      <c r="B9632" s="1" t="n">
        <v>44980</v>
      </c>
      <c r="C9632" s="1" t="n">
        <v>46185</v>
      </c>
      <c r="D9632" t="inlineStr">
        <is>
          <t>VÄSTERNORRLANDS LÄN</t>
        </is>
      </c>
      <c r="E9632" t="inlineStr">
        <is>
          <t>SOLLEFTEÅ</t>
        </is>
      </c>
      <c r="G9632" t="n">
        <v>6.4</v>
      </c>
      <c r="H9632" t="n">
        <v>0</v>
      </c>
      <c r="I9632" t="n">
        <v>0</v>
      </c>
      <c r="J9632" t="n">
        <v>0</v>
      </c>
      <c r="K9632" t="n">
        <v>0</v>
      </c>
      <c r="L9632" t="n">
        <v>0</v>
      </c>
      <c r="M9632" t="n">
        <v>0</v>
      </c>
      <c r="N9632" t="n">
        <v>0</v>
      </c>
      <c r="O9632" t="n">
        <v>0</v>
      </c>
      <c r="P9632" t="n">
        <v>0</v>
      </c>
      <c r="Q9632" t="n">
        <v>0</v>
      </c>
      <c r="R9632" s="2" t="inlineStr"/>
    </row>
    <row r="9633" ht="15" customHeight="1">
      <c r="A9633" t="inlineStr">
        <is>
          <t>A 22024-2026</t>
        </is>
      </c>
      <c r="B9633" s="1" t="n">
        <v>46153</v>
      </c>
      <c r="C9633" s="1" t="n">
        <v>46185</v>
      </c>
      <c r="D9633" t="inlineStr">
        <is>
          <t>VÄSTERNORRLANDS LÄN</t>
        </is>
      </c>
      <c r="E9633" t="inlineStr">
        <is>
          <t>KRAMFORS</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22943-2026</t>
        </is>
      </c>
      <c r="B9634" s="1" t="n">
        <v>46160</v>
      </c>
      <c r="C9634" s="1" t="n">
        <v>46185</v>
      </c>
      <c r="D9634" t="inlineStr">
        <is>
          <t>VÄSTERNORRLANDS LÄN</t>
        </is>
      </c>
      <c r="E9634" t="inlineStr">
        <is>
          <t>SOLLEFTEÅ</t>
        </is>
      </c>
      <c r="F9634" t="inlineStr">
        <is>
          <t>SCA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13275-2026</t>
        </is>
      </c>
      <c r="B9635" s="1" t="n">
        <v>46093.71776620371</v>
      </c>
      <c r="C9635" s="1" t="n">
        <v>46185</v>
      </c>
      <c r="D9635" t="inlineStr">
        <is>
          <t>VÄSTERNORRLANDS LÄN</t>
        </is>
      </c>
      <c r="E9635" t="inlineStr">
        <is>
          <t>TIMRÅ</t>
        </is>
      </c>
      <c r="G9635" t="n">
        <v>13.9</v>
      </c>
      <c r="H9635" t="n">
        <v>0</v>
      </c>
      <c r="I9635" t="n">
        <v>0</v>
      </c>
      <c r="J9635" t="n">
        <v>0</v>
      </c>
      <c r="K9635" t="n">
        <v>0</v>
      </c>
      <c r="L9635" t="n">
        <v>0</v>
      </c>
      <c r="M9635" t="n">
        <v>0</v>
      </c>
      <c r="N9635" t="n">
        <v>0</v>
      </c>
      <c r="O9635" t="n">
        <v>0</v>
      </c>
      <c r="P9635" t="n">
        <v>0</v>
      </c>
      <c r="Q9635" t="n">
        <v>0</v>
      </c>
      <c r="R9635" s="2" t="inlineStr"/>
    </row>
    <row r="9636" ht="15" customHeight="1">
      <c r="A9636" t="inlineStr">
        <is>
          <t>A 58358-2022</t>
        </is>
      </c>
      <c r="B9636" s="1" t="n">
        <v>44901</v>
      </c>
      <c r="C9636" s="1" t="n">
        <v>46185</v>
      </c>
      <c r="D9636" t="inlineStr">
        <is>
          <t>VÄSTERNORRLANDS LÄN</t>
        </is>
      </c>
      <c r="E9636" t="inlineStr">
        <is>
          <t>ÖRNSKÖLDSVIK</t>
        </is>
      </c>
      <c r="F9636" t="inlineStr">
        <is>
          <t>Holmen skog AB</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42201-2021</t>
        </is>
      </c>
      <c r="B9637" s="1" t="n">
        <v>44426</v>
      </c>
      <c r="C9637" s="1" t="n">
        <v>46185</v>
      </c>
      <c r="D9637" t="inlineStr">
        <is>
          <t>VÄSTERNORRLANDS LÄN</t>
        </is>
      </c>
      <c r="E9637" t="inlineStr">
        <is>
          <t>SUNDSVALL</t>
        </is>
      </c>
      <c r="G9637" t="n">
        <v>5.7</v>
      </c>
      <c r="H9637" t="n">
        <v>0</v>
      </c>
      <c r="I9637" t="n">
        <v>0</v>
      </c>
      <c r="J9637" t="n">
        <v>0</v>
      </c>
      <c r="K9637" t="n">
        <v>0</v>
      </c>
      <c r="L9637" t="n">
        <v>0</v>
      </c>
      <c r="M9637" t="n">
        <v>0</v>
      </c>
      <c r="N9637" t="n">
        <v>0</v>
      </c>
      <c r="O9637" t="n">
        <v>0</v>
      </c>
      <c r="P9637" t="n">
        <v>0</v>
      </c>
      <c r="Q9637" t="n">
        <v>0</v>
      </c>
      <c r="R9637" s="2" t="inlineStr"/>
    </row>
    <row r="9638" ht="15" customHeight="1">
      <c r="A9638" t="inlineStr">
        <is>
          <t>A 1148-2024</t>
        </is>
      </c>
      <c r="B9638" s="1" t="n">
        <v>45302</v>
      </c>
      <c r="C9638" s="1" t="n">
        <v>46185</v>
      </c>
      <c r="D9638" t="inlineStr">
        <is>
          <t>VÄSTERNORRLANDS LÄN</t>
        </is>
      </c>
      <c r="E9638" t="inlineStr">
        <is>
          <t>ÖRNSKÖLDSVIK</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56165-2022</t>
        </is>
      </c>
      <c r="B9639" s="1" t="n">
        <v>44889</v>
      </c>
      <c r="C9639" s="1" t="n">
        <v>46185</v>
      </c>
      <c r="D9639" t="inlineStr">
        <is>
          <t>VÄSTERNORRLANDS LÄN</t>
        </is>
      </c>
      <c r="E9639" t="inlineStr">
        <is>
          <t>HÄRNÖSAND</t>
        </is>
      </c>
      <c r="F9639" t="inlineStr">
        <is>
          <t>SCA</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37825-2025</t>
        </is>
      </c>
      <c r="B9640" s="1" t="n">
        <v>45881.40697916667</v>
      </c>
      <c r="C9640" s="1" t="n">
        <v>46185</v>
      </c>
      <c r="D9640" t="inlineStr">
        <is>
          <t>VÄSTERNORRLANDS LÄN</t>
        </is>
      </c>
      <c r="E9640" t="inlineStr">
        <is>
          <t>KRAMFORS</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29814-2022</t>
        </is>
      </c>
      <c r="B9641" s="1" t="n">
        <v>44755</v>
      </c>
      <c r="C9641" s="1" t="n">
        <v>46185</v>
      </c>
      <c r="D9641" t="inlineStr">
        <is>
          <t>VÄSTERNORRLANDS LÄN</t>
        </is>
      </c>
      <c r="E9641" t="inlineStr">
        <is>
          <t>HÄRNÖSAND</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10708-2026</t>
        </is>
      </c>
      <c r="B9642" s="1" t="n">
        <v>46078.44883101852</v>
      </c>
      <c r="C9642" s="1" t="n">
        <v>46185</v>
      </c>
      <c r="D9642" t="inlineStr">
        <is>
          <t>VÄSTERNORRLANDS LÄN</t>
        </is>
      </c>
      <c r="E9642" t="inlineStr">
        <is>
          <t>ÅNGE</t>
        </is>
      </c>
      <c r="F9642" t="inlineStr">
        <is>
          <t>SCA</t>
        </is>
      </c>
      <c r="G9642" t="n">
        <v>3.9</v>
      </c>
      <c r="H9642" t="n">
        <v>0</v>
      </c>
      <c r="I9642" t="n">
        <v>0</v>
      </c>
      <c r="J9642" t="n">
        <v>0</v>
      </c>
      <c r="K9642" t="n">
        <v>0</v>
      </c>
      <c r="L9642" t="n">
        <v>0</v>
      </c>
      <c r="M9642" t="n">
        <v>0</v>
      </c>
      <c r="N9642" t="n">
        <v>0</v>
      </c>
      <c r="O9642" t="n">
        <v>0</v>
      </c>
      <c r="P9642" t="n">
        <v>0</v>
      </c>
      <c r="Q9642" t="n">
        <v>0</v>
      </c>
      <c r="R9642" s="2" t="inlineStr"/>
    </row>
    <row r="9643" ht="15" customHeight="1">
      <c r="A9643" t="inlineStr">
        <is>
          <t>A 26590-2026</t>
        </is>
      </c>
      <c r="B9643" s="1" t="n">
        <v>46183.69905092593</v>
      </c>
      <c r="C9643" s="1" t="n">
        <v>46185</v>
      </c>
      <c r="D9643" t="inlineStr">
        <is>
          <t>VÄSTERNORRLANDS LÄN</t>
        </is>
      </c>
      <c r="E9643" t="inlineStr">
        <is>
          <t>ÅNGE</t>
        </is>
      </c>
      <c r="F9643" t="inlineStr">
        <is>
          <t>SCA</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9658-2026</t>
        </is>
      </c>
      <c r="B9644" s="1" t="n">
        <v>46072</v>
      </c>
      <c r="C9644" s="1" t="n">
        <v>46185</v>
      </c>
      <c r="D9644" t="inlineStr">
        <is>
          <t>VÄSTERNORRLANDS LÄN</t>
        </is>
      </c>
      <c r="E9644" t="inlineStr">
        <is>
          <t>HÄRNÖSAND</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2108-2023</t>
        </is>
      </c>
      <c r="B9645" s="1" t="n">
        <v>44939.92412037037</v>
      </c>
      <c r="C9645" s="1" t="n">
        <v>46185</v>
      </c>
      <c r="D9645" t="inlineStr">
        <is>
          <t>VÄSTERNORRLANDS LÄN</t>
        </is>
      </c>
      <c r="E9645" t="inlineStr">
        <is>
          <t>SUNDSVALL</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31098-2025</t>
        </is>
      </c>
      <c r="B9646" s="1" t="n">
        <v>45832.59832175926</v>
      </c>
      <c r="C9646" s="1" t="n">
        <v>46185</v>
      </c>
      <c r="D9646" t="inlineStr">
        <is>
          <t>VÄSTERNORRLANDS LÄN</t>
        </is>
      </c>
      <c r="E9646" t="inlineStr">
        <is>
          <t>ÖRNSKÖLDSVIK</t>
        </is>
      </c>
      <c r="G9646" t="n">
        <v>5.5</v>
      </c>
      <c r="H9646" t="n">
        <v>0</v>
      </c>
      <c r="I9646" t="n">
        <v>0</v>
      </c>
      <c r="J9646" t="n">
        <v>0</v>
      </c>
      <c r="K9646" t="n">
        <v>0</v>
      </c>
      <c r="L9646" t="n">
        <v>0</v>
      </c>
      <c r="M9646" t="n">
        <v>0</v>
      </c>
      <c r="N9646" t="n">
        <v>0</v>
      </c>
      <c r="O9646" t="n">
        <v>0</v>
      </c>
      <c r="P9646" t="n">
        <v>0</v>
      </c>
      <c r="Q9646" t="n">
        <v>0</v>
      </c>
      <c r="R9646" s="2" t="inlineStr"/>
    </row>
    <row r="9647" ht="15" customHeight="1">
      <c r="A9647" t="inlineStr">
        <is>
          <t>A 65224-2023</t>
        </is>
      </c>
      <c r="B9647" s="1" t="n">
        <v>45289</v>
      </c>
      <c r="C9647" s="1" t="n">
        <v>46185</v>
      </c>
      <c r="D9647" t="inlineStr">
        <is>
          <t>VÄSTERNORRLANDS LÄN</t>
        </is>
      </c>
      <c r="E9647" t="inlineStr">
        <is>
          <t>HÄRNÖSAND</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45687-2022</t>
        </is>
      </c>
      <c r="B9648" s="1" t="n">
        <v>44845.92814814814</v>
      </c>
      <c r="C9648" s="1" t="n">
        <v>46185</v>
      </c>
      <c r="D9648" t="inlineStr">
        <is>
          <t>VÄSTERNORRLANDS LÄN</t>
        </is>
      </c>
      <c r="E9648" t="inlineStr">
        <is>
          <t>HÄRNÖSAND</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33242-2023</t>
        </is>
      </c>
      <c r="B9649" s="1" t="n">
        <v>45114</v>
      </c>
      <c r="C9649" s="1" t="n">
        <v>46185</v>
      </c>
      <c r="D9649" t="inlineStr">
        <is>
          <t>VÄSTERNORRLANDS LÄN</t>
        </is>
      </c>
      <c r="E9649" t="inlineStr">
        <is>
          <t>ÖRNSKÖLDSVIK</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26377-2026</t>
        </is>
      </c>
      <c r="B9650" s="1" t="n">
        <v>46183.30596064815</v>
      </c>
      <c r="C9650" s="1" t="n">
        <v>46185</v>
      </c>
      <c r="D9650" t="inlineStr">
        <is>
          <t>VÄSTERNORRLANDS LÄN</t>
        </is>
      </c>
      <c r="E9650" t="inlineStr">
        <is>
          <t>ÖRNSKÖLDSVIK</t>
        </is>
      </c>
      <c r="F9650" t="inlineStr">
        <is>
          <t>Kommuner</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39399-2023</t>
        </is>
      </c>
      <c r="B9651" s="1" t="n">
        <v>45163</v>
      </c>
      <c r="C9651" s="1" t="n">
        <v>46185</v>
      </c>
      <c r="D9651" t="inlineStr">
        <is>
          <t>VÄSTERNORRLANDS LÄN</t>
        </is>
      </c>
      <c r="E9651" t="inlineStr">
        <is>
          <t>SOLLEFTEÅ</t>
        </is>
      </c>
      <c r="F9651" t="inlineStr">
        <is>
          <t>SCA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18304-2022</t>
        </is>
      </c>
      <c r="B9652" s="1" t="n">
        <v>44685</v>
      </c>
      <c r="C9652" s="1" t="n">
        <v>46185</v>
      </c>
      <c r="D9652" t="inlineStr">
        <is>
          <t>VÄSTERNORRLANDS LÄN</t>
        </is>
      </c>
      <c r="E9652" t="inlineStr">
        <is>
          <t>SOLLEFTEÅ</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45778-2024</t>
        </is>
      </c>
      <c r="B9653" s="1" t="n">
        <v>45579.66471064815</v>
      </c>
      <c r="C9653" s="1" t="n">
        <v>46185</v>
      </c>
      <c r="D9653" t="inlineStr">
        <is>
          <t>VÄSTERNORRLANDS LÄN</t>
        </is>
      </c>
      <c r="E9653" t="inlineStr">
        <is>
          <t>SOLLEFTEÅ</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45801-2024</t>
        </is>
      </c>
      <c r="B9654" s="1" t="n">
        <v>45579.67798611111</v>
      </c>
      <c r="C9654" s="1" t="n">
        <v>46185</v>
      </c>
      <c r="D9654" t="inlineStr">
        <is>
          <t>VÄSTERNORRLANDS LÄN</t>
        </is>
      </c>
      <c r="E9654" t="inlineStr">
        <is>
          <t>SOLLEFTEÅ</t>
        </is>
      </c>
      <c r="F9654" t="inlineStr">
        <is>
          <t>SCA</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45802-2024</t>
        </is>
      </c>
      <c r="B9655" s="1" t="n">
        <v>45579.67818287037</v>
      </c>
      <c r="C9655" s="1" t="n">
        <v>46185</v>
      </c>
      <c r="D9655" t="inlineStr">
        <is>
          <t>VÄSTERNORRLANDS LÄN</t>
        </is>
      </c>
      <c r="E9655" t="inlineStr">
        <is>
          <t>SOLLEFTEÅ</t>
        </is>
      </c>
      <c r="F9655" t="inlineStr">
        <is>
          <t>SCA</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45826-2024</t>
        </is>
      </c>
      <c r="B9656" s="1" t="n">
        <v>45579.82322916666</v>
      </c>
      <c r="C9656" s="1" t="n">
        <v>46185</v>
      </c>
      <c r="D9656" t="inlineStr">
        <is>
          <t>VÄSTERNORRLANDS LÄN</t>
        </is>
      </c>
      <c r="E9656" t="inlineStr">
        <is>
          <t>ÖRNSKÖLDSVIK</t>
        </is>
      </c>
      <c r="F9656" t="inlineStr">
        <is>
          <t>Holmen skog AB</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25746-2025</t>
        </is>
      </c>
      <c r="B9657" s="1" t="n">
        <v>45800</v>
      </c>
      <c r="C9657" s="1" t="n">
        <v>46185</v>
      </c>
      <c r="D9657" t="inlineStr">
        <is>
          <t>VÄSTERNORRLANDS LÄN</t>
        </is>
      </c>
      <c r="E9657" t="inlineStr">
        <is>
          <t>HÄRNÖSAND</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40424-2025</t>
        </is>
      </c>
      <c r="B9658" s="1" t="n">
        <v>45895.58743055556</v>
      </c>
      <c r="C9658" s="1" t="n">
        <v>46185</v>
      </c>
      <c r="D9658" t="inlineStr">
        <is>
          <t>VÄSTERNORRLANDS LÄN</t>
        </is>
      </c>
      <c r="E9658" t="inlineStr">
        <is>
          <t>ÖRNSKÖLDSVIK</t>
        </is>
      </c>
      <c r="G9658" t="n">
        <v>10.1</v>
      </c>
      <c r="H9658" t="n">
        <v>0</v>
      </c>
      <c r="I9658" t="n">
        <v>0</v>
      </c>
      <c r="J9658" t="n">
        <v>0</v>
      </c>
      <c r="K9658" t="n">
        <v>0</v>
      </c>
      <c r="L9658" t="n">
        <v>0</v>
      </c>
      <c r="M9658" t="n">
        <v>0</v>
      </c>
      <c r="N9658" t="n">
        <v>0</v>
      </c>
      <c r="O9658" t="n">
        <v>0</v>
      </c>
      <c r="P9658" t="n">
        <v>0</v>
      </c>
      <c r="Q9658" t="n">
        <v>0</v>
      </c>
      <c r="R9658" s="2" t="inlineStr"/>
    </row>
    <row r="9659" ht="15" customHeight="1">
      <c r="A9659" t="inlineStr">
        <is>
          <t>A 46989-2024</t>
        </is>
      </c>
      <c r="B9659" s="1" t="n">
        <v>45586.36134259259</v>
      </c>
      <c r="C9659" s="1" t="n">
        <v>46185</v>
      </c>
      <c r="D9659" t="inlineStr">
        <is>
          <t>VÄSTERNORRLANDS LÄN</t>
        </is>
      </c>
      <c r="E9659" t="inlineStr">
        <is>
          <t>ÖRNSKÖLDSVIK</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47016-2024</t>
        </is>
      </c>
      <c r="B9660" s="1" t="n">
        <v>45586.39429398148</v>
      </c>
      <c r="C9660" s="1" t="n">
        <v>46185</v>
      </c>
      <c r="D9660" t="inlineStr">
        <is>
          <t>VÄSTERNORRLANDS LÄN</t>
        </is>
      </c>
      <c r="E9660" t="inlineStr">
        <is>
          <t>ÖRNSKÖLDSVIK</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48701-2024</t>
        </is>
      </c>
      <c r="B9661" s="1" t="n">
        <v>45593</v>
      </c>
      <c r="C9661" s="1" t="n">
        <v>46185</v>
      </c>
      <c r="D9661" t="inlineStr">
        <is>
          <t>VÄSTERNORRLANDS LÄN</t>
        </is>
      </c>
      <c r="E9661" t="inlineStr">
        <is>
          <t>ÖRNSKÖLDSVIK</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21195-2023</t>
        </is>
      </c>
      <c r="B9662" s="1" t="n">
        <v>45057</v>
      </c>
      <c r="C9662" s="1" t="n">
        <v>46185</v>
      </c>
      <c r="D9662" t="inlineStr">
        <is>
          <t>VÄSTERNORRLANDS LÄN</t>
        </is>
      </c>
      <c r="E9662" t="inlineStr">
        <is>
          <t>SOLLEFTEÅ</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21230-2023</t>
        </is>
      </c>
      <c r="B9663" s="1" t="n">
        <v>45057</v>
      </c>
      <c r="C9663" s="1" t="n">
        <v>46185</v>
      </c>
      <c r="D9663" t="inlineStr">
        <is>
          <t>VÄSTERNORRLANDS LÄN</t>
        </is>
      </c>
      <c r="E9663" t="inlineStr">
        <is>
          <t>SOLLEFTEÅ</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47480-2024</t>
        </is>
      </c>
      <c r="B9664" s="1" t="n">
        <v>45587.58016203704</v>
      </c>
      <c r="C9664" s="1" t="n">
        <v>46185</v>
      </c>
      <c r="D9664" t="inlineStr">
        <is>
          <t>VÄSTERNORRLANDS LÄN</t>
        </is>
      </c>
      <c r="E9664" t="inlineStr">
        <is>
          <t>ÖRNSKÖLDSVIK</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61098-2024</t>
        </is>
      </c>
      <c r="B9665" s="1" t="n">
        <v>45645.54953703703</v>
      </c>
      <c r="C9665" s="1" t="n">
        <v>46185</v>
      </c>
      <c r="D9665" t="inlineStr">
        <is>
          <t>VÄSTERNORRLANDS LÄN</t>
        </is>
      </c>
      <c r="E9665" t="inlineStr">
        <is>
          <t>ÖRNSKÖLDSVIK</t>
        </is>
      </c>
      <c r="G9665" t="n">
        <v>8.699999999999999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23388-2026</t>
        </is>
      </c>
      <c r="B9666" s="1" t="n">
        <v>46162</v>
      </c>
      <c r="C9666" s="1" t="n">
        <v>46185</v>
      </c>
      <c r="D9666" t="inlineStr">
        <is>
          <t>VÄSTERNORRLANDS LÄN</t>
        </is>
      </c>
      <c r="E9666" t="inlineStr">
        <is>
          <t>SUNDSVALL</t>
        </is>
      </c>
      <c r="F9666" t="inlineStr">
        <is>
          <t>SCA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24011-2026</t>
        </is>
      </c>
      <c r="B9667" s="1" t="n">
        <v>46167</v>
      </c>
      <c r="C9667" s="1" t="n">
        <v>46185</v>
      </c>
      <c r="D9667" t="inlineStr">
        <is>
          <t>VÄSTERNORRLANDS LÄN</t>
        </is>
      </c>
      <c r="E9667" t="inlineStr">
        <is>
          <t>SOLLEFTEÅ</t>
        </is>
      </c>
      <c r="F9667" t="inlineStr">
        <is>
          <t>SCA</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24122-2026</t>
        </is>
      </c>
      <c r="B9668" s="1" t="n">
        <v>46168</v>
      </c>
      <c r="C9668" s="1" t="n">
        <v>46185</v>
      </c>
      <c r="D9668" t="inlineStr">
        <is>
          <t>VÄSTERNORRLANDS LÄN</t>
        </is>
      </c>
      <c r="E9668" t="inlineStr">
        <is>
          <t>ÖRNSKÖLDSVIK</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64987-2021</t>
        </is>
      </c>
      <c r="B9669" s="1" t="n">
        <v>44514</v>
      </c>
      <c r="C9669" s="1" t="n">
        <v>46185</v>
      </c>
      <c r="D9669" t="inlineStr">
        <is>
          <t>VÄSTERNORRLANDS LÄN</t>
        </is>
      </c>
      <c r="E9669" t="inlineStr">
        <is>
          <t>ÖRNSKÖLDSVIK</t>
        </is>
      </c>
      <c r="G9669" t="n">
        <v>4.2</v>
      </c>
      <c r="H9669" t="n">
        <v>0</v>
      </c>
      <c r="I9669" t="n">
        <v>0</v>
      </c>
      <c r="J9669" t="n">
        <v>0</v>
      </c>
      <c r="K9669" t="n">
        <v>0</v>
      </c>
      <c r="L9669" t="n">
        <v>0</v>
      </c>
      <c r="M9669" t="n">
        <v>0</v>
      </c>
      <c r="N9669" t="n">
        <v>0</v>
      </c>
      <c r="O9669" t="n">
        <v>0</v>
      </c>
      <c r="P9669" t="n">
        <v>0</v>
      </c>
      <c r="Q9669" t="n">
        <v>0</v>
      </c>
      <c r="R9669" s="2" t="inlineStr"/>
    </row>
    <row r="9670" ht="15" customHeight="1">
      <c r="A9670" t="inlineStr">
        <is>
          <t>A 17821-2023</t>
        </is>
      </c>
      <c r="B9670" s="1" t="n">
        <v>45037</v>
      </c>
      <c r="C9670" s="1" t="n">
        <v>46185</v>
      </c>
      <c r="D9670" t="inlineStr">
        <is>
          <t>VÄSTERNORRLANDS LÄN</t>
        </is>
      </c>
      <c r="E9670" t="inlineStr">
        <is>
          <t>SUNDSVALL</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39037-2024</t>
        </is>
      </c>
      <c r="B9671" s="1" t="n">
        <v>45548.47015046296</v>
      </c>
      <c r="C9671" s="1" t="n">
        <v>46185</v>
      </c>
      <c r="D9671" t="inlineStr">
        <is>
          <t>VÄSTERNORRLANDS LÄN</t>
        </is>
      </c>
      <c r="E9671" t="inlineStr">
        <is>
          <t>SUNDSVALL</t>
        </is>
      </c>
      <c r="F9671" t="inlineStr">
        <is>
          <t>SCA</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22875-2023</t>
        </is>
      </c>
      <c r="B9672" s="1" t="n">
        <v>45072</v>
      </c>
      <c r="C9672" s="1" t="n">
        <v>46185</v>
      </c>
      <c r="D9672" t="inlineStr">
        <is>
          <t>VÄSTERNORRLANDS LÄN</t>
        </is>
      </c>
      <c r="E9672" t="inlineStr">
        <is>
          <t>HÄRNÖSAND</t>
        </is>
      </c>
      <c r="F9672" t="inlineStr">
        <is>
          <t>Kyrkan</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40879-2023</t>
        </is>
      </c>
      <c r="B9673" s="1" t="n">
        <v>45173</v>
      </c>
      <c r="C9673" s="1" t="n">
        <v>46185</v>
      </c>
      <c r="D9673" t="inlineStr">
        <is>
          <t>VÄSTERNORRLANDS LÄN</t>
        </is>
      </c>
      <c r="E9673" t="inlineStr">
        <is>
          <t>KRAMFORS</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649-2026</t>
        </is>
      </c>
      <c r="B9674" s="1" t="n">
        <v>46024</v>
      </c>
      <c r="C9674" s="1" t="n">
        <v>46185</v>
      </c>
      <c r="D9674" t="inlineStr">
        <is>
          <t>VÄSTERNORRLANDS LÄN</t>
        </is>
      </c>
      <c r="E9674" t="inlineStr">
        <is>
          <t>HÄRNÖSAND</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57567-2022</t>
        </is>
      </c>
      <c r="B9675" s="1" t="n">
        <v>44896</v>
      </c>
      <c r="C9675" s="1" t="n">
        <v>46185</v>
      </c>
      <c r="D9675" t="inlineStr">
        <is>
          <t>VÄSTERNORRLANDS LÄN</t>
        </is>
      </c>
      <c r="E9675" t="inlineStr">
        <is>
          <t>ÖRNSKÖLDSVIK</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31537-2024</t>
        </is>
      </c>
      <c r="B9676" s="1" t="n">
        <v>45505.96146990741</v>
      </c>
      <c r="C9676" s="1" t="n">
        <v>46185</v>
      </c>
      <c r="D9676" t="inlineStr">
        <is>
          <t>VÄSTERNORRLANDS LÄN</t>
        </is>
      </c>
      <c r="E9676" t="inlineStr">
        <is>
          <t>SOLLEFTEÅ</t>
        </is>
      </c>
      <c r="F9676" t="inlineStr">
        <is>
          <t>SCA</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20616-2026</t>
        </is>
      </c>
      <c r="B9677" s="1" t="n">
        <v>46140.81138888889</v>
      </c>
      <c r="C9677" s="1" t="n">
        <v>46185</v>
      </c>
      <c r="D9677" t="inlineStr">
        <is>
          <t>VÄSTERNORRLANDS LÄN</t>
        </is>
      </c>
      <c r="E9677" t="inlineStr">
        <is>
          <t>SOLLEFTEÅ</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33206-2021</t>
        </is>
      </c>
      <c r="B9678" s="1" t="n">
        <v>44376.93366898148</v>
      </c>
      <c r="C9678" s="1" t="n">
        <v>46185</v>
      </c>
      <c r="D9678" t="inlineStr">
        <is>
          <t>VÄSTERNORRLANDS LÄN</t>
        </is>
      </c>
      <c r="E9678" t="inlineStr">
        <is>
          <t>SUNDSVALL</t>
        </is>
      </c>
      <c r="F9678" t="inlineStr">
        <is>
          <t>SCA</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45062-2023</t>
        </is>
      </c>
      <c r="B9679" s="1" t="n">
        <v>45191</v>
      </c>
      <c r="C9679" s="1" t="n">
        <v>46185</v>
      </c>
      <c r="D9679" t="inlineStr">
        <is>
          <t>VÄSTERNORRLANDS LÄN</t>
        </is>
      </c>
      <c r="E9679" t="inlineStr">
        <is>
          <t>SUNDSVALL</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10240-2025</t>
        </is>
      </c>
      <c r="B9680" s="1" t="n">
        <v>45720.34508101852</v>
      </c>
      <c r="C9680" s="1" t="n">
        <v>46185</v>
      </c>
      <c r="D9680" t="inlineStr">
        <is>
          <t>VÄSTERNORRLANDS LÄN</t>
        </is>
      </c>
      <c r="E9680" t="inlineStr">
        <is>
          <t>SOLLEFTEÅ</t>
        </is>
      </c>
      <c r="F9680" t="inlineStr">
        <is>
          <t>SCA</t>
        </is>
      </c>
      <c r="G9680" t="n">
        <v>18.8</v>
      </c>
      <c r="H9680" t="n">
        <v>0</v>
      </c>
      <c r="I9680" t="n">
        <v>0</v>
      </c>
      <c r="J9680" t="n">
        <v>0</v>
      </c>
      <c r="K9680" t="n">
        <v>0</v>
      </c>
      <c r="L9680" t="n">
        <v>0</v>
      </c>
      <c r="M9680" t="n">
        <v>0</v>
      </c>
      <c r="N9680" t="n">
        <v>0</v>
      </c>
      <c r="O9680" t="n">
        <v>0</v>
      </c>
      <c r="P9680" t="n">
        <v>0</v>
      </c>
      <c r="Q9680" t="n">
        <v>0</v>
      </c>
      <c r="R9680" s="2" t="inlineStr"/>
    </row>
    <row r="9681" ht="15" customHeight="1">
      <c r="A9681" t="inlineStr">
        <is>
          <t>A 39914-2025</t>
        </is>
      </c>
      <c r="B9681" s="1" t="n">
        <v>45891.65660879629</v>
      </c>
      <c r="C9681" s="1" t="n">
        <v>46185</v>
      </c>
      <c r="D9681" t="inlineStr">
        <is>
          <t>VÄSTERNORRLANDS LÄN</t>
        </is>
      </c>
      <c r="E9681" t="inlineStr">
        <is>
          <t>SUNDSVALL</t>
        </is>
      </c>
      <c r="F9681" t="inlineStr">
        <is>
          <t>SCA</t>
        </is>
      </c>
      <c r="G9681" t="n">
        <v>5.1</v>
      </c>
      <c r="H9681" t="n">
        <v>0</v>
      </c>
      <c r="I9681" t="n">
        <v>0</v>
      </c>
      <c r="J9681" t="n">
        <v>0</v>
      </c>
      <c r="K9681" t="n">
        <v>0</v>
      </c>
      <c r="L9681" t="n">
        <v>0</v>
      </c>
      <c r="M9681" t="n">
        <v>0</v>
      </c>
      <c r="N9681" t="n">
        <v>0</v>
      </c>
      <c r="O9681" t="n">
        <v>0</v>
      </c>
      <c r="P9681" t="n">
        <v>0</v>
      </c>
      <c r="Q9681" t="n">
        <v>0</v>
      </c>
      <c r="R9681" s="2" t="inlineStr"/>
    </row>
    <row r="9682" ht="15" customHeight="1">
      <c r="A9682" t="inlineStr">
        <is>
          <t>A 33440-2022</t>
        </is>
      </c>
      <c r="B9682" s="1" t="n">
        <v>44788</v>
      </c>
      <c r="C9682" s="1" t="n">
        <v>46185</v>
      </c>
      <c r="D9682" t="inlineStr">
        <is>
          <t>VÄSTERNORRLANDS LÄN</t>
        </is>
      </c>
      <c r="E9682" t="inlineStr">
        <is>
          <t>KRAMFORS</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48988-2021</t>
        </is>
      </c>
      <c r="B9683" s="1" t="n">
        <v>44453.43</v>
      </c>
      <c r="C9683" s="1" t="n">
        <v>46185</v>
      </c>
      <c r="D9683" t="inlineStr">
        <is>
          <t>VÄSTERNORRLANDS LÄN</t>
        </is>
      </c>
      <c r="E9683" t="inlineStr">
        <is>
          <t>ÅNGE</t>
        </is>
      </c>
      <c r="F9683" t="inlineStr">
        <is>
          <t>Sveaskog</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54913-2023</t>
        </is>
      </c>
      <c r="B9684" s="1" t="n">
        <v>45236</v>
      </c>
      <c r="C9684" s="1" t="n">
        <v>46185</v>
      </c>
      <c r="D9684" t="inlineStr">
        <is>
          <t>VÄSTERNORRLANDS LÄN</t>
        </is>
      </c>
      <c r="E9684" t="inlineStr">
        <is>
          <t>ÖRNSKÖLDSVIK</t>
        </is>
      </c>
      <c r="F9684" t="inlineStr">
        <is>
          <t>Holmen skog AB</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54696-2025</t>
        </is>
      </c>
      <c r="B9685" s="1" t="n">
        <v>45966.47189814815</v>
      </c>
      <c r="C9685" s="1" t="n">
        <v>46185</v>
      </c>
      <c r="D9685" t="inlineStr">
        <is>
          <t>VÄSTERNORRLANDS LÄN</t>
        </is>
      </c>
      <c r="E9685" t="inlineStr">
        <is>
          <t>ÖRNSKÖLDSVIK</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12752-2026</t>
        </is>
      </c>
      <c r="B9686" s="1" t="n">
        <v>46091</v>
      </c>
      <c r="C9686" s="1" t="n">
        <v>46185</v>
      </c>
      <c r="D9686" t="inlineStr">
        <is>
          <t>VÄSTERNORRLANDS LÄN</t>
        </is>
      </c>
      <c r="E9686" t="inlineStr">
        <is>
          <t>ÅNGE</t>
        </is>
      </c>
      <c r="F9686" t="inlineStr">
        <is>
          <t>SCA</t>
        </is>
      </c>
      <c r="G9686" t="n">
        <v>15.5</v>
      </c>
      <c r="H9686" t="n">
        <v>0</v>
      </c>
      <c r="I9686" t="n">
        <v>0</v>
      </c>
      <c r="J9686" t="n">
        <v>0</v>
      </c>
      <c r="K9686" t="n">
        <v>0</v>
      </c>
      <c r="L9686" t="n">
        <v>0</v>
      </c>
      <c r="M9686" t="n">
        <v>0</v>
      </c>
      <c r="N9686" t="n">
        <v>0</v>
      </c>
      <c r="O9686" t="n">
        <v>0</v>
      </c>
      <c r="P9686" t="n">
        <v>0</v>
      </c>
      <c r="Q9686" t="n">
        <v>0</v>
      </c>
      <c r="R9686" s="2" t="inlineStr"/>
    </row>
    <row r="9687" ht="15" customHeight="1">
      <c r="A9687" t="inlineStr">
        <is>
          <t>A 1886-2024</t>
        </is>
      </c>
      <c r="B9687" s="1" t="n">
        <v>45307.96335648148</v>
      </c>
      <c r="C9687" s="1" t="n">
        <v>46185</v>
      </c>
      <c r="D9687" t="inlineStr">
        <is>
          <t>VÄSTERNORRLANDS LÄN</t>
        </is>
      </c>
      <c r="E9687" t="inlineStr">
        <is>
          <t>ÅNGE</t>
        </is>
      </c>
      <c r="F9687" t="inlineStr">
        <is>
          <t>SCA</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61661-2022</t>
        </is>
      </c>
      <c r="B9688" s="1" t="n">
        <v>44916</v>
      </c>
      <c r="C9688" s="1" t="n">
        <v>46185</v>
      </c>
      <c r="D9688" t="inlineStr">
        <is>
          <t>VÄSTERNORRLANDS LÄN</t>
        </is>
      </c>
      <c r="E9688" t="inlineStr">
        <is>
          <t>ÖRNSKÖLDSVIK</t>
        </is>
      </c>
      <c r="F9688" t="inlineStr">
        <is>
          <t>SCA</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12756-2026</t>
        </is>
      </c>
      <c r="B9689" s="1" t="n">
        <v>46091</v>
      </c>
      <c r="C9689" s="1" t="n">
        <v>46185</v>
      </c>
      <c r="D9689" t="inlineStr">
        <is>
          <t>VÄSTERNORRLANDS LÄN</t>
        </is>
      </c>
      <c r="E9689" t="inlineStr">
        <is>
          <t>ÅNGE</t>
        </is>
      </c>
      <c r="F9689" t="inlineStr">
        <is>
          <t>SCA</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2881-2025</t>
        </is>
      </c>
      <c r="B9690" s="1" t="n">
        <v>45677.69859953703</v>
      </c>
      <c r="C9690" s="1" t="n">
        <v>46185</v>
      </c>
      <c r="D9690" t="inlineStr">
        <is>
          <t>VÄSTERNORRLANDS LÄN</t>
        </is>
      </c>
      <c r="E9690" t="inlineStr">
        <is>
          <t>SUNDSVALL</t>
        </is>
      </c>
      <c r="F9690" t="inlineStr">
        <is>
          <t>SCA</t>
        </is>
      </c>
      <c r="G9690" t="n">
        <v>4.9</v>
      </c>
      <c r="H9690" t="n">
        <v>0</v>
      </c>
      <c r="I9690" t="n">
        <v>0</v>
      </c>
      <c r="J9690" t="n">
        <v>0</v>
      </c>
      <c r="K9690" t="n">
        <v>0</v>
      </c>
      <c r="L9690" t="n">
        <v>0</v>
      </c>
      <c r="M9690" t="n">
        <v>0</v>
      </c>
      <c r="N9690" t="n">
        <v>0</v>
      </c>
      <c r="O9690" t="n">
        <v>0</v>
      </c>
      <c r="P9690" t="n">
        <v>0</v>
      </c>
      <c r="Q9690" t="n">
        <v>0</v>
      </c>
      <c r="R9690" s="2" t="inlineStr"/>
    </row>
    <row r="9691" ht="15" customHeight="1">
      <c r="A9691" t="inlineStr">
        <is>
          <t>A 49171-2022</t>
        </is>
      </c>
      <c r="B9691" s="1" t="n">
        <v>44860.9269212963</v>
      </c>
      <c r="C9691" s="1" t="n">
        <v>46185</v>
      </c>
      <c r="D9691" t="inlineStr">
        <is>
          <t>VÄSTERNORRLANDS LÄN</t>
        </is>
      </c>
      <c r="E9691" t="inlineStr">
        <is>
          <t>SOLLEFTEÅ</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49095-2022</t>
        </is>
      </c>
      <c r="B9692" s="1" t="n">
        <v>44860.5884375</v>
      </c>
      <c r="C9692" s="1" t="n">
        <v>46185</v>
      </c>
      <c r="D9692" t="inlineStr">
        <is>
          <t>VÄSTERNORRLANDS LÄN</t>
        </is>
      </c>
      <c r="E9692" t="inlineStr">
        <is>
          <t>KRAMFORS</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38566-2023</t>
        </is>
      </c>
      <c r="B9693" s="1" t="n">
        <v>45162.61341435185</v>
      </c>
      <c r="C9693" s="1" t="n">
        <v>46185</v>
      </c>
      <c r="D9693" t="inlineStr">
        <is>
          <t>VÄSTERNORRLANDS LÄN</t>
        </is>
      </c>
      <c r="E9693" t="inlineStr">
        <is>
          <t>ÖRNSKÖLDSVIK</t>
        </is>
      </c>
      <c r="F9693" t="inlineStr">
        <is>
          <t>Holmen skog AB</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39294-2023</t>
        </is>
      </c>
      <c r="B9694" s="1" t="n">
        <v>45162</v>
      </c>
      <c r="C9694" s="1" t="n">
        <v>46185</v>
      </c>
      <c r="D9694" t="inlineStr">
        <is>
          <t>VÄSTERNORRLANDS LÄN</t>
        </is>
      </c>
      <c r="E9694" t="inlineStr">
        <is>
          <t>ÖRNSKÖLDSVIK</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51565-2024</t>
        </is>
      </c>
      <c r="B9695" s="1" t="n">
        <v>45604</v>
      </c>
      <c r="C9695" s="1" t="n">
        <v>46185</v>
      </c>
      <c r="D9695" t="inlineStr">
        <is>
          <t>VÄSTERNORRLANDS LÄN</t>
        </is>
      </c>
      <c r="E9695" t="inlineStr">
        <is>
          <t>ÖRNSKÖLDSVIK</t>
        </is>
      </c>
      <c r="F9695" t="inlineStr">
        <is>
          <t>Holmen skog AB</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14462-2022</t>
        </is>
      </c>
      <c r="B9696" s="1" t="n">
        <v>44654.62800925926</v>
      </c>
      <c r="C9696" s="1" t="n">
        <v>46185</v>
      </c>
      <c r="D9696" t="inlineStr">
        <is>
          <t>VÄSTERNORRLANDS LÄN</t>
        </is>
      </c>
      <c r="E9696" t="inlineStr">
        <is>
          <t>SUNDSVALL</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44966-2023</t>
        </is>
      </c>
      <c r="B9697" s="1" t="n">
        <v>45190.92496527778</v>
      </c>
      <c r="C9697" s="1" t="n">
        <v>46185</v>
      </c>
      <c r="D9697" t="inlineStr">
        <is>
          <t>VÄSTERNORRLANDS LÄN</t>
        </is>
      </c>
      <c r="E9697" t="inlineStr">
        <is>
          <t>SUNDSVALL</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44979-2023</t>
        </is>
      </c>
      <c r="B9698" s="1" t="n">
        <v>45190.95752314815</v>
      </c>
      <c r="C9698" s="1" t="n">
        <v>46185</v>
      </c>
      <c r="D9698" t="inlineStr">
        <is>
          <t>VÄSTERNORRLANDS LÄN</t>
        </is>
      </c>
      <c r="E9698" t="inlineStr">
        <is>
          <t>ÅNGE</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20839-2026</t>
        </is>
      </c>
      <c r="B9699" s="1" t="n">
        <v>46142.34336805555</v>
      </c>
      <c r="C9699" s="1" t="n">
        <v>46185</v>
      </c>
      <c r="D9699" t="inlineStr">
        <is>
          <t>VÄSTERNORRLANDS LÄN</t>
        </is>
      </c>
      <c r="E9699" t="inlineStr">
        <is>
          <t>KRAMFORS</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26651-2026</t>
        </is>
      </c>
      <c r="B9700" s="1" t="n">
        <v>46184.39363425926</v>
      </c>
      <c r="C9700" s="1" t="n">
        <v>46185</v>
      </c>
      <c r="D9700" t="inlineStr">
        <is>
          <t>VÄSTERNORRLANDS LÄN</t>
        </is>
      </c>
      <c r="E9700" t="inlineStr">
        <is>
          <t>ÖRNSKÖLDSVIK</t>
        </is>
      </c>
      <c r="F9700" t="inlineStr">
        <is>
          <t>Holmen skog AB</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50217-2022</t>
        </is>
      </c>
      <c r="B9701" s="1" t="n">
        <v>44865</v>
      </c>
      <c r="C9701" s="1" t="n">
        <v>46185</v>
      </c>
      <c r="D9701" t="inlineStr">
        <is>
          <t>VÄSTERNORRLANDS LÄN</t>
        </is>
      </c>
      <c r="E9701" t="inlineStr">
        <is>
          <t>ÖRNSKÖLDSVIK</t>
        </is>
      </c>
      <c r="F9701" t="inlineStr">
        <is>
          <t>Holmen skog AB</t>
        </is>
      </c>
      <c r="G9701" t="n">
        <v>24.6</v>
      </c>
      <c r="H9701" t="n">
        <v>0</v>
      </c>
      <c r="I9701" t="n">
        <v>0</v>
      </c>
      <c r="J9701" t="n">
        <v>0</v>
      </c>
      <c r="K9701" t="n">
        <v>0</v>
      </c>
      <c r="L9701" t="n">
        <v>0</v>
      </c>
      <c r="M9701" t="n">
        <v>0</v>
      </c>
      <c r="N9701" t="n">
        <v>0</v>
      </c>
      <c r="O9701" t="n">
        <v>0</v>
      </c>
      <c r="P9701" t="n">
        <v>0</v>
      </c>
      <c r="Q9701" t="n">
        <v>0</v>
      </c>
      <c r="R9701" s="2" t="inlineStr"/>
    </row>
    <row r="9702" ht="15" customHeight="1">
      <c r="A9702" t="inlineStr">
        <is>
          <t>A 12748-2026</t>
        </is>
      </c>
      <c r="B9702" s="1" t="n">
        <v>46091</v>
      </c>
      <c r="C9702" s="1" t="n">
        <v>46185</v>
      </c>
      <c r="D9702" t="inlineStr">
        <is>
          <t>VÄSTERNORRLANDS LÄN</t>
        </is>
      </c>
      <c r="E9702" t="inlineStr">
        <is>
          <t>ÅNGE</t>
        </is>
      </c>
      <c r="F9702" t="inlineStr">
        <is>
          <t>SCA</t>
        </is>
      </c>
      <c r="G9702" t="n">
        <v>15.5</v>
      </c>
      <c r="H9702" t="n">
        <v>0</v>
      </c>
      <c r="I9702" t="n">
        <v>0</v>
      </c>
      <c r="J9702" t="n">
        <v>0</v>
      </c>
      <c r="K9702" t="n">
        <v>0</v>
      </c>
      <c r="L9702" t="n">
        <v>0</v>
      </c>
      <c r="M9702" t="n">
        <v>0</v>
      </c>
      <c r="N9702" t="n">
        <v>0</v>
      </c>
      <c r="O9702" t="n">
        <v>0</v>
      </c>
      <c r="P9702" t="n">
        <v>0</v>
      </c>
      <c r="Q9702" t="n">
        <v>0</v>
      </c>
      <c r="R9702" s="2" t="inlineStr"/>
    </row>
    <row r="9703" ht="15" customHeight="1">
      <c r="A9703" t="inlineStr">
        <is>
          <t>A 12760-2026</t>
        </is>
      </c>
      <c r="B9703" s="1" t="n">
        <v>46091.66008101852</v>
      </c>
      <c r="C9703" s="1" t="n">
        <v>46185</v>
      </c>
      <c r="D9703" t="inlineStr">
        <is>
          <t>VÄSTERNORRLANDS LÄN</t>
        </is>
      </c>
      <c r="E9703" t="inlineStr">
        <is>
          <t>ÅNGE</t>
        </is>
      </c>
      <c r="F9703" t="inlineStr">
        <is>
          <t>SCA</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49631-2024</t>
        </is>
      </c>
      <c r="B9704" s="1" t="n">
        <v>45596.59438657408</v>
      </c>
      <c r="C9704" s="1" t="n">
        <v>46185</v>
      </c>
      <c r="D9704" t="inlineStr">
        <is>
          <t>VÄSTERNORRLANDS LÄN</t>
        </is>
      </c>
      <c r="E9704" t="inlineStr">
        <is>
          <t>SUNDSVALL</t>
        </is>
      </c>
      <c r="F9704" t="inlineStr">
        <is>
          <t>Holmen skog AB</t>
        </is>
      </c>
      <c r="G9704" t="n">
        <v>13.3</v>
      </c>
      <c r="H9704" t="n">
        <v>0</v>
      </c>
      <c r="I9704" t="n">
        <v>0</v>
      </c>
      <c r="J9704" t="n">
        <v>0</v>
      </c>
      <c r="K9704" t="n">
        <v>0</v>
      </c>
      <c r="L9704" t="n">
        <v>0</v>
      </c>
      <c r="M9704" t="n">
        <v>0</v>
      </c>
      <c r="N9704" t="n">
        <v>0</v>
      </c>
      <c r="O9704" t="n">
        <v>0</v>
      </c>
      <c r="P9704" t="n">
        <v>0</v>
      </c>
      <c r="Q9704" t="n">
        <v>0</v>
      </c>
      <c r="R9704" s="2" t="inlineStr"/>
    </row>
    <row r="9705" ht="15" customHeight="1">
      <c r="A9705" t="inlineStr">
        <is>
          <t>A 26737-2026</t>
        </is>
      </c>
      <c r="B9705" s="1" t="n">
        <v>46184.58508101852</v>
      </c>
      <c r="C9705" s="1" t="n">
        <v>46185</v>
      </c>
      <c r="D9705" t="inlineStr">
        <is>
          <t>VÄSTERNORRLANDS LÄN</t>
        </is>
      </c>
      <c r="E9705" t="inlineStr">
        <is>
          <t>ÖRNSKÖLDSVIK</t>
        </is>
      </c>
      <c r="F9705" t="inlineStr">
        <is>
          <t>Holmen skog AB</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26738-2026</t>
        </is>
      </c>
      <c r="B9706" s="1" t="n">
        <v>46184.58592592592</v>
      </c>
      <c r="C9706" s="1" t="n">
        <v>46185</v>
      </c>
      <c r="D9706" t="inlineStr">
        <is>
          <t>VÄSTERNORRLANDS LÄN</t>
        </is>
      </c>
      <c r="E9706" t="inlineStr">
        <is>
          <t>ÖRNSKÖLDSVIK</t>
        </is>
      </c>
      <c r="F9706" t="inlineStr">
        <is>
          <t>Holmen skog AB</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37691-2023</t>
        </is>
      </c>
      <c r="B9707" s="1" t="n">
        <v>45156</v>
      </c>
      <c r="C9707" s="1" t="n">
        <v>46185</v>
      </c>
      <c r="D9707" t="inlineStr">
        <is>
          <t>VÄSTERNORRLANDS LÄN</t>
        </is>
      </c>
      <c r="E9707" t="inlineStr">
        <is>
          <t>SOLLEFTEÅ</t>
        </is>
      </c>
      <c r="G9707" t="n">
        <v>0.2</v>
      </c>
      <c r="H9707" t="n">
        <v>0</v>
      </c>
      <c r="I9707" t="n">
        <v>0</v>
      </c>
      <c r="J9707" t="n">
        <v>0</v>
      </c>
      <c r="K9707" t="n">
        <v>0</v>
      </c>
      <c r="L9707" t="n">
        <v>0</v>
      </c>
      <c r="M9707" t="n">
        <v>0</v>
      </c>
      <c r="N9707" t="n">
        <v>0</v>
      </c>
      <c r="O9707" t="n">
        <v>0</v>
      </c>
      <c r="P9707" t="n">
        <v>0</v>
      </c>
      <c r="Q9707" t="n">
        <v>0</v>
      </c>
      <c r="R9707" s="2" t="inlineStr"/>
    </row>
    <row r="9708" ht="15" customHeight="1">
      <c r="A9708" t="inlineStr">
        <is>
          <t>A 37114-2025</t>
        </is>
      </c>
      <c r="B9708" s="1" t="n">
        <v>45875.5112037037</v>
      </c>
      <c r="C9708" s="1" t="n">
        <v>46185</v>
      </c>
      <c r="D9708" t="inlineStr">
        <is>
          <t>VÄSTERNORRLANDS LÄN</t>
        </is>
      </c>
      <c r="E9708" t="inlineStr">
        <is>
          <t>SUNDSVALL</t>
        </is>
      </c>
      <c r="F9708" t="inlineStr">
        <is>
          <t>SCA</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26567-2026</t>
        </is>
      </c>
      <c r="B9709" s="1" t="n">
        <v>46183.65667824074</v>
      </c>
      <c r="C9709" s="1" t="n">
        <v>46185</v>
      </c>
      <c r="D9709" t="inlineStr">
        <is>
          <t>VÄSTERNORRLANDS LÄN</t>
        </is>
      </c>
      <c r="E9709" t="inlineStr">
        <is>
          <t>SUNDSVALL</t>
        </is>
      </c>
      <c r="F9709" t="inlineStr">
        <is>
          <t>SCA</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20845-2026</t>
        </is>
      </c>
      <c r="B9710" s="1" t="n">
        <v>46142.34521990741</v>
      </c>
      <c r="C9710" s="1" t="n">
        <v>46185</v>
      </c>
      <c r="D9710" t="inlineStr">
        <is>
          <t>VÄSTERNORRLANDS LÄN</t>
        </is>
      </c>
      <c r="E9710" t="inlineStr">
        <is>
          <t>HÄRNÖSAND</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5354-2026</t>
        </is>
      </c>
      <c r="B9711" s="1" t="n">
        <v>46048</v>
      </c>
      <c r="C9711" s="1" t="n">
        <v>46185</v>
      </c>
      <c r="D9711" t="inlineStr">
        <is>
          <t>VÄSTERNORRLANDS LÄN</t>
        </is>
      </c>
      <c r="E9711" t="inlineStr">
        <is>
          <t>TIMRÅ</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10066-2026</t>
        </is>
      </c>
      <c r="B9712" s="1" t="n">
        <v>46073.63586805556</v>
      </c>
      <c r="C9712" s="1" t="n">
        <v>46185</v>
      </c>
      <c r="D9712" t="inlineStr">
        <is>
          <t>VÄSTERNORRLANDS LÄN</t>
        </is>
      </c>
      <c r="E9712" t="inlineStr">
        <is>
          <t>SOLLEFTEÅ</t>
        </is>
      </c>
      <c r="F9712" t="inlineStr">
        <is>
          <t>SCA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25189-2024</t>
        </is>
      </c>
      <c r="B9713" s="1" t="n">
        <v>45462.56429398148</v>
      </c>
      <c r="C9713" s="1" t="n">
        <v>46185</v>
      </c>
      <c r="D9713" t="inlineStr">
        <is>
          <t>VÄSTERNORRLANDS LÄN</t>
        </is>
      </c>
      <c r="E9713" t="inlineStr">
        <is>
          <t>ÖRNSKÖLDSVIK</t>
        </is>
      </c>
      <c r="F9713" t="inlineStr">
        <is>
          <t>Holmen skog AB</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25218-2024</t>
        </is>
      </c>
      <c r="B9714" s="1" t="n">
        <v>45462.58224537037</v>
      </c>
      <c r="C9714" s="1" t="n">
        <v>46185</v>
      </c>
      <c r="D9714" t="inlineStr">
        <is>
          <t>VÄSTERNORRLANDS LÄN</t>
        </is>
      </c>
      <c r="E9714" t="inlineStr">
        <is>
          <t>ÖRNSKÖLDSVIK</t>
        </is>
      </c>
      <c r="F9714" t="inlineStr">
        <is>
          <t>Holmen skog AB</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1573-2023</t>
        </is>
      </c>
      <c r="B9715" s="1" t="n">
        <v>44937.61605324074</v>
      </c>
      <c r="C9715" s="1" t="n">
        <v>46185</v>
      </c>
      <c r="D9715" t="inlineStr">
        <is>
          <t>VÄSTERNORRLANDS LÄN</t>
        </is>
      </c>
      <c r="E9715" t="inlineStr">
        <is>
          <t>SUNDSVALL</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26381-2026</t>
        </is>
      </c>
      <c r="B9716" s="1" t="n">
        <v>46183.33561342592</v>
      </c>
      <c r="C9716" s="1" t="n">
        <v>46185</v>
      </c>
      <c r="D9716" t="inlineStr">
        <is>
          <t>VÄSTERNORRLANDS LÄN</t>
        </is>
      </c>
      <c r="E9716" t="inlineStr">
        <is>
          <t>ÖRNSKÖLDSVIK</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9744-2023</t>
        </is>
      </c>
      <c r="B9717" s="1" t="n">
        <v>44984</v>
      </c>
      <c r="C9717" s="1" t="n">
        <v>46185</v>
      </c>
      <c r="D9717" t="inlineStr">
        <is>
          <t>VÄSTERNORRLANDS LÄN</t>
        </is>
      </c>
      <c r="E9717" t="inlineStr">
        <is>
          <t>SUNDSVALL</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26431-2026</t>
        </is>
      </c>
      <c r="B9718" s="1" t="n">
        <v>46183.44841435185</v>
      </c>
      <c r="C9718" s="1" t="n">
        <v>46185</v>
      </c>
      <c r="D9718" t="inlineStr">
        <is>
          <t>VÄSTERNORRLANDS LÄN</t>
        </is>
      </c>
      <c r="E9718" t="inlineStr">
        <is>
          <t>ÖRNSKÖLDSVIK</t>
        </is>
      </c>
      <c r="F9718" t="inlineStr">
        <is>
          <t>SCA</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64491-2023</t>
        </is>
      </c>
      <c r="B9719" s="1" t="n">
        <v>45280</v>
      </c>
      <c r="C9719" s="1" t="n">
        <v>46185</v>
      </c>
      <c r="D9719" t="inlineStr">
        <is>
          <t>VÄSTERNORRLANDS LÄN</t>
        </is>
      </c>
      <c r="E9719" t="inlineStr">
        <is>
          <t>SUNDSVALL</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16479-2025</t>
        </is>
      </c>
      <c r="B9720" s="1" t="n">
        <v>45751</v>
      </c>
      <c r="C9720" s="1" t="n">
        <v>46185</v>
      </c>
      <c r="D9720" t="inlineStr">
        <is>
          <t>VÄSTERNORRLANDS LÄN</t>
        </is>
      </c>
      <c r="E9720" t="inlineStr">
        <is>
          <t>SUNDSVALL</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21199-2025</t>
        </is>
      </c>
      <c r="B9721" s="1" t="n">
        <v>45779.47327546297</v>
      </c>
      <c r="C9721" s="1" t="n">
        <v>46185</v>
      </c>
      <c r="D9721" t="inlineStr">
        <is>
          <t>VÄSTERNORRLANDS LÄN</t>
        </is>
      </c>
      <c r="E9721" t="inlineStr">
        <is>
          <t>ÖRNSKÖLDSVIK</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18944-2026</t>
        </is>
      </c>
      <c r="B9722" s="1" t="n">
        <v>46129</v>
      </c>
      <c r="C9722" s="1" t="n">
        <v>46185</v>
      </c>
      <c r="D9722" t="inlineStr">
        <is>
          <t>VÄSTERNORRLANDS LÄN</t>
        </is>
      </c>
      <c r="E9722" t="inlineStr">
        <is>
          <t>ÖRNSKÖLDSVIK</t>
        </is>
      </c>
      <c r="G9722" t="n">
        <v>16.9</v>
      </c>
      <c r="H9722" t="n">
        <v>0</v>
      </c>
      <c r="I9722" t="n">
        <v>0</v>
      </c>
      <c r="J9722" t="n">
        <v>0</v>
      </c>
      <c r="K9722" t="n">
        <v>0</v>
      </c>
      <c r="L9722" t="n">
        <v>0</v>
      </c>
      <c r="M9722" t="n">
        <v>0</v>
      </c>
      <c r="N9722" t="n">
        <v>0</v>
      </c>
      <c r="O9722" t="n">
        <v>0</v>
      </c>
      <c r="P9722" t="n">
        <v>0</v>
      </c>
      <c r="Q9722" t="n">
        <v>0</v>
      </c>
      <c r="R9722" s="2" t="inlineStr"/>
    </row>
    <row r="9723" ht="15" customHeight="1">
      <c r="A9723" t="inlineStr">
        <is>
          <t>A 352-2022</t>
        </is>
      </c>
      <c r="B9723" s="1" t="n">
        <v>44564</v>
      </c>
      <c r="C9723" s="1" t="n">
        <v>46185</v>
      </c>
      <c r="D9723" t="inlineStr">
        <is>
          <t>VÄSTERNORRLANDS LÄN</t>
        </is>
      </c>
      <c r="E9723" t="inlineStr">
        <is>
          <t>ÖRNSKÖLDSVIK</t>
        </is>
      </c>
      <c r="G9723" t="n">
        <v>7.2</v>
      </c>
      <c r="H9723" t="n">
        <v>0</v>
      </c>
      <c r="I9723" t="n">
        <v>0</v>
      </c>
      <c r="J9723" t="n">
        <v>0</v>
      </c>
      <c r="K9723" t="n">
        <v>0</v>
      </c>
      <c r="L9723" t="n">
        <v>0</v>
      </c>
      <c r="M9723" t="n">
        <v>0</v>
      </c>
      <c r="N9723" t="n">
        <v>0</v>
      </c>
      <c r="O9723" t="n">
        <v>0</v>
      </c>
      <c r="P9723" t="n">
        <v>0</v>
      </c>
      <c r="Q9723" t="n">
        <v>0</v>
      </c>
      <c r="R9723" s="2" t="inlineStr"/>
    </row>
    <row r="9724" ht="15" customHeight="1">
      <c r="A9724" t="inlineStr">
        <is>
          <t>A 26101-2026</t>
        </is>
      </c>
      <c r="B9724" s="1" t="n">
        <v>46178</v>
      </c>
      <c r="C9724" s="1" t="n">
        <v>46185</v>
      </c>
      <c r="D9724" t="inlineStr">
        <is>
          <t>VÄSTERNORRLANDS LÄN</t>
        </is>
      </c>
      <c r="E9724" t="inlineStr">
        <is>
          <t>ÖRNSKÖLDSVIK</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46508-2023</t>
        </is>
      </c>
      <c r="B9725" s="1" t="n">
        <v>45194</v>
      </c>
      <c r="C9725" s="1" t="n">
        <v>46185</v>
      </c>
      <c r="D9725" t="inlineStr">
        <is>
          <t>VÄSTERNORRLANDS LÄN</t>
        </is>
      </c>
      <c r="E9725" t="inlineStr">
        <is>
          <t>HÄRNÖSAND</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62184-2021</t>
        </is>
      </c>
      <c r="B9726" s="1" t="n">
        <v>44502</v>
      </c>
      <c r="C9726" s="1" t="n">
        <v>46185</v>
      </c>
      <c r="D9726" t="inlineStr">
        <is>
          <t>VÄSTERNORRLANDS LÄN</t>
        </is>
      </c>
      <c r="E9726" t="inlineStr">
        <is>
          <t>SUNDSVALL</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57320-2022</t>
        </is>
      </c>
      <c r="B9727" s="1" t="n">
        <v>44896.32923611111</v>
      </c>
      <c r="C9727" s="1" t="n">
        <v>46185</v>
      </c>
      <c r="D9727" t="inlineStr">
        <is>
          <t>VÄSTERNORRLANDS LÄN</t>
        </is>
      </c>
      <c r="E9727" t="inlineStr">
        <is>
          <t>ÖRNSKÖLDSVIK</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20863-2026</t>
        </is>
      </c>
      <c r="B9728" s="1" t="n">
        <v>46142.36559027778</v>
      </c>
      <c r="C9728" s="1" t="n">
        <v>46185</v>
      </c>
      <c r="D9728" t="inlineStr">
        <is>
          <t>VÄSTERNORRLANDS LÄN</t>
        </is>
      </c>
      <c r="E9728" t="inlineStr">
        <is>
          <t>HÄRNÖSAND</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25989-2026</t>
        </is>
      </c>
      <c r="B9729" s="1" t="n">
        <v>46181</v>
      </c>
      <c r="C9729" s="1" t="n">
        <v>46185</v>
      </c>
      <c r="D9729" t="inlineStr">
        <is>
          <t>VÄSTERNORRLANDS LÄN</t>
        </is>
      </c>
      <c r="E9729" t="inlineStr">
        <is>
          <t>KRAMFORS</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26556-2026</t>
        </is>
      </c>
      <c r="B9730" s="1" t="n">
        <v>46183.63596064815</v>
      </c>
      <c r="C9730" s="1" t="n">
        <v>46185</v>
      </c>
      <c r="D9730" t="inlineStr">
        <is>
          <t>VÄSTERNORRLANDS LÄN</t>
        </is>
      </c>
      <c r="E9730" t="inlineStr">
        <is>
          <t>ÖRNSKÖLDSVIK</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26566-2026</t>
        </is>
      </c>
      <c r="B9731" s="1" t="n">
        <v>46183.65513888889</v>
      </c>
      <c r="C9731" s="1" t="n">
        <v>46185</v>
      </c>
      <c r="D9731" t="inlineStr">
        <is>
          <t>VÄSTERNORRLANDS LÄN</t>
        </is>
      </c>
      <c r="E9731" t="inlineStr">
        <is>
          <t>ÖRNSKÖLDSVIK</t>
        </is>
      </c>
      <c r="F9731" t="inlineStr">
        <is>
          <t>Holmen skog AB</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26569-2026</t>
        </is>
      </c>
      <c r="B9732" s="1" t="n">
        <v>46183.6604050926</v>
      </c>
      <c r="C9732" s="1" t="n">
        <v>46185</v>
      </c>
      <c r="D9732" t="inlineStr">
        <is>
          <t>VÄSTERNORRLANDS LÄN</t>
        </is>
      </c>
      <c r="E9732" t="inlineStr">
        <is>
          <t>SOLLEFTEÅ</t>
        </is>
      </c>
      <c r="F9732" t="inlineStr">
        <is>
          <t>Holmen skog AB</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26587-2026</t>
        </is>
      </c>
      <c r="B9733" s="1" t="n">
        <v>46183.69842592593</v>
      </c>
      <c r="C9733" s="1" t="n">
        <v>46185</v>
      </c>
      <c r="D9733" t="inlineStr">
        <is>
          <t>VÄSTERNORRLANDS LÄN</t>
        </is>
      </c>
      <c r="E9733" t="inlineStr">
        <is>
          <t>SOLLEFTEÅ</t>
        </is>
      </c>
      <c r="F9733" t="inlineStr">
        <is>
          <t>SCA</t>
        </is>
      </c>
      <c r="G9733" t="n">
        <v>12.5</v>
      </c>
      <c r="H9733" t="n">
        <v>0</v>
      </c>
      <c r="I9733" t="n">
        <v>0</v>
      </c>
      <c r="J9733" t="n">
        <v>0</v>
      </c>
      <c r="K9733" t="n">
        <v>0</v>
      </c>
      <c r="L9733" t="n">
        <v>0</v>
      </c>
      <c r="M9733" t="n">
        <v>0</v>
      </c>
      <c r="N9733" t="n">
        <v>0</v>
      </c>
      <c r="O9733" t="n">
        <v>0</v>
      </c>
      <c r="P9733" t="n">
        <v>0</v>
      </c>
      <c r="Q9733" t="n">
        <v>0</v>
      </c>
      <c r="R9733" s="2" t="inlineStr"/>
    </row>
    <row r="9734" ht="15" customHeight="1">
      <c r="A9734" t="inlineStr">
        <is>
          <t>A 8250-2025</t>
        </is>
      </c>
      <c r="B9734" s="1" t="n">
        <v>45708</v>
      </c>
      <c r="C9734" s="1" t="n">
        <v>46185</v>
      </c>
      <c r="D9734" t="inlineStr">
        <is>
          <t>VÄSTERNORRLANDS LÄN</t>
        </is>
      </c>
      <c r="E9734" t="inlineStr">
        <is>
          <t>ÖRNSKÖLDSVIK</t>
        </is>
      </c>
      <c r="G9734" t="n">
        <v>5</v>
      </c>
      <c r="H9734" t="n">
        <v>0</v>
      </c>
      <c r="I9734" t="n">
        <v>0</v>
      </c>
      <c r="J9734" t="n">
        <v>0</v>
      </c>
      <c r="K9734" t="n">
        <v>0</v>
      </c>
      <c r="L9734" t="n">
        <v>0</v>
      </c>
      <c r="M9734" t="n">
        <v>0</v>
      </c>
      <c r="N9734" t="n">
        <v>0</v>
      </c>
      <c r="O9734" t="n">
        <v>0</v>
      </c>
      <c r="P9734" t="n">
        <v>0</v>
      </c>
      <c r="Q9734" t="n">
        <v>0</v>
      </c>
      <c r="R9734" s="2" t="inlineStr"/>
    </row>
    <row r="9735" ht="15" customHeight="1">
      <c r="A9735" t="inlineStr">
        <is>
          <t>A 26203-2026</t>
        </is>
      </c>
      <c r="B9735" s="1" t="n">
        <v>46182</v>
      </c>
      <c r="C9735" s="1" t="n">
        <v>46185</v>
      </c>
      <c r="D9735" t="inlineStr">
        <is>
          <t>VÄSTERNORRLANDS LÄN</t>
        </is>
      </c>
      <c r="E9735" t="inlineStr">
        <is>
          <t>SOLLEFTEÅ</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17974-2025</t>
        </is>
      </c>
      <c r="B9736" s="1" t="n">
        <v>45761</v>
      </c>
      <c r="C9736" s="1" t="n">
        <v>46185</v>
      </c>
      <c r="D9736" t="inlineStr">
        <is>
          <t>VÄSTERNORRLANDS LÄN</t>
        </is>
      </c>
      <c r="E9736" t="inlineStr">
        <is>
          <t>TIMRÅ</t>
        </is>
      </c>
      <c r="F9736" t="inlineStr">
        <is>
          <t>SCA</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63044-2023</t>
        </is>
      </c>
      <c r="B9737" s="1" t="n">
        <v>45272.89729166667</v>
      </c>
      <c r="C9737" s="1" t="n">
        <v>46185</v>
      </c>
      <c r="D9737" t="inlineStr">
        <is>
          <t>VÄSTERNORRLANDS LÄN</t>
        </is>
      </c>
      <c r="E9737" t="inlineStr">
        <is>
          <t>ÖRNSKÖLDSVIK</t>
        </is>
      </c>
      <c r="F9737" t="inlineStr">
        <is>
          <t>Övriga Aktiebolag</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63055-2023</t>
        </is>
      </c>
      <c r="B9738" s="1" t="n">
        <v>45272</v>
      </c>
      <c r="C9738" s="1" t="n">
        <v>46185</v>
      </c>
      <c r="D9738" t="inlineStr">
        <is>
          <t>VÄSTERNORRLANDS LÄN</t>
        </is>
      </c>
      <c r="E9738" t="inlineStr">
        <is>
          <t>SUNDSVALL</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20999-2026</t>
        </is>
      </c>
      <c r="B9739" s="1" t="n">
        <v>46142.63587962963</v>
      </c>
      <c r="C9739" s="1" t="n">
        <v>46185</v>
      </c>
      <c r="D9739" t="inlineStr">
        <is>
          <t>VÄSTERNORRLANDS LÄN</t>
        </is>
      </c>
      <c r="E9739" t="inlineStr">
        <is>
          <t>SOLLEFTEÅ</t>
        </is>
      </c>
      <c r="F9739" t="inlineStr">
        <is>
          <t>SCA</t>
        </is>
      </c>
      <c r="G9739" t="n">
        <v>13.4</v>
      </c>
      <c r="H9739" t="n">
        <v>0</v>
      </c>
      <c r="I9739" t="n">
        <v>0</v>
      </c>
      <c r="J9739" t="n">
        <v>0</v>
      </c>
      <c r="K9739" t="n">
        <v>0</v>
      </c>
      <c r="L9739" t="n">
        <v>0</v>
      </c>
      <c r="M9739" t="n">
        <v>0</v>
      </c>
      <c r="N9739" t="n">
        <v>0</v>
      </c>
      <c r="O9739" t="n">
        <v>0</v>
      </c>
      <c r="P9739" t="n">
        <v>0</v>
      </c>
      <c r="Q9739" t="n">
        <v>0</v>
      </c>
      <c r="R9739" s="2" t="inlineStr"/>
      <c r="U9739">
        <f>HYPERLINK("https://klasma.github.io/Logging_2283/knärot/A 20999-2026 karta knärot.png", "A 20999-2026")</f>
        <v/>
      </c>
      <c r="V9739">
        <f>HYPERLINK("https://klasma.github.io/Logging_2283/klagomål/A 20999-2026 FSC-klagomål.docx", "A 20999-2026")</f>
        <v/>
      </c>
      <c r="W9739">
        <f>HYPERLINK("https://klasma.github.io/Logging_2283/klagomålsmail/A 20999-2026 FSC-klagomål mail.docx", "A 20999-2026")</f>
        <v/>
      </c>
      <c r="X9739">
        <f>HYPERLINK("https://klasma.github.io/Logging_2283/tillsyn/A 20999-2026 tillsynsbegäran.docx", "A 20999-2026")</f>
        <v/>
      </c>
      <c r="Y9739">
        <f>HYPERLINK("https://klasma.github.io/Logging_2283/tillsynsmail/A 20999-2026 tillsynsbegäran mail.docx", "A 20999-2026")</f>
        <v/>
      </c>
    </row>
    <row r="9740" ht="15" customHeight="1">
      <c r="A9740" t="inlineStr">
        <is>
          <t>A 64013-2023</t>
        </is>
      </c>
      <c r="B9740" s="1" t="n">
        <v>45278</v>
      </c>
      <c r="C9740" s="1" t="n">
        <v>46185</v>
      </c>
      <c r="D9740" t="inlineStr">
        <is>
          <t>VÄSTERNORRLANDS LÄN</t>
        </is>
      </c>
      <c r="E9740" t="inlineStr">
        <is>
          <t>SOLLEFTEÅ</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65222-2023</t>
        </is>
      </c>
      <c r="B9741" s="1" t="n">
        <v>45289</v>
      </c>
      <c r="C9741" s="1" t="n">
        <v>46185</v>
      </c>
      <c r="D9741" t="inlineStr">
        <is>
          <t>VÄSTERNORRLANDS LÄN</t>
        </is>
      </c>
      <c r="E9741" t="inlineStr">
        <is>
          <t>HÄRNÖSAND</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26620-2026</t>
        </is>
      </c>
      <c r="B9742" s="1" t="n">
        <v>46184.34458333333</v>
      </c>
      <c r="C9742" s="1" t="n">
        <v>46185</v>
      </c>
      <c r="D9742" t="inlineStr">
        <is>
          <t>VÄSTERNORRLANDS LÄN</t>
        </is>
      </c>
      <c r="E9742" t="inlineStr">
        <is>
          <t>ÖRNSKÖLDSVIK</t>
        </is>
      </c>
      <c r="F9742" t="inlineStr">
        <is>
          <t>SCA</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20885-2026</t>
        </is>
      </c>
      <c r="B9743" s="1" t="n">
        <v>46142.42805555555</v>
      </c>
      <c r="C9743" s="1" t="n">
        <v>46185</v>
      </c>
      <c r="D9743" t="inlineStr">
        <is>
          <t>VÄSTERNORRLANDS LÄN</t>
        </is>
      </c>
      <c r="E9743" t="inlineStr">
        <is>
          <t>SUNDSVALL</t>
        </is>
      </c>
      <c r="F9743" t="inlineStr">
        <is>
          <t>SCA</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57498-2022</t>
        </is>
      </c>
      <c r="B9744" s="1" t="n">
        <v>44896.6365162037</v>
      </c>
      <c r="C9744" s="1" t="n">
        <v>46185</v>
      </c>
      <c r="D9744" t="inlineStr">
        <is>
          <t>VÄSTERNORRLANDS LÄN</t>
        </is>
      </c>
      <c r="E9744" t="inlineStr">
        <is>
          <t>ÖRNSKÖLDSVIK</t>
        </is>
      </c>
      <c r="F9744" t="inlineStr">
        <is>
          <t>Holmen skog AB</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51972-2023</t>
        </is>
      </c>
      <c r="B9745" s="1" t="n">
        <v>45216</v>
      </c>
      <c r="C9745" s="1" t="n">
        <v>46185</v>
      </c>
      <c r="D9745" t="inlineStr">
        <is>
          <t>VÄSTERNORRLANDS LÄN</t>
        </is>
      </c>
      <c r="E9745" t="inlineStr">
        <is>
          <t>ÖRNSKÖLDSVIK</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3173-2024</t>
        </is>
      </c>
      <c r="B9746" s="1" t="n">
        <v>45316</v>
      </c>
      <c r="C9746" s="1" t="n">
        <v>46185</v>
      </c>
      <c r="D9746" t="inlineStr">
        <is>
          <t>VÄSTERNORRLANDS LÄN</t>
        </is>
      </c>
      <c r="E9746" t="inlineStr">
        <is>
          <t>ÖRNSKÖLDSVIK</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25996-2023</t>
        </is>
      </c>
      <c r="B9747" s="1" t="n">
        <v>45090.92568287037</v>
      </c>
      <c r="C9747" s="1" t="n">
        <v>46185</v>
      </c>
      <c r="D9747" t="inlineStr">
        <is>
          <t>VÄSTERNORRLANDS LÄN</t>
        </is>
      </c>
      <c r="E9747" t="inlineStr">
        <is>
          <t>SUNDSVALL</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20681-2026</t>
        </is>
      </c>
      <c r="B9748" s="1" t="n">
        <v>46141</v>
      </c>
      <c r="C9748" s="1" t="n">
        <v>46185</v>
      </c>
      <c r="D9748" t="inlineStr">
        <is>
          <t>VÄSTERNORRLANDS LÄN</t>
        </is>
      </c>
      <c r="E9748" t="inlineStr">
        <is>
          <t>ÅNGE</t>
        </is>
      </c>
      <c r="F9748" t="inlineStr">
        <is>
          <t>SCA</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1582-2025</t>
        </is>
      </c>
      <c r="B9749" s="1" t="n">
        <v>45670</v>
      </c>
      <c r="C9749" s="1" t="n">
        <v>46185</v>
      </c>
      <c r="D9749" t="inlineStr">
        <is>
          <t>VÄSTERNORRLANDS LÄN</t>
        </is>
      </c>
      <c r="E9749" t="inlineStr">
        <is>
          <t>ÅNGE</t>
        </is>
      </c>
      <c r="G9749" t="n">
        <v>7.3</v>
      </c>
      <c r="H9749" t="n">
        <v>0</v>
      </c>
      <c r="I9749" t="n">
        <v>0</v>
      </c>
      <c r="J9749" t="n">
        <v>0</v>
      </c>
      <c r="K9749" t="n">
        <v>0</v>
      </c>
      <c r="L9749" t="n">
        <v>0</v>
      </c>
      <c r="M9749" t="n">
        <v>0</v>
      </c>
      <c r="N9749" t="n">
        <v>0</v>
      </c>
      <c r="O9749" t="n">
        <v>0</v>
      </c>
      <c r="P9749" t="n">
        <v>0</v>
      </c>
      <c r="Q9749" t="n">
        <v>0</v>
      </c>
      <c r="R9749" s="2" t="inlineStr"/>
      <c r="U9749">
        <f>HYPERLINK("https://klasma.github.io/Logging_2260/knärot/A 1582-2025 karta knärot.png", "A 1582-2025")</f>
        <v/>
      </c>
      <c r="V9749">
        <f>HYPERLINK("https://klasma.github.io/Logging_2260/klagomål/A 1582-2025 FSC-klagomål.docx", "A 1582-2025")</f>
        <v/>
      </c>
      <c r="W9749">
        <f>HYPERLINK("https://klasma.github.io/Logging_2260/klagomålsmail/A 1582-2025 FSC-klagomål mail.docx", "A 1582-2025")</f>
        <v/>
      </c>
      <c r="X9749">
        <f>HYPERLINK("https://klasma.github.io/Logging_2260/tillsyn/A 1582-2025 tillsynsbegäran.docx", "A 1582-2025")</f>
        <v/>
      </c>
      <c r="Y9749">
        <f>HYPERLINK("https://klasma.github.io/Logging_2260/tillsynsmail/A 1582-2025 tillsynsbegäran mail.docx", "A 1582-2025")</f>
        <v/>
      </c>
    </row>
    <row r="9750" ht="15" customHeight="1">
      <c r="A9750" t="inlineStr">
        <is>
          <t>A 1595-2025</t>
        </is>
      </c>
      <c r="B9750" s="1" t="n">
        <v>45667</v>
      </c>
      <c r="C9750" s="1" t="n">
        <v>46185</v>
      </c>
      <c r="D9750" t="inlineStr">
        <is>
          <t>VÄSTERNORRLANDS LÄN</t>
        </is>
      </c>
      <c r="E9750" t="inlineStr">
        <is>
          <t>ÖRNSKÖLDSVIK</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20687-2026</t>
        </is>
      </c>
      <c r="B9751" s="1" t="n">
        <v>46141.45569444444</v>
      </c>
      <c r="C9751" s="1" t="n">
        <v>46185</v>
      </c>
      <c r="D9751" t="inlineStr">
        <is>
          <t>VÄSTERNORRLANDS LÄN</t>
        </is>
      </c>
      <c r="E9751" t="inlineStr">
        <is>
          <t>ÖRNSKÖLDSVIK</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20694-2026</t>
        </is>
      </c>
      <c r="B9752" s="1" t="n">
        <v>46141</v>
      </c>
      <c r="C9752" s="1" t="n">
        <v>46185</v>
      </c>
      <c r="D9752" t="inlineStr">
        <is>
          <t>VÄSTERNORRLANDS LÄN</t>
        </is>
      </c>
      <c r="E9752" t="inlineStr">
        <is>
          <t>SUNDSVALL</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20697-2026</t>
        </is>
      </c>
      <c r="B9753" s="1" t="n">
        <v>46141</v>
      </c>
      <c r="C9753" s="1" t="n">
        <v>46185</v>
      </c>
      <c r="D9753" t="inlineStr">
        <is>
          <t>VÄSTERNORRLANDS LÄN</t>
        </is>
      </c>
      <c r="E9753" t="inlineStr">
        <is>
          <t>TIMRÅ</t>
        </is>
      </c>
      <c r="F9753" t="inlineStr">
        <is>
          <t>SCA</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20842-2026</t>
        </is>
      </c>
      <c r="B9754" s="1" t="n">
        <v>46142.34467592592</v>
      </c>
      <c r="C9754" s="1" t="n">
        <v>46185</v>
      </c>
      <c r="D9754" t="inlineStr">
        <is>
          <t>VÄSTERNORRLANDS LÄN</t>
        </is>
      </c>
      <c r="E9754" t="inlineStr">
        <is>
          <t>ÅNGE</t>
        </is>
      </c>
      <c r="F9754" t="inlineStr">
        <is>
          <t>SCA</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20847-2026</t>
        </is>
      </c>
      <c r="B9755" s="1" t="n">
        <v>46142.34605324074</v>
      </c>
      <c r="C9755" s="1" t="n">
        <v>46185</v>
      </c>
      <c r="D9755" t="inlineStr">
        <is>
          <t>VÄSTERNORRLANDS LÄN</t>
        </is>
      </c>
      <c r="E9755" t="inlineStr">
        <is>
          <t>KRAMFORS</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2756-2022</t>
        </is>
      </c>
      <c r="B9756" s="1" t="n">
        <v>44580.92256944445</v>
      </c>
      <c r="C9756" s="1" t="n">
        <v>46185</v>
      </c>
      <c r="D9756" t="inlineStr">
        <is>
          <t>VÄSTERNORRLANDS LÄN</t>
        </is>
      </c>
      <c r="E9756" t="inlineStr">
        <is>
          <t>HÄRNÖSAND</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26720-2026</t>
        </is>
      </c>
      <c r="B9757" s="1" t="n">
        <v>46184.5112962963</v>
      </c>
      <c r="C9757" s="1" t="n">
        <v>46185</v>
      </c>
      <c r="D9757" t="inlineStr">
        <is>
          <t>VÄSTERNORRLANDS LÄN</t>
        </is>
      </c>
      <c r="E9757" t="inlineStr">
        <is>
          <t>ÅNGE</t>
        </is>
      </c>
      <c r="F9757" t="inlineStr">
        <is>
          <t>SCA</t>
        </is>
      </c>
      <c r="G9757" t="n">
        <v>7.3</v>
      </c>
      <c r="H9757" t="n">
        <v>0</v>
      </c>
      <c r="I9757" t="n">
        <v>0</v>
      </c>
      <c r="J9757" t="n">
        <v>0</v>
      </c>
      <c r="K9757" t="n">
        <v>0</v>
      </c>
      <c r="L9757" t="n">
        <v>0</v>
      </c>
      <c r="M9757" t="n">
        <v>0</v>
      </c>
      <c r="N9757" t="n">
        <v>0</v>
      </c>
      <c r="O9757" t="n">
        <v>0</v>
      </c>
      <c r="P9757" t="n">
        <v>0</v>
      </c>
      <c r="Q9757" t="n">
        <v>0</v>
      </c>
      <c r="R9757" s="2" t="inlineStr"/>
    </row>
    <row r="9758" ht="15" customHeight="1">
      <c r="A9758" t="inlineStr">
        <is>
          <t>A 21620-2026</t>
        </is>
      </c>
      <c r="B9758" s="1" t="n">
        <v>46149</v>
      </c>
      <c r="C9758" s="1" t="n">
        <v>46185</v>
      </c>
      <c r="D9758" t="inlineStr">
        <is>
          <t>VÄSTERNORRLANDS LÄN</t>
        </is>
      </c>
      <c r="E9758" t="inlineStr">
        <is>
          <t>SOLLEFTEÅ</t>
        </is>
      </c>
      <c r="F9758" t="inlineStr">
        <is>
          <t>SCA</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20619-2026</t>
        </is>
      </c>
      <c r="B9759" s="1" t="n">
        <v>46141</v>
      </c>
      <c r="C9759" s="1" t="n">
        <v>46185</v>
      </c>
      <c r="D9759" t="inlineStr">
        <is>
          <t>VÄSTERNORRLANDS LÄN</t>
        </is>
      </c>
      <c r="E9759" t="inlineStr">
        <is>
          <t>TIMRÅ</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26464-2026</t>
        </is>
      </c>
      <c r="B9760" s="1" t="n">
        <v>46183.49894675926</v>
      </c>
      <c r="C9760" s="1" t="n">
        <v>46185</v>
      </c>
      <c r="D9760" t="inlineStr">
        <is>
          <t>VÄSTERNORRLANDS LÄN</t>
        </is>
      </c>
      <c r="E9760" t="inlineStr">
        <is>
          <t>SOLLEFTEÅ</t>
        </is>
      </c>
      <c r="F9760" t="inlineStr">
        <is>
          <t>Holmen skog AB</t>
        </is>
      </c>
      <c r="G9760" t="n">
        <v>6.4</v>
      </c>
      <c r="H9760" t="n">
        <v>0</v>
      </c>
      <c r="I9760" t="n">
        <v>0</v>
      </c>
      <c r="J9760" t="n">
        <v>0</v>
      </c>
      <c r="K9760" t="n">
        <v>0</v>
      </c>
      <c r="L9760" t="n">
        <v>0</v>
      </c>
      <c r="M9760" t="n">
        <v>0</v>
      </c>
      <c r="N9760" t="n">
        <v>0</v>
      </c>
      <c r="O9760" t="n">
        <v>0</v>
      </c>
      <c r="P9760" t="n">
        <v>0</v>
      </c>
      <c r="Q9760" t="n">
        <v>0</v>
      </c>
      <c r="R9760" s="2" t="inlineStr"/>
    </row>
    <row r="9761" ht="15" customHeight="1">
      <c r="A9761" t="inlineStr">
        <is>
          <t>A 26544-2026</t>
        </is>
      </c>
      <c r="B9761" s="1" t="n">
        <v>46183.61517361111</v>
      </c>
      <c r="C9761" s="1" t="n">
        <v>46185</v>
      </c>
      <c r="D9761" t="inlineStr">
        <is>
          <t>VÄSTERNORRLANDS LÄN</t>
        </is>
      </c>
      <c r="E9761" t="inlineStr">
        <is>
          <t>SOLLEFTEÅ</t>
        </is>
      </c>
      <c r="F9761" t="inlineStr">
        <is>
          <t>SCA</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17173-2024</t>
        </is>
      </c>
      <c r="B9762" s="1" t="n">
        <v>45412.97866898148</v>
      </c>
      <c r="C9762" s="1" t="n">
        <v>46185</v>
      </c>
      <c r="D9762" t="inlineStr">
        <is>
          <t>VÄSTERNORRLANDS LÄN</t>
        </is>
      </c>
      <c r="E9762" t="inlineStr">
        <is>
          <t>SOLLEFTEÅ</t>
        </is>
      </c>
      <c r="F9762" t="inlineStr">
        <is>
          <t>SCA</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17876-2024</t>
        </is>
      </c>
      <c r="B9763" s="1" t="n">
        <v>45419.45701388889</v>
      </c>
      <c r="C9763" s="1" t="n">
        <v>46185</v>
      </c>
      <c r="D9763" t="inlineStr">
        <is>
          <t>VÄSTERNORRLANDS LÄN</t>
        </is>
      </c>
      <c r="E9763" t="inlineStr">
        <is>
          <t>KRAMFORS</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11749-2025</t>
        </is>
      </c>
      <c r="B9764" s="1" t="n">
        <v>45727.63706018519</v>
      </c>
      <c r="C9764" s="1" t="n">
        <v>46185</v>
      </c>
      <c r="D9764" t="inlineStr">
        <is>
          <t>VÄSTERNORRLANDS LÄN</t>
        </is>
      </c>
      <c r="E9764" t="inlineStr">
        <is>
          <t>ÖRNSKÖLDSVIK</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43728-2025</t>
        </is>
      </c>
      <c r="B9765" s="1" t="n">
        <v>45912</v>
      </c>
      <c r="C9765" s="1" t="n">
        <v>46185</v>
      </c>
      <c r="D9765" t="inlineStr">
        <is>
          <t>VÄSTERNORRLANDS LÄN</t>
        </is>
      </c>
      <c r="E9765" t="inlineStr">
        <is>
          <t>SUNDSVALL</t>
        </is>
      </c>
      <c r="G9765" t="n">
        <v>24.2</v>
      </c>
      <c r="H9765" t="n">
        <v>0</v>
      </c>
      <c r="I9765" t="n">
        <v>0</v>
      </c>
      <c r="J9765" t="n">
        <v>0</v>
      </c>
      <c r="K9765" t="n">
        <v>0</v>
      </c>
      <c r="L9765" t="n">
        <v>0</v>
      </c>
      <c r="M9765" t="n">
        <v>0</v>
      </c>
      <c r="N9765" t="n">
        <v>0</v>
      </c>
      <c r="O9765" t="n">
        <v>0</v>
      </c>
      <c r="P9765" t="n">
        <v>0</v>
      </c>
      <c r="Q9765" t="n">
        <v>0</v>
      </c>
      <c r="R9765" s="2" t="inlineStr"/>
    </row>
    <row r="9766" ht="15" customHeight="1">
      <c r="A9766" t="inlineStr">
        <is>
          <t>A 54908-2021</t>
        </is>
      </c>
      <c r="B9766" s="1" t="n">
        <v>44474.39769675926</v>
      </c>
      <c r="C9766" s="1" t="n">
        <v>46185</v>
      </c>
      <c r="D9766" t="inlineStr">
        <is>
          <t>VÄSTERNORRLANDS LÄN</t>
        </is>
      </c>
      <c r="E9766" t="inlineStr">
        <is>
          <t>ÅNGE</t>
        </is>
      </c>
      <c r="G9766" t="n">
        <v>7.8</v>
      </c>
      <c r="H9766" t="n">
        <v>0</v>
      </c>
      <c r="I9766" t="n">
        <v>0</v>
      </c>
      <c r="J9766" t="n">
        <v>0</v>
      </c>
      <c r="K9766" t="n">
        <v>0</v>
      </c>
      <c r="L9766" t="n">
        <v>0</v>
      </c>
      <c r="M9766" t="n">
        <v>0</v>
      </c>
      <c r="N9766" t="n">
        <v>0</v>
      </c>
      <c r="O9766" t="n">
        <v>0</v>
      </c>
      <c r="P9766" t="n">
        <v>0</v>
      </c>
      <c r="Q9766" t="n">
        <v>0</v>
      </c>
      <c r="R9766" s="2" t="inlineStr"/>
    </row>
    <row r="9767" ht="15" customHeight="1">
      <c r="A9767" t="inlineStr">
        <is>
          <t>A 68748-2021</t>
        </is>
      </c>
      <c r="B9767" s="1" t="n">
        <v>44529</v>
      </c>
      <c r="C9767" s="1" t="n">
        <v>46185</v>
      </c>
      <c r="D9767" t="inlineStr">
        <is>
          <t>VÄSTERNORRLANDS LÄN</t>
        </is>
      </c>
      <c r="E9767" t="inlineStr">
        <is>
          <t>ÖRNSKÖLDSVIK</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26200-2024</t>
        </is>
      </c>
      <c r="B9768" s="1" t="n">
        <v>45468</v>
      </c>
      <c r="C9768" s="1" t="n">
        <v>46185</v>
      </c>
      <c r="D9768" t="inlineStr">
        <is>
          <t>VÄSTERNORRLANDS LÄN</t>
        </is>
      </c>
      <c r="E9768" t="inlineStr">
        <is>
          <t>SUNDSVALL</t>
        </is>
      </c>
      <c r="G9768" t="n">
        <v>6.7</v>
      </c>
      <c r="H9768" t="n">
        <v>0</v>
      </c>
      <c r="I9768" t="n">
        <v>0</v>
      </c>
      <c r="J9768" t="n">
        <v>0</v>
      </c>
      <c r="K9768" t="n">
        <v>0</v>
      </c>
      <c r="L9768" t="n">
        <v>0</v>
      </c>
      <c r="M9768" t="n">
        <v>0</v>
      </c>
      <c r="N9768" t="n">
        <v>0</v>
      </c>
      <c r="O9768" t="n">
        <v>0</v>
      </c>
      <c r="P9768" t="n">
        <v>0</v>
      </c>
      <c r="Q9768" t="n">
        <v>0</v>
      </c>
      <c r="R9768" s="2" t="inlineStr"/>
    </row>
    <row r="9769" ht="15" customHeight="1">
      <c r="A9769" t="inlineStr">
        <is>
          <t>A 19051-2022</t>
        </is>
      </c>
      <c r="B9769" s="1" t="n">
        <v>44691.41167824074</v>
      </c>
      <c r="C9769" s="1" t="n">
        <v>46185</v>
      </c>
      <c r="D9769" t="inlineStr">
        <is>
          <t>VÄSTERNORRLANDS LÄN</t>
        </is>
      </c>
      <c r="E9769" t="inlineStr">
        <is>
          <t>SOLLEFTEÅ</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22990-2024</t>
        </is>
      </c>
      <c r="B9770" s="1" t="n">
        <v>45449.94548611111</v>
      </c>
      <c r="C9770" s="1" t="n">
        <v>46185</v>
      </c>
      <c r="D9770" t="inlineStr">
        <is>
          <t>VÄSTERNORRLANDS LÄN</t>
        </is>
      </c>
      <c r="E9770" t="inlineStr">
        <is>
          <t>ÅNGE</t>
        </is>
      </c>
      <c r="F9770" t="inlineStr">
        <is>
          <t>SCA</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27976-2024</t>
        </is>
      </c>
      <c r="B9771" s="1" t="n">
        <v>45476</v>
      </c>
      <c r="C9771" s="1" t="n">
        <v>46185</v>
      </c>
      <c r="D9771" t="inlineStr">
        <is>
          <t>VÄSTERNORRLANDS LÄN</t>
        </is>
      </c>
      <c r="E9771" t="inlineStr">
        <is>
          <t>HÄRNÖSAND</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28827-2023</t>
        </is>
      </c>
      <c r="B9772" s="1" t="n">
        <v>45104</v>
      </c>
      <c r="C9772" s="1" t="n">
        <v>46185</v>
      </c>
      <c r="D9772" t="inlineStr">
        <is>
          <t>VÄSTERNORRLANDS LÄN</t>
        </is>
      </c>
      <c r="E9772" t="inlineStr">
        <is>
          <t>ÖRNSKÖLDSVIK</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43049-2024</t>
        </is>
      </c>
      <c r="B9773" s="1" t="n">
        <v>45567</v>
      </c>
      <c r="C9773" s="1" t="n">
        <v>46185</v>
      </c>
      <c r="D9773" t="inlineStr">
        <is>
          <t>VÄSTERNORRLANDS LÄN</t>
        </is>
      </c>
      <c r="E9773" t="inlineStr">
        <is>
          <t>SOLLEFTEÅ</t>
        </is>
      </c>
      <c r="F9773" t="inlineStr">
        <is>
          <t>SCA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48913-2023</t>
        </is>
      </c>
      <c r="B9774" s="1" t="n">
        <v>45204</v>
      </c>
      <c r="C9774" s="1" t="n">
        <v>46185</v>
      </c>
      <c r="D9774" t="inlineStr">
        <is>
          <t>VÄSTERNORRLANDS LÄN</t>
        </is>
      </c>
      <c r="E9774" t="inlineStr">
        <is>
          <t>ÖRNSKÖLDSVIK</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9474-2023</t>
        </is>
      </c>
      <c r="B9775" s="1" t="n">
        <v>44977</v>
      </c>
      <c r="C9775" s="1" t="n">
        <v>46185</v>
      </c>
      <c r="D9775" t="inlineStr">
        <is>
          <t>VÄSTERNORRLANDS LÄN</t>
        </is>
      </c>
      <c r="E9775" t="inlineStr">
        <is>
          <t>ÖRNSKÖLDSVIK</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39589-2022</t>
        </is>
      </c>
      <c r="B9776" s="1" t="n">
        <v>44818</v>
      </c>
      <c r="C9776" s="1" t="n">
        <v>46185</v>
      </c>
      <c r="D9776" t="inlineStr">
        <is>
          <t>VÄSTERNORRLANDS LÄN</t>
        </is>
      </c>
      <c r="E9776" t="inlineStr">
        <is>
          <t>ÅNGE</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62593-2023</t>
        </is>
      </c>
      <c r="B9777" s="1" t="n">
        <v>45271.22373842593</v>
      </c>
      <c r="C9777" s="1" t="n">
        <v>46185</v>
      </c>
      <c r="D9777" t="inlineStr">
        <is>
          <t>VÄSTERNORRLANDS LÄN</t>
        </is>
      </c>
      <c r="E9777" t="inlineStr">
        <is>
          <t>ÖRNSKÖLDSVIK</t>
        </is>
      </c>
      <c r="G9777" t="n">
        <v>6.8</v>
      </c>
      <c r="H9777" t="n">
        <v>0</v>
      </c>
      <c r="I9777" t="n">
        <v>0</v>
      </c>
      <c r="J9777" t="n">
        <v>0</v>
      </c>
      <c r="K9777" t="n">
        <v>0</v>
      </c>
      <c r="L9777" t="n">
        <v>0</v>
      </c>
      <c r="M9777" t="n">
        <v>0</v>
      </c>
      <c r="N9777" t="n">
        <v>0</v>
      </c>
      <c r="O9777" t="n">
        <v>0</v>
      </c>
      <c r="P9777" t="n">
        <v>0</v>
      </c>
      <c r="Q9777" t="n">
        <v>0</v>
      </c>
      <c r="R9777" s="2" t="inlineStr"/>
    </row>
    <row r="9778" ht="15" customHeight="1">
      <c r="A9778" t="inlineStr">
        <is>
          <t>A 49403-2024</t>
        </is>
      </c>
      <c r="B9778" s="1" t="n">
        <v>45595.67730324074</v>
      </c>
      <c r="C9778" s="1" t="n">
        <v>46185</v>
      </c>
      <c r="D9778" t="inlineStr">
        <is>
          <t>VÄSTERNORRLANDS LÄN</t>
        </is>
      </c>
      <c r="E9778" t="inlineStr">
        <is>
          <t>SOLLEFTEÅ</t>
        </is>
      </c>
      <c r="F9778" t="inlineStr">
        <is>
          <t>SCA</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13611-2023</t>
        </is>
      </c>
      <c r="B9779" s="1" t="n">
        <v>45006</v>
      </c>
      <c r="C9779" s="1" t="n">
        <v>46185</v>
      </c>
      <c r="D9779" t="inlineStr">
        <is>
          <t>VÄSTERNORRLANDS LÄN</t>
        </is>
      </c>
      <c r="E9779" t="inlineStr">
        <is>
          <t>HÄRNÖSAND</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56863-2023</t>
        </is>
      </c>
      <c r="B9780" s="1" t="n">
        <v>45239</v>
      </c>
      <c r="C9780" s="1" t="n">
        <v>46185</v>
      </c>
      <c r="D9780" t="inlineStr">
        <is>
          <t>VÄSTERNORRLANDS LÄN</t>
        </is>
      </c>
      <c r="E9780" t="inlineStr">
        <is>
          <t>KRAMFORS</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22631-2024</t>
        </is>
      </c>
      <c r="B9781" s="1" t="n">
        <v>45447</v>
      </c>
      <c r="C9781" s="1" t="n">
        <v>46185</v>
      </c>
      <c r="D9781" t="inlineStr">
        <is>
          <t>VÄSTERNORRLANDS LÄN</t>
        </is>
      </c>
      <c r="E9781" t="inlineStr">
        <is>
          <t>ÖRNSKÖLDSVIK</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44490-2022</t>
        </is>
      </c>
      <c r="B9782" s="1" t="n">
        <v>44840</v>
      </c>
      <c r="C9782" s="1" t="n">
        <v>46185</v>
      </c>
      <c r="D9782" t="inlineStr">
        <is>
          <t>VÄSTERNORRLANDS LÄN</t>
        </is>
      </c>
      <c r="E9782" t="inlineStr">
        <is>
          <t>ÖRNSKÖLDSVIK</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37524-2024</t>
        </is>
      </c>
      <c r="B9783" s="1" t="n">
        <v>45541.39768518518</v>
      </c>
      <c r="C9783" s="1" t="n">
        <v>46185</v>
      </c>
      <c r="D9783" t="inlineStr">
        <is>
          <t>VÄSTERNORRLANDS LÄN</t>
        </is>
      </c>
      <c r="E9783" t="inlineStr">
        <is>
          <t>ÖRNSKÖLDSVIK</t>
        </is>
      </c>
      <c r="F9783" t="inlineStr">
        <is>
          <t>Holmen skog AB</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25320-2023</t>
        </is>
      </c>
      <c r="B9784" s="1" t="n">
        <v>45086.93929398148</v>
      </c>
      <c r="C9784" s="1" t="n">
        <v>46185</v>
      </c>
      <c r="D9784" t="inlineStr">
        <is>
          <t>VÄSTERNORRLANDS LÄN</t>
        </is>
      </c>
      <c r="E9784" t="inlineStr">
        <is>
          <t>ÅNGE</t>
        </is>
      </c>
      <c r="F9784" t="inlineStr">
        <is>
          <t>SCA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24487-2023</t>
        </is>
      </c>
      <c r="B9785" s="1" t="n">
        <v>45082.61065972222</v>
      </c>
      <c r="C9785" s="1" t="n">
        <v>46185</v>
      </c>
      <c r="D9785" t="inlineStr">
        <is>
          <t>VÄSTERNORRLANDS LÄN</t>
        </is>
      </c>
      <c r="E9785" t="inlineStr">
        <is>
          <t>ÖRNSKÖLDSVIK</t>
        </is>
      </c>
      <c r="F9785" t="inlineStr">
        <is>
          <t>Holmen skog AB</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24541-2023</t>
        </is>
      </c>
      <c r="B9786" s="1" t="n">
        <v>45082.94135416667</v>
      </c>
      <c r="C9786" s="1" t="n">
        <v>46185</v>
      </c>
      <c r="D9786" t="inlineStr">
        <is>
          <t>VÄSTERNORRLANDS LÄN</t>
        </is>
      </c>
      <c r="E9786" t="inlineStr">
        <is>
          <t>ÅNGE</t>
        </is>
      </c>
      <c r="F9786" t="inlineStr">
        <is>
          <t>SCA</t>
        </is>
      </c>
      <c r="G9786" t="n">
        <v>6.8</v>
      </c>
      <c r="H9786" t="n">
        <v>0</v>
      </c>
      <c r="I9786" t="n">
        <v>0</v>
      </c>
      <c r="J9786" t="n">
        <v>0</v>
      </c>
      <c r="K9786" t="n">
        <v>0</v>
      </c>
      <c r="L9786" t="n">
        <v>0</v>
      </c>
      <c r="M9786" t="n">
        <v>0</v>
      </c>
      <c r="N9786" t="n">
        <v>0</v>
      </c>
      <c r="O9786" t="n">
        <v>0</v>
      </c>
      <c r="P9786" t="n">
        <v>0</v>
      </c>
      <c r="Q9786" t="n">
        <v>0</v>
      </c>
      <c r="R9786" s="2" t="inlineStr"/>
    </row>
    <row r="9787" ht="15" customHeight="1">
      <c r="A9787" t="inlineStr">
        <is>
          <t>A 50213-2024</t>
        </is>
      </c>
      <c r="B9787" s="1" t="n">
        <v>45600.51435185185</v>
      </c>
      <c r="C9787" s="1" t="n">
        <v>46185</v>
      </c>
      <c r="D9787" t="inlineStr">
        <is>
          <t>VÄSTERNORRLANDS LÄN</t>
        </is>
      </c>
      <c r="E9787" t="inlineStr">
        <is>
          <t>SUNDSVALL</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54314-2024</t>
        </is>
      </c>
      <c r="B9788" s="1" t="n">
        <v>45617.34430555555</v>
      </c>
      <c r="C9788" s="1" t="n">
        <v>46185</v>
      </c>
      <c r="D9788" t="inlineStr">
        <is>
          <t>VÄSTERNORRLANDS LÄN</t>
        </is>
      </c>
      <c r="E9788" t="inlineStr">
        <is>
          <t>SUNDSVALL</t>
        </is>
      </c>
      <c r="F9788" t="inlineStr">
        <is>
          <t>SCA</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56306-2024</t>
        </is>
      </c>
      <c r="B9789" s="1" t="n">
        <v>45624.69822916666</v>
      </c>
      <c r="C9789" s="1" t="n">
        <v>46185</v>
      </c>
      <c r="D9789" t="inlineStr">
        <is>
          <t>VÄSTERNORRLANDS LÄN</t>
        </is>
      </c>
      <c r="E9789" t="inlineStr">
        <is>
          <t>ÖRNSKÖLDSVIK</t>
        </is>
      </c>
      <c r="F9789" t="inlineStr">
        <is>
          <t>SCA</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51476-2024</t>
        </is>
      </c>
      <c r="B9790" s="1" t="n">
        <v>45604</v>
      </c>
      <c r="C9790" s="1" t="n">
        <v>46185</v>
      </c>
      <c r="D9790" t="inlineStr">
        <is>
          <t>VÄSTERNORRLANDS LÄN</t>
        </is>
      </c>
      <c r="E9790" t="inlineStr">
        <is>
          <t>SUNDSVALL</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48605-2024</t>
        </is>
      </c>
      <c r="B9791" s="1" t="n">
        <v>45593.4483912037</v>
      </c>
      <c r="C9791" s="1" t="n">
        <v>46185</v>
      </c>
      <c r="D9791" t="inlineStr">
        <is>
          <t>VÄSTERNORRLANDS LÄN</t>
        </is>
      </c>
      <c r="E9791" t="inlineStr">
        <is>
          <t>ÖRNSKÖLDSVIK</t>
        </is>
      </c>
      <c r="F9791" t="inlineStr">
        <is>
          <t>Holmen skog AB</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18542-2022</t>
        </is>
      </c>
      <c r="B9792" s="1" t="n">
        <v>44686</v>
      </c>
      <c r="C9792" s="1" t="n">
        <v>46185</v>
      </c>
      <c r="D9792" t="inlineStr">
        <is>
          <t>VÄSTERNORRLANDS LÄN</t>
        </is>
      </c>
      <c r="E9792" t="inlineStr">
        <is>
          <t>ÅNGE</t>
        </is>
      </c>
      <c r="G9792" t="n">
        <v>0.2</v>
      </c>
      <c r="H9792" t="n">
        <v>0</v>
      </c>
      <c r="I9792" t="n">
        <v>0</v>
      </c>
      <c r="J9792" t="n">
        <v>0</v>
      </c>
      <c r="K9792" t="n">
        <v>0</v>
      </c>
      <c r="L9792" t="n">
        <v>0</v>
      </c>
      <c r="M9792" t="n">
        <v>0</v>
      </c>
      <c r="N9792" t="n">
        <v>0</v>
      </c>
      <c r="O9792" t="n">
        <v>0</v>
      </c>
      <c r="P9792" t="n">
        <v>0</v>
      </c>
      <c r="Q9792" t="n">
        <v>0</v>
      </c>
      <c r="R9792" s="2" t="inlineStr"/>
    </row>
    <row r="9793" ht="15" customHeight="1">
      <c r="A9793" t="inlineStr">
        <is>
          <t>A 44600-2024</t>
        </is>
      </c>
      <c r="B9793" s="1" t="n">
        <v>45574.51113425926</v>
      </c>
      <c r="C9793" s="1" t="n">
        <v>46185</v>
      </c>
      <c r="D9793" t="inlineStr">
        <is>
          <t>VÄSTERNORRLANDS LÄN</t>
        </is>
      </c>
      <c r="E9793" t="inlineStr">
        <is>
          <t>ÅNGE</t>
        </is>
      </c>
      <c r="F9793" t="inlineStr">
        <is>
          <t>SCA</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64617-2023</t>
        </is>
      </c>
      <c r="B9794" s="1" t="n">
        <v>45281</v>
      </c>
      <c r="C9794" s="1" t="n">
        <v>46185</v>
      </c>
      <c r="D9794" t="inlineStr">
        <is>
          <t>VÄSTERNORRLANDS LÄN</t>
        </is>
      </c>
      <c r="E9794" t="inlineStr">
        <is>
          <t>SOLLEFTEÅ</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18684-2023</t>
        </is>
      </c>
      <c r="B9795" s="1" t="n">
        <v>45042</v>
      </c>
      <c r="C9795" s="1" t="n">
        <v>46185</v>
      </c>
      <c r="D9795" t="inlineStr">
        <is>
          <t>VÄSTERNORRLANDS LÄN</t>
        </is>
      </c>
      <c r="E9795" t="inlineStr">
        <is>
          <t>TIMRÅ</t>
        </is>
      </c>
      <c r="G9795" t="n">
        <v>5.7</v>
      </c>
      <c r="H9795" t="n">
        <v>0</v>
      </c>
      <c r="I9795" t="n">
        <v>0</v>
      </c>
      <c r="J9795" t="n">
        <v>0</v>
      </c>
      <c r="K9795" t="n">
        <v>0</v>
      </c>
      <c r="L9795" t="n">
        <v>0</v>
      </c>
      <c r="M9795" t="n">
        <v>0</v>
      </c>
      <c r="N9795" t="n">
        <v>0</v>
      </c>
      <c r="O9795" t="n">
        <v>0</v>
      </c>
      <c r="P9795" t="n">
        <v>0</v>
      </c>
      <c r="Q9795" t="n">
        <v>0</v>
      </c>
      <c r="R9795" s="2" t="inlineStr"/>
    </row>
    <row r="9796" ht="15" customHeight="1">
      <c r="A9796" t="inlineStr">
        <is>
          <t>A 51110-2021</t>
        </is>
      </c>
      <c r="B9796" s="1" t="n">
        <v>44461</v>
      </c>
      <c r="C9796" s="1" t="n">
        <v>46185</v>
      </c>
      <c r="D9796" t="inlineStr">
        <is>
          <t>VÄSTERNORRLANDS LÄN</t>
        </is>
      </c>
      <c r="E9796" t="inlineStr">
        <is>
          <t>ÖRNSKÖLDSVIK</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43195-2021</t>
        </is>
      </c>
      <c r="B9797" s="1" t="n">
        <v>44431</v>
      </c>
      <c r="C9797" s="1" t="n">
        <v>46185</v>
      </c>
      <c r="D9797" t="inlineStr">
        <is>
          <t>VÄSTERNORRLANDS LÄN</t>
        </is>
      </c>
      <c r="E9797" t="inlineStr">
        <is>
          <t>SUNDSVALL</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26013-2024</t>
        </is>
      </c>
      <c r="B9798" s="1" t="n">
        <v>45467</v>
      </c>
      <c r="C9798" s="1" t="n">
        <v>46185</v>
      </c>
      <c r="D9798" t="inlineStr">
        <is>
          <t>VÄSTERNORRLANDS LÄN</t>
        </is>
      </c>
      <c r="E9798" t="inlineStr">
        <is>
          <t>ÅNGE</t>
        </is>
      </c>
      <c r="F9798" t="inlineStr">
        <is>
          <t>SCA</t>
        </is>
      </c>
      <c r="G9798" t="n">
        <v>6.8</v>
      </c>
      <c r="H9798" t="n">
        <v>0</v>
      </c>
      <c r="I9798" t="n">
        <v>0</v>
      </c>
      <c r="J9798" t="n">
        <v>0</v>
      </c>
      <c r="K9798" t="n">
        <v>0</v>
      </c>
      <c r="L9798" t="n">
        <v>0</v>
      </c>
      <c r="M9798" t="n">
        <v>0</v>
      </c>
      <c r="N9798" t="n">
        <v>0</v>
      </c>
      <c r="O9798" t="n">
        <v>0</v>
      </c>
      <c r="P9798" t="n">
        <v>0</v>
      </c>
      <c r="Q9798" t="n">
        <v>0</v>
      </c>
      <c r="R9798" s="2" t="inlineStr"/>
    </row>
    <row r="9799" ht="15" customHeight="1">
      <c r="A9799" t="inlineStr">
        <is>
          <t>A 25377-2024</t>
        </is>
      </c>
      <c r="B9799" s="1" t="n">
        <v>45462.96211805556</v>
      </c>
      <c r="C9799" s="1" t="n">
        <v>46185</v>
      </c>
      <c r="D9799" t="inlineStr">
        <is>
          <t>VÄSTERNORRLANDS LÄN</t>
        </is>
      </c>
      <c r="E9799" t="inlineStr">
        <is>
          <t>ÅNGE</t>
        </is>
      </c>
      <c r="F9799" t="inlineStr">
        <is>
          <t>SCA</t>
        </is>
      </c>
      <c r="G9799" t="n">
        <v>20.7</v>
      </c>
      <c r="H9799" t="n">
        <v>0</v>
      </c>
      <c r="I9799" t="n">
        <v>0</v>
      </c>
      <c r="J9799" t="n">
        <v>0</v>
      </c>
      <c r="K9799" t="n">
        <v>0</v>
      </c>
      <c r="L9799" t="n">
        <v>0</v>
      </c>
      <c r="M9799" t="n">
        <v>0</v>
      </c>
      <c r="N9799" t="n">
        <v>0</v>
      </c>
      <c r="O9799" t="n">
        <v>0</v>
      </c>
      <c r="P9799" t="n">
        <v>0</v>
      </c>
      <c r="Q9799" t="n">
        <v>0</v>
      </c>
      <c r="R9799" s="2" t="inlineStr"/>
    </row>
    <row r="9800" ht="15" customHeight="1">
      <c r="A9800" t="inlineStr">
        <is>
          <t>A 53371-2023</t>
        </is>
      </c>
      <c r="B9800" s="1" t="n">
        <v>45229</v>
      </c>
      <c r="C9800" s="1" t="n">
        <v>46185</v>
      </c>
      <c r="D9800" t="inlineStr">
        <is>
          <t>VÄSTERNORRLANDS LÄN</t>
        </is>
      </c>
      <c r="E9800" t="inlineStr">
        <is>
          <t>ÖRNSKÖLDSVIK</t>
        </is>
      </c>
      <c r="F9800" t="inlineStr">
        <is>
          <t>Holmen skog AB</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19055-2022</t>
        </is>
      </c>
      <c r="B9801" s="1" t="n">
        <v>44691.42189814815</v>
      </c>
      <c r="C9801" s="1" t="n">
        <v>46185</v>
      </c>
      <c r="D9801" t="inlineStr">
        <is>
          <t>VÄSTERNORRLANDS LÄN</t>
        </is>
      </c>
      <c r="E9801" t="inlineStr">
        <is>
          <t>SOLLEFTEÅ</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43906-2024</t>
        </is>
      </c>
      <c r="B9802" s="1" t="n">
        <v>45572.42702546297</v>
      </c>
      <c r="C9802" s="1" t="n">
        <v>46185</v>
      </c>
      <c r="D9802" t="inlineStr">
        <is>
          <t>VÄSTERNORRLANDS LÄN</t>
        </is>
      </c>
      <c r="E9802" t="inlineStr">
        <is>
          <t>ÖRNSKÖLDSVIK</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52119-2023</t>
        </is>
      </c>
      <c r="B9803" s="1" t="n">
        <v>45223</v>
      </c>
      <c r="C9803" s="1" t="n">
        <v>46185</v>
      </c>
      <c r="D9803" t="inlineStr">
        <is>
          <t>VÄSTERNORRLANDS LÄN</t>
        </is>
      </c>
      <c r="E9803" t="inlineStr">
        <is>
          <t>SUNDSVALL</t>
        </is>
      </c>
      <c r="F9803" t="inlineStr">
        <is>
          <t>SCA</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5038-2024</t>
        </is>
      </c>
      <c r="B9804" s="1" t="n">
        <v>45329.88456018519</v>
      </c>
      <c r="C9804" s="1" t="n">
        <v>46185</v>
      </c>
      <c r="D9804" t="inlineStr">
        <is>
          <t>VÄSTERNORRLANDS LÄN</t>
        </is>
      </c>
      <c r="E9804" t="inlineStr">
        <is>
          <t>SOLLEFTEÅ</t>
        </is>
      </c>
      <c r="F9804" t="inlineStr">
        <is>
          <t>Övriga Aktiebolag</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53278-2021</t>
        </is>
      </c>
      <c r="B9805" s="1" t="n">
        <v>44467</v>
      </c>
      <c r="C9805" s="1" t="n">
        <v>46185</v>
      </c>
      <c r="D9805" t="inlineStr">
        <is>
          <t>VÄSTERNORRLANDS LÄN</t>
        </is>
      </c>
      <c r="E9805" t="inlineStr">
        <is>
          <t>SOLLEFTEÅ</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1848-2024</t>
        </is>
      </c>
      <c r="B9806" s="1" t="n">
        <v>45307</v>
      </c>
      <c r="C9806" s="1" t="n">
        <v>46185</v>
      </c>
      <c r="D9806" t="inlineStr">
        <is>
          <t>VÄSTERNORRLANDS LÄN</t>
        </is>
      </c>
      <c r="E9806" t="inlineStr">
        <is>
          <t>SOLLEFTEÅ</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56956-2022</t>
        </is>
      </c>
      <c r="B9807" s="1" t="n">
        <v>44894</v>
      </c>
      <c r="C9807" s="1" t="n">
        <v>46185</v>
      </c>
      <c r="D9807" t="inlineStr">
        <is>
          <t>VÄSTERNORRLANDS LÄN</t>
        </is>
      </c>
      <c r="E9807" t="inlineStr">
        <is>
          <t>ÅNGE</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54599-2024</t>
        </is>
      </c>
      <c r="B9808" s="1" t="n">
        <v>45617.67974537037</v>
      </c>
      <c r="C9808" s="1" t="n">
        <v>46185</v>
      </c>
      <c r="D9808" t="inlineStr">
        <is>
          <t>VÄSTERNORRLANDS LÄN</t>
        </is>
      </c>
      <c r="E9808" t="inlineStr">
        <is>
          <t>ÖRNSKÖLDSVIK</t>
        </is>
      </c>
      <c r="F9808" t="inlineStr">
        <is>
          <t>Holmen skog AB</t>
        </is>
      </c>
      <c r="G9808" t="n">
        <v>5.8</v>
      </c>
      <c r="H9808" t="n">
        <v>0</v>
      </c>
      <c r="I9808" t="n">
        <v>0</v>
      </c>
      <c r="J9808" t="n">
        <v>0</v>
      </c>
      <c r="K9808" t="n">
        <v>0</v>
      </c>
      <c r="L9808" t="n">
        <v>0</v>
      </c>
      <c r="M9808" t="n">
        <v>0</v>
      </c>
      <c r="N9808" t="n">
        <v>0</v>
      </c>
      <c r="O9808" t="n">
        <v>0</v>
      </c>
      <c r="P9808" t="n">
        <v>0</v>
      </c>
      <c r="Q9808" t="n">
        <v>0</v>
      </c>
      <c r="R9808" s="2" t="inlineStr"/>
    </row>
    <row r="9809" ht="15" customHeight="1">
      <c r="A9809" t="inlineStr">
        <is>
          <t>A 54625-2024</t>
        </is>
      </c>
      <c r="B9809" s="1" t="n">
        <v>45617.80711805556</v>
      </c>
      <c r="C9809" s="1" t="n">
        <v>46185</v>
      </c>
      <c r="D9809" t="inlineStr">
        <is>
          <t>VÄSTERNORRLANDS LÄN</t>
        </is>
      </c>
      <c r="E9809" t="inlineStr">
        <is>
          <t>ÖRNSKÖLDSVIK</t>
        </is>
      </c>
      <c r="F9809" t="inlineStr">
        <is>
          <t>Holmen skog AB</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786-2024</t>
        </is>
      </c>
      <c r="B9810" s="1" t="n">
        <v>45300</v>
      </c>
      <c r="C9810" s="1" t="n">
        <v>46185</v>
      </c>
      <c r="D9810" t="inlineStr">
        <is>
          <t>VÄSTERNORRLANDS LÄN</t>
        </is>
      </c>
      <c r="E9810" t="inlineStr">
        <is>
          <t>HÄRNÖSAND</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51249-2022</t>
        </is>
      </c>
      <c r="B9811" s="1" t="n">
        <v>44866</v>
      </c>
      <c r="C9811" s="1" t="n">
        <v>46185</v>
      </c>
      <c r="D9811" t="inlineStr">
        <is>
          <t>VÄSTERNORRLANDS LÄN</t>
        </is>
      </c>
      <c r="E9811" t="inlineStr">
        <is>
          <t>SOLLEFTEÅ</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802-2024</t>
        </is>
      </c>
      <c r="B9812" s="1" t="n">
        <v>45300</v>
      </c>
      <c r="C9812" s="1" t="n">
        <v>46185</v>
      </c>
      <c r="D9812" t="inlineStr">
        <is>
          <t>VÄSTERNORRLANDS LÄN</t>
        </is>
      </c>
      <c r="E9812" t="inlineStr">
        <is>
          <t>ÖRNSKÖLDSVIK</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49379-2023</t>
        </is>
      </c>
      <c r="B9813" s="1" t="n">
        <v>45211.37773148148</v>
      </c>
      <c r="C9813" s="1" t="n">
        <v>46185</v>
      </c>
      <c r="D9813" t="inlineStr">
        <is>
          <t>VÄSTERNORRLANDS LÄN</t>
        </is>
      </c>
      <c r="E9813" t="inlineStr">
        <is>
          <t>ÖRNSKÖLDSVIK</t>
        </is>
      </c>
      <c r="F9813" t="inlineStr">
        <is>
          <t>Holmen skog AB</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59084-2022</t>
        </is>
      </c>
      <c r="B9814" s="1" t="n">
        <v>44897</v>
      </c>
      <c r="C9814" s="1" t="n">
        <v>46185</v>
      </c>
      <c r="D9814" t="inlineStr">
        <is>
          <t>VÄSTERNORRLANDS LÄN</t>
        </is>
      </c>
      <c r="E9814" t="inlineStr">
        <is>
          <t>KRAMFORS</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34281-2022</t>
        </is>
      </c>
      <c r="B9815" s="1" t="n">
        <v>44791</v>
      </c>
      <c r="C9815" s="1" t="n">
        <v>46185</v>
      </c>
      <c r="D9815" t="inlineStr">
        <is>
          <t>VÄSTERNORRLANDS LÄN</t>
        </is>
      </c>
      <c r="E9815" t="inlineStr">
        <is>
          <t>SOLLEFTEÅ</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34309-2022</t>
        </is>
      </c>
      <c r="B9816" s="1" t="n">
        <v>44792</v>
      </c>
      <c r="C9816" s="1" t="n">
        <v>46185</v>
      </c>
      <c r="D9816" t="inlineStr">
        <is>
          <t>VÄSTERNORRLANDS LÄN</t>
        </is>
      </c>
      <c r="E9816" t="inlineStr">
        <is>
          <t>ÖRNSKÖLDSVIK</t>
        </is>
      </c>
      <c r="F9816" t="inlineStr">
        <is>
          <t>Holmen skog AB</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17431-2023</t>
        </is>
      </c>
      <c r="B9817" s="1" t="n">
        <v>45035</v>
      </c>
      <c r="C9817" s="1" t="n">
        <v>46185</v>
      </c>
      <c r="D9817" t="inlineStr">
        <is>
          <t>VÄSTERNORRLANDS LÄN</t>
        </is>
      </c>
      <c r="E9817" t="inlineStr">
        <is>
          <t>HÄRNÖSAND</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10530-2023</t>
        </is>
      </c>
      <c r="B9818" s="1" t="n">
        <v>44987.92324074074</v>
      </c>
      <c r="C9818" s="1" t="n">
        <v>46185</v>
      </c>
      <c r="D9818" t="inlineStr">
        <is>
          <t>VÄSTERNORRLANDS LÄN</t>
        </is>
      </c>
      <c r="E9818" t="inlineStr">
        <is>
          <t>SUNDSVALL</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10544-2023</t>
        </is>
      </c>
      <c r="B9819" s="1" t="n">
        <v>44987</v>
      </c>
      <c r="C9819" s="1" t="n">
        <v>46185</v>
      </c>
      <c r="D9819" t="inlineStr">
        <is>
          <t>VÄSTERNORRLANDS LÄN</t>
        </is>
      </c>
      <c r="E9819" t="inlineStr">
        <is>
          <t>HÄRNÖSAND</t>
        </is>
      </c>
      <c r="F9819" t="inlineStr">
        <is>
          <t>SCA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61166-2024</t>
        </is>
      </c>
      <c r="B9820" s="1" t="n">
        <v>45645.59753472222</v>
      </c>
      <c r="C9820" s="1" t="n">
        <v>46185</v>
      </c>
      <c r="D9820" t="inlineStr">
        <is>
          <t>VÄSTERNORRLANDS LÄN</t>
        </is>
      </c>
      <c r="E9820" t="inlineStr">
        <is>
          <t>TIMRÅ</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18199-2023</t>
        </is>
      </c>
      <c r="B9821" s="1" t="n">
        <v>45041</v>
      </c>
      <c r="C9821" s="1" t="n">
        <v>46185</v>
      </c>
      <c r="D9821" t="inlineStr">
        <is>
          <t>VÄSTERNORRLANDS LÄN</t>
        </is>
      </c>
      <c r="E9821" t="inlineStr">
        <is>
          <t>ÖRNSKÖLDSVIK</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61195-2024</t>
        </is>
      </c>
      <c r="B9822" s="1" t="n">
        <v>45645.63046296296</v>
      </c>
      <c r="C9822" s="1" t="n">
        <v>46185</v>
      </c>
      <c r="D9822" t="inlineStr">
        <is>
          <t>VÄSTERNORRLANDS LÄN</t>
        </is>
      </c>
      <c r="E9822" t="inlineStr">
        <is>
          <t>ÖRNSKÖLDSVIK</t>
        </is>
      </c>
      <c r="F9822" t="inlineStr">
        <is>
          <t>Holmen skog AB</t>
        </is>
      </c>
      <c r="G9822" t="n">
        <v>9.5</v>
      </c>
      <c r="H9822" t="n">
        <v>0</v>
      </c>
      <c r="I9822" t="n">
        <v>0</v>
      </c>
      <c r="J9822" t="n">
        <v>0</v>
      </c>
      <c r="K9822" t="n">
        <v>0</v>
      </c>
      <c r="L9822" t="n">
        <v>0</v>
      </c>
      <c r="M9822" t="n">
        <v>0</v>
      </c>
      <c r="N9822" t="n">
        <v>0</v>
      </c>
      <c r="O9822" t="n">
        <v>0</v>
      </c>
      <c r="P9822" t="n">
        <v>0</v>
      </c>
      <c r="Q9822" t="n">
        <v>0</v>
      </c>
      <c r="R9822" s="2" t="inlineStr"/>
    </row>
    <row r="9823" ht="15" customHeight="1">
      <c r="A9823" t="inlineStr">
        <is>
          <t>A 55868-2024</t>
        </is>
      </c>
      <c r="B9823" s="1" t="n">
        <v>45623.55108796297</v>
      </c>
      <c r="C9823" s="1" t="n">
        <v>46185</v>
      </c>
      <c r="D9823" t="inlineStr">
        <is>
          <t>VÄSTERNORRLANDS LÄN</t>
        </is>
      </c>
      <c r="E9823" t="inlineStr">
        <is>
          <t>ÖRNSKÖLDSVIK</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55872-2024</t>
        </is>
      </c>
      <c r="B9824" s="1" t="n">
        <v>45623</v>
      </c>
      <c r="C9824" s="1" t="n">
        <v>46185</v>
      </c>
      <c r="D9824" t="inlineStr">
        <is>
          <t>VÄSTERNORRLANDS LÄN</t>
        </is>
      </c>
      <c r="E9824" t="inlineStr">
        <is>
          <t>SOLLEFTEÅ</t>
        </is>
      </c>
      <c r="F9824" t="inlineStr">
        <is>
          <t>SCA</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54318-2023</t>
        </is>
      </c>
      <c r="B9825" s="1" t="n">
        <v>45232</v>
      </c>
      <c r="C9825" s="1" t="n">
        <v>46185</v>
      </c>
      <c r="D9825" t="inlineStr">
        <is>
          <t>VÄSTERNORRLANDS LÄN</t>
        </is>
      </c>
      <c r="E9825" t="inlineStr">
        <is>
          <t>KRAMFORS</t>
        </is>
      </c>
      <c r="F9825" t="inlineStr">
        <is>
          <t>Kyrkan</t>
        </is>
      </c>
      <c r="G9825" t="n">
        <v>6.8</v>
      </c>
      <c r="H9825" t="n">
        <v>0</v>
      </c>
      <c r="I9825" t="n">
        <v>0</v>
      </c>
      <c r="J9825" t="n">
        <v>0</v>
      </c>
      <c r="K9825" t="n">
        <v>0</v>
      </c>
      <c r="L9825" t="n">
        <v>0</v>
      </c>
      <c r="M9825" t="n">
        <v>0</v>
      </c>
      <c r="N9825" t="n">
        <v>0</v>
      </c>
      <c r="O9825" t="n">
        <v>0</v>
      </c>
      <c r="P9825" t="n">
        <v>0</v>
      </c>
      <c r="Q9825" t="n">
        <v>0</v>
      </c>
      <c r="R9825" s="2" t="inlineStr"/>
    </row>
    <row r="9826" ht="15" customHeight="1">
      <c r="A9826" t="inlineStr">
        <is>
          <t>A 13427-2023</t>
        </is>
      </c>
      <c r="B9826" s="1" t="n">
        <v>45005</v>
      </c>
      <c r="C9826" s="1" t="n">
        <v>46185</v>
      </c>
      <c r="D9826" t="inlineStr">
        <is>
          <t>VÄSTERNORRLANDS LÄN</t>
        </is>
      </c>
      <c r="E9826" t="inlineStr">
        <is>
          <t>ÖRNSKÖLDSVIK</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13691-2023</t>
        </is>
      </c>
      <c r="B9827" s="1" t="n">
        <v>45006</v>
      </c>
      <c r="C9827" s="1" t="n">
        <v>46185</v>
      </c>
      <c r="D9827" t="inlineStr">
        <is>
          <t>VÄSTERNORRLANDS LÄN</t>
        </is>
      </c>
      <c r="E9827" t="inlineStr">
        <is>
          <t>SUNDSVALL</t>
        </is>
      </c>
      <c r="G9827" t="n">
        <v>9.5</v>
      </c>
      <c r="H9827" t="n">
        <v>0</v>
      </c>
      <c r="I9827" t="n">
        <v>0</v>
      </c>
      <c r="J9827" t="n">
        <v>0</v>
      </c>
      <c r="K9827" t="n">
        <v>0</v>
      </c>
      <c r="L9827" t="n">
        <v>0</v>
      </c>
      <c r="M9827" t="n">
        <v>0</v>
      </c>
      <c r="N9827" t="n">
        <v>0</v>
      </c>
      <c r="O9827" t="n">
        <v>0</v>
      </c>
      <c r="P9827" t="n">
        <v>0</v>
      </c>
      <c r="Q9827" t="n">
        <v>0</v>
      </c>
      <c r="R9827" s="2" t="inlineStr"/>
    </row>
    <row r="9828" ht="15" customHeight="1">
      <c r="A9828" t="inlineStr">
        <is>
          <t>A 13697-2023</t>
        </is>
      </c>
      <c r="B9828" s="1" t="n">
        <v>45006.94445601852</v>
      </c>
      <c r="C9828" s="1" t="n">
        <v>46185</v>
      </c>
      <c r="D9828" t="inlineStr">
        <is>
          <t>VÄSTERNORRLANDS LÄN</t>
        </is>
      </c>
      <c r="E9828" t="inlineStr">
        <is>
          <t>SOLLEFTEÅ</t>
        </is>
      </c>
      <c r="F9828" t="inlineStr">
        <is>
          <t>SCA</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54638-2022</t>
        </is>
      </c>
      <c r="B9829" s="1" t="n">
        <v>44883</v>
      </c>
      <c r="C9829" s="1" t="n">
        <v>46185</v>
      </c>
      <c r="D9829" t="inlineStr">
        <is>
          <t>VÄSTERNORRLANDS LÄN</t>
        </is>
      </c>
      <c r="E9829" t="inlineStr">
        <is>
          <t>KRAMFORS</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13499-2023</t>
        </is>
      </c>
      <c r="B9830" s="1" t="n">
        <v>45005</v>
      </c>
      <c r="C9830" s="1" t="n">
        <v>46185</v>
      </c>
      <c r="D9830" t="inlineStr">
        <is>
          <t>VÄSTERNORRLANDS LÄN</t>
        </is>
      </c>
      <c r="E9830" t="inlineStr">
        <is>
          <t>SOLLEFTEÅ</t>
        </is>
      </c>
      <c r="F9830" t="inlineStr">
        <is>
          <t>SCA</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69266-2021</t>
        </is>
      </c>
      <c r="B9831" s="1" t="n">
        <v>44530</v>
      </c>
      <c r="C9831" s="1" t="n">
        <v>46185</v>
      </c>
      <c r="D9831" t="inlineStr">
        <is>
          <t>VÄSTERNORRLANDS LÄN</t>
        </is>
      </c>
      <c r="E9831" t="inlineStr">
        <is>
          <t>TIMRÅ</t>
        </is>
      </c>
      <c r="G9831" t="n">
        <v>0.3</v>
      </c>
      <c r="H9831" t="n">
        <v>0</v>
      </c>
      <c r="I9831" t="n">
        <v>0</v>
      </c>
      <c r="J9831" t="n">
        <v>0</v>
      </c>
      <c r="K9831" t="n">
        <v>0</v>
      </c>
      <c r="L9831" t="n">
        <v>0</v>
      </c>
      <c r="M9831" t="n">
        <v>0</v>
      </c>
      <c r="N9831" t="n">
        <v>0</v>
      </c>
      <c r="O9831" t="n">
        <v>0</v>
      </c>
      <c r="P9831" t="n">
        <v>0</v>
      </c>
      <c r="Q9831" t="n">
        <v>0</v>
      </c>
      <c r="R9831" s="2" t="inlineStr"/>
    </row>
    <row r="9832" ht="15" customHeight="1">
      <c r="A9832" t="inlineStr">
        <is>
          <t>A 34852-2024</t>
        </is>
      </c>
      <c r="B9832" s="1" t="n">
        <v>45527</v>
      </c>
      <c r="C9832" s="1" t="n">
        <v>46185</v>
      </c>
      <c r="D9832" t="inlineStr">
        <is>
          <t>VÄSTERNORRLANDS LÄN</t>
        </is>
      </c>
      <c r="E9832" t="inlineStr">
        <is>
          <t>ÖRNSKÖLDSVIK</t>
        </is>
      </c>
      <c r="F9832" t="inlineStr">
        <is>
          <t>Holmen skog AB</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35469-2024</t>
        </is>
      </c>
      <c r="B9833" s="1" t="n">
        <v>45531</v>
      </c>
      <c r="C9833" s="1" t="n">
        <v>46185</v>
      </c>
      <c r="D9833" t="inlineStr">
        <is>
          <t>VÄSTERNORRLANDS LÄN</t>
        </is>
      </c>
      <c r="E9833" t="inlineStr">
        <is>
          <t>SOLLEFTEÅ</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44661-2024</t>
        </is>
      </c>
      <c r="B9834" s="1" t="n">
        <v>45574.53180555555</v>
      </c>
      <c r="C9834" s="1" t="n">
        <v>46185</v>
      </c>
      <c r="D9834" t="inlineStr">
        <is>
          <t>VÄSTERNORRLANDS LÄN</t>
        </is>
      </c>
      <c r="E9834" t="inlineStr">
        <is>
          <t>SOLLEFTEÅ</t>
        </is>
      </c>
      <c r="F9834" t="inlineStr">
        <is>
          <t>SCA</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44663-2024</t>
        </is>
      </c>
      <c r="B9835" s="1" t="n">
        <v>45574.53215277778</v>
      </c>
      <c r="C9835" s="1" t="n">
        <v>46185</v>
      </c>
      <c r="D9835" t="inlineStr">
        <is>
          <t>VÄSTERNORRLANDS LÄN</t>
        </is>
      </c>
      <c r="E9835" t="inlineStr">
        <is>
          <t>SUNDSVALL</t>
        </is>
      </c>
      <c r="F9835" t="inlineStr">
        <is>
          <t>SCA</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18933-2024</t>
        </is>
      </c>
      <c r="B9836" s="1" t="n">
        <v>45427.44076388889</v>
      </c>
      <c r="C9836" s="1" t="n">
        <v>46185</v>
      </c>
      <c r="D9836" t="inlineStr">
        <is>
          <t>VÄSTERNORRLANDS LÄN</t>
        </is>
      </c>
      <c r="E9836" t="inlineStr">
        <is>
          <t>SUNDSVALL</t>
        </is>
      </c>
      <c r="G9836" t="n">
        <v>6.4</v>
      </c>
      <c r="H9836" t="n">
        <v>0</v>
      </c>
      <c r="I9836" t="n">
        <v>0</v>
      </c>
      <c r="J9836" t="n">
        <v>0</v>
      </c>
      <c r="K9836" t="n">
        <v>0</v>
      </c>
      <c r="L9836" t="n">
        <v>0</v>
      </c>
      <c r="M9836" t="n">
        <v>0</v>
      </c>
      <c r="N9836" t="n">
        <v>0</v>
      </c>
      <c r="O9836" t="n">
        <v>0</v>
      </c>
      <c r="P9836" t="n">
        <v>0</v>
      </c>
      <c r="Q9836" t="n">
        <v>0</v>
      </c>
      <c r="R9836" s="2" t="inlineStr"/>
    </row>
    <row r="9837" ht="15" customHeight="1">
      <c r="A9837" t="inlineStr">
        <is>
          <t>A 60757-2021</t>
        </is>
      </c>
      <c r="B9837" s="1" t="n">
        <v>44496.92101851852</v>
      </c>
      <c r="C9837" s="1" t="n">
        <v>46185</v>
      </c>
      <c r="D9837" t="inlineStr">
        <is>
          <t>VÄSTERNORRLANDS LÄN</t>
        </is>
      </c>
      <c r="E9837" t="inlineStr">
        <is>
          <t>SOLLEFTEÅ</t>
        </is>
      </c>
      <c r="G9837" t="n">
        <v>4.4</v>
      </c>
      <c r="H9837" t="n">
        <v>0</v>
      </c>
      <c r="I9837" t="n">
        <v>0</v>
      </c>
      <c r="J9837" t="n">
        <v>0</v>
      </c>
      <c r="K9837" t="n">
        <v>0</v>
      </c>
      <c r="L9837" t="n">
        <v>0</v>
      </c>
      <c r="M9837" t="n">
        <v>0</v>
      </c>
      <c r="N9837" t="n">
        <v>0</v>
      </c>
      <c r="O9837" t="n">
        <v>0</v>
      </c>
      <c r="P9837" t="n">
        <v>0</v>
      </c>
      <c r="Q9837" t="n">
        <v>0</v>
      </c>
      <c r="R9837" s="2" t="inlineStr"/>
    </row>
    <row r="9838" ht="15" customHeight="1">
      <c r="A9838" t="inlineStr">
        <is>
          <t>A 53545-2024</t>
        </is>
      </c>
      <c r="B9838" s="1" t="n">
        <v>45614.6370949074</v>
      </c>
      <c r="C9838" s="1" t="n">
        <v>46185</v>
      </c>
      <c r="D9838" t="inlineStr">
        <is>
          <t>VÄSTERNORRLANDS LÄN</t>
        </is>
      </c>
      <c r="E9838" t="inlineStr">
        <is>
          <t>SOLLEFTEÅ</t>
        </is>
      </c>
      <c r="F9838" t="inlineStr">
        <is>
          <t>SCA</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6236-2023</t>
        </is>
      </c>
      <c r="B9839" s="1" t="n">
        <v>44964</v>
      </c>
      <c r="C9839" s="1" t="n">
        <v>46185</v>
      </c>
      <c r="D9839" t="inlineStr">
        <is>
          <t>VÄSTERNORRLANDS LÄN</t>
        </is>
      </c>
      <c r="E9839" t="inlineStr">
        <is>
          <t>SOLLEFTEÅ</t>
        </is>
      </c>
      <c r="F9839" t="inlineStr">
        <is>
          <t>SCA</t>
        </is>
      </c>
      <c r="G9839" t="n">
        <v>0.1</v>
      </c>
      <c r="H9839" t="n">
        <v>0</v>
      </c>
      <c r="I9839" t="n">
        <v>0</v>
      </c>
      <c r="J9839" t="n">
        <v>0</v>
      </c>
      <c r="K9839" t="n">
        <v>0</v>
      </c>
      <c r="L9839" t="n">
        <v>0</v>
      </c>
      <c r="M9839" t="n">
        <v>0</v>
      </c>
      <c r="N9839" t="n">
        <v>0</v>
      </c>
      <c r="O9839" t="n">
        <v>0</v>
      </c>
      <c r="P9839" t="n">
        <v>0</v>
      </c>
      <c r="Q9839" t="n">
        <v>0</v>
      </c>
      <c r="R9839" s="2" t="inlineStr"/>
      <c r="U9839">
        <f>HYPERLINK("https://klasma.github.io/Logging_2283/knärot/A 6236-2023 karta knärot.png", "A 6236-2023")</f>
        <v/>
      </c>
      <c r="V9839">
        <f>HYPERLINK("https://klasma.github.io/Logging_2283/klagomål/A 6236-2023 FSC-klagomål.docx", "A 6236-2023")</f>
        <v/>
      </c>
      <c r="W9839">
        <f>HYPERLINK("https://klasma.github.io/Logging_2283/klagomålsmail/A 6236-2023 FSC-klagomål mail.docx", "A 6236-2023")</f>
        <v/>
      </c>
      <c r="X9839">
        <f>HYPERLINK("https://klasma.github.io/Logging_2283/tillsyn/A 6236-2023 tillsynsbegäran.docx", "A 6236-2023")</f>
        <v/>
      </c>
      <c r="Y9839">
        <f>HYPERLINK("https://klasma.github.io/Logging_2283/tillsynsmail/A 6236-2023 tillsynsbegäran mail.docx", "A 6236-2023")</f>
        <v/>
      </c>
    </row>
    <row r="9840" ht="15" customHeight="1">
      <c r="A9840" t="inlineStr">
        <is>
          <t>A 7332-2023</t>
        </is>
      </c>
      <c r="B9840" s="1" t="n">
        <v>44970</v>
      </c>
      <c r="C9840" s="1" t="n">
        <v>46185</v>
      </c>
      <c r="D9840" t="inlineStr">
        <is>
          <t>VÄSTERNORRLANDS LÄN</t>
        </is>
      </c>
      <c r="E9840" t="inlineStr">
        <is>
          <t>SOLLEFTEÅ</t>
        </is>
      </c>
      <c r="F9840" t="inlineStr">
        <is>
          <t>SCA</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48896-2024</t>
        </is>
      </c>
      <c r="B9841" s="1" t="n">
        <v>45594.34439814815</v>
      </c>
      <c r="C9841" s="1" t="n">
        <v>46185</v>
      </c>
      <c r="D9841" t="inlineStr">
        <is>
          <t>VÄSTERNORRLANDS LÄN</t>
        </is>
      </c>
      <c r="E9841" t="inlineStr">
        <is>
          <t>ÖRNSKÖLDSVIK</t>
        </is>
      </c>
      <c r="F9841" t="inlineStr">
        <is>
          <t>SCA</t>
        </is>
      </c>
      <c r="G9841" t="n">
        <v>5.8</v>
      </c>
      <c r="H9841" t="n">
        <v>0</v>
      </c>
      <c r="I9841" t="n">
        <v>0</v>
      </c>
      <c r="J9841" t="n">
        <v>0</v>
      </c>
      <c r="K9841" t="n">
        <v>0</v>
      </c>
      <c r="L9841" t="n">
        <v>0</v>
      </c>
      <c r="M9841" t="n">
        <v>0</v>
      </c>
      <c r="N9841" t="n">
        <v>0</v>
      </c>
      <c r="O9841" t="n">
        <v>0</v>
      </c>
      <c r="P9841" t="n">
        <v>0</v>
      </c>
      <c r="Q9841" t="n">
        <v>0</v>
      </c>
      <c r="R9841" s="2" t="inlineStr"/>
    </row>
    <row r="9842" ht="15" customHeight="1">
      <c r="A9842" t="inlineStr">
        <is>
          <t>A 48606-2024</t>
        </is>
      </c>
      <c r="B9842" s="1" t="n">
        <v>45593.4485300926</v>
      </c>
      <c r="C9842" s="1" t="n">
        <v>46185</v>
      </c>
      <c r="D9842" t="inlineStr">
        <is>
          <t>VÄSTERNORRLANDS LÄN</t>
        </is>
      </c>
      <c r="E9842" t="inlineStr">
        <is>
          <t>SOLLEFTEÅ</t>
        </is>
      </c>
      <c r="F9842" t="inlineStr">
        <is>
          <t>SCA</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4883-2023</t>
        </is>
      </c>
      <c r="B9843" s="1" t="n">
        <v>44957</v>
      </c>
      <c r="C9843" s="1" t="n">
        <v>46185</v>
      </c>
      <c r="D9843" t="inlineStr">
        <is>
          <t>VÄSTERNORRLANDS LÄN</t>
        </is>
      </c>
      <c r="E9843" t="inlineStr">
        <is>
          <t>ÅNGE</t>
        </is>
      </c>
      <c r="F9843" t="inlineStr">
        <is>
          <t>SCA</t>
        </is>
      </c>
      <c r="G9843" t="n">
        <v>4.9</v>
      </c>
      <c r="H9843" t="n">
        <v>0</v>
      </c>
      <c r="I9843" t="n">
        <v>0</v>
      </c>
      <c r="J9843" t="n">
        <v>0</v>
      </c>
      <c r="K9843" t="n">
        <v>0</v>
      </c>
      <c r="L9843" t="n">
        <v>0</v>
      </c>
      <c r="M9843" t="n">
        <v>0</v>
      </c>
      <c r="N9843" t="n">
        <v>0</v>
      </c>
      <c r="O9843" t="n">
        <v>0</v>
      </c>
      <c r="P9843" t="n">
        <v>0</v>
      </c>
      <c r="Q9843" t="n">
        <v>0</v>
      </c>
      <c r="R9843" s="2" t="inlineStr"/>
    </row>
    <row r="9844" ht="15" customHeight="1">
      <c r="A9844" t="inlineStr">
        <is>
          <t>A 53212-2024</t>
        </is>
      </c>
      <c r="B9844" s="1" t="n">
        <v>45612.63576388889</v>
      </c>
      <c r="C9844" s="1" t="n">
        <v>46185</v>
      </c>
      <c r="D9844" t="inlineStr">
        <is>
          <t>VÄSTERNORRLANDS LÄN</t>
        </is>
      </c>
      <c r="E9844" t="inlineStr">
        <is>
          <t>SOLLEFTEÅ</t>
        </is>
      </c>
      <c r="F9844" t="inlineStr">
        <is>
          <t>SCA</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55158-2021</t>
        </is>
      </c>
      <c r="B9845" s="1" t="n">
        <v>44474</v>
      </c>
      <c r="C9845" s="1" t="n">
        <v>46185</v>
      </c>
      <c r="D9845" t="inlineStr">
        <is>
          <t>VÄSTERNORRLANDS LÄN</t>
        </is>
      </c>
      <c r="E9845" t="inlineStr">
        <is>
          <t>SUNDSVALL</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8755-2022</t>
        </is>
      </c>
      <c r="B9846" s="1" t="n">
        <v>44614</v>
      </c>
      <c r="C9846" s="1" t="n">
        <v>46185</v>
      </c>
      <c r="D9846" t="inlineStr">
        <is>
          <t>VÄSTERNORRLANDS LÄN</t>
        </is>
      </c>
      <c r="E9846" t="inlineStr">
        <is>
          <t>ÅNGE</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52237-2022</t>
        </is>
      </c>
      <c r="B9847" s="1" t="n">
        <v>44869</v>
      </c>
      <c r="C9847" s="1" t="n">
        <v>46185</v>
      </c>
      <c r="D9847" t="inlineStr">
        <is>
          <t>VÄSTERNORRLANDS LÄN</t>
        </is>
      </c>
      <c r="E9847" t="inlineStr">
        <is>
          <t>HÄRNÖSAND</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29598-2023</t>
        </is>
      </c>
      <c r="B9848" s="1" t="n">
        <v>45106</v>
      </c>
      <c r="C9848" s="1" t="n">
        <v>46185</v>
      </c>
      <c r="D9848" t="inlineStr">
        <is>
          <t>VÄSTERNORRLANDS LÄN</t>
        </is>
      </c>
      <c r="E9848" t="inlineStr">
        <is>
          <t>SUNDSVALL</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14308-2022</t>
        </is>
      </c>
      <c r="B9849" s="1" t="n">
        <v>44651.93954861111</v>
      </c>
      <c r="C9849" s="1" t="n">
        <v>46185</v>
      </c>
      <c r="D9849" t="inlineStr">
        <is>
          <t>VÄSTERNORRLANDS LÄN</t>
        </is>
      </c>
      <c r="E9849" t="inlineStr">
        <is>
          <t>SOLLEFTEÅ</t>
        </is>
      </c>
      <c r="F9849" t="inlineStr">
        <is>
          <t>SCA</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29693-2024</t>
        </is>
      </c>
      <c r="B9850" s="1" t="n">
        <v>45484.94490740741</v>
      </c>
      <c r="C9850" s="1" t="n">
        <v>46185</v>
      </c>
      <c r="D9850" t="inlineStr">
        <is>
          <t>VÄSTERNORRLANDS LÄN</t>
        </is>
      </c>
      <c r="E9850" t="inlineStr">
        <is>
          <t>SOLLEFTEÅ</t>
        </is>
      </c>
      <c r="F9850" t="inlineStr">
        <is>
          <t>SCA</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30747-2024</t>
        </is>
      </c>
      <c r="B9851" s="1" t="n">
        <v>45496</v>
      </c>
      <c r="C9851" s="1" t="n">
        <v>46185</v>
      </c>
      <c r="D9851" t="inlineStr">
        <is>
          <t>VÄSTERNORRLANDS LÄN</t>
        </is>
      </c>
      <c r="E9851" t="inlineStr">
        <is>
          <t>ÅNGE</t>
        </is>
      </c>
      <c r="F9851" t="inlineStr">
        <is>
          <t>SCA</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29425-2023</t>
        </is>
      </c>
      <c r="B9852" s="1" t="n">
        <v>45106.48501157408</v>
      </c>
      <c r="C9852" s="1" t="n">
        <v>46185</v>
      </c>
      <c r="D9852" t="inlineStr">
        <is>
          <t>VÄSTERNORRLANDS LÄN</t>
        </is>
      </c>
      <c r="E9852" t="inlineStr">
        <is>
          <t>ÖRNSKÖLDSVIK</t>
        </is>
      </c>
      <c r="F9852" t="inlineStr">
        <is>
          <t>Holmen skog AB</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29428-2023</t>
        </is>
      </c>
      <c r="B9853" s="1" t="n">
        <v>45106.48644675926</v>
      </c>
      <c r="C9853" s="1" t="n">
        <v>46185</v>
      </c>
      <c r="D9853" t="inlineStr">
        <is>
          <t>VÄSTERNORRLANDS LÄN</t>
        </is>
      </c>
      <c r="E9853" t="inlineStr">
        <is>
          <t>ÖRNSKÖLDSVIK</t>
        </is>
      </c>
      <c r="F9853" t="inlineStr">
        <is>
          <t>Holmen skog AB</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29462-2023</t>
        </is>
      </c>
      <c r="B9854" s="1" t="n">
        <v>45106.54206018519</v>
      </c>
      <c r="C9854" s="1" t="n">
        <v>46185</v>
      </c>
      <c r="D9854" t="inlineStr">
        <is>
          <t>VÄSTERNORRLANDS LÄN</t>
        </is>
      </c>
      <c r="E9854" t="inlineStr">
        <is>
          <t>ÖRNSKÖLDSVIK</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56992-2024</t>
        </is>
      </c>
      <c r="B9855" s="1" t="n">
        <v>45628</v>
      </c>
      <c r="C9855" s="1" t="n">
        <v>46185</v>
      </c>
      <c r="D9855" t="inlineStr">
        <is>
          <t>VÄSTERNORRLANDS LÄN</t>
        </is>
      </c>
      <c r="E9855" t="inlineStr">
        <is>
          <t>ÖRNSKÖLDSVIK</t>
        </is>
      </c>
      <c r="G9855" t="n">
        <v>5.3</v>
      </c>
      <c r="H9855" t="n">
        <v>0</v>
      </c>
      <c r="I9855" t="n">
        <v>0</v>
      </c>
      <c r="J9855" t="n">
        <v>0</v>
      </c>
      <c r="K9855" t="n">
        <v>0</v>
      </c>
      <c r="L9855" t="n">
        <v>0</v>
      </c>
      <c r="M9855" t="n">
        <v>0</v>
      </c>
      <c r="N9855" t="n">
        <v>0</v>
      </c>
      <c r="O9855" t="n">
        <v>0</v>
      </c>
      <c r="P9855" t="n">
        <v>0</v>
      </c>
      <c r="Q9855" t="n">
        <v>0</v>
      </c>
      <c r="R9855" s="2" t="inlineStr"/>
    </row>
    <row r="9856" ht="15" customHeight="1">
      <c r="A9856" t="inlineStr">
        <is>
          <t>A 32735-2023</t>
        </is>
      </c>
      <c r="B9856" s="1" t="n">
        <v>45121</v>
      </c>
      <c r="C9856" s="1" t="n">
        <v>46185</v>
      </c>
      <c r="D9856" t="inlineStr">
        <is>
          <t>VÄSTERNORRLANDS LÄN</t>
        </is>
      </c>
      <c r="E9856" t="inlineStr">
        <is>
          <t>SOLLEFTEÅ</t>
        </is>
      </c>
      <c r="F9856" t="inlineStr">
        <is>
          <t>SCA</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14680-2022</t>
        </is>
      </c>
      <c r="B9857" s="1" t="n">
        <v>44655</v>
      </c>
      <c r="C9857" s="1" t="n">
        <v>46185</v>
      </c>
      <c r="D9857" t="inlineStr">
        <is>
          <t>VÄSTERNORRLANDS LÄN</t>
        </is>
      </c>
      <c r="E9857" t="inlineStr">
        <is>
          <t>TIMRÅ</t>
        </is>
      </c>
      <c r="G9857" t="n">
        <v>8.9</v>
      </c>
      <c r="H9857" t="n">
        <v>0</v>
      </c>
      <c r="I9857" t="n">
        <v>0</v>
      </c>
      <c r="J9857" t="n">
        <v>0</v>
      </c>
      <c r="K9857" t="n">
        <v>0</v>
      </c>
      <c r="L9857" t="n">
        <v>0</v>
      </c>
      <c r="M9857" t="n">
        <v>0</v>
      </c>
      <c r="N9857" t="n">
        <v>0</v>
      </c>
      <c r="O9857" t="n">
        <v>0</v>
      </c>
      <c r="P9857" t="n">
        <v>0</v>
      </c>
      <c r="Q9857" t="n">
        <v>0</v>
      </c>
      <c r="R9857" s="2" t="inlineStr"/>
    </row>
    <row r="9858" ht="15" customHeight="1">
      <c r="A9858" t="inlineStr">
        <is>
          <t>A 64901-2023</t>
        </is>
      </c>
      <c r="B9858" s="1" t="n">
        <v>45282.62491898148</v>
      </c>
      <c r="C9858" s="1" t="n">
        <v>46185</v>
      </c>
      <c r="D9858" t="inlineStr">
        <is>
          <t>VÄSTERNORRLANDS LÄN</t>
        </is>
      </c>
      <c r="E9858" t="inlineStr">
        <is>
          <t>KRAMFORS</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3618-2024</t>
        </is>
      </c>
      <c r="B9859" s="1" t="n">
        <v>45320.95255787037</v>
      </c>
      <c r="C9859" s="1" t="n">
        <v>46185</v>
      </c>
      <c r="D9859" t="inlineStr">
        <is>
          <t>VÄSTERNORRLANDS LÄN</t>
        </is>
      </c>
      <c r="E9859" t="inlineStr">
        <is>
          <t>SUNDSVALL</t>
        </is>
      </c>
      <c r="F9859" t="inlineStr">
        <is>
          <t>Kyrkan</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58929-2024</t>
        </is>
      </c>
      <c r="B9860" s="1" t="n">
        <v>45636.51090277778</v>
      </c>
      <c r="C9860" s="1" t="n">
        <v>46185</v>
      </c>
      <c r="D9860" t="inlineStr">
        <is>
          <t>VÄSTERNORRLANDS LÄN</t>
        </is>
      </c>
      <c r="E9860" t="inlineStr">
        <is>
          <t>ÅNGE</t>
        </is>
      </c>
      <c r="F9860" t="inlineStr">
        <is>
          <t>SCA</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36265-2021</t>
        </is>
      </c>
      <c r="B9861" s="1" t="n">
        <v>44387</v>
      </c>
      <c r="C9861" s="1" t="n">
        <v>46185</v>
      </c>
      <c r="D9861" t="inlineStr">
        <is>
          <t>VÄSTERNORRLANDS LÄN</t>
        </is>
      </c>
      <c r="E9861" t="inlineStr">
        <is>
          <t>KRAMFORS</t>
        </is>
      </c>
      <c r="G9861" t="n">
        <v>41.8</v>
      </c>
      <c r="H9861" t="n">
        <v>0</v>
      </c>
      <c r="I9861" t="n">
        <v>0</v>
      </c>
      <c r="J9861" t="n">
        <v>0</v>
      </c>
      <c r="K9861" t="n">
        <v>0</v>
      </c>
      <c r="L9861" t="n">
        <v>0</v>
      </c>
      <c r="M9861" t="n">
        <v>0</v>
      </c>
      <c r="N9861" t="n">
        <v>0</v>
      </c>
      <c r="O9861" t="n">
        <v>0</v>
      </c>
      <c r="P9861" t="n">
        <v>0</v>
      </c>
      <c r="Q9861" t="n">
        <v>0</v>
      </c>
      <c r="R9861" s="2" t="inlineStr"/>
    </row>
    <row r="9862" ht="15" customHeight="1">
      <c r="A9862" t="inlineStr">
        <is>
          <t>A 10138-2022</t>
        </is>
      </c>
      <c r="B9862" s="1" t="n">
        <v>44621.94612268519</v>
      </c>
      <c r="C9862" s="1" t="n">
        <v>46185</v>
      </c>
      <c r="D9862" t="inlineStr">
        <is>
          <t>VÄSTERNORRLANDS LÄN</t>
        </is>
      </c>
      <c r="E9862" t="inlineStr">
        <is>
          <t>SOLLEFTEÅ</t>
        </is>
      </c>
      <c r="F9862" t="inlineStr">
        <is>
          <t>SCA</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1485-2024</t>
        </is>
      </c>
      <c r="B9863" s="1" t="n">
        <v>45305</v>
      </c>
      <c r="C9863" s="1" t="n">
        <v>46185</v>
      </c>
      <c r="D9863" t="inlineStr">
        <is>
          <t>VÄSTERNORRLANDS LÄN</t>
        </is>
      </c>
      <c r="E9863" t="inlineStr">
        <is>
          <t>ÖRNSKÖLDSVIK</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49771-2024</t>
        </is>
      </c>
      <c r="B9864" s="1" t="n">
        <v>45597.34481481482</v>
      </c>
      <c r="C9864" s="1" t="n">
        <v>46185</v>
      </c>
      <c r="D9864" t="inlineStr">
        <is>
          <t>VÄSTERNORRLANDS LÄN</t>
        </is>
      </c>
      <c r="E9864" t="inlineStr">
        <is>
          <t>SOLLEFTEÅ</t>
        </is>
      </c>
      <c r="F9864" t="inlineStr">
        <is>
          <t>SCA</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49772-2024</t>
        </is>
      </c>
      <c r="B9865" s="1" t="n">
        <v>45597.34483796296</v>
      </c>
      <c r="C9865" s="1" t="n">
        <v>46185</v>
      </c>
      <c r="D9865" t="inlineStr">
        <is>
          <t>VÄSTERNORRLANDS LÄN</t>
        </is>
      </c>
      <c r="E9865" t="inlineStr">
        <is>
          <t>SOLLEFTEÅ</t>
        </is>
      </c>
      <c r="F9865" t="inlineStr">
        <is>
          <t>SCA</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17099-2023</t>
        </is>
      </c>
      <c r="B9866" s="1" t="n">
        <v>45034</v>
      </c>
      <c r="C9866" s="1" t="n">
        <v>46185</v>
      </c>
      <c r="D9866" t="inlineStr">
        <is>
          <t>VÄSTERNORRLANDS LÄN</t>
        </is>
      </c>
      <c r="E9866" t="inlineStr">
        <is>
          <t>ÖRNSKÖLDSVIK</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60911-2021</t>
        </is>
      </c>
      <c r="B9867" s="1" t="n">
        <v>44497</v>
      </c>
      <c r="C9867" s="1" t="n">
        <v>46185</v>
      </c>
      <c r="D9867" t="inlineStr">
        <is>
          <t>VÄSTERNORRLANDS LÄN</t>
        </is>
      </c>
      <c r="E9867" t="inlineStr">
        <is>
          <t>SUNDSVALL</t>
        </is>
      </c>
      <c r="F9867" t="inlineStr">
        <is>
          <t>Kommuner</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12730-2023</t>
        </is>
      </c>
      <c r="B9868" s="1" t="n">
        <v>45000.92381944445</v>
      </c>
      <c r="C9868" s="1" t="n">
        <v>46185</v>
      </c>
      <c r="D9868" t="inlineStr">
        <is>
          <t>VÄSTERNORRLANDS LÄN</t>
        </is>
      </c>
      <c r="E9868" t="inlineStr">
        <is>
          <t>SOLLEFTEÅ</t>
        </is>
      </c>
      <c r="G9868" t="n">
        <v>7.4</v>
      </c>
      <c r="H9868" t="n">
        <v>0</v>
      </c>
      <c r="I9868" t="n">
        <v>0</v>
      </c>
      <c r="J9868" t="n">
        <v>0</v>
      </c>
      <c r="K9868" t="n">
        <v>0</v>
      </c>
      <c r="L9868" t="n">
        <v>0</v>
      </c>
      <c r="M9868" t="n">
        <v>0</v>
      </c>
      <c r="N9868" t="n">
        <v>0</v>
      </c>
      <c r="O9868" t="n">
        <v>0</v>
      </c>
      <c r="P9868" t="n">
        <v>0</v>
      </c>
      <c r="Q9868" t="n">
        <v>0</v>
      </c>
      <c r="R9868" s="2" t="inlineStr"/>
    </row>
    <row r="9869" ht="15" customHeight="1">
      <c r="A9869" t="inlineStr">
        <is>
          <t>A 12733-2023</t>
        </is>
      </c>
      <c r="B9869" s="1" t="n">
        <v>45000</v>
      </c>
      <c r="C9869" s="1" t="n">
        <v>46185</v>
      </c>
      <c r="D9869" t="inlineStr">
        <is>
          <t>VÄSTERNORRLANDS LÄN</t>
        </is>
      </c>
      <c r="E9869" t="inlineStr">
        <is>
          <t>SOLLEFTEÅ</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12752-2023</t>
        </is>
      </c>
      <c r="B9870" s="1" t="n">
        <v>45000.94854166666</v>
      </c>
      <c r="C9870" s="1" t="n">
        <v>46185</v>
      </c>
      <c r="D9870" t="inlineStr">
        <is>
          <t>VÄSTERNORRLANDS LÄN</t>
        </is>
      </c>
      <c r="E9870" t="inlineStr">
        <is>
          <t>SOLLEFTEÅ</t>
        </is>
      </c>
      <c r="F9870" t="inlineStr">
        <is>
          <t>SCA</t>
        </is>
      </c>
      <c r="G9870" t="n">
        <v>7.6</v>
      </c>
      <c r="H9870" t="n">
        <v>0</v>
      </c>
      <c r="I9870" t="n">
        <v>0</v>
      </c>
      <c r="J9870" t="n">
        <v>0</v>
      </c>
      <c r="K9870" t="n">
        <v>0</v>
      </c>
      <c r="L9870" t="n">
        <v>0</v>
      </c>
      <c r="M9870" t="n">
        <v>0</v>
      </c>
      <c r="N9870" t="n">
        <v>0</v>
      </c>
      <c r="O9870" t="n">
        <v>0</v>
      </c>
      <c r="P9870" t="n">
        <v>0</v>
      </c>
      <c r="Q9870" t="n">
        <v>0</v>
      </c>
      <c r="R9870" s="2" t="inlineStr"/>
    </row>
    <row r="9871" ht="15" customHeight="1">
      <c r="A9871" t="inlineStr">
        <is>
          <t>A 14018-2024</t>
        </is>
      </c>
      <c r="B9871" s="1" t="n">
        <v>45392</v>
      </c>
      <c r="C9871" s="1" t="n">
        <v>46185</v>
      </c>
      <c r="D9871" t="inlineStr">
        <is>
          <t>VÄSTERNORRLANDS LÄN</t>
        </is>
      </c>
      <c r="E9871" t="inlineStr">
        <is>
          <t>HÄRNÖSAND</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18187-2022</t>
        </is>
      </c>
      <c r="B9872" s="1" t="n">
        <v>44684</v>
      </c>
      <c r="C9872" s="1" t="n">
        <v>46185</v>
      </c>
      <c r="D9872" t="inlineStr">
        <is>
          <t>VÄSTERNORRLANDS LÄN</t>
        </is>
      </c>
      <c r="E9872" t="inlineStr">
        <is>
          <t>SOLLEFTEÅ</t>
        </is>
      </c>
      <c r="F9872" t="inlineStr">
        <is>
          <t>SCA</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29255-2022</t>
        </is>
      </c>
      <c r="B9873" s="1" t="n">
        <v>44750</v>
      </c>
      <c r="C9873" s="1" t="n">
        <v>46185</v>
      </c>
      <c r="D9873" t="inlineStr">
        <is>
          <t>VÄSTERNORRLANDS LÄN</t>
        </is>
      </c>
      <c r="E9873" t="inlineStr">
        <is>
          <t>KRAMFORS</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29290-2022</t>
        </is>
      </c>
      <c r="B9874" s="1" t="n">
        <v>44750</v>
      </c>
      <c r="C9874" s="1" t="n">
        <v>46185</v>
      </c>
      <c r="D9874" t="inlineStr">
        <is>
          <t>VÄSTERNORRLANDS LÄN</t>
        </is>
      </c>
      <c r="E9874" t="inlineStr">
        <is>
          <t>SOLLEFTEÅ</t>
        </is>
      </c>
      <c r="F9874" t="inlineStr">
        <is>
          <t>SCA</t>
        </is>
      </c>
      <c r="G9874" t="n">
        <v>5.4</v>
      </c>
      <c r="H9874" t="n">
        <v>0</v>
      </c>
      <c r="I9874" t="n">
        <v>0</v>
      </c>
      <c r="J9874" t="n">
        <v>0</v>
      </c>
      <c r="K9874" t="n">
        <v>0</v>
      </c>
      <c r="L9874" t="n">
        <v>0</v>
      </c>
      <c r="M9874" t="n">
        <v>0</v>
      </c>
      <c r="N9874" t="n">
        <v>0</v>
      </c>
      <c r="O9874" t="n">
        <v>0</v>
      </c>
      <c r="P9874" t="n">
        <v>0</v>
      </c>
      <c r="Q9874" t="n">
        <v>0</v>
      </c>
      <c r="R9874" s="2" t="inlineStr"/>
    </row>
    <row r="9875" ht="15" customHeight="1">
      <c r="A9875" t="inlineStr">
        <is>
          <t>A 35269-2022</t>
        </is>
      </c>
      <c r="B9875" s="1" t="n">
        <v>44798</v>
      </c>
      <c r="C9875" s="1" t="n">
        <v>46185</v>
      </c>
      <c r="D9875" t="inlineStr">
        <is>
          <t>VÄSTERNORRLANDS LÄN</t>
        </is>
      </c>
      <c r="E9875" t="inlineStr">
        <is>
          <t>ÖRNSKÖLDSVIK</t>
        </is>
      </c>
      <c r="F9875" t="inlineStr">
        <is>
          <t>Kyrkan</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35416-2022</t>
        </is>
      </c>
      <c r="B9876" s="1" t="n">
        <v>44798</v>
      </c>
      <c r="C9876" s="1" t="n">
        <v>46185</v>
      </c>
      <c r="D9876" t="inlineStr">
        <is>
          <t>VÄSTERNORRLANDS LÄN</t>
        </is>
      </c>
      <c r="E9876" t="inlineStr">
        <is>
          <t>ÖRNSKÖLDSVIK</t>
        </is>
      </c>
      <c r="F9876" t="inlineStr">
        <is>
          <t>Holmen skog AB</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57120-2024</t>
        </is>
      </c>
      <c r="B9877" s="1" t="n">
        <v>45629.3662962963</v>
      </c>
      <c r="C9877" s="1" t="n">
        <v>46185</v>
      </c>
      <c r="D9877" t="inlineStr">
        <is>
          <t>VÄSTERNORRLANDS LÄN</t>
        </is>
      </c>
      <c r="E9877" t="inlineStr">
        <is>
          <t>ÖRNSKÖLDSVIK</t>
        </is>
      </c>
      <c r="F9877" t="inlineStr">
        <is>
          <t>Holmen skog AB</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46254-2023</t>
        </is>
      </c>
      <c r="B9878" s="1" t="n">
        <v>45196</v>
      </c>
      <c r="C9878" s="1" t="n">
        <v>46185</v>
      </c>
      <c r="D9878" t="inlineStr">
        <is>
          <t>VÄSTERNORRLANDS LÄN</t>
        </is>
      </c>
      <c r="E9878" t="inlineStr">
        <is>
          <t>ÅNGE</t>
        </is>
      </c>
      <c r="F9878" t="inlineStr">
        <is>
          <t>SCA</t>
        </is>
      </c>
      <c r="G9878" t="n">
        <v>0.1</v>
      </c>
      <c r="H9878" t="n">
        <v>0</v>
      </c>
      <c r="I9878" t="n">
        <v>0</v>
      </c>
      <c r="J9878" t="n">
        <v>0</v>
      </c>
      <c r="K9878" t="n">
        <v>0</v>
      </c>
      <c r="L9878" t="n">
        <v>0</v>
      </c>
      <c r="M9878" t="n">
        <v>0</v>
      </c>
      <c r="N9878" t="n">
        <v>0</v>
      </c>
      <c r="O9878" t="n">
        <v>0</v>
      </c>
      <c r="P9878" t="n">
        <v>0</v>
      </c>
      <c r="Q9878" t="n">
        <v>0</v>
      </c>
      <c r="R9878" s="2" t="inlineStr"/>
    </row>
    <row r="9879" ht="15" customHeight="1">
      <c r="A9879" t="inlineStr">
        <is>
          <t>A 46262-2023</t>
        </is>
      </c>
      <c r="B9879" s="1" t="n">
        <v>45196.93855324074</v>
      </c>
      <c r="C9879" s="1" t="n">
        <v>46185</v>
      </c>
      <c r="D9879" t="inlineStr">
        <is>
          <t>VÄSTERNORRLANDS LÄN</t>
        </is>
      </c>
      <c r="E9879" t="inlineStr">
        <is>
          <t>ÅNGE</t>
        </is>
      </c>
      <c r="F9879" t="inlineStr">
        <is>
          <t>SCA</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45027-2023</t>
        </is>
      </c>
      <c r="B9880" s="1" t="n">
        <v>45190.96303240741</v>
      </c>
      <c r="C9880" s="1" t="n">
        <v>46185</v>
      </c>
      <c r="D9880" t="inlineStr">
        <is>
          <t>VÄSTERNORRLANDS LÄN</t>
        </is>
      </c>
      <c r="E9880" t="inlineStr">
        <is>
          <t>ÅNGE</t>
        </is>
      </c>
      <c r="F9880" t="inlineStr">
        <is>
          <t>SCA</t>
        </is>
      </c>
      <c r="G9880" t="n">
        <v>5.7</v>
      </c>
      <c r="H9880" t="n">
        <v>0</v>
      </c>
      <c r="I9880" t="n">
        <v>0</v>
      </c>
      <c r="J9880" t="n">
        <v>0</v>
      </c>
      <c r="K9880" t="n">
        <v>0</v>
      </c>
      <c r="L9880" t="n">
        <v>0</v>
      </c>
      <c r="M9880" t="n">
        <v>0</v>
      </c>
      <c r="N9880" t="n">
        <v>0</v>
      </c>
      <c r="O9880" t="n">
        <v>0</v>
      </c>
      <c r="P9880" t="n">
        <v>0</v>
      </c>
      <c r="Q9880" t="n">
        <v>0</v>
      </c>
      <c r="R9880" s="2" t="inlineStr"/>
    </row>
    <row r="9881" ht="15" customHeight="1">
      <c r="A9881" t="inlineStr">
        <is>
          <t>A 2129-2023</t>
        </is>
      </c>
      <c r="B9881" s="1" t="n">
        <v>44939.93967592593</v>
      </c>
      <c r="C9881" s="1" t="n">
        <v>46185</v>
      </c>
      <c r="D9881" t="inlineStr">
        <is>
          <t>VÄSTERNORRLANDS LÄN</t>
        </is>
      </c>
      <c r="E9881" t="inlineStr">
        <is>
          <t>SUNDSVALL</t>
        </is>
      </c>
      <c r="F9881" t="inlineStr">
        <is>
          <t>SCA</t>
        </is>
      </c>
      <c r="G9881" t="n">
        <v>4.2</v>
      </c>
      <c r="H9881" t="n">
        <v>0</v>
      </c>
      <c r="I9881" t="n">
        <v>0</v>
      </c>
      <c r="J9881" t="n">
        <v>0</v>
      </c>
      <c r="K9881" t="n">
        <v>0</v>
      </c>
      <c r="L9881" t="n">
        <v>0</v>
      </c>
      <c r="M9881" t="n">
        <v>0</v>
      </c>
      <c r="N9881" t="n">
        <v>0</v>
      </c>
      <c r="O9881" t="n">
        <v>0</v>
      </c>
      <c r="P9881" t="n">
        <v>0</v>
      </c>
      <c r="Q9881" t="n">
        <v>0</v>
      </c>
      <c r="R9881" s="2" t="inlineStr"/>
    </row>
    <row r="9882" ht="15" customHeight="1">
      <c r="A9882" t="inlineStr">
        <is>
          <t>A 21409-2022</t>
        </is>
      </c>
      <c r="B9882" s="1" t="n">
        <v>44705.9406712963</v>
      </c>
      <c r="C9882" s="1" t="n">
        <v>46185</v>
      </c>
      <c r="D9882" t="inlineStr">
        <is>
          <t>VÄSTERNORRLANDS LÄN</t>
        </is>
      </c>
      <c r="E9882" t="inlineStr">
        <is>
          <t>ÅNGE</t>
        </is>
      </c>
      <c r="F9882" t="inlineStr">
        <is>
          <t>SCA</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26706-2024</t>
        </is>
      </c>
      <c r="B9883" s="1" t="n">
        <v>45470.3927662037</v>
      </c>
      <c r="C9883" s="1" t="n">
        <v>46185</v>
      </c>
      <c r="D9883" t="inlineStr">
        <is>
          <t>VÄSTERNORRLANDS LÄN</t>
        </is>
      </c>
      <c r="E9883" t="inlineStr">
        <is>
          <t>ÖRNSKÖLDSVIK</t>
        </is>
      </c>
      <c r="F9883" t="inlineStr">
        <is>
          <t>Holmen skog AB</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26776-2024</t>
        </is>
      </c>
      <c r="B9884" s="1" t="n">
        <v>45470</v>
      </c>
      <c r="C9884" s="1" t="n">
        <v>46185</v>
      </c>
      <c r="D9884" t="inlineStr">
        <is>
          <t>VÄSTERNORRLANDS LÄN</t>
        </is>
      </c>
      <c r="E9884" t="inlineStr">
        <is>
          <t>ÖRNSKÖLDSVIK</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3144-2025</t>
        </is>
      </c>
      <c r="B9885" s="1" t="n">
        <v>45678.76961805556</v>
      </c>
      <c r="C9885" s="1" t="n">
        <v>46185</v>
      </c>
      <c r="D9885" t="inlineStr">
        <is>
          <t>VÄSTERNORRLANDS LÄN</t>
        </is>
      </c>
      <c r="E9885" t="inlineStr">
        <is>
          <t>KRAMFORS</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5193-2025</t>
        </is>
      </c>
      <c r="B9886" s="1" t="n">
        <v>45691</v>
      </c>
      <c r="C9886" s="1" t="n">
        <v>46185</v>
      </c>
      <c r="D9886" t="inlineStr">
        <is>
          <t>VÄSTERNORRLANDS LÄN</t>
        </is>
      </c>
      <c r="E9886" t="inlineStr">
        <is>
          <t>ÖRNSKÖLDSVIK</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22628-2024</t>
        </is>
      </c>
      <c r="B9887" s="1" t="n">
        <v>45447.66850694444</v>
      </c>
      <c r="C9887" s="1" t="n">
        <v>46185</v>
      </c>
      <c r="D9887" t="inlineStr">
        <is>
          <t>VÄSTERNORRLANDS LÄN</t>
        </is>
      </c>
      <c r="E9887" t="inlineStr">
        <is>
          <t>SUNDSVALL</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22672-2024</t>
        </is>
      </c>
      <c r="B9888" s="1" t="n">
        <v>45447.94486111111</v>
      </c>
      <c r="C9888" s="1" t="n">
        <v>46185</v>
      </c>
      <c r="D9888" t="inlineStr">
        <is>
          <t>VÄSTERNORRLANDS LÄN</t>
        </is>
      </c>
      <c r="E9888" t="inlineStr">
        <is>
          <t>SOLLEFTEÅ</t>
        </is>
      </c>
      <c r="F9888" t="inlineStr">
        <is>
          <t>SCA</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22678-2024</t>
        </is>
      </c>
      <c r="B9889" s="1" t="n">
        <v>45447.94533564815</v>
      </c>
      <c r="C9889" s="1" t="n">
        <v>46185</v>
      </c>
      <c r="D9889" t="inlineStr">
        <is>
          <t>VÄSTERNORRLANDS LÄN</t>
        </is>
      </c>
      <c r="E9889" t="inlineStr">
        <is>
          <t>ÅNGE</t>
        </is>
      </c>
      <c r="F9889" t="inlineStr">
        <is>
          <t>SCA</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4802-2025</t>
        </is>
      </c>
      <c r="B9890" s="1" t="n">
        <v>45688.59328703704</v>
      </c>
      <c r="C9890" s="1" t="n">
        <v>46185</v>
      </c>
      <c r="D9890" t="inlineStr">
        <is>
          <t>VÄSTERNORRLANDS LÄN</t>
        </is>
      </c>
      <c r="E9890" t="inlineStr">
        <is>
          <t>ÖRNSKÖLDSVIK</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18582-2024</t>
        </is>
      </c>
      <c r="B9891" s="1" t="n">
        <v>45425</v>
      </c>
      <c r="C9891" s="1" t="n">
        <v>46185</v>
      </c>
      <c r="D9891" t="inlineStr">
        <is>
          <t>VÄSTERNORRLANDS LÄN</t>
        </is>
      </c>
      <c r="E9891" t="inlineStr">
        <is>
          <t>SUNDSVALL</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13353-2024</t>
        </is>
      </c>
      <c r="B9892" s="1" t="n">
        <v>45387.33446759259</v>
      </c>
      <c r="C9892" s="1" t="n">
        <v>46185</v>
      </c>
      <c r="D9892" t="inlineStr">
        <is>
          <t>VÄSTERNORRLANDS LÄN</t>
        </is>
      </c>
      <c r="E9892" t="inlineStr">
        <is>
          <t>SUNDSVALL</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10084-2023</t>
        </is>
      </c>
      <c r="B9893" s="1" t="n">
        <v>44985.94465277778</v>
      </c>
      <c r="C9893" s="1" t="n">
        <v>46185</v>
      </c>
      <c r="D9893" t="inlineStr">
        <is>
          <t>VÄSTERNORRLANDS LÄN</t>
        </is>
      </c>
      <c r="E9893" t="inlineStr">
        <is>
          <t>ÅNGE</t>
        </is>
      </c>
      <c r="F9893" t="inlineStr">
        <is>
          <t>SCA</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38745-2024</t>
        </is>
      </c>
      <c r="B9894" s="1" t="n">
        <v>45547.42443287037</v>
      </c>
      <c r="C9894" s="1" t="n">
        <v>46185</v>
      </c>
      <c r="D9894" t="inlineStr">
        <is>
          <t>VÄSTERNORRLANDS LÄN</t>
        </is>
      </c>
      <c r="E9894" t="inlineStr">
        <is>
          <t>ÖRNSKÖLDSVIK</t>
        </is>
      </c>
      <c r="G9894" t="n">
        <v>4.8</v>
      </c>
      <c r="H9894" t="n">
        <v>0</v>
      </c>
      <c r="I9894" t="n">
        <v>0</v>
      </c>
      <c r="J9894" t="n">
        <v>0</v>
      </c>
      <c r="K9894" t="n">
        <v>0</v>
      </c>
      <c r="L9894" t="n">
        <v>0</v>
      </c>
      <c r="M9894" t="n">
        <v>0</v>
      </c>
      <c r="N9894" t="n">
        <v>0</v>
      </c>
      <c r="O9894" t="n">
        <v>0</v>
      </c>
      <c r="P9894" t="n">
        <v>0</v>
      </c>
      <c r="Q9894" t="n">
        <v>0</v>
      </c>
      <c r="R9894" s="2" t="inlineStr"/>
    </row>
    <row r="9895" ht="15" customHeight="1">
      <c r="A9895" t="inlineStr">
        <is>
          <t>A 47032-2023</t>
        </is>
      </c>
      <c r="B9895" s="1" t="n">
        <v>45196</v>
      </c>
      <c r="C9895" s="1" t="n">
        <v>46185</v>
      </c>
      <c r="D9895" t="inlineStr">
        <is>
          <t>VÄSTERNORRLANDS LÄN</t>
        </is>
      </c>
      <c r="E9895" t="inlineStr">
        <is>
          <t>SUNDSVALL</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29151-2023</t>
        </is>
      </c>
      <c r="B9896" s="1" t="n">
        <v>45105</v>
      </c>
      <c r="C9896" s="1" t="n">
        <v>46185</v>
      </c>
      <c r="D9896" t="inlineStr">
        <is>
          <t>VÄSTERNORRLANDS LÄN</t>
        </is>
      </c>
      <c r="E9896" t="inlineStr">
        <is>
          <t>ÖRNSKÖLDSVIK</t>
        </is>
      </c>
      <c r="F9896" t="inlineStr">
        <is>
          <t>Holmen skog AB</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4654-2023</t>
        </is>
      </c>
      <c r="B9897" s="1" t="n">
        <v>44957</v>
      </c>
      <c r="C9897" s="1" t="n">
        <v>46185</v>
      </c>
      <c r="D9897" t="inlineStr">
        <is>
          <t>VÄSTERNORRLANDS LÄN</t>
        </is>
      </c>
      <c r="E9897" t="inlineStr">
        <is>
          <t>ÖRNSKÖLDSVIK</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39991-2023</t>
        </is>
      </c>
      <c r="B9898" s="1" t="n">
        <v>45168.6043287037</v>
      </c>
      <c r="C9898" s="1" t="n">
        <v>46185</v>
      </c>
      <c r="D9898" t="inlineStr">
        <is>
          <t>VÄSTERNORRLANDS LÄN</t>
        </is>
      </c>
      <c r="E9898" t="inlineStr">
        <is>
          <t>ÅNGE</t>
        </is>
      </c>
      <c r="G9898" t="n">
        <v>10.2</v>
      </c>
      <c r="H9898" t="n">
        <v>0</v>
      </c>
      <c r="I9898" t="n">
        <v>0</v>
      </c>
      <c r="J9898" t="n">
        <v>0</v>
      </c>
      <c r="K9898" t="n">
        <v>0</v>
      </c>
      <c r="L9898" t="n">
        <v>0</v>
      </c>
      <c r="M9898" t="n">
        <v>0</v>
      </c>
      <c r="N9898" t="n">
        <v>0</v>
      </c>
      <c r="O9898" t="n">
        <v>0</v>
      </c>
      <c r="P9898" t="n">
        <v>0</v>
      </c>
      <c r="Q9898" t="n">
        <v>0</v>
      </c>
      <c r="R9898" s="2" t="inlineStr"/>
    </row>
    <row r="9899" ht="15" customHeight="1">
      <c r="A9899" t="inlineStr">
        <is>
          <t>A 54773-2024</t>
        </is>
      </c>
      <c r="B9899" s="1" t="n">
        <v>45618.47875</v>
      </c>
      <c r="C9899" s="1" t="n">
        <v>46185</v>
      </c>
      <c r="D9899" t="inlineStr">
        <is>
          <t>VÄSTERNORRLANDS LÄN</t>
        </is>
      </c>
      <c r="E9899" t="inlineStr">
        <is>
          <t>ÖRNSKÖLDSVIK</t>
        </is>
      </c>
      <c r="F9899" t="inlineStr">
        <is>
          <t>Holmen skog AB</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30556-2023</t>
        </is>
      </c>
      <c r="B9900" s="1" t="n">
        <v>45111.87935185185</v>
      </c>
      <c r="C9900" s="1" t="n">
        <v>46185</v>
      </c>
      <c r="D9900" t="inlineStr">
        <is>
          <t>VÄSTERNORRLANDS LÄN</t>
        </is>
      </c>
      <c r="E9900" t="inlineStr">
        <is>
          <t>ÅNGE</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62301-2023</t>
        </is>
      </c>
      <c r="B9901" s="1" t="n">
        <v>45267</v>
      </c>
      <c r="C9901" s="1" t="n">
        <v>46185</v>
      </c>
      <c r="D9901" t="inlineStr">
        <is>
          <t>VÄSTERNORRLANDS LÄN</t>
        </is>
      </c>
      <c r="E9901" t="inlineStr">
        <is>
          <t>SUNDSVALL</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10925-2022</t>
        </is>
      </c>
      <c r="B9902" s="1" t="n">
        <v>44627.9444212963</v>
      </c>
      <c r="C9902" s="1" t="n">
        <v>46185</v>
      </c>
      <c r="D9902" t="inlineStr">
        <is>
          <t>VÄSTERNORRLANDS LÄN</t>
        </is>
      </c>
      <c r="E9902" t="inlineStr">
        <is>
          <t>SOLLEFTEÅ</t>
        </is>
      </c>
      <c r="F9902" t="inlineStr">
        <is>
          <t>SCA</t>
        </is>
      </c>
      <c r="G9902" t="n">
        <v>10.2</v>
      </c>
      <c r="H9902" t="n">
        <v>0</v>
      </c>
      <c r="I9902" t="n">
        <v>0</v>
      </c>
      <c r="J9902" t="n">
        <v>0</v>
      </c>
      <c r="K9902" t="n">
        <v>0</v>
      </c>
      <c r="L9902" t="n">
        <v>0</v>
      </c>
      <c r="M9902" t="n">
        <v>0</v>
      </c>
      <c r="N9902" t="n">
        <v>0</v>
      </c>
      <c r="O9902" t="n">
        <v>0</v>
      </c>
      <c r="P9902" t="n">
        <v>0</v>
      </c>
      <c r="Q9902" t="n">
        <v>0</v>
      </c>
      <c r="R9902" s="2" t="inlineStr"/>
    </row>
    <row r="9903" ht="15" customHeight="1">
      <c r="A9903" t="inlineStr">
        <is>
          <t>A 10926-2022</t>
        </is>
      </c>
      <c r="B9903" s="1" t="n">
        <v>44627.94447916667</v>
      </c>
      <c r="C9903" s="1" t="n">
        <v>46185</v>
      </c>
      <c r="D9903" t="inlineStr">
        <is>
          <t>VÄSTERNORRLANDS LÄN</t>
        </is>
      </c>
      <c r="E9903" t="inlineStr">
        <is>
          <t>SOLLEFTEÅ</t>
        </is>
      </c>
      <c r="F9903" t="inlineStr">
        <is>
          <t>SCA</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10993-2022</t>
        </is>
      </c>
      <c r="B9904" s="1" t="n">
        <v>44628.46541666667</v>
      </c>
      <c r="C9904" s="1" t="n">
        <v>46185</v>
      </c>
      <c r="D9904" t="inlineStr">
        <is>
          <t>VÄSTERNORRLANDS LÄN</t>
        </is>
      </c>
      <c r="E9904" t="inlineStr">
        <is>
          <t>SUNDSVALL</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47955-2024</t>
        </is>
      </c>
      <c r="B9905" s="1" t="n">
        <v>45589.3703125</v>
      </c>
      <c r="C9905" s="1" t="n">
        <v>46185</v>
      </c>
      <c r="D9905" t="inlineStr">
        <is>
          <t>VÄSTERNORRLANDS LÄN</t>
        </is>
      </c>
      <c r="E9905" t="inlineStr">
        <is>
          <t>SOLLEFTEÅ</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35231-2023</t>
        </is>
      </c>
      <c r="B9906" s="1" t="n">
        <v>45145.66675925926</v>
      </c>
      <c r="C9906" s="1" t="n">
        <v>46185</v>
      </c>
      <c r="D9906" t="inlineStr">
        <is>
          <t>VÄSTERNORRLANDS LÄN</t>
        </is>
      </c>
      <c r="E9906" t="inlineStr">
        <is>
          <t>ÖRNSKÖLDSVIK</t>
        </is>
      </c>
      <c r="F9906" t="inlineStr">
        <is>
          <t>Holmen skog AB</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1416-2025</t>
        </is>
      </c>
      <c r="B9907" s="1" t="n">
        <v>45668</v>
      </c>
      <c r="C9907" s="1" t="n">
        <v>46185</v>
      </c>
      <c r="D9907" t="inlineStr">
        <is>
          <t>VÄSTERNORRLANDS LÄN</t>
        </is>
      </c>
      <c r="E9907" t="inlineStr">
        <is>
          <t>SOLLEFTEÅ</t>
        </is>
      </c>
      <c r="G9907" t="n">
        <v>21.3</v>
      </c>
      <c r="H9907" t="n">
        <v>0</v>
      </c>
      <c r="I9907" t="n">
        <v>0</v>
      </c>
      <c r="J9907" t="n">
        <v>0</v>
      </c>
      <c r="K9907" t="n">
        <v>0</v>
      </c>
      <c r="L9907" t="n">
        <v>0</v>
      </c>
      <c r="M9907" t="n">
        <v>0</v>
      </c>
      <c r="N9907" t="n">
        <v>0</v>
      </c>
      <c r="O9907" t="n">
        <v>0</v>
      </c>
      <c r="P9907" t="n">
        <v>0</v>
      </c>
      <c r="Q9907" t="n">
        <v>0</v>
      </c>
      <c r="R9907" s="2" t="inlineStr"/>
    </row>
    <row r="9908" ht="15" customHeight="1">
      <c r="A9908" t="inlineStr">
        <is>
          <t>A 18838-2022</t>
        </is>
      </c>
      <c r="B9908" s="1" t="n">
        <v>44690</v>
      </c>
      <c r="C9908" s="1" t="n">
        <v>46185</v>
      </c>
      <c r="D9908" t="inlineStr">
        <is>
          <t>VÄSTERNORRLANDS LÄN</t>
        </is>
      </c>
      <c r="E9908" t="inlineStr">
        <is>
          <t>SUNDSVALL</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1082-2025</t>
        </is>
      </c>
      <c r="B9909" s="1" t="n">
        <v>45666.61646990741</v>
      </c>
      <c r="C9909" s="1" t="n">
        <v>46185</v>
      </c>
      <c r="D9909" t="inlineStr">
        <is>
          <t>VÄSTERNORRLANDS LÄN</t>
        </is>
      </c>
      <c r="E9909" t="inlineStr">
        <is>
          <t>SOLLEFTEÅ</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3324-2025</t>
        </is>
      </c>
      <c r="B9910" s="1" t="n">
        <v>45679.69924768519</v>
      </c>
      <c r="C9910" s="1" t="n">
        <v>46185</v>
      </c>
      <c r="D9910" t="inlineStr">
        <is>
          <t>VÄSTERNORRLANDS LÄN</t>
        </is>
      </c>
      <c r="E9910" t="inlineStr">
        <is>
          <t>SOLLEFTEÅ</t>
        </is>
      </c>
      <c r="F9910" t="inlineStr">
        <is>
          <t>SCA</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45723-2023</t>
        </is>
      </c>
      <c r="B9911" s="1" t="n">
        <v>45195</v>
      </c>
      <c r="C9911" s="1" t="n">
        <v>46185</v>
      </c>
      <c r="D9911" t="inlineStr">
        <is>
          <t>VÄSTERNORRLANDS LÄN</t>
        </is>
      </c>
      <c r="E9911" t="inlineStr">
        <is>
          <t>TIMRÅ</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7943-2022</t>
        </is>
      </c>
      <c r="B9912" s="1" t="n">
        <v>44608</v>
      </c>
      <c r="C9912" s="1" t="n">
        <v>46185</v>
      </c>
      <c r="D9912" t="inlineStr">
        <is>
          <t>VÄSTERNORRLANDS LÄN</t>
        </is>
      </c>
      <c r="E9912" t="inlineStr">
        <is>
          <t>SUNDSVALL</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27829-2022</t>
        </is>
      </c>
      <c r="B9913" s="1" t="n">
        <v>44743</v>
      </c>
      <c r="C9913" s="1" t="n">
        <v>46185</v>
      </c>
      <c r="D9913" t="inlineStr">
        <is>
          <t>VÄSTERNORRLANDS LÄN</t>
        </is>
      </c>
      <c r="E9913" t="inlineStr">
        <is>
          <t>ÖRNSKÖLDSVIK</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18148-2023</t>
        </is>
      </c>
      <c r="B9914" s="1" t="n">
        <v>45040.94114583333</v>
      </c>
      <c r="C9914" s="1" t="n">
        <v>46185</v>
      </c>
      <c r="D9914" t="inlineStr">
        <is>
          <t>VÄSTERNORRLANDS LÄN</t>
        </is>
      </c>
      <c r="E9914" t="inlineStr">
        <is>
          <t>ÖRNSKÖLDSVIK</t>
        </is>
      </c>
      <c r="F9914" t="inlineStr">
        <is>
          <t>SCA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16489-2023</t>
        </is>
      </c>
      <c r="B9915" s="1" t="n">
        <v>45027</v>
      </c>
      <c r="C9915" s="1" t="n">
        <v>46185</v>
      </c>
      <c r="D9915" t="inlineStr">
        <is>
          <t>VÄSTERNORRLANDS LÄN</t>
        </is>
      </c>
      <c r="E9915" t="inlineStr">
        <is>
          <t>ÖRNSKÖLDSVIK</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1683-2022</t>
        </is>
      </c>
      <c r="B9916" s="1" t="n">
        <v>44574</v>
      </c>
      <c r="C9916" s="1" t="n">
        <v>46185</v>
      </c>
      <c r="D9916" t="inlineStr">
        <is>
          <t>VÄSTERNORRLANDS LÄN</t>
        </is>
      </c>
      <c r="E9916" t="inlineStr">
        <is>
          <t>KRAMFORS</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37696-2023</t>
        </is>
      </c>
      <c r="B9917" s="1" t="n">
        <v>45156</v>
      </c>
      <c r="C9917" s="1" t="n">
        <v>46185</v>
      </c>
      <c r="D9917" t="inlineStr">
        <is>
          <t>VÄSTERNORRLANDS LÄN</t>
        </is>
      </c>
      <c r="E9917" t="inlineStr">
        <is>
          <t>SOLLEFTEÅ</t>
        </is>
      </c>
      <c r="G9917" t="n">
        <v>0.1</v>
      </c>
      <c r="H9917" t="n">
        <v>0</v>
      </c>
      <c r="I9917" t="n">
        <v>0</v>
      </c>
      <c r="J9917" t="n">
        <v>0</v>
      </c>
      <c r="K9917" t="n">
        <v>0</v>
      </c>
      <c r="L9917" t="n">
        <v>0</v>
      </c>
      <c r="M9917" t="n">
        <v>0</v>
      </c>
      <c r="N9917" t="n">
        <v>0</v>
      </c>
      <c r="O9917" t="n">
        <v>0</v>
      </c>
      <c r="P9917" t="n">
        <v>0</v>
      </c>
      <c r="Q9917" t="n">
        <v>0</v>
      </c>
      <c r="R9917" s="2" t="inlineStr"/>
    </row>
    <row r="9918" ht="15" customHeight="1">
      <c r="A9918" t="inlineStr">
        <is>
          <t>A 12533-2023</t>
        </is>
      </c>
      <c r="B9918" s="1" t="n">
        <v>45000.01387731481</v>
      </c>
      <c r="C9918" s="1" t="n">
        <v>46185</v>
      </c>
      <c r="D9918" t="inlineStr">
        <is>
          <t>VÄSTERNORRLANDS LÄN</t>
        </is>
      </c>
      <c r="E9918" t="inlineStr">
        <is>
          <t>HÄRNÖSAND</t>
        </is>
      </c>
      <c r="F9918" t="inlineStr">
        <is>
          <t>SCA</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12543-2023</t>
        </is>
      </c>
      <c r="B9919" s="1" t="n">
        <v>45000</v>
      </c>
      <c r="C9919" s="1" t="n">
        <v>46185</v>
      </c>
      <c r="D9919" t="inlineStr">
        <is>
          <t>VÄSTERNORRLANDS LÄN</t>
        </is>
      </c>
      <c r="E9919" t="inlineStr">
        <is>
          <t>HÄRNÖSAND</t>
        </is>
      </c>
      <c r="F9919" t="inlineStr">
        <is>
          <t>SCA</t>
        </is>
      </c>
      <c r="G9919" t="n">
        <v>4.2</v>
      </c>
      <c r="H9919" t="n">
        <v>0</v>
      </c>
      <c r="I9919" t="n">
        <v>0</v>
      </c>
      <c r="J9919" t="n">
        <v>0</v>
      </c>
      <c r="K9919" t="n">
        <v>0</v>
      </c>
      <c r="L9919" t="n">
        <v>0</v>
      </c>
      <c r="M9919" t="n">
        <v>0</v>
      </c>
      <c r="N9919" t="n">
        <v>0</v>
      </c>
      <c r="O9919" t="n">
        <v>0</v>
      </c>
      <c r="P9919" t="n">
        <v>0</v>
      </c>
      <c r="Q9919" t="n">
        <v>0</v>
      </c>
      <c r="R9919" s="2" t="inlineStr"/>
    </row>
    <row r="9920" ht="15" customHeight="1">
      <c r="A9920" t="inlineStr">
        <is>
          <t>A 5393-2025</t>
        </is>
      </c>
      <c r="B9920" s="1" t="n">
        <v>45692.63574074074</v>
      </c>
      <c r="C9920" s="1" t="n">
        <v>46185</v>
      </c>
      <c r="D9920" t="inlineStr">
        <is>
          <t>VÄSTERNORRLANDS LÄN</t>
        </is>
      </c>
      <c r="E9920" t="inlineStr">
        <is>
          <t>ÅNGE</t>
        </is>
      </c>
      <c r="F9920" t="inlineStr">
        <is>
          <t>SCA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4253-2025</t>
        </is>
      </c>
      <c r="B9921" s="1" t="n">
        <v>45685.61232638889</v>
      </c>
      <c r="C9921" s="1" t="n">
        <v>46185</v>
      </c>
      <c r="D9921" t="inlineStr">
        <is>
          <t>VÄSTERNORRLANDS LÄN</t>
        </is>
      </c>
      <c r="E9921" t="inlineStr">
        <is>
          <t>SOLLEFTEÅ</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56420-2022</t>
        </is>
      </c>
      <c r="B9922" s="1" t="n">
        <v>44890.95302083333</v>
      </c>
      <c r="C9922" s="1" t="n">
        <v>46185</v>
      </c>
      <c r="D9922" t="inlineStr">
        <is>
          <t>VÄSTERNORRLANDS LÄN</t>
        </is>
      </c>
      <c r="E9922" t="inlineStr">
        <is>
          <t>SUNDSVALL</t>
        </is>
      </c>
      <c r="F9922" t="inlineStr">
        <is>
          <t>SCA</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49887-2024</t>
        </is>
      </c>
      <c r="B9923" s="1" t="n">
        <v>45597</v>
      </c>
      <c r="C9923" s="1" t="n">
        <v>46185</v>
      </c>
      <c r="D9923" t="inlineStr">
        <is>
          <t>VÄSTERNORRLANDS LÄN</t>
        </is>
      </c>
      <c r="E9923" t="inlineStr">
        <is>
          <t>ÖRNSKÖLDSVIK</t>
        </is>
      </c>
      <c r="F9923" t="inlineStr">
        <is>
          <t>SCA</t>
        </is>
      </c>
      <c r="G9923" t="n">
        <v>5.7</v>
      </c>
      <c r="H9923" t="n">
        <v>0</v>
      </c>
      <c r="I9923" t="n">
        <v>0</v>
      </c>
      <c r="J9923" t="n">
        <v>0</v>
      </c>
      <c r="K9923" t="n">
        <v>0</v>
      </c>
      <c r="L9923" t="n">
        <v>0</v>
      </c>
      <c r="M9923" t="n">
        <v>0</v>
      </c>
      <c r="N9923" t="n">
        <v>0</v>
      </c>
      <c r="O9923" t="n">
        <v>0</v>
      </c>
      <c r="P9923" t="n">
        <v>0</v>
      </c>
      <c r="Q9923" t="n">
        <v>0</v>
      </c>
      <c r="R9923" s="2" t="inlineStr"/>
    </row>
    <row r="9924" ht="15" customHeight="1">
      <c r="A9924" t="inlineStr">
        <is>
          <t>A 58869-2023</t>
        </is>
      </c>
      <c r="B9924" s="1" t="n">
        <v>45250</v>
      </c>
      <c r="C9924" s="1" t="n">
        <v>46185</v>
      </c>
      <c r="D9924" t="inlineStr">
        <is>
          <t>VÄSTERNORRLANDS LÄN</t>
        </is>
      </c>
      <c r="E9924" t="inlineStr">
        <is>
          <t>HÄRNÖSAND</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58895-2023</t>
        </is>
      </c>
      <c r="B9925" s="1" t="n">
        <v>45252</v>
      </c>
      <c r="C9925" s="1" t="n">
        <v>46185</v>
      </c>
      <c r="D9925" t="inlineStr">
        <is>
          <t>VÄSTERNORRLANDS LÄN</t>
        </is>
      </c>
      <c r="E9925" t="inlineStr">
        <is>
          <t>TIMRÅ</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55165-2023</t>
        </is>
      </c>
      <c r="B9926" s="1" t="n">
        <v>45237</v>
      </c>
      <c r="C9926" s="1" t="n">
        <v>46185</v>
      </c>
      <c r="D9926" t="inlineStr">
        <is>
          <t>VÄSTERNORRLANDS LÄN</t>
        </is>
      </c>
      <c r="E9926" t="inlineStr">
        <is>
          <t>ÖRNSKÖLDSVIK</t>
        </is>
      </c>
      <c r="F9926" t="inlineStr">
        <is>
          <t>Holmen skog AB</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13554-2023</t>
        </is>
      </c>
      <c r="B9927" s="1" t="n">
        <v>45005</v>
      </c>
      <c r="C9927" s="1" t="n">
        <v>46185</v>
      </c>
      <c r="D9927" t="inlineStr">
        <is>
          <t>VÄSTERNORRLANDS LÄN</t>
        </is>
      </c>
      <c r="E9927" t="inlineStr">
        <is>
          <t>SOLLEFTEÅ</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40153-2024</t>
        </is>
      </c>
      <c r="B9928" s="1" t="n">
        <v>45554.5266087963</v>
      </c>
      <c r="C9928" s="1" t="n">
        <v>46185</v>
      </c>
      <c r="D9928" t="inlineStr">
        <is>
          <t>VÄSTERNORRLANDS LÄN</t>
        </is>
      </c>
      <c r="E9928" t="inlineStr">
        <is>
          <t>ÖRNSKÖLDSVIK</t>
        </is>
      </c>
      <c r="F9928" t="inlineStr">
        <is>
          <t>Holmen skog AB</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42094-2024</t>
        </is>
      </c>
      <c r="B9929" s="1" t="n">
        <v>45562</v>
      </c>
      <c r="C9929" s="1" t="n">
        <v>46185</v>
      </c>
      <c r="D9929" t="inlineStr">
        <is>
          <t>VÄSTERNORRLANDS LÄN</t>
        </is>
      </c>
      <c r="E9929" t="inlineStr">
        <is>
          <t>TIMRÅ</t>
        </is>
      </c>
      <c r="F9929" t="inlineStr">
        <is>
          <t>SCA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34971-2023</t>
        </is>
      </c>
      <c r="B9930" s="1" t="n">
        <v>45142.61635416667</v>
      </c>
      <c r="C9930" s="1" t="n">
        <v>46185</v>
      </c>
      <c r="D9930" t="inlineStr">
        <is>
          <t>VÄSTERNORRLANDS LÄN</t>
        </is>
      </c>
      <c r="E9930" t="inlineStr">
        <is>
          <t>ÅNGE</t>
        </is>
      </c>
      <c r="F9930" t="inlineStr">
        <is>
          <t>Sveaskog</t>
        </is>
      </c>
      <c r="G9930" t="n">
        <v>4.5</v>
      </c>
      <c r="H9930" t="n">
        <v>0</v>
      </c>
      <c r="I9930" t="n">
        <v>0</v>
      </c>
      <c r="J9930" t="n">
        <v>0</v>
      </c>
      <c r="K9930" t="n">
        <v>0</v>
      </c>
      <c r="L9930" t="n">
        <v>0</v>
      </c>
      <c r="M9930" t="n">
        <v>0</v>
      </c>
      <c r="N9930" t="n">
        <v>0</v>
      </c>
      <c r="O9930" t="n">
        <v>0</v>
      </c>
      <c r="P9930" t="n">
        <v>0</v>
      </c>
      <c r="Q9930" t="n">
        <v>0</v>
      </c>
      <c r="R9930" s="2" t="inlineStr"/>
    </row>
    <row r="9931" ht="15" customHeight="1">
      <c r="A9931" t="inlineStr">
        <is>
          <t>A 50013-2024</t>
        </is>
      </c>
      <c r="B9931" s="1" t="n">
        <v>45598.85898148148</v>
      </c>
      <c r="C9931" s="1" t="n">
        <v>46185</v>
      </c>
      <c r="D9931" t="inlineStr">
        <is>
          <t>VÄSTERNORRLANDS LÄN</t>
        </is>
      </c>
      <c r="E9931" t="inlineStr">
        <is>
          <t>SUNDSVALL</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36844-2023</t>
        </is>
      </c>
      <c r="B9932" s="1" t="n">
        <v>45154</v>
      </c>
      <c r="C9932" s="1" t="n">
        <v>46185</v>
      </c>
      <c r="D9932" t="inlineStr">
        <is>
          <t>VÄSTERNORRLANDS LÄN</t>
        </is>
      </c>
      <c r="E9932" t="inlineStr">
        <is>
          <t>SUNDSVALL</t>
        </is>
      </c>
      <c r="G9932" t="n">
        <v>4.6</v>
      </c>
      <c r="H9932" t="n">
        <v>0</v>
      </c>
      <c r="I9932" t="n">
        <v>0</v>
      </c>
      <c r="J9932" t="n">
        <v>0</v>
      </c>
      <c r="K9932" t="n">
        <v>0</v>
      </c>
      <c r="L9932" t="n">
        <v>0</v>
      </c>
      <c r="M9932" t="n">
        <v>0</v>
      </c>
      <c r="N9932" t="n">
        <v>0</v>
      </c>
      <c r="O9932" t="n">
        <v>0</v>
      </c>
      <c r="P9932" t="n">
        <v>0</v>
      </c>
      <c r="Q9932" t="n">
        <v>0</v>
      </c>
      <c r="R9932" s="2" t="inlineStr"/>
    </row>
    <row r="9933" ht="15" customHeight="1">
      <c r="A9933" t="inlineStr">
        <is>
          <t>A 8857-2024</t>
        </is>
      </c>
      <c r="B9933" s="1" t="n">
        <v>45356</v>
      </c>
      <c r="C9933" s="1" t="n">
        <v>46185</v>
      </c>
      <c r="D9933" t="inlineStr">
        <is>
          <t>VÄSTERNORRLANDS LÄN</t>
        </is>
      </c>
      <c r="E9933" t="inlineStr">
        <is>
          <t>KRAMFORS</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17580-2025</t>
        </is>
      </c>
      <c r="B9934" s="1" t="n">
        <v>45757.65666666667</v>
      </c>
      <c r="C9934" s="1" t="n">
        <v>46185</v>
      </c>
      <c r="D9934" t="inlineStr">
        <is>
          <t>VÄSTERNORRLANDS LÄN</t>
        </is>
      </c>
      <c r="E9934" t="inlineStr">
        <is>
          <t>KRAMFORS</t>
        </is>
      </c>
      <c r="F9934" t="inlineStr">
        <is>
          <t>SCA</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59835-2024</t>
        </is>
      </c>
      <c r="B9935" s="1" t="n">
        <v>45638</v>
      </c>
      <c r="C9935" s="1" t="n">
        <v>46185</v>
      </c>
      <c r="D9935" t="inlineStr">
        <is>
          <t>VÄSTERNORRLANDS LÄN</t>
        </is>
      </c>
      <c r="E9935" t="inlineStr">
        <is>
          <t>ÖRNSKÖLDSVIK</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9480-2022</t>
        </is>
      </c>
      <c r="B9936" s="1" t="n">
        <v>44616</v>
      </c>
      <c r="C9936" s="1" t="n">
        <v>46185</v>
      </c>
      <c r="D9936" t="inlineStr">
        <is>
          <t>VÄSTERNORRLANDS LÄN</t>
        </is>
      </c>
      <c r="E9936" t="inlineStr">
        <is>
          <t>ÅNGE</t>
        </is>
      </c>
      <c r="G9936" t="n">
        <v>0.3</v>
      </c>
      <c r="H9936" t="n">
        <v>0</v>
      </c>
      <c r="I9936" t="n">
        <v>0</v>
      </c>
      <c r="J9936" t="n">
        <v>0</v>
      </c>
      <c r="K9936" t="n">
        <v>0</v>
      </c>
      <c r="L9936" t="n">
        <v>0</v>
      </c>
      <c r="M9936" t="n">
        <v>0</v>
      </c>
      <c r="N9936" t="n">
        <v>0</v>
      </c>
      <c r="O9936" t="n">
        <v>0</v>
      </c>
      <c r="P9936" t="n">
        <v>0</v>
      </c>
      <c r="Q9936" t="n">
        <v>0</v>
      </c>
      <c r="R9936" s="2" t="inlineStr"/>
    </row>
    <row r="9937" ht="15" customHeight="1">
      <c r="A9937" t="inlineStr">
        <is>
          <t>A 14761-2025</t>
        </is>
      </c>
      <c r="B9937" s="1" t="n">
        <v>45742</v>
      </c>
      <c r="C9937" s="1" t="n">
        <v>46185</v>
      </c>
      <c r="D9937" t="inlineStr">
        <is>
          <t>VÄSTERNORRLANDS LÄN</t>
        </is>
      </c>
      <c r="E9937" t="inlineStr">
        <is>
          <t>ÖRNSKÖLDSVIK</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18617-2024</t>
        </is>
      </c>
      <c r="B9938" s="1" t="n">
        <v>45425</v>
      </c>
      <c r="C9938" s="1" t="n">
        <v>46185</v>
      </c>
      <c r="D9938" t="inlineStr">
        <is>
          <t>VÄSTERNORRLANDS LÄN</t>
        </is>
      </c>
      <c r="E9938" t="inlineStr">
        <is>
          <t>ÅNGE</t>
        </is>
      </c>
      <c r="F9938" t="inlineStr">
        <is>
          <t>SCA</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17041-2023</t>
        </is>
      </c>
      <c r="B9939" s="1" t="n">
        <v>45034</v>
      </c>
      <c r="C9939" s="1" t="n">
        <v>46185</v>
      </c>
      <c r="D9939" t="inlineStr">
        <is>
          <t>VÄSTERNORRLANDS LÄN</t>
        </is>
      </c>
      <c r="E9939" t="inlineStr">
        <is>
          <t>KRAMFORS</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38353-2023</t>
        </is>
      </c>
      <c r="B9940" s="1" t="n">
        <v>45161</v>
      </c>
      <c r="C9940" s="1" t="n">
        <v>46185</v>
      </c>
      <c r="D9940" t="inlineStr">
        <is>
          <t>VÄSTERNORRLANDS LÄN</t>
        </is>
      </c>
      <c r="E9940" t="inlineStr">
        <is>
          <t>SUNDSVALL</t>
        </is>
      </c>
      <c r="G9940" t="n">
        <v>5</v>
      </c>
      <c r="H9940" t="n">
        <v>0</v>
      </c>
      <c r="I9940" t="n">
        <v>0</v>
      </c>
      <c r="J9940" t="n">
        <v>0</v>
      </c>
      <c r="K9940" t="n">
        <v>0</v>
      </c>
      <c r="L9940" t="n">
        <v>0</v>
      </c>
      <c r="M9940" t="n">
        <v>0</v>
      </c>
      <c r="N9940" t="n">
        <v>0</v>
      </c>
      <c r="O9940" t="n">
        <v>0</v>
      </c>
      <c r="P9940" t="n">
        <v>0</v>
      </c>
      <c r="Q9940" t="n">
        <v>0</v>
      </c>
      <c r="R9940" s="2" t="inlineStr"/>
    </row>
    <row r="9941" ht="15" customHeight="1">
      <c r="A9941" t="inlineStr">
        <is>
          <t>A 38357-2023</t>
        </is>
      </c>
      <c r="B9941" s="1" t="n">
        <v>45161</v>
      </c>
      <c r="C9941" s="1" t="n">
        <v>46185</v>
      </c>
      <c r="D9941" t="inlineStr">
        <is>
          <t>VÄSTERNORRLANDS LÄN</t>
        </is>
      </c>
      <c r="E9941" t="inlineStr">
        <is>
          <t>SUNDSVALL</t>
        </is>
      </c>
      <c r="F9941" t="inlineStr">
        <is>
          <t>SCA</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59901-2024</t>
        </is>
      </c>
      <c r="B9942" s="1" t="n">
        <v>45641.59461805555</v>
      </c>
      <c r="C9942" s="1" t="n">
        <v>46185</v>
      </c>
      <c r="D9942" t="inlineStr">
        <is>
          <t>VÄSTERNORRLANDS LÄN</t>
        </is>
      </c>
      <c r="E9942" t="inlineStr">
        <is>
          <t>SUNDSVALL</t>
        </is>
      </c>
      <c r="F9942" t="inlineStr">
        <is>
          <t>SCA</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8479-2025</t>
        </is>
      </c>
      <c r="B9943" s="1" t="n">
        <v>45709.4887962963</v>
      </c>
      <c r="C9943" s="1" t="n">
        <v>46185</v>
      </c>
      <c r="D9943" t="inlineStr">
        <is>
          <t>VÄSTERNORRLANDS LÄN</t>
        </is>
      </c>
      <c r="E9943" t="inlineStr">
        <is>
          <t>SUNDSVALL</t>
        </is>
      </c>
      <c r="G9943" t="n">
        <v>13.1</v>
      </c>
      <c r="H9943" t="n">
        <v>0</v>
      </c>
      <c r="I9943" t="n">
        <v>0</v>
      </c>
      <c r="J9943" t="n">
        <v>0</v>
      </c>
      <c r="K9943" t="n">
        <v>0</v>
      </c>
      <c r="L9943" t="n">
        <v>0</v>
      </c>
      <c r="M9943" t="n">
        <v>0</v>
      </c>
      <c r="N9943" t="n">
        <v>0</v>
      </c>
      <c r="O9943" t="n">
        <v>0</v>
      </c>
      <c r="P9943" t="n">
        <v>0</v>
      </c>
      <c r="Q9943" t="n">
        <v>0</v>
      </c>
      <c r="R9943" s="2" t="inlineStr"/>
    </row>
    <row r="9944" ht="15" customHeight="1">
      <c r="A9944" t="inlineStr">
        <is>
          <t>A 35500-2023</t>
        </is>
      </c>
      <c r="B9944" s="1" t="n">
        <v>45146.9228125</v>
      </c>
      <c r="C9944" s="1" t="n">
        <v>46185</v>
      </c>
      <c r="D9944" t="inlineStr">
        <is>
          <t>VÄSTERNORRLANDS LÄN</t>
        </is>
      </c>
      <c r="E9944" t="inlineStr">
        <is>
          <t>SUNDSVALL</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8868-2023</t>
        </is>
      </c>
      <c r="B9945" s="1" t="n">
        <v>44978</v>
      </c>
      <c r="C9945" s="1" t="n">
        <v>46185</v>
      </c>
      <c r="D9945" t="inlineStr">
        <is>
          <t>VÄSTERNORRLANDS LÄN</t>
        </is>
      </c>
      <c r="E9945" t="inlineStr">
        <is>
          <t>ÅNGE</t>
        </is>
      </c>
      <c r="F9945" t="inlineStr">
        <is>
          <t>SCA</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12744-2023</t>
        </is>
      </c>
      <c r="B9946" s="1" t="n">
        <v>45000</v>
      </c>
      <c r="C9946" s="1" t="n">
        <v>46185</v>
      </c>
      <c r="D9946" t="inlineStr">
        <is>
          <t>VÄSTERNORRLANDS LÄN</t>
        </is>
      </c>
      <c r="E9946" t="inlineStr">
        <is>
          <t>KRAMFORS</t>
        </is>
      </c>
      <c r="F9946" t="inlineStr">
        <is>
          <t>SCA</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63655-2021</t>
        </is>
      </c>
      <c r="B9947" s="1" t="n">
        <v>44508</v>
      </c>
      <c r="C9947" s="1" t="n">
        <v>46185</v>
      </c>
      <c r="D9947" t="inlineStr">
        <is>
          <t>VÄSTERNORRLANDS LÄN</t>
        </is>
      </c>
      <c r="E9947" t="inlineStr">
        <is>
          <t>SUNDSVALL</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63661-2021</t>
        </is>
      </c>
      <c r="B9948" s="1" t="n">
        <v>44508</v>
      </c>
      <c r="C9948" s="1" t="n">
        <v>46185</v>
      </c>
      <c r="D9948" t="inlineStr">
        <is>
          <t>VÄSTERNORRLANDS LÄN</t>
        </is>
      </c>
      <c r="E9948" t="inlineStr">
        <is>
          <t>SUNDSVALL</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10917-2024</t>
        </is>
      </c>
      <c r="B9949" s="1" t="n">
        <v>45370</v>
      </c>
      <c r="C9949" s="1" t="n">
        <v>46185</v>
      </c>
      <c r="D9949" t="inlineStr">
        <is>
          <t>VÄSTERNORRLANDS LÄN</t>
        </is>
      </c>
      <c r="E9949" t="inlineStr">
        <is>
          <t>ÅNGE</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47565-2021</t>
        </is>
      </c>
      <c r="B9950" s="1" t="n">
        <v>44447</v>
      </c>
      <c r="C9950" s="1" t="n">
        <v>46185</v>
      </c>
      <c r="D9950" t="inlineStr">
        <is>
          <t>VÄSTERNORRLANDS LÄN</t>
        </is>
      </c>
      <c r="E9950" t="inlineStr">
        <is>
          <t>SUNDSVALL</t>
        </is>
      </c>
      <c r="F9950" t="inlineStr">
        <is>
          <t>SCA</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62440-2023</t>
        </is>
      </c>
      <c r="B9951" s="1" t="n">
        <v>45268.458125</v>
      </c>
      <c r="C9951" s="1" t="n">
        <v>46185</v>
      </c>
      <c r="D9951" t="inlineStr">
        <is>
          <t>VÄSTERNORRLANDS LÄN</t>
        </is>
      </c>
      <c r="E9951" t="inlineStr">
        <is>
          <t>ÖRNSKÖLDSVIK</t>
        </is>
      </c>
      <c r="F9951" t="inlineStr">
        <is>
          <t>Holmen skog AB</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31339-2022</t>
        </is>
      </c>
      <c r="B9952" s="1" t="n">
        <v>44774</v>
      </c>
      <c r="C9952" s="1" t="n">
        <v>46185</v>
      </c>
      <c r="D9952" t="inlineStr">
        <is>
          <t>VÄSTERNORRLANDS LÄN</t>
        </is>
      </c>
      <c r="E9952" t="inlineStr">
        <is>
          <t>KRAMFORS</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18979-2023</t>
        </is>
      </c>
      <c r="B9953" s="1" t="n">
        <v>45044</v>
      </c>
      <c r="C9953" s="1" t="n">
        <v>46185</v>
      </c>
      <c r="D9953" t="inlineStr">
        <is>
          <t>VÄSTERNORRLANDS LÄN</t>
        </is>
      </c>
      <c r="E9953" t="inlineStr">
        <is>
          <t>HÄRNÖSAND</t>
        </is>
      </c>
      <c r="F9953" t="inlineStr">
        <is>
          <t>SCA</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34192-2023</t>
        </is>
      </c>
      <c r="B9954" s="1" t="n">
        <v>45138</v>
      </c>
      <c r="C9954" s="1" t="n">
        <v>46185</v>
      </c>
      <c r="D9954" t="inlineStr">
        <is>
          <t>VÄSTERNORRLANDS LÄN</t>
        </is>
      </c>
      <c r="E9954" t="inlineStr">
        <is>
          <t>SUNDSVALL</t>
        </is>
      </c>
      <c r="G9954" t="n">
        <v>4</v>
      </c>
      <c r="H9954" t="n">
        <v>0</v>
      </c>
      <c r="I9954" t="n">
        <v>0</v>
      </c>
      <c r="J9954" t="n">
        <v>0</v>
      </c>
      <c r="K9954" t="n">
        <v>0</v>
      </c>
      <c r="L9954" t="n">
        <v>0</v>
      </c>
      <c r="M9954" t="n">
        <v>0</v>
      </c>
      <c r="N9954" t="n">
        <v>0</v>
      </c>
      <c r="O9954" t="n">
        <v>0</v>
      </c>
      <c r="P9954" t="n">
        <v>0</v>
      </c>
      <c r="Q9954" t="n">
        <v>0</v>
      </c>
      <c r="R9954" s="2" t="inlineStr"/>
    </row>
    <row r="9955" ht="15" customHeight="1">
      <c r="A9955" t="inlineStr">
        <is>
          <t>A 34226-2023</t>
        </is>
      </c>
      <c r="B9955" s="1" t="n">
        <v>45126</v>
      </c>
      <c r="C9955" s="1" t="n">
        <v>46185</v>
      </c>
      <c r="D9955" t="inlineStr">
        <is>
          <t>VÄSTERNORRLANDS LÄN</t>
        </is>
      </c>
      <c r="E9955" t="inlineStr">
        <is>
          <t>HÄRNÖSAND</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34014-2023</t>
        </is>
      </c>
      <c r="B9956" s="1" t="n">
        <v>45124</v>
      </c>
      <c r="C9956" s="1" t="n">
        <v>46185</v>
      </c>
      <c r="D9956" t="inlineStr">
        <is>
          <t>VÄSTERNORRLANDS LÄN</t>
        </is>
      </c>
      <c r="E9956" t="inlineStr">
        <is>
          <t>ÖRNSKÖLDSVIK</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48752-2023</t>
        </is>
      </c>
      <c r="B9957" s="1" t="n">
        <v>45208.89585648148</v>
      </c>
      <c r="C9957" s="1" t="n">
        <v>46185</v>
      </c>
      <c r="D9957" t="inlineStr">
        <is>
          <t>VÄSTERNORRLANDS LÄN</t>
        </is>
      </c>
      <c r="E9957" t="inlineStr">
        <is>
          <t>SUNDSVALL</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25781-2023</t>
        </is>
      </c>
      <c r="B9958" s="1" t="n">
        <v>45085</v>
      </c>
      <c r="C9958" s="1" t="n">
        <v>46185</v>
      </c>
      <c r="D9958" t="inlineStr">
        <is>
          <t>VÄSTERNORRLANDS LÄN</t>
        </is>
      </c>
      <c r="E9958" t="inlineStr">
        <is>
          <t>KRAMFORS</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17481-2025</t>
        </is>
      </c>
      <c r="B9959" s="1" t="n">
        <v>45757.48979166667</v>
      </c>
      <c r="C9959" s="1" t="n">
        <v>46185</v>
      </c>
      <c r="D9959" t="inlineStr">
        <is>
          <t>VÄSTERNORRLANDS LÄN</t>
        </is>
      </c>
      <c r="E9959" t="inlineStr">
        <is>
          <t>SOLLEFTEÅ</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19201-2025</t>
        </is>
      </c>
      <c r="B9960" s="1" t="n">
        <v>45769.42797453704</v>
      </c>
      <c r="C9960" s="1" t="n">
        <v>46185</v>
      </c>
      <c r="D9960" t="inlineStr">
        <is>
          <t>VÄSTERNORRLANDS LÄN</t>
        </is>
      </c>
      <c r="E9960" t="inlineStr">
        <is>
          <t>HÄRNÖSAND</t>
        </is>
      </c>
      <c r="F9960" t="inlineStr">
        <is>
          <t>SCA</t>
        </is>
      </c>
      <c r="G9960" t="n">
        <v>20.5</v>
      </c>
      <c r="H9960" t="n">
        <v>0</v>
      </c>
      <c r="I9960" t="n">
        <v>0</v>
      </c>
      <c r="J9960" t="n">
        <v>0</v>
      </c>
      <c r="K9960" t="n">
        <v>0</v>
      </c>
      <c r="L9960" t="n">
        <v>0</v>
      </c>
      <c r="M9960" t="n">
        <v>0</v>
      </c>
      <c r="N9960" t="n">
        <v>0</v>
      </c>
      <c r="O9960" t="n">
        <v>0</v>
      </c>
      <c r="P9960" t="n">
        <v>0</v>
      </c>
      <c r="Q9960" t="n">
        <v>0</v>
      </c>
      <c r="R9960" s="2" t="inlineStr"/>
    </row>
    <row r="9961" ht="15" customHeight="1">
      <c r="A9961" t="inlineStr">
        <is>
          <t>A 43775-2022</t>
        </is>
      </c>
      <c r="B9961" s="1" t="n">
        <v>44837.95053240741</v>
      </c>
      <c r="C9961" s="1" t="n">
        <v>46185</v>
      </c>
      <c r="D9961" t="inlineStr">
        <is>
          <t>VÄSTERNORRLANDS LÄN</t>
        </is>
      </c>
      <c r="E9961" t="inlineStr">
        <is>
          <t>ÅNGE</t>
        </is>
      </c>
      <c r="F9961" t="inlineStr">
        <is>
          <t>SCA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55640-2023</t>
        </is>
      </c>
      <c r="B9962" s="1" t="n">
        <v>45238</v>
      </c>
      <c r="C9962" s="1" t="n">
        <v>46185</v>
      </c>
      <c r="D9962" t="inlineStr">
        <is>
          <t>VÄSTERNORRLANDS LÄN</t>
        </is>
      </c>
      <c r="E9962" t="inlineStr">
        <is>
          <t>ÖRNSKÖLDSVIK</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58060-2022</t>
        </is>
      </c>
      <c r="B9963" s="1" t="n">
        <v>44893</v>
      </c>
      <c r="C9963" s="1" t="n">
        <v>46185</v>
      </c>
      <c r="D9963" t="inlineStr">
        <is>
          <t>VÄSTERNORRLANDS LÄN</t>
        </is>
      </c>
      <c r="E9963" t="inlineStr">
        <is>
          <t>ÖRNSKÖLDSVIK</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27306-2024</t>
        </is>
      </c>
      <c r="B9964" s="1" t="n">
        <v>45471.94454861111</v>
      </c>
      <c r="C9964" s="1" t="n">
        <v>46185</v>
      </c>
      <c r="D9964" t="inlineStr">
        <is>
          <t>VÄSTERNORRLANDS LÄN</t>
        </is>
      </c>
      <c r="E9964" t="inlineStr">
        <is>
          <t>ÅNGE</t>
        </is>
      </c>
      <c r="F9964" t="inlineStr">
        <is>
          <t>SCA</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40490-2024</t>
        </is>
      </c>
      <c r="B9965" s="1" t="n">
        <v>45555</v>
      </c>
      <c r="C9965" s="1" t="n">
        <v>46185</v>
      </c>
      <c r="D9965" t="inlineStr">
        <is>
          <t>VÄSTERNORRLANDS LÄN</t>
        </is>
      </c>
      <c r="E9965" t="inlineStr">
        <is>
          <t>ÖRNSKÖLDSVIK</t>
        </is>
      </c>
      <c r="F9965" t="inlineStr">
        <is>
          <t>Kommuner</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11396-2024</t>
        </is>
      </c>
      <c r="B9966" s="1" t="n">
        <v>45372</v>
      </c>
      <c r="C9966" s="1" t="n">
        <v>46185</v>
      </c>
      <c r="D9966" t="inlineStr">
        <is>
          <t>VÄSTERNORRLANDS LÄN</t>
        </is>
      </c>
      <c r="E9966" t="inlineStr">
        <is>
          <t>ÅNGE</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40698-2022</t>
        </is>
      </c>
      <c r="B9967" s="1" t="n">
        <v>44824</v>
      </c>
      <c r="C9967" s="1" t="n">
        <v>46185</v>
      </c>
      <c r="D9967" t="inlineStr">
        <is>
          <t>VÄSTERNORRLANDS LÄN</t>
        </is>
      </c>
      <c r="E9967" t="inlineStr">
        <is>
          <t>KRAMFORS</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47189-2022</t>
        </is>
      </c>
      <c r="B9968" s="1" t="n">
        <v>44852</v>
      </c>
      <c r="C9968" s="1" t="n">
        <v>46185</v>
      </c>
      <c r="D9968" t="inlineStr">
        <is>
          <t>VÄSTERNORRLANDS LÄN</t>
        </is>
      </c>
      <c r="E9968" t="inlineStr">
        <is>
          <t>KRAMFORS</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47192-2022</t>
        </is>
      </c>
      <c r="B9969" s="1" t="n">
        <v>44852</v>
      </c>
      <c r="C9969" s="1" t="n">
        <v>46185</v>
      </c>
      <c r="D9969" t="inlineStr">
        <is>
          <t>VÄSTERNORRLANDS LÄN</t>
        </is>
      </c>
      <c r="E9969" t="inlineStr">
        <is>
          <t>KRAMFORS</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57518-2023</t>
        </is>
      </c>
      <c r="B9970" s="1" t="n">
        <v>45242</v>
      </c>
      <c r="C9970" s="1" t="n">
        <v>46185</v>
      </c>
      <c r="D9970" t="inlineStr">
        <is>
          <t>VÄSTERNORRLANDS LÄN</t>
        </is>
      </c>
      <c r="E9970" t="inlineStr">
        <is>
          <t>SOLLEFTEÅ</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40212-2024</t>
        </is>
      </c>
      <c r="B9971" s="1" t="n">
        <v>45554.59438657408</v>
      </c>
      <c r="C9971" s="1" t="n">
        <v>46185</v>
      </c>
      <c r="D9971" t="inlineStr">
        <is>
          <t>VÄSTERNORRLANDS LÄN</t>
        </is>
      </c>
      <c r="E9971" t="inlineStr">
        <is>
          <t>ÖRNSKÖLDSVIK</t>
        </is>
      </c>
      <c r="F9971" t="inlineStr">
        <is>
          <t>Holmen skog AB</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25680-2023</t>
        </is>
      </c>
      <c r="B9972" s="1" t="n">
        <v>45089</v>
      </c>
      <c r="C9972" s="1" t="n">
        <v>46185</v>
      </c>
      <c r="D9972" t="inlineStr">
        <is>
          <t>VÄSTERNORRLANDS LÄN</t>
        </is>
      </c>
      <c r="E9972" t="inlineStr">
        <is>
          <t>ÅNGE</t>
        </is>
      </c>
      <c r="F9972" t="inlineStr">
        <is>
          <t>SCA</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2373-2024</t>
        </is>
      </c>
      <c r="B9973" s="1" t="n">
        <v>45310</v>
      </c>
      <c r="C9973" s="1" t="n">
        <v>46185</v>
      </c>
      <c r="D9973" t="inlineStr">
        <is>
          <t>VÄSTERNORRLANDS LÄN</t>
        </is>
      </c>
      <c r="E9973" t="inlineStr">
        <is>
          <t>SUNDSVALL</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23990-2022</t>
        </is>
      </c>
      <c r="B9974" s="1" t="n">
        <v>44722</v>
      </c>
      <c r="C9974" s="1" t="n">
        <v>46185</v>
      </c>
      <c r="D9974" t="inlineStr">
        <is>
          <t>VÄSTERNORRLANDS LÄN</t>
        </is>
      </c>
      <c r="E9974" t="inlineStr">
        <is>
          <t>SUNDSVALL</t>
        </is>
      </c>
      <c r="F9974" t="inlineStr">
        <is>
          <t>SCA</t>
        </is>
      </c>
      <c r="G9974" t="n">
        <v>6.5</v>
      </c>
      <c r="H9974" t="n">
        <v>0</v>
      </c>
      <c r="I9974" t="n">
        <v>0</v>
      </c>
      <c r="J9974" t="n">
        <v>0</v>
      </c>
      <c r="K9974" t="n">
        <v>0</v>
      </c>
      <c r="L9974" t="n">
        <v>0</v>
      </c>
      <c r="M9974" t="n">
        <v>0</v>
      </c>
      <c r="N9974" t="n">
        <v>0</v>
      </c>
      <c r="O9974" t="n">
        <v>0</v>
      </c>
      <c r="P9974" t="n">
        <v>0</v>
      </c>
      <c r="Q9974" t="n">
        <v>0</v>
      </c>
      <c r="R9974" s="2" t="inlineStr"/>
    </row>
    <row r="9975" ht="15" customHeight="1">
      <c r="A9975" t="inlineStr">
        <is>
          <t>A 34365-2024</t>
        </is>
      </c>
      <c r="B9975" s="1" t="n">
        <v>45525</v>
      </c>
      <c r="C9975" s="1" t="n">
        <v>46185</v>
      </c>
      <c r="D9975" t="inlineStr">
        <is>
          <t>VÄSTERNORRLANDS LÄN</t>
        </is>
      </c>
      <c r="E9975" t="inlineStr">
        <is>
          <t>ÖRNSKÖLDSVIK</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64313-2023</t>
        </is>
      </c>
      <c r="B9976" s="1" t="n">
        <v>45279</v>
      </c>
      <c r="C9976" s="1" t="n">
        <v>46185</v>
      </c>
      <c r="D9976" t="inlineStr">
        <is>
          <t>VÄSTERNORRLANDS LÄN</t>
        </is>
      </c>
      <c r="E9976" t="inlineStr">
        <is>
          <t>SUNDSVALL</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63987-2023</t>
        </is>
      </c>
      <c r="B9977" s="1" t="n">
        <v>45278</v>
      </c>
      <c r="C9977" s="1" t="n">
        <v>46185</v>
      </c>
      <c r="D9977" t="inlineStr">
        <is>
          <t>VÄSTERNORRLANDS LÄN</t>
        </is>
      </c>
      <c r="E9977" t="inlineStr">
        <is>
          <t>SUNDSVALL</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63989-2023</t>
        </is>
      </c>
      <c r="B9978" s="1" t="n">
        <v>45278</v>
      </c>
      <c r="C9978" s="1" t="n">
        <v>46185</v>
      </c>
      <c r="D9978" t="inlineStr">
        <is>
          <t>VÄSTERNORRLANDS LÄN</t>
        </is>
      </c>
      <c r="E9978" t="inlineStr">
        <is>
          <t>SUNDSVALL</t>
        </is>
      </c>
      <c r="G9978" t="n">
        <v>0.4</v>
      </c>
      <c r="H9978" t="n">
        <v>0</v>
      </c>
      <c r="I9978" t="n">
        <v>0</v>
      </c>
      <c r="J9978" t="n">
        <v>0</v>
      </c>
      <c r="K9978" t="n">
        <v>0</v>
      </c>
      <c r="L9978" t="n">
        <v>0</v>
      </c>
      <c r="M9978" t="n">
        <v>0</v>
      </c>
      <c r="N9978" t="n">
        <v>0</v>
      </c>
      <c r="O9978" t="n">
        <v>0</v>
      </c>
      <c r="P9978" t="n">
        <v>0</v>
      </c>
      <c r="Q9978" t="n">
        <v>0</v>
      </c>
      <c r="R9978" s="2" t="inlineStr"/>
    </row>
    <row r="9979" ht="15" customHeight="1">
      <c r="A9979" t="inlineStr">
        <is>
          <t>A 59794-2024</t>
        </is>
      </c>
      <c r="B9979" s="1" t="n">
        <v>45639.58982638889</v>
      </c>
      <c r="C9979" s="1" t="n">
        <v>46185</v>
      </c>
      <c r="D9979" t="inlineStr">
        <is>
          <t>VÄSTERNORRLANDS LÄN</t>
        </is>
      </c>
      <c r="E9979" t="inlineStr">
        <is>
          <t>ÖRNSKÖLDSVIK</t>
        </is>
      </c>
      <c r="G9979" t="n">
        <v>7.1</v>
      </c>
      <c r="H9979" t="n">
        <v>0</v>
      </c>
      <c r="I9979" t="n">
        <v>0</v>
      </c>
      <c r="J9979" t="n">
        <v>0</v>
      </c>
      <c r="K9979" t="n">
        <v>0</v>
      </c>
      <c r="L9979" t="n">
        <v>0</v>
      </c>
      <c r="M9979" t="n">
        <v>0</v>
      </c>
      <c r="N9979" t="n">
        <v>0</v>
      </c>
      <c r="O9979" t="n">
        <v>0</v>
      </c>
      <c r="P9979" t="n">
        <v>0</v>
      </c>
      <c r="Q9979" t="n">
        <v>0</v>
      </c>
      <c r="R9979" s="2" t="inlineStr"/>
    </row>
    <row r="9980" ht="15" customHeight="1">
      <c r="A9980" t="inlineStr">
        <is>
          <t>A 59531-2023</t>
        </is>
      </c>
      <c r="B9980" s="1" t="n">
        <v>45253</v>
      </c>
      <c r="C9980" s="1" t="n">
        <v>46185</v>
      </c>
      <c r="D9980" t="inlineStr">
        <is>
          <t>VÄSTERNORRLANDS LÄN</t>
        </is>
      </c>
      <c r="E9980" t="inlineStr">
        <is>
          <t>ÖRNSKÖLDSVIK</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3675-2025</t>
        </is>
      </c>
      <c r="B9981" s="1" t="n">
        <v>45681.4403125</v>
      </c>
      <c r="C9981" s="1" t="n">
        <v>46185</v>
      </c>
      <c r="D9981" t="inlineStr">
        <is>
          <t>VÄSTERNORRLANDS LÄN</t>
        </is>
      </c>
      <c r="E9981" t="inlineStr">
        <is>
          <t>KRAMFORS</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53477-2024</t>
        </is>
      </c>
      <c r="B9982" s="1" t="n">
        <v>45611</v>
      </c>
      <c r="C9982" s="1" t="n">
        <v>46185</v>
      </c>
      <c r="D9982" t="inlineStr">
        <is>
          <t>VÄSTERNORRLANDS LÄN</t>
        </is>
      </c>
      <c r="E9982" t="inlineStr">
        <is>
          <t>SOLLEFTEÅ</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49831-2024</t>
        </is>
      </c>
      <c r="B9983" s="1" t="n">
        <v>45597.42854166667</v>
      </c>
      <c r="C9983" s="1" t="n">
        <v>46185</v>
      </c>
      <c r="D9983" t="inlineStr">
        <is>
          <t>VÄSTERNORRLANDS LÄN</t>
        </is>
      </c>
      <c r="E9983" t="inlineStr">
        <is>
          <t>ÖRNSKÖLDSVIK</t>
        </is>
      </c>
      <c r="F9983" t="inlineStr">
        <is>
          <t>Holmen skog AB</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56337-2024</t>
        </is>
      </c>
      <c r="B9984" s="1" t="n">
        <v>45624.81244212963</v>
      </c>
      <c r="C9984" s="1" t="n">
        <v>46185</v>
      </c>
      <c r="D9984" t="inlineStr">
        <is>
          <t>VÄSTERNORRLANDS LÄN</t>
        </is>
      </c>
      <c r="E9984" t="inlineStr">
        <is>
          <t>ÖRNSKÖLDSVIK</t>
        </is>
      </c>
      <c r="F9984" t="inlineStr">
        <is>
          <t>Holmen skog AB</t>
        </is>
      </c>
      <c r="G9984" t="n">
        <v>5.6</v>
      </c>
      <c r="H9984" t="n">
        <v>0</v>
      </c>
      <c r="I9984" t="n">
        <v>0</v>
      </c>
      <c r="J9984" t="n">
        <v>0</v>
      </c>
      <c r="K9984" t="n">
        <v>0</v>
      </c>
      <c r="L9984" t="n">
        <v>0</v>
      </c>
      <c r="M9984" t="n">
        <v>0</v>
      </c>
      <c r="N9984" t="n">
        <v>0</v>
      </c>
      <c r="O9984" t="n">
        <v>0</v>
      </c>
      <c r="P9984" t="n">
        <v>0</v>
      </c>
      <c r="Q9984" t="n">
        <v>0</v>
      </c>
      <c r="R9984" s="2" t="inlineStr"/>
    </row>
    <row r="9985" ht="15" customHeight="1">
      <c r="A9985" t="inlineStr">
        <is>
          <t>A 34744-2022</t>
        </is>
      </c>
      <c r="B9985" s="1" t="n">
        <v>44795.62546296296</v>
      </c>
      <c r="C9985" s="1" t="n">
        <v>46185</v>
      </c>
      <c r="D9985" t="inlineStr">
        <is>
          <t>VÄSTERNORRLANDS LÄN</t>
        </is>
      </c>
      <c r="E9985" t="inlineStr">
        <is>
          <t>SUNDSVALL</t>
        </is>
      </c>
      <c r="G9985" t="n">
        <v>7.1</v>
      </c>
      <c r="H9985" t="n">
        <v>0</v>
      </c>
      <c r="I9985" t="n">
        <v>0</v>
      </c>
      <c r="J9985" t="n">
        <v>0</v>
      </c>
      <c r="K9985" t="n">
        <v>0</v>
      </c>
      <c r="L9985" t="n">
        <v>0</v>
      </c>
      <c r="M9985" t="n">
        <v>0</v>
      </c>
      <c r="N9985" t="n">
        <v>0</v>
      </c>
      <c r="O9985" t="n">
        <v>0</v>
      </c>
      <c r="P9985" t="n">
        <v>0</v>
      </c>
      <c r="Q9985" t="n">
        <v>0</v>
      </c>
      <c r="R9985" s="2" t="inlineStr"/>
    </row>
    <row r="9986" ht="15" customHeight="1">
      <c r="A9986" t="inlineStr">
        <is>
          <t>A 59723-2021</t>
        </is>
      </c>
      <c r="B9986" s="1" t="n">
        <v>44494.42824074074</v>
      </c>
      <c r="C9986" s="1" t="n">
        <v>46185</v>
      </c>
      <c r="D9986" t="inlineStr">
        <is>
          <t>VÄSTERNORRLANDS LÄN</t>
        </is>
      </c>
      <c r="E9986" t="inlineStr">
        <is>
          <t>SUNDSVALL</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32896-2022</t>
        </is>
      </c>
      <c r="B9987" s="1" t="n">
        <v>44784.57076388889</v>
      </c>
      <c r="C9987" s="1" t="n">
        <v>46185</v>
      </c>
      <c r="D9987" t="inlineStr">
        <is>
          <t>VÄSTERNORRLANDS LÄN</t>
        </is>
      </c>
      <c r="E9987" t="inlineStr">
        <is>
          <t>ÖRNSKÖLDSVIK</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43554-2022</t>
        </is>
      </c>
      <c r="B9988" s="1" t="n">
        <v>44834</v>
      </c>
      <c r="C9988" s="1" t="n">
        <v>46185</v>
      </c>
      <c r="D9988" t="inlineStr">
        <is>
          <t>VÄSTERNORRLANDS LÄN</t>
        </is>
      </c>
      <c r="E9988" t="inlineStr">
        <is>
          <t>KRAMFORS</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20483-2023</t>
        </is>
      </c>
      <c r="B9989" s="1" t="n">
        <v>45057</v>
      </c>
      <c r="C9989" s="1" t="n">
        <v>46185</v>
      </c>
      <c r="D9989" t="inlineStr">
        <is>
          <t>VÄSTERNORRLANDS LÄN</t>
        </is>
      </c>
      <c r="E9989" t="inlineStr">
        <is>
          <t>ÖRNSKÖLDSVIK</t>
        </is>
      </c>
      <c r="G9989" t="n">
        <v>7.5</v>
      </c>
      <c r="H9989" t="n">
        <v>0</v>
      </c>
      <c r="I9989" t="n">
        <v>0</v>
      </c>
      <c r="J9989" t="n">
        <v>0</v>
      </c>
      <c r="K9989" t="n">
        <v>0</v>
      </c>
      <c r="L9989" t="n">
        <v>0</v>
      </c>
      <c r="M9989" t="n">
        <v>0</v>
      </c>
      <c r="N9989" t="n">
        <v>0</v>
      </c>
      <c r="O9989" t="n">
        <v>0</v>
      </c>
      <c r="P9989" t="n">
        <v>0</v>
      </c>
      <c r="Q9989" t="n">
        <v>0</v>
      </c>
      <c r="R9989" s="2" t="inlineStr"/>
    </row>
    <row r="9990" ht="15" customHeight="1">
      <c r="A9990" t="inlineStr">
        <is>
          <t>A 32653-2024</t>
        </is>
      </c>
      <c r="B9990" s="1" t="n">
        <v>45513.9644675926</v>
      </c>
      <c r="C9990" s="1" t="n">
        <v>46185</v>
      </c>
      <c r="D9990" t="inlineStr">
        <is>
          <t>VÄSTERNORRLANDS LÄN</t>
        </is>
      </c>
      <c r="E9990" t="inlineStr">
        <is>
          <t>SUNDSVALL</t>
        </is>
      </c>
      <c r="F9990" t="inlineStr">
        <is>
          <t>SCA</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18415-2025</t>
        </is>
      </c>
      <c r="B9991" s="1" t="n">
        <v>45762.61503472222</v>
      </c>
      <c r="C9991" s="1" t="n">
        <v>46185</v>
      </c>
      <c r="D9991" t="inlineStr">
        <is>
          <t>VÄSTERNORRLANDS LÄN</t>
        </is>
      </c>
      <c r="E9991" t="inlineStr">
        <is>
          <t>TIMRÅ</t>
        </is>
      </c>
      <c r="G9991" t="n">
        <v>9.800000000000001</v>
      </c>
      <c r="H9991" t="n">
        <v>0</v>
      </c>
      <c r="I9991" t="n">
        <v>0</v>
      </c>
      <c r="J9991" t="n">
        <v>0</v>
      </c>
      <c r="K9991" t="n">
        <v>0</v>
      </c>
      <c r="L9991" t="n">
        <v>0</v>
      </c>
      <c r="M9991" t="n">
        <v>0</v>
      </c>
      <c r="N9991" t="n">
        <v>0</v>
      </c>
      <c r="O9991" t="n">
        <v>0</v>
      </c>
      <c r="P9991" t="n">
        <v>0</v>
      </c>
      <c r="Q9991" t="n">
        <v>0</v>
      </c>
      <c r="R9991" s="2" t="inlineStr"/>
    </row>
    <row r="9992" ht="15" customHeight="1">
      <c r="A9992" t="inlineStr">
        <is>
          <t>A 68753-2021</t>
        </is>
      </c>
      <c r="B9992" s="1" t="n">
        <v>44529</v>
      </c>
      <c r="C9992" s="1" t="n">
        <v>46185</v>
      </c>
      <c r="D9992" t="inlineStr">
        <is>
          <t>VÄSTERNORRLANDS LÄN</t>
        </is>
      </c>
      <c r="E9992" t="inlineStr">
        <is>
          <t>ÖRNSKÖLDSVIK</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1333-2023</t>
        </is>
      </c>
      <c r="B9993" s="1" t="n">
        <v>44936</v>
      </c>
      <c r="C9993" s="1" t="n">
        <v>46185</v>
      </c>
      <c r="D9993" t="inlineStr">
        <is>
          <t>VÄSTERNORRLANDS LÄN</t>
        </is>
      </c>
      <c r="E9993" t="inlineStr">
        <is>
          <t>ÖRNSKÖLDSVIK</t>
        </is>
      </c>
      <c r="F9993" t="inlineStr">
        <is>
          <t>Holmen skog AB</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1769-2023</t>
        </is>
      </c>
      <c r="B9994" s="1" t="n">
        <v>44938.58025462963</v>
      </c>
      <c r="C9994" s="1" t="n">
        <v>46185</v>
      </c>
      <c r="D9994" t="inlineStr">
        <is>
          <t>VÄSTERNORRLANDS LÄN</t>
        </is>
      </c>
      <c r="E9994" t="inlineStr">
        <is>
          <t>ÅNGE</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1775-2023</t>
        </is>
      </c>
      <c r="B9995" s="1" t="n">
        <v>44938</v>
      </c>
      <c r="C9995" s="1" t="n">
        <v>46185</v>
      </c>
      <c r="D9995" t="inlineStr">
        <is>
          <t>VÄSTERNORRLANDS LÄN</t>
        </is>
      </c>
      <c r="E9995" t="inlineStr">
        <is>
          <t>ÅNGE</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10878-2024</t>
        </is>
      </c>
      <c r="B9996" s="1" t="n">
        <v>45370</v>
      </c>
      <c r="C9996" s="1" t="n">
        <v>46185</v>
      </c>
      <c r="D9996" t="inlineStr">
        <is>
          <t>VÄSTERNORRLANDS LÄN</t>
        </is>
      </c>
      <c r="E9996" t="inlineStr">
        <is>
          <t>ÅNGE</t>
        </is>
      </c>
      <c r="F9996" t="inlineStr">
        <is>
          <t>SCA</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19066-2024</t>
        </is>
      </c>
      <c r="B9997" s="1" t="n">
        <v>45427</v>
      </c>
      <c r="C9997" s="1" t="n">
        <v>46185</v>
      </c>
      <c r="D9997" t="inlineStr">
        <is>
          <t>VÄSTERNORRLANDS LÄN</t>
        </is>
      </c>
      <c r="E9997" t="inlineStr">
        <is>
          <t>ÅNGE</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45627-2024</t>
        </is>
      </c>
      <c r="B9998" s="1" t="n">
        <v>45579</v>
      </c>
      <c r="C9998" s="1" t="n">
        <v>46185</v>
      </c>
      <c r="D9998" t="inlineStr">
        <is>
          <t>VÄSTERNORRLANDS LÄN</t>
        </is>
      </c>
      <c r="E9998" t="inlineStr">
        <is>
          <t>TIMRÅ</t>
        </is>
      </c>
      <c r="F9998" t="inlineStr">
        <is>
          <t>SCA</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63727-2023</t>
        </is>
      </c>
      <c r="B9999" s="1" t="n">
        <v>45276.62925925926</v>
      </c>
      <c r="C9999" s="1" t="n">
        <v>46185</v>
      </c>
      <c r="D9999" t="inlineStr">
        <is>
          <t>VÄSTERNORRLANDS LÄN</t>
        </is>
      </c>
      <c r="E9999" t="inlineStr">
        <is>
          <t>ÖRNSKÖLDSVIK</t>
        </is>
      </c>
      <c r="F9999" t="inlineStr">
        <is>
          <t>Övriga Aktiebolag</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63728-2023</t>
        </is>
      </c>
      <c r="B10000" s="1" t="n">
        <v>45276.64795138889</v>
      </c>
      <c r="C10000" s="1" t="n">
        <v>46185</v>
      </c>
      <c r="D10000" t="inlineStr">
        <is>
          <t>VÄSTERNORRLANDS LÄN</t>
        </is>
      </c>
      <c r="E10000" t="inlineStr">
        <is>
          <t>ÖRNSKÖLDSVIK</t>
        </is>
      </c>
      <c r="F10000" t="inlineStr">
        <is>
          <t>Övriga Aktiebolag</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43959-2023</t>
        </is>
      </c>
      <c r="B10001" s="1" t="n">
        <v>45187.9603587963</v>
      </c>
      <c r="C10001" s="1" t="n">
        <v>46185</v>
      </c>
      <c r="D10001" t="inlineStr">
        <is>
          <t>VÄSTERNORRLANDS LÄN</t>
        </is>
      </c>
      <c r="E10001" t="inlineStr">
        <is>
          <t>TIMRÅ</t>
        </is>
      </c>
      <c r="F10001" t="inlineStr">
        <is>
          <t>SCA</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8670-2024</t>
        </is>
      </c>
      <c r="B10002" s="1" t="n">
        <v>45356</v>
      </c>
      <c r="C10002" s="1" t="n">
        <v>46185</v>
      </c>
      <c r="D10002" t="inlineStr">
        <is>
          <t>VÄSTERNORRLANDS LÄN</t>
        </is>
      </c>
      <c r="E10002" t="inlineStr">
        <is>
          <t>ÖRNSKÖLDSVIK</t>
        </is>
      </c>
      <c r="F10002" t="inlineStr">
        <is>
          <t>Holmen skog AB</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3631-2023</t>
        </is>
      </c>
      <c r="B10003" s="1" t="n">
        <v>44950</v>
      </c>
      <c r="C10003" s="1" t="n">
        <v>46185</v>
      </c>
      <c r="D10003" t="inlineStr">
        <is>
          <t>VÄSTERNORRLANDS LÄN</t>
        </is>
      </c>
      <c r="E10003" t="inlineStr">
        <is>
          <t>ÅNGE</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31177-2024</t>
        </is>
      </c>
      <c r="B10004" s="1" t="n">
        <v>45503</v>
      </c>
      <c r="C10004" s="1" t="n">
        <v>46185</v>
      </c>
      <c r="D10004" t="inlineStr">
        <is>
          <t>VÄSTERNORRLANDS LÄN</t>
        </is>
      </c>
      <c r="E10004" t="inlineStr">
        <is>
          <t>ÅNGE</t>
        </is>
      </c>
      <c r="G10004" t="n">
        <v>10.2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50179-2024</t>
        </is>
      </c>
      <c r="B10005" s="1" t="n">
        <v>45600</v>
      </c>
      <c r="C10005" s="1" t="n">
        <v>46185</v>
      </c>
      <c r="D10005" t="inlineStr">
        <is>
          <t>VÄSTERNORRLANDS LÄN</t>
        </is>
      </c>
      <c r="E10005" t="inlineStr">
        <is>
          <t>ÅNGE</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2140-2023</t>
        </is>
      </c>
      <c r="B10006" s="1" t="n">
        <v>44940</v>
      </c>
      <c r="C10006" s="1" t="n">
        <v>46185</v>
      </c>
      <c r="D10006" t="inlineStr">
        <is>
          <t>VÄSTERNORRLANDS LÄN</t>
        </is>
      </c>
      <c r="E10006" t="inlineStr">
        <is>
          <t>ÅNGE</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30347-2024</t>
        </is>
      </c>
      <c r="B10007" s="1" t="n">
        <v>45490.95515046296</v>
      </c>
      <c r="C10007" s="1" t="n">
        <v>46185</v>
      </c>
      <c r="D10007" t="inlineStr">
        <is>
          <t>VÄSTERNORRLANDS LÄN</t>
        </is>
      </c>
      <c r="E10007" t="inlineStr">
        <is>
          <t>ÅNGE</t>
        </is>
      </c>
      <c r="F10007" t="inlineStr">
        <is>
          <t>SCA</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30349-2024</t>
        </is>
      </c>
      <c r="B10008" s="1" t="n">
        <v>45490.95533564815</v>
      </c>
      <c r="C10008" s="1" t="n">
        <v>46185</v>
      </c>
      <c r="D10008" t="inlineStr">
        <is>
          <t>VÄSTERNORRLANDS LÄN</t>
        </is>
      </c>
      <c r="E10008" t="inlineStr">
        <is>
          <t>ÖRNSKÖLDSVIK</t>
        </is>
      </c>
      <c r="F10008" t="inlineStr">
        <is>
          <t>SCA</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73763-2021</t>
        </is>
      </c>
      <c r="B10009" s="1" t="n">
        <v>44552</v>
      </c>
      <c r="C10009" s="1" t="n">
        <v>46185</v>
      </c>
      <c r="D10009" t="inlineStr">
        <is>
          <t>VÄSTERNORRLANDS LÄN</t>
        </is>
      </c>
      <c r="E10009" t="inlineStr">
        <is>
          <t>ÖRNSKÖLDSVIK</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11334-2024</t>
        </is>
      </c>
      <c r="B10010" s="1" t="n">
        <v>45372</v>
      </c>
      <c r="C10010" s="1" t="n">
        <v>46185</v>
      </c>
      <c r="D10010" t="inlineStr">
        <is>
          <t>VÄSTERNORRLANDS LÄN</t>
        </is>
      </c>
      <c r="E10010" t="inlineStr">
        <is>
          <t>SOLLEFTEÅ</t>
        </is>
      </c>
      <c r="F10010" t="inlineStr">
        <is>
          <t>SCA</t>
        </is>
      </c>
      <c r="G10010" t="n">
        <v>11.7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21642-2024</t>
        </is>
      </c>
      <c r="B10011" s="1" t="n">
        <v>45442</v>
      </c>
      <c r="C10011" s="1" t="n">
        <v>46185</v>
      </c>
      <c r="D10011" t="inlineStr">
        <is>
          <t>VÄSTERNORRLANDS LÄN</t>
        </is>
      </c>
      <c r="E10011" t="inlineStr">
        <is>
          <t>ÖRNSKÖLDSVIK</t>
        </is>
      </c>
      <c r="F10011" t="inlineStr">
        <is>
          <t>Holmen skog AB</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55351-2021</t>
        </is>
      </c>
      <c r="B10012" s="1" t="n">
        <v>44475</v>
      </c>
      <c r="C10012" s="1" t="n">
        <v>46185</v>
      </c>
      <c r="D10012" t="inlineStr">
        <is>
          <t>VÄSTERNORRLANDS LÄN</t>
        </is>
      </c>
      <c r="E10012" t="inlineStr">
        <is>
          <t>ÖRNSKÖLDSVIK</t>
        </is>
      </c>
      <c r="F10012" t="inlineStr">
        <is>
          <t>Holmen skog AB</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55177-2024</t>
        </is>
      </c>
      <c r="B10013" s="1" t="n">
        <v>45621.53179398148</v>
      </c>
      <c r="C10013" s="1" t="n">
        <v>46185</v>
      </c>
      <c r="D10013" t="inlineStr">
        <is>
          <t>VÄSTERNORRLANDS LÄN</t>
        </is>
      </c>
      <c r="E10013" t="inlineStr">
        <is>
          <t>ÅNGE</t>
        </is>
      </c>
      <c r="F10013" t="inlineStr">
        <is>
          <t>SCA</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39495-2023</t>
        </is>
      </c>
      <c r="B10014" s="1" t="n">
        <v>45166.95712962963</v>
      </c>
      <c r="C10014" s="1" t="n">
        <v>46185</v>
      </c>
      <c r="D10014" t="inlineStr">
        <is>
          <t>VÄSTERNORRLANDS LÄN</t>
        </is>
      </c>
      <c r="E10014" t="inlineStr">
        <is>
          <t>SOLLEFTEÅ</t>
        </is>
      </c>
      <c r="F10014" t="inlineStr">
        <is>
          <t>SCA</t>
        </is>
      </c>
      <c r="G10014" t="n">
        <v>5.6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35504-2023</t>
        </is>
      </c>
      <c r="B10015" s="1" t="n">
        <v>45146.94744212963</v>
      </c>
      <c r="C10015" s="1" t="n">
        <v>46185</v>
      </c>
      <c r="D10015" t="inlineStr">
        <is>
          <t>VÄSTERNORRLANDS LÄN</t>
        </is>
      </c>
      <c r="E10015" t="inlineStr">
        <is>
          <t>SUNDSVALL</t>
        </is>
      </c>
      <c r="F10015" t="inlineStr">
        <is>
          <t>Naturvårdsverket</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28480-2022</t>
        </is>
      </c>
      <c r="B10016" s="1" t="n">
        <v>44747</v>
      </c>
      <c r="C10016" s="1" t="n">
        <v>46185</v>
      </c>
      <c r="D10016" t="inlineStr">
        <is>
          <t>VÄSTERNORRLANDS LÄN</t>
        </is>
      </c>
      <c r="E10016" t="inlineStr">
        <is>
          <t>SUNDSVALL</t>
        </is>
      </c>
      <c r="G10016" t="n">
        <v>11.6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6172-2022</t>
        </is>
      </c>
      <c r="B10017" s="1" t="n">
        <v>44599.93700231481</v>
      </c>
      <c r="C10017" s="1" t="n">
        <v>46185</v>
      </c>
      <c r="D10017" t="inlineStr">
        <is>
          <t>VÄSTERNORRLANDS LÄN</t>
        </is>
      </c>
      <c r="E10017" t="inlineStr">
        <is>
          <t>SOLLEFTEÅ</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60077-2024</t>
        </is>
      </c>
      <c r="B10018" s="1" t="n">
        <v>45642</v>
      </c>
      <c r="C10018" s="1" t="n">
        <v>46185</v>
      </c>
      <c r="D10018" t="inlineStr">
        <is>
          <t>VÄSTERNORRLANDS LÄN</t>
        </is>
      </c>
      <c r="E10018" t="inlineStr">
        <is>
          <t>SOLLEFTEÅ</t>
        </is>
      </c>
      <c r="F10018" t="inlineStr">
        <is>
          <t>SCA</t>
        </is>
      </c>
      <c r="G10018" t="n">
        <v>21.5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36726-2023</t>
        </is>
      </c>
      <c r="B10019" s="1" t="n">
        <v>45153.68478009259</v>
      </c>
      <c r="C10019" s="1" t="n">
        <v>46185</v>
      </c>
      <c r="D10019" t="inlineStr">
        <is>
          <t>VÄSTERNORRLANDS LÄN</t>
        </is>
      </c>
      <c r="E10019" t="inlineStr">
        <is>
          <t>ÖRNSKÖLDSVIK</t>
        </is>
      </c>
      <c r="G10019" t="n">
        <v>5.1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60511-2021</t>
        </is>
      </c>
      <c r="B10020" s="1" t="n">
        <v>44495</v>
      </c>
      <c r="C10020" s="1" t="n">
        <v>46185</v>
      </c>
      <c r="D10020" t="inlineStr">
        <is>
          <t>VÄSTERNORRLANDS LÄN</t>
        </is>
      </c>
      <c r="E10020" t="inlineStr">
        <is>
          <t>ÖRNSKÖLDSVIK</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4124-2023</t>
        </is>
      </c>
      <c r="B10021" s="1" t="n">
        <v>44952</v>
      </c>
      <c r="C10021" s="1" t="n">
        <v>46185</v>
      </c>
      <c r="D10021" t="inlineStr">
        <is>
          <t>VÄSTERNORRLANDS LÄN</t>
        </is>
      </c>
      <c r="E10021" t="inlineStr">
        <is>
          <t>TIMRÅ</t>
        </is>
      </c>
      <c r="G10021" t="n">
        <v>4.4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126-2025</t>
        </is>
      </c>
      <c r="B10022" s="1" t="n">
        <v>45659</v>
      </c>
      <c r="C10022" s="1" t="n">
        <v>46185</v>
      </c>
      <c r="D10022" t="inlineStr">
        <is>
          <t>VÄSTERNORRLANDS LÄN</t>
        </is>
      </c>
      <c r="E10022" t="inlineStr">
        <is>
          <t>ÖRNSKÖLDSVIK</t>
        </is>
      </c>
      <c r="F10022" t="inlineStr">
        <is>
          <t>Holmen skog AB</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43096-2023</t>
        </is>
      </c>
      <c r="B10023" s="1" t="n">
        <v>45182</v>
      </c>
      <c r="C10023" s="1" t="n">
        <v>46185</v>
      </c>
      <c r="D10023" t="inlineStr">
        <is>
          <t>VÄSTERNORRLANDS LÄN</t>
        </is>
      </c>
      <c r="E10023" t="inlineStr">
        <is>
          <t>ÅNGE</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12135-2023</t>
        </is>
      </c>
      <c r="B10024" s="1" t="n">
        <v>44995</v>
      </c>
      <c r="C10024" s="1" t="n">
        <v>46185</v>
      </c>
      <c r="D10024" t="inlineStr">
        <is>
          <t>VÄSTERNORRLANDS LÄN</t>
        </is>
      </c>
      <c r="E10024" t="inlineStr">
        <is>
          <t>SOLLEFTEÅ</t>
        </is>
      </c>
      <c r="G10024" t="n">
        <v>5.7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18345-2025</t>
        </is>
      </c>
      <c r="B10025" s="1" t="n">
        <v>45762.52707175926</v>
      </c>
      <c r="C10025" s="1" t="n">
        <v>46185</v>
      </c>
      <c r="D10025" t="inlineStr">
        <is>
          <t>VÄSTERNORRLANDS LÄN</t>
        </is>
      </c>
      <c r="E10025" t="inlineStr">
        <is>
          <t>HÄRNÖSAND</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43248-2023</t>
        </is>
      </c>
      <c r="B10026" s="1" t="n">
        <v>45180</v>
      </c>
      <c r="C10026" s="1" t="n">
        <v>46185</v>
      </c>
      <c r="D10026" t="inlineStr">
        <is>
          <t>VÄSTERNORRLANDS LÄN</t>
        </is>
      </c>
      <c r="E10026" t="inlineStr">
        <is>
          <t>HÄRNÖSAND</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27382-2023</t>
        </is>
      </c>
      <c r="B10027" s="1" t="n">
        <v>45096.93920138889</v>
      </c>
      <c r="C10027" s="1" t="n">
        <v>46185</v>
      </c>
      <c r="D10027" t="inlineStr">
        <is>
          <t>VÄSTERNORRLANDS LÄN</t>
        </is>
      </c>
      <c r="E10027" t="inlineStr">
        <is>
          <t>SOLLEFTEÅ</t>
        </is>
      </c>
      <c r="F10027" t="inlineStr">
        <is>
          <t>SCA</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27384-2023</t>
        </is>
      </c>
      <c r="B10028" s="1" t="n">
        <v>45096.939375</v>
      </c>
      <c r="C10028" s="1" t="n">
        <v>46185</v>
      </c>
      <c r="D10028" t="inlineStr">
        <is>
          <t>VÄSTERNORRLANDS LÄN</t>
        </is>
      </c>
      <c r="E10028" t="inlineStr">
        <is>
          <t>SOLLEFTEÅ</t>
        </is>
      </c>
      <c r="F10028" t="inlineStr">
        <is>
          <t>SCA</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3322-2025</t>
        </is>
      </c>
      <c r="B10029" s="1" t="n">
        <v>45679.6989699074</v>
      </c>
      <c r="C10029" s="1" t="n">
        <v>46185</v>
      </c>
      <c r="D10029" t="inlineStr">
        <is>
          <t>VÄSTERNORRLANDS LÄN</t>
        </is>
      </c>
      <c r="E10029" t="inlineStr">
        <is>
          <t>ÅNGE</t>
        </is>
      </c>
      <c r="F10029" t="inlineStr">
        <is>
          <t>SCA</t>
        </is>
      </c>
      <c r="G10029" t="n">
        <v>11.1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3327-2025</t>
        </is>
      </c>
      <c r="B10030" s="1" t="n">
        <v>45679.69967592593</v>
      </c>
      <c r="C10030" s="1" t="n">
        <v>46185</v>
      </c>
      <c r="D10030" t="inlineStr">
        <is>
          <t>VÄSTERNORRLANDS LÄN</t>
        </is>
      </c>
      <c r="E10030" t="inlineStr">
        <is>
          <t>ÅNGE</t>
        </is>
      </c>
      <c r="F10030" t="inlineStr">
        <is>
          <t>SCA</t>
        </is>
      </c>
      <c r="G10030" t="n">
        <v>12.9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2385-2025</t>
        </is>
      </c>
      <c r="B10031" s="1" t="n">
        <v>45674</v>
      </c>
      <c r="C10031" s="1" t="n">
        <v>46185</v>
      </c>
      <c r="D10031" t="inlineStr">
        <is>
          <t>VÄSTERNORRLANDS LÄN</t>
        </is>
      </c>
      <c r="E10031" t="inlineStr">
        <is>
          <t>KRAMFORS</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18648-2024</t>
        </is>
      </c>
      <c r="B10032" s="1" t="n">
        <v>45425.9678125</v>
      </c>
      <c r="C10032" s="1" t="n">
        <v>46185</v>
      </c>
      <c r="D10032" t="inlineStr">
        <is>
          <t>VÄSTERNORRLANDS LÄN</t>
        </is>
      </c>
      <c r="E10032" t="inlineStr">
        <is>
          <t>SOLLEFTEÅ</t>
        </is>
      </c>
      <c r="F10032" t="inlineStr">
        <is>
          <t>SCA</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48133-2024</t>
        </is>
      </c>
      <c r="B10033" s="1" t="n">
        <v>45589.65221064815</v>
      </c>
      <c r="C10033" s="1" t="n">
        <v>46185</v>
      </c>
      <c r="D10033" t="inlineStr">
        <is>
          <t>VÄSTERNORRLANDS LÄN</t>
        </is>
      </c>
      <c r="E10033" t="inlineStr">
        <is>
          <t>ÖRNSKÖLDSVIK</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27936-2024</t>
        </is>
      </c>
      <c r="B10034" s="1" t="n">
        <v>45475.95054398148</v>
      </c>
      <c r="C10034" s="1" t="n">
        <v>46185</v>
      </c>
      <c r="D10034" t="inlineStr">
        <is>
          <t>VÄSTERNORRLANDS LÄN</t>
        </is>
      </c>
      <c r="E10034" t="inlineStr">
        <is>
          <t>SOLLEFTEÅ</t>
        </is>
      </c>
      <c r="F10034" t="inlineStr">
        <is>
          <t>SCA</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28318-2022</t>
        </is>
      </c>
      <c r="B10035" s="1" t="n">
        <v>44747.37167824074</v>
      </c>
      <c r="C10035" s="1" t="n">
        <v>46185</v>
      </c>
      <c r="D10035" t="inlineStr">
        <is>
          <t>VÄSTERNORRLANDS LÄN</t>
        </is>
      </c>
      <c r="E10035" t="inlineStr">
        <is>
          <t>KRAMFORS</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20943-2023</t>
        </is>
      </c>
      <c r="B10036" s="1" t="n">
        <v>45061</v>
      </c>
      <c r="C10036" s="1" t="n">
        <v>46185</v>
      </c>
      <c r="D10036" t="inlineStr">
        <is>
          <t>VÄSTERNORRLANDS LÄN</t>
        </is>
      </c>
      <c r="E10036" t="inlineStr">
        <is>
          <t>ÖRNSKÖLDSVIK</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29810-2024</t>
        </is>
      </c>
      <c r="B10037" s="1" t="n">
        <v>45485.53798611111</v>
      </c>
      <c r="C10037" s="1" t="n">
        <v>46185</v>
      </c>
      <c r="D10037" t="inlineStr">
        <is>
          <t>VÄSTERNORRLANDS LÄN</t>
        </is>
      </c>
      <c r="E10037" t="inlineStr">
        <is>
          <t>ÖRNSKÖLDSVIK</t>
        </is>
      </c>
      <c r="F10037" t="inlineStr">
        <is>
          <t>Holmen skog AB</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3947-2025</t>
        </is>
      </c>
      <c r="B10038" s="1" t="n">
        <v>45684.49001157407</v>
      </c>
      <c r="C10038" s="1" t="n">
        <v>46185</v>
      </c>
      <c r="D10038" t="inlineStr">
        <is>
          <t>VÄSTERNORRLANDS LÄN</t>
        </is>
      </c>
      <c r="E10038" t="inlineStr">
        <is>
          <t>ÅNGE</t>
        </is>
      </c>
      <c r="F10038" t="inlineStr">
        <is>
          <t>SCA</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3948-2025</t>
        </is>
      </c>
      <c r="B10039" s="1" t="n">
        <v>45684.49009259259</v>
      </c>
      <c r="C10039" s="1" t="n">
        <v>46185</v>
      </c>
      <c r="D10039" t="inlineStr">
        <is>
          <t>VÄSTERNORRLANDS LÄN</t>
        </is>
      </c>
      <c r="E10039" t="inlineStr">
        <is>
          <t>SUNDSVALL</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59564-2024</t>
        </is>
      </c>
      <c r="B10040" s="1" t="n">
        <v>45638.6375</v>
      </c>
      <c r="C10040" s="1" t="n">
        <v>46185</v>
      </c>
      <c r="D10040" t="inlineStr">
        <is>
          <t>VÄSTERNORRLANDS LÄN</t>
        </is>
      </c>
      <c r="E10040" t="inlineStr">
        <is>
          <t>SOLLEFTEÅ</t>
        </is>
      </c>
      <c r="F10040" t="inlineStr">
        <is>
          <t>SCA</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52502-2023</t>
        </is>
      </c>
      <c r="B10041" s="1" t="n">
        <v>45225</v>
      </c>
      <c r="C10041" s="1" t="n">
        <v>46185</v>
      </c>
      <c r="D10041" t="inlineStr">
        <is>
          <t>VÄSTERNORRLANDS LÄN</t>
        </is>
      </c>
      <c r="E10041" t="inlineStr">
        <is>
          <t>SUNDSVALL</t>
        </is>
      </c>
      <c r="F10041" t="inlineStr">
        <is>
          <t>Kommuner</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52702-2024</t>
        </is>
      </c>
      <c r="B10042" s="1" t="n">
        <v>45610</v>
      </c>
      <c r="C10042" s="1" t="n">
        <v>46185</v>
      </c>
      <c r="D10042" t="inlineStr">
        <is>
          <t>VÄSTERNORRLANDS LÄN</t>
        </is>
      </c>
      <c r="E10042" t="inlineStr">
        <is>
          <t>SOLLEFTEÅ</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59591-2024</t>
        </is>
      </c>
      <c r="B10043" s="1" t="n">
        <v>45638.69253472222</v>
      </c>
      <c r="C10043" s="1" t="n">
        <v>46185</v>
      </c>
      <c r="D10043" t="inlineStr">
        <is>
          <t>VÄSTERNORRLANDS LÄN</t>
        </is>
      </c>
      <c r="E10043" t="inlineStr">
        <is>
          <t>HÄRNÖSAND</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15603-2024</t>
        </is>
      </c>
      <c r="B10044" s="1" t="n">
        <v>45401.92501157407</v>
      </c>
      <c r="C10044" s="1" t="n">
        <v>46185</v>
      </c>
      <c r="D10044" t="inlineStr">
        <is>
          <t>VÄSTERNORRLANDS LÄN</t>
        </is>
      </c>
      <c r="E10044" t="inlineStr">
        <is>
          <t>ÅNGE</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45921-2024</t>
        </is>
      </c>
      <c r="B10045" s="1" t="n">
        <v>45580.46635416667</v>
      </c>
      <c r="C10045" s="1" t="n">
        <v>46185</v>
      </c>
      <c r="D10045" t="inlineStr">
        <is>
          <t>VÄSTERNORRLANDS LÄN</t>
        </is>
      </c>
      <c r="E10045" t="inlineStr">
        <is>
          <t>HÄRNÖSAND</t>
        </is>
      </c>
      <c r="G10045" t="n">
        <v>14.2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50652-2022</t>
        </is>
      </c>
      <c r="B10046" s="1" t="n">
        <v>44866</v>
      </c>
      <c r="C10046" s="1" t="n">
        <v>46185</v>
      </c>
      <c r="D10046" t="inlineStr">
        <is>
          <t>VÄSTERNORRLANDS LÄN</t>
        </is>
      </c>
      <c r="E10046" t="inlineStr">
        <is>
          <t>SUNDSVALL</t>
        </is>
      </c>
      <c r="F10046" t="inlineStr">
        <is>
          <t>SCA</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35785-2023</t>
        </is>
      </c>
      <c r="B10047" s="1" t="n">
        <v>45147</v>
      </c>
      <c r="C10047" s="1" t="n">
        <v>46185</v>
      </c>
      <c r="D10047" t="inlineStr">
        <is>
          <t>VÄSTERNORRLANDS LÄN</t>
        </is>
      </c>
      <c r="E10047" t="inlineStr">
        <is>
          <t>HÄRNÖSAND</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35578-2023</t>
        </is>
      </c>
      <c r="B10048" s="1" t="n">
        <v>45147.47305555556</v>
      </c>
      <c r="C10048" s="1" t="n">
        <v>46185</v>
      </c>
      <c r="D10048" t="inlineStr">
        <is>
          <t>VÄSTERNORRLANDS LÄN</t>
        </is>
      </c>
      <c r="E10048" t="inlineStr">
        <is>
          <t>ÖRNSKÖLDSVIK</t>
        </is>
      </c>
      <c r="F10048" t="inlineStr">
        <is>
          <t>Holmen skog AB</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13506-2023</t>
        </is>
      </c>
      <c r="B10049" s="1" t="n">
        <v>45006</v>
      </c>
      <c r="C10049" s="1" t="n">
        <v>46185</v>
      </c>
      <c r="D10049" t="inlineStr">
        <is>
          <t>VÄSTERNORRLANDS LÄN</t>
        </is>
      </c>
      <c r="E10049" t="inlineStr">
        <is>
          <t>SUNDSVALL</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44378-2023</t>
        </is>
      </c>
      <c r="B10050" s="1" t="n">
        <v>45188.92491898148</v>
      </c>
      <c r="C10050" s="1" t="n">
        <v>46185</v>
      </c>
      <c r="D10050" t="inlineStr">
        <is>
          <t>VÄSTERNORRLANDS LÄN</t>
        </is>
      </c>
      <c r="E10050" t="inlineStr">
        <is>
          <t>TIMRÅ</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21151-2024</t>
        </is>
      </c>
      <c r="B10051" s="1" t="n">
        <v>45440</v>
      </c>
      <c r="C10051" s="1" t="n">
        <v>46185</v>
      </c>
      <c r="D10051" t="inlineStr">
        <is>
          <t>VÄSTERNORRLANDS LÄN</t>
        </is>
      </c>
      <c r="E10051" t="inlineStr">
        <is>
          <t>ÅNGE</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31540-2024</t>
        </is>
      </c>
      <c r="B10052" s="1" t="n">
        <v>45505</v>
      </c>
      <c r="C10052" s="1" t="n">
        <v>46185</v>
      </c>
      <c r="D10052" t="inlineStr">
        <is>
          <t>VÄSTERNORRLANDS LÄN</t>
        </is>
      </c>
      <c r="E10052" t="inlineStr">
        <is>
          <t>ÖRNSKÖLDSVIK</t>
        </is>
      </c>
      <c r="F10052" t="inlineStr">
        <is>
          <t>SCA</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199-2024</t>
        </is>
      </c>
      <c r="B10053" s="1" t="n">
        <v>45294.63547453703</v>
      </c>
      <c r="C10053" s="1" t="n">
        <v>46185</v>
      </c>
      <c r="D10053" t="inlineStr">
        <is>
          <t>VÄSTERNORRLANDS LÄN</t>
        </is>
      </c>
      <c r="E10053" t="inlineStr">
        <is>
          <t>SUNDSVALL</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24531-2023</t>
        </is>
      </c>
      <c r="B10054" s="1" t="n">
        <v>45077</v>
      </c>
      <c r="C10054" s="1" t="n">
        <v>46185</v>
      </c>
      <c r="D10054" t="inlineStr">
        <is>
          <t>VÄSTERNORRLANDS LÄN</t>
        </is>
      </c>
      <c r="E10054" t="inlineStr">
        <is>
          <t>ÖRNSKÖLDSVIK</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25364-2024</t>
        </is>
      </c>
      <c r="B10055" s="1" t="n">
        <v>45462.95849537037</v>
      </c>
      <c r="C10055" s="1" t="n">
        <v>46185</v>
      </c>
      <c r="D10055" t="inlineStr">
        <is>
          <t>VÄSTERNORRLANDS LÄN</t>
        </is>
      </c>
      <c r="E10055" t="inlineStr">
        <is>
          <t>SOLLEFTEÅ</t>
        </is>
      </c>
      <c r="F10055" t="inlineStr">
        <is>
          <t>SCA</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32380-2023</t>
        </is>
      </c>
      <c r="B10056" s="1" t="n">
        <v>45120.58898148148</v>
      </c>
      <c r="C10056" s="1" t="n">
        <v>46185</v>
      </c>
      <c r="D10056" t="inlineStr">
        <is>
          <t>VÄSTERNORRLANDS LÄN</t>
        </is>
      </c>
      <c r="E10056" t="inlineStr">
        <is>
          <t>SUNDSVALL</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13844-2024</t>
        </is>
      </c>
      <c r="B10057" s="1" t="n">
        <v>45390</v>
      </c>
      <c r="C10057" s="1" t="n">
        <v>46185</v>
      </c>
      <c r="D10057" t="inlineStr">
        <is>
          <t>VÄSTERNORRLANDS LÄN</t>
        </is>
      </c>
      <c r="E10057" t="inlineStr">
        <is>
          <t>KRAMFORS</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518-2025</t>
        </is>
      </c>
      <c r="B10058" s="1" t="n">
        <v>45664.47759259259</v>
      </c>
      <c r="C10058" s="1" t="n">
        <v>46185</v>
      </c>
      <c r="D10058" t="inlineStr">
        <is>
          <t>VÄSTERNORRLANDS LÄN</t>
        </is>
      </c>
      <c r="E10058" t="inlineStr">
        <is>
          <t>KRAMFORS</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25201-2024</t>
        </is>
      </c>
      <c r="B10059" s="1" t="n">
        <v>45462.57261574074</v>
      </c>
      <c r="C10059" s="1" t="n">
        <v>46185</v>
      </c>
      <c r="D10059" t="inlineStr">
        <is>
          <t>VÄSTERNORRLANDS LÄN</t>
        </is>
      </c>
      <c r="E10059" t="inlineStr">
        <is>
          <t>ÖRNSKÖLDSVIK</t>
        </is>
      </c>
      <c r="F10059" t="inlineStr">
        <is>
          <t>Holmen skog AB</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13706-2023</t>
        </is>
      </c>
      <c r="B10060" s="1" t="n">
        <v>45006</v>
      </c>
      <c r="C10060" s="1" t="n">
        <v>46185</v>
      </c>
      <c r="D10060" t="inlineStr">
        <is>
          <t>VÄSTERNORRLANDS LÄN</t>
        </is>
      </c>
      <c r="E10060" t="inlineStr">
        <is>
          <t>ÅNGE</t>
        </is>
      </c>
      <c r="F10060" t="inlineStr">
        <is>
          <t>SCA</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5296-2025</t>
        </is>
      </c>
      <c r="B10061" s="1" t="n">
        <v>45692.45554398148</v>
      </c>
      <c r="C10061" s="1" t="n">
        <v>46185</v>
      </c>
      <c r="D10061" t="inlineStr">
        <is>
          <t>VÄSTERNORRLANDS LÄN</t>
        </is>
      </c>
      <c r="E10061" t="inlineStr">
        <is>
          <t>SUNDSVALL</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2607-2025</t>
        </is>
      </c>
      <c r="B10062" s="1" t="n">
        <v>45674</v>
      </c>
      <c r="C10062" s="1" t="n">
        <v>46185</v>
      </c>
      <c r="D10062" t="inlineStr">
        <is>
          <t>VÄSTERNORRLANDS LÄN</t>
        </is>
      </c>
      <c r="E10062" t="inlineStr">
        <is>
          <t>KRAMFORS</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35030-2023</t>
        </is>
      </c>
      <c r="B10063" s="1" t="n">
        <v>45145.33144675926</v>
      </c>
      <c r="C10063" s="1" t="n">
        <v>46185</v>
      </c>
      <c r="D10063" t="inlineStr">
        <is>
          <t>VÄSTERNORRLANDS LÄN</t>
        </is>
      </c>
      <c r="E10063" t="inlineStr">
        <is>
          <t>ÖRNSKÖLDSVIK</t>
        </is>
      </c>
      <c r="F10063" t="inlineStr">
        <is>
          <t>Holmen skog AB</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6462-2024</t>
        </is>
      </c>
      <c r="B10064" s="1" t="n">
        <v>45338</v>
      </c>
      <c r="C10064" s="1" t="n">
        <v>46185</v>
      </c>
      <c r="D10064" t="inlineStr">
        <is>
          <t>VÄSTERNORRLANDS LÄN</t>
        </is>
      </c>
      <c r="E10064" t="inlineStr">
        <is>
          <t>ÅNGE</t>
        </is>
      </c>
      <c r="F10064" t="inlineStr">
        <is>
          <t>Kyrkan</t>
        </is>
      </c>
      <c r="G10064" t="n">
        <v>9.199999999999999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27197-2023</t>
        </is>
      </c>
      <c r="B10065" s="1" t="n">
        <v>45092</v>
      </c>
      <c r="C10065" s="1" t="n">
        <v>46185</v>
      </c>
      <c r="D10065" t="inlineStr">
        <is>
          <t>VÄSTERNORRLANDS LÄN</t>
        </is>
      </c>
      <c r="E10065" t="inlineStr">
        <is>
          <t>ÖRNSKÖLDSVIK</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34316-2024</t>
        </is>
      </c>
      <c r="B10066" s="1" t="n">
        <v>45524</v>
      </c>
      <c r="C10066" s="1" t="n">
        <v>46185</v>
      </c>
      <c r="D10066" t="inlineStr">
        <is>
          <t>VÄSTERNORRLANDS LÄN</t>
        </is>
      </c>
      <c r="E10066" t="inlineStr">
        <is>
          <t>SOLLEFTEÅ</t>
        </is>
      </c>
      <c r="F10066" t="inlineStr">
        <is>
          <t>Övriga statliga verk och myndigheter</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29170-2024</t>
        </is>
      </c>
      <c r="B10067" s="1" t="n">
        <v>45482</v>
      </c>
      <c r="C10067" s="1" t="n">
        <v>46185</v>
      </c>
      <c r="D10067" t="inlineStr">
        <is>
          <t>VÄSTERNORRLANDS LÄN</t>
        </is>
      </c>
      <c r="E10067" t="inlineStr">
        <is>
          <t>ÖRNSKÖLDSVIK</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27693-2023</t>
        </is>
      </c>
      <c r="B10068" s="1" t="n">
        <v>45097.9384375</v>
      </c>
      <c r="C10068" s="1" t="n">
        <v>46185</v>
      </c>
      <c r="D10068" t="inlineStr">
        <is>
          <t>VÄSTERNORRLANDS LÄN</t>
        </is>
      </c>
      <c r="E10068" t="inlineStr">
        <is>
          <t>SUNDSVALL</t>
        </is>
      </c>
      <c r="F10068" t="inlineStr">
        <is>
          <t>SCA</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12743-2023</t>
        </is>
      </c>
      <c r="B10069" s="1" t="n">
        <v>45000.94775462963</v>
      </c>
      <c r="C10069" s="1" t="n">
        <v>46185</v>
      </c>
      <c r="D10069" t="inlineStr">
        <is>
          <t>VÄSTERNORRLANDS LÄN</t>
        </is>
      </c>
      <c r="E10069" t="inlineStr">
        <is>
          <t>SUNDSVALL</t>
        </is>
      </c>
      <c r="F10069" t="inlineStr">
        <is>
          <t>SCA</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26490-2024</t>
        </is>
      </c>
      <c r="B10070" s="1" t="n">
        <v>45469</v>
      </c>
      <c r="C10070" s="1" t="n">
        <v>46185</v>
      </c>
      <c r="D10070" t="inlineStr">
        <is>
          <t>VÄSTERNORRLANDS LÄN</t>
        </is>
      </c>
      <c r="E10070" t="inlineStr">
        <is>
          <t>ÅNGE</t>
        </is>
      </c>
      <c r="F10070" t="inlineStr">
        <is>
          <t>Sveaskog</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36678-2024</t>
        </is>
      </c>
      <c r="B10071" s="1" t="n">
        <v>45537.6525</v>
      </c>
      <c r="C10071" s="1" t="n">
        <v>46185</v>
      </c>
      <c r="D10071" t="inlineStr">
        <is>
          <t>VÄSTERNORRLANDS LÄN</t>
        </is>
      </c>
      <c r="E10071" t="inlineStr">
        <is>
          <t>ÖRNSKÖLDSVIK</t>
        </is>
      </c>
      <c r="F10071" t="inlineStr">
        <is>
          <t>Holmen skog AB</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7003-2023</t>
        </is>
      </c>
      <c r="B10072" s="1" t="n">
        <v>44967.92920138889</v>
      </c>
      <c r="C10072" s="1" t="n">
        <v>46185</v>
      </c>
      <c r="D10072" t="inlineStr">
        <is>
          <t>VÄSTERNORRLANDS LÄN</t>
        </is>
      </c>
      <c r="E10072" t="inlineStr">
        <is>
          <t>SUNDSVALL</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17113-2023</t>
        </is>
      </c>
      <c r="B10073" s="1" t="n">
        <v>45034</v>
      </c>
      <c r="C10073" s="1" t="n">
        <v>46185</v>
      </c>
      <c r="D10073" t="inlineStr">
        <is>
          <t>VÄSTERNORRLANDS LÄN</t>
        </is>
      </c>
      <c r="E10073" t="inlineStr">
        <is>
          <t>KRAMFORS</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14201-2023</t>
        </is>
      </c>
      <c r="B10074" s="1" t="n">
        <v>45009</v>
      </c>
      <c r="C10074" s="1" t="n">
        <v>46185</v>
      </c>
      <c r="D10074" t="inlineStr">
        <is>
          <t>VÄSTERNORRLANDS LÄN</t>
        </is>
      </c>
      <c r="E10074" t="inlineStr">
        <is>
          <t>ÖRNSKÖLDSVIK</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32754-2024</t>
        </is>
      </c>
      <c r="B10075" s="1" t="n">
        <v>45516.46685185185</v>
      </c>
      <c r="C10075" s="1" t="n">
        <v>46185</v>
      </c>
      <c r="D10075" t="inlineStr">
        <is>
          <t>VÄSTERNORRLANDS LÄN</t>
        </is>
      </c>
      <c r="E10075" t="inlineStr">
        <is>
          <t>SOLLEFTEÅ</t>
        </is>
      </c>
      <c r="F10075" t="inlineStr">
        <is>
          <t>Holmen skog AB</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33479-2023</t>
        </is>
      </c>
      <c r="B10076" s="1" t="n">
        <v>45131</v>
      </c>
      <c r="C10076" s="1" t="n">
        <v>46185</v>
      </c>
      <c r="D10076" t="inlineStr">
        <is>
          <t>VÄSTERNORRLANDS LÄN</t>
        </is>
      </c>
      <c r="E10076" t="inlineStr">
        <is>
          <t>ÖRNSKÖLDSVIK</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580-2023</t>
        </is>
      </c>
      <c r="B10077" s="1" t="n">
        <v>44930</v>
      </c>
      <c r="C10077" s="1" t="n">
        <v>46185</v>
      </c>
      <c r="D10077" t="inlineStr">
        <is>
          <t>VÄSTERNORRLANDS LÄN</t>
        </is>
      </c>
      <c r="E10077" t="inlineStr">
        <is>
          <t>ÖRNSKÖLDSVIK</t>
        </is>
      </c>
      <c r="F10077" t="inlineStr">
        <is>
          <t>Kommuner</t>
        </is>
      </c>
      <c r="G10077" t="n">
        <v>5.9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1416-2023</t>
        </is>
      </c>
      <c r="B10078" s="1" t="n">
        <v>44936.92666666667</v>
      </c>
      <c r="C10078" s="1" t="n">
        <v>46185</v>
      </c>
      <c r="D10078" t="inlineStr">
        <is>
          <t>VÄSTERNORRLANDS LÄN</t>
        </is>
      </c>
      <c r="E10078" t="inlineStr">
        <is>
          <t>TIMRÅ</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51050-2024</t>
        </is>
      </c>
      <c r="B10079" s="1" t="n">
        <v>45603.4465625</v>
      </c>
      <c r="C10079" s="1" t="n">
        <v>46185</v>
      </c>
      <c r="D10079" t="inlineStr">
        <is>
          <t>VÄSTERNORRLANDS LÄN</t>
        </is>
      </c>
      <c r="E10079" t="inlineStr">
        <is>
          <t>SUNDSVALL</t>
        </is>
      </c>
      <c r="F10079" t="inlineStr">
        <is>
          <t>SCA</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31440-2024</t>
        </is>
      </c>
      <c r="B10080" s="1" t="n">
        <v>45505</v>
      </c>
      <c r="C10080" s="1" t="n">
        <v>46185</v>
      </c>
      <c r="D10080" t="inlineStr">
        <is>
          <t>VÄSTERNORRLANDS LÄN</t>
        </is>
      </c>
      <c r="E10080" t="inlineStr">
        <is>
          <t>SUNDSVALL</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33917-2024</t>
        </is>
      </c>
      <c r="B10081" s="1" t="n">
        <v>45523</v>
      </c>
      <c r="C10081" s="1" t="n">
        <v>46185</v>
      </c>
      <c r="D10081" t="inlineStr">
        <is>
          <t>VÄSTERNORRLANDS LÄN</t>
        </is>
      </c>
      <c r="E10081" t="inlineStr">
        <is>
          <t>ÖRNSKÖLDSVIK</t>
        </is>
      </c>
      <c r="F10081" t="inlineStr">
        <is>
          <t>Holmen skog AB</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56966-2024</t>
        </is>
      </c>
      <c r="B10082" s="1" t="n">
        <v>45628.66023148148</v>
      </c>
      <c r="C10082" s="1" t="n">
        <v>46185</v>
      </c>
      <c r="D10082" t="inlineStr">
        <is>
          <t>VÄSTERNORRLANDS LÄN</t>
        </is>
      </c>
      <c r="E10082" t="inlineStr">
        <is>
          <t>ÖRNSKÖLDSVIK</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33747-2024</t>
        </is>
      </c>
      <c r="B10083" s="1" t="n">
        <v>45520</v>
      </c>
      <c r="C10083" s="1" t="n">
        <v>46185</v>
      </c>
      <c r="D10083" t="inlineStr">
        <is>
          <t>VÄSTERNORRLANDS LÄN</t>
        </is>
      </c>
      <c r="E10083" t="inlineStr">
        <is>
          <t>ÅNGE</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34754-2024</t>
        </is>
      </c>
      <c r="B10084" s="1" t="n">
        <v>45526</v>
      </c>
      <c r="C10084" s="1" t="n">
        <v>46185</v>
      </c>
      <c r="D10084" t="inlineStr">
        <is>
          <t>VÄSTERNORRLANDS LÄN</t>
        </is>
      </c>
      <c r="E10084" t="inlineStr">
        <is>
          <t>ÅNGE</t>
        </is>
      </c>
      <c r="F10084" t="inlineStr">
        <is>
          <t>SCA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33782-2024</t>
        </is>
      </c>
      <c r="B10085" s="1" t="n">
        <v>45520.58608796296</v>
      </c>
      <c r="C10085" s="1" t="n">
        <v>46185</v>
      </c>
      <c r="D10085" t="inlineStr">
        <is>
          <t>VÄSTERNORRLANDS LÄN</t>
        </is>
      </c>
      <c r="E10085" t="inlineStr">
        <is>
          <t>KRAMFORS</t>
        </is>
      </c>
      <c r="G10085" t="n">
        <v>13.9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22411-2023</t>
        </is>
      </c>
      <c r="B10086" s="1" t="n">
        <v>45070</v>
      </c>
      <c r="C10086" s="1" t="n">
        <v>46185</v>
      </c>
      <c r="D10086" t="inlineStr">
        <is>
          <t>VÄSTERNORRLANDS LÄN</t>
        </is>
      </c>
      <c r="E10086" t="inlineStr">
        <is>
          <t>ÅNGE</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1623-2025</t>
        </is>
      </c>
      <c r="B10087" s="1" t="n">
        <v>45670.61526620371</v>
      </c>
      <c r="C10087" s="1" t="n">
        <v>46185</v>
      </c>
      <c r="D10087" t="inlineStr">
        <is>
          <t>VÄSTERNORRLANDS LÄN</t>
        </is>
      </c>
      <c r="E10087" t="inlineStr">
        <is>
          <t>SOLLEFTEÅ</t>
        </is>
      </c>
      <c r="F10087" t="inlineStr">
        <is>
          <t>SCA</t>
        </is>
      </c>
      <c r="G10087" t="n">
        <v>4.9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17356-2023</t>
        </is>
      </c>
      <c r="B10088" s="1" t="n">
        <v>45033</v>
      </c>
      <c r="C10088" s="1" t="n">
        <v>46185</v>
      </c>
      <c r="D10088" t="inlineStr">
        <is>
          <t>VÄSTERNORRLANDS LÄN</t>
        </is>
      </c>
      <c r="E10088" t="inlineStr">
        <is>
          <t>ÖRNSKÖLDSVIK</t>
        </is>
      </c>
      <c r="G10088" t="n">
        <v>18.3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10385-2023</t>
        </is>
      </c>
      <c r="B10089" s="1" t="n">
        <v>44987</v>
      </c>
      <c r="C10089" s="1" t="n">
        <v>46185</v>
      </c>
      <c r="D10089" t="inlineStr">
        <is>
          <t>VÄSTERNORRLANDS LÄN</t>
        </is>
      </c>
      <c r="E10089" t="inlineStr">
        <is>
          <t>ÖRNSKÖLDSVIK</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10387-2023</t>
        </is>
      </c>
      <c r="B10090" s="1" t="n">
        <v>44987</v>
      </c>
      <c r="C10090" s="1" t="n">
        <v>46185</v>
      </c>
      <c r="D10090" t="inlineStr">
        <is>
          <t>VÄSTERNORRLANDS LÄN</t>
        </is>
      </c>
      <c r="E10090" t="inlineStr">
        <is>
          <t>ÖRNSKÖLDSVIK</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1459-2024</t>
        </is>
      </c>
      <c r="B10091" s="1" t="n">
        <v>45303.9331712963</v>
      </c>
      <c r="C10091" s="1" t="n">
        <v>46185</v>
      </c>
      <c r="D10091" t="inlineStr">
        <is>
          <t>VÄSTERNORRLANDS LÄN</t>
        </is>
      </c>
      <c r="E10091" t="inlineStr">
        <is>
          <t>SOLLEFTEÅ</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6210-2025</t>
        </is>
      </c>
      <c r="B10092" s="1" t="n">
        <v>45698.49699074074</v>
      </c>
      <c r="C10092" s="1" t="n">
        <v>46185</v>
      </c>
      <c r="D10092" t="inlineStr">
        <is>
          <t>VÄSTERNORRLANDS LÄN</t>
        </is>
      </c>
      <c r="E10092" t="inlineStr">
        <is>
          <t>ÖRNSKÖLDSVIK</t>
        </is>
      </c>
      <c r="F10092" t="inlineStr">
        <is>
          <t>Holmen skog AB</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6200-2025</t>
        </is>
      </c>
      <c r="B10093" s="1" t="n">
        <v>45698.47840277778</v>
      </c>
      <c r="C10093" s="1" t="n">
        <v>46185</v>
      </c>
      <c r="D10093" t="inlineStr">
        <is>
          <t>VÄSTERNORRLANDS LÄN</t>
        </is>
      </c>
      <c r="E10093" t="inlineStr">
        <is>
          <t>KRAMFORS</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25151-2023</t>
        </is>
      </c>
      <c r="B10094" s="1" t="n">
        <v>45086</v>
      </c>
      <c r="C10094" s="1" t="n">
        <v>46185</v>
      </c>
      <c r="D10094" t="inlineStr">
        <is>
          <t>VÄSTERNORRLANDS LÄN</t>
        </is>
      </c>
      <c r="E10094" t="inlineStr">
        <is>
          <t>ÖRNSKÖLDSVIK</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54559-2022</t>
        </is>
      </c>
      <c r="B10095" s="1" t="n">
        <v>44882</v>
      </c>
      <c r="C10095" s="1" t="n">
        <v>46185</v>
      </c>
      <c r="D10095" t="inlineStr">
        <is>
          <t>VÄSTERNORRLANDS LÄN</t>
        </is>
      </c>
      <c r="E10095" t="inlineStr">
        <is>
          <t>SOLLEFTEÅ</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35010-2023</t>
        </is>
      </c>
      <c r="B10096" s="1" t="n">
        <v>45142</v>
      </c>
      <c r="C10096" s="1" t="n">
        <v>46185</v>
      </c>
      <c r="D10096" t="inlineStr">
        <is>
          <t>VÄSTERNORRLANDS LÄN</t>
        </is>
      </c>
      <c r="E10096" t="inlineStr">
        <is>
          <t>SUNDSVALL</t>
        </is>
      </c>
      <c r="F10096" t="inlineStr">
        <is>
          <t>SCA</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59910-2023</t>
        </is>
      </c>
      <c r="B10097" s="1" t="n">
        <v>45257.63450231482</v>
      </c>
      <c r="C10097" s="1" t="n">
        <v>46185</v>
      </c>
      <c r="D10097" t="inlineStr">
        <is>
          <t>VÄSTERNORRLANDS LÄN</t>
        </is>
      </c>
      <c r="E10097" t="inlineStr">
        <is>
          <t>SUNDSVALL</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25011-2022</t>
        </is>
      </c>
      <c r="B10098" s="1" t="n">
        <v>44728.92876157408</v>
      </c>
      <c r="C10098" s="1" t="n">
        <v>46185</v>
      </c>
      <c r="D10098" t="inlineStr">
        <is>
          <t>VÄSTERNORRLANDS LÄN</t>
        </is>
      </c>
      <c r="E10098" t="inlineStr">
        <is>
          <t>SUNDSVALL</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49417-2023</t>
        </is>
      </c>
      <c r="B10099" s="1" t="n">
        <v>45205</v>
      </c>
      <c r="C10099" s="1" t="n">
        <v>46185</v>
      </c>
      <c r="D10099" t="inlineStr">
        <is>
          <t>VÄSTERNORRLANDS LÄN</t>
        </is>
      </c>
      <c r="E10099" t="inlineStr">
        <is>
          <t>SOLLEFTEÅ</t>
        </is>
      </c>
      <c r="F10099" t="inlineStr">
        <is>
          <t>SCA</t>
        </is>
      </c>
      <c r="G10099" t="n">
        <v>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1416-2024</t>
        </is>
      </c>
      <c r="B10100" s="1" t="n">
        <v>45303</v>
      </c>
      <c r="C10100" s="1" t="n">
        <v>46185</v>
      </c>
      <c r="D10100" t="inlineStr">
        <is>
          <t>VÄSTERNORRLANDS LÄN</t>
        </is>
      </c>
      <c r="E10100" t="inlineStr">
        <is>
          <t>ÖRNSKÖLDSVIK</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13302-2025</t>
        </is>
      </c>
      <c r="B10101" s="1" t="n">
        <v>45735.5747337963</v>
      </c>
      <c r="C10101" s="1" t="n">
        <v>46185</v>
      </c>
      <c r="D10101" t="inlineStr">
        <is>
          <t>VÄSTERNORRLANDS LÄN</t>
        </is>
      </c>
      <c r="E10101" t="inlineStr">
        <is>
          <t>SUNDSVALL</t>
        </is>
      </c>
      <c r="F10101" t="inlineStr">
        <is>
          <t>SCA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2403-2025</t>
        </is>
      </c>
      <c r="B10102" s="1" t="n">
        <v>45672</v>
      </c>
      <c r="C10102" s="1" t="n">
        <v>46185</v>
      </c>
      <c r="D10102" t="inlineStr">
        <is>
          <t>VÄSTERNORRLANDS LÄN</t>
        </is>
      </c>
      <c r="E10102" t="inlineStr">
        <is>
          <t>TIMRÅ</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50203-2024</t>
        </is>
      </c>
      <c r="B10103" s="1" t="n">
        <v>45600.49369212963</v>
      </c>
      <c r="C10103" s="1" t="n">
        <v>46185</v>
      </c>
      <c r="D10103" t="inlineStr">
        <is>
          <t>VÄSTERNORRLANDS LÄN</t>
        </is>
      </c>
      <c r="E10103" t="inlineStr">
        <is>
          <t>SUNDSVALL</t>
        </is>
      </c>
      <c r="G10103" t="n">
        <v>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29035-2023</t>
        </is>
      </c>
      <c r="B10104" s="1" t="n">
        <v>45104</v>
      </c>
      <c r="C10104" s="1" t="n">
        <v>46185</v>
      </c>
      <c r="D10104" t="inlineStr">
        <is>
          <t>VÄSTERNORRLANDS LÄN</t>
        </is>
      </c>
      <c r="E10104" t="inlineStr">
        <is>
          <t>SUNDSVALL</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1783-2024</t>
        </is>
      </c>
      <c r="B10105" s="1" t="n">
        <v>45307</v>
      </c>
      <c r="C10105" s="1" t="n">
        <v>46185</v>
      </c>
      <c r="D10105" t="inlineStr">
        <is>
          <t>VÄSTERNORRLANDS LÄN</t>
        </is>
      </c>
      <c r="E10105" t="inlineStr">
        <is>
          <t>KRAMFORS</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58120-2023</t>
        </is>
      </c>
      <c r="B10106" s="1" t="n">
        <v>45249.92644675926</v>
      </c>
      <c r="C10106" s="1" t="n">
        <v>46185</v>
      </c>
      <c r="D10106" t="inlineStr">
        <is>
          <t>VÄSTERNORRLANDS LÄN</t>
        </is>
      </c>
      <c r="E10106" t="inlineStr">
        <is>
          <t>ÖRNSKÖLDSVIK</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8070-2022</t>
        </is>
      </c>
      <c r="B10107" s="1" t="n">
        <v>44609.48665509259</v>
      </c>
      <c r="C10107" s="1" t="n">
        <v>46185</v>
      </c>
      <c r="D10107" t="inlineStr">
        <is>
          <t>VÄSTERNORRLANDS LÄN</t>
        </is>
      </c>
      <c r="E10107" t="inlineStr">
        <is>
          <t>ÅNGE</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34100-2023</t>
        </is>
      </c>
      <c r="B10108" s="1" t="n">
        <v>45125</v>
      </c>
      <c r="C10108" s="1" t="n">
        <v>46185</v>
      </c>
      <c r="D10108" t="inlineStr">
        <is>
          <t>VÄSTERNORRLANDS LÄN</t>
        </is>
      </c>
      <c r="E10108" t="inlineStr">
        <is>
          <t>SOLLEFTEÅ</t>
        </is>
      </c>
      <c r="F10108" t="inlineStr">
        <is>
          <t>SCA</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41550-2023</t>
        </is>
      </c>
      <c r="B10109" s="1" t="n">
        <v>45175.57643518518</v>
      </c>
      <c r="C10109" s="1" t="n">
        <v>46185</v>
      </c>
      <c r="D10109" t="inlineStr">
        <is>
          <t>VÄSTERNORRLANDS LÄN</t>
        </is>
      </c>
      <c r="E10109" t="inlineStr">
        <is>
          <t>ÖRNSKÖLDSVIK</t>
        </is>
      </c>
      <c r="F10109" t="inlineStr">
        <is>
          <t>Holmen skog AB</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46977-2024</t>
        </is>
      </c>
      <c r="B10110" s="1" t="n">
        <v>45586.3478125</v>
      </c>
      <c r="C10110" s="1" t="n">
        <v>46185</v>
      </c>
      <c r="D10110" t="inlineStr">
        <is>
          <t>VÄSTERNORRLANDS LÄN</t>
        </is>
      </c>
      <c r="E10110" t="inlineStr">
        <is>
          <t>ÖRNSKÖLDSVIK</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23730-2024</t>
        </is>
      </c>
      <c r="B10111" s="1" t="n">
        <v>45454.95877314815</v>
      </c>
      <c r="C10111" s="1" t="n">
        <v>46185</v>
      </c>
      <c r="D10111" t="inlineStr">
        <is>
          <t>VÄSTERNORRLANDS LÄN</t>
        </is>
      </c>
      <c r="E10111" t="inlineStr">
        <is>
          <t>SOLLEFTEÅ</t>
        </is>
      </c>
      <c r="F10111" t="inlineStr">
        <is>
          <t>SCA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59121-2023</t>
        </is>
      </c>
      <c r="B10112" s="1" t="n">
        <v>45251</v>
      </c>
      <c r="C10112" s="1" t="n">
        <v>46185</v>
      </c>
      <c r="D10112" t="inlineStr">
        <is>
          <t>VÄSTERNORRLANDS LÄN</t>
        </is>
      </c>
      <c r="E10112" t="inlineStr">
        <is>
          <t>HÄRNÖSAND</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7229-2024</t>
        </is>
      </c>
      <c r="B10113" s="1" t="n">
        <v>45344</v>
      </c>
      <c r="C10113" s="1" t="n">
        <v>46185</v>
      </c>
      <c r="D10113" t="inlineStr">
        <is>
          <t>VÄSTERNORRLANDS LÄN</t>
        </is>
      </c>
      <c r="E10113" t="inlineStr">
        <is>
          <t>SUNDSVALL</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36514-2023</t>
        </is>
      </c>
      <c r="B10114" s="1" t="n">
        <v>45152.95377314815</v>
      </c>
      <c r="C10114" s="1" t="n">
        <v>46185</v>
      </c>
      <c r="D10114" t="inlineStr">
        <is>
          <t>VÄSTERNORRLANDS LÄN</t>
        </is>
      </c>
      <c r="E10114" t="inlineStr">
        <is>
          <t>SOLLEFTEÅ</t>
        </is>
      </c>
      <c r="F10114" t="inlineStr">
        <is>
          <t>SCA</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33647-2021</t>
        </is>
      </c>
      <c r="B10115" s="1" t="n">
        <v>44377</v>
      </c>
      <c r="C10115" s="1" t="n">
        <v>46185</v>
      </c>
      <c r="D10115" t="inlineStr">
        <is>
          <t>VÄSTERNORRLANDS LÄN</t>
        </is>
      </c>
      <c r="E10115" t="inlineStr">
        <is>
          <t>KRAMFORS</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3276-2025</t>
        </is>
      </c>
      <c r="B10116" s="1" t="n">
        <v>45679.59986111111</v>
      </c>
      <c r="C10116" s="1" t="n">
        <v>46185</v>
      </c>
      <c r="D10116" t="inlineStr">
        <is>
          <t>VÄSTERNORRLANDS LÄN</t>
        </is>
      </c>
      <c r="E10116" t="inlineStr">
        <is>
          <t>SOLLEFTEÅ</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21704-2022</t>
        </is>
      </c>
      <c r="B10117" s="1" t="n">
        <v>44707</v>
      </c>
      <c r="C10117" s="1" t="n">
        <v>46185</v>
      </c>
      <c r="D10117" t="inlineStr">
        <is>
          <t>VÄSTERNORRLANDS LÄN</t>
        </is>
      </c>
      <c r="E10117" t="inlineStr">
        <is>
          <t>ÖRNSKÖLDSVIK</t>
        </is>
      </c>
      <c r="F10117" t="inlineStr">
        <is>
          <t>SCA</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21707-2022</t>
        </is>
      </c>
      <c r="B10118" s="1" t="n">
        <v>44707</v>
      </c>
      <c r="C10118" s="1" t="n">
        <v>46185</v>
      </c>
      <c r="D10118" t="inlineStr">
        <is>
          <t>VÄSTERNORRLANDS LÄN</t>
        </is>
      </c>
      <c r="E10118" t="inlineStr">
        <is>
          <t>ÖRNSKÖLDSVIK</t>
        </is>
      </c>
      <c r="F10118" t="inlineStr">
        <is>
          <t>SCA</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50405-2022</t>
        </is>
      </c>
      <c r="B10119" s="1" t="n">
        <v>44861</v>
      </c>
      <c r="C10119" s="1" t="n">
        <v>46185</v>
      </c>
      <c r="D10119" t="inlineStr">
        <is>
          <t>VÄSTERNORRLANDS LÄN</t>
        </is>
      </c>
      <c r="E10119" t="inlineStr">
        <is>
          <t>SUNDSVALL</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18185-2025</t>
        </is>
      </c>
      <c r="B10120" s="1" t="n">
        <v>45761.66724537037</v>
      </c>
      <c r="C10120" s="1" t="n">
        <v>46185</v>
      </c>
      <c r="D10120" t="inlineStr">
        <is>
          <t>VÄSTERNORRLANDS LÄN</t>
        </is>
      </c>
      <c r="E10120" t="inlineStr">
        <is>
          <t>SOLLEFTEÅ</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231-2024</t>
        </is>
      </c>
      <c r="B10121" s="1" t="n">
        <v>45294</v>
      </c>
      <c r="C10121" s="1" t="n">
        <v>46185</v>
      </c>
      <c r="D10121" t="inlineStr">
        <is>
          <t>VÄSTERNORRLANDS LÄN</t>
        </is>
      </c>
      <c r="E10121" t="inlineStr">
        <is>
          <t>SUNDSVALL</t>
        </is>
      </c>
      <c r="G10121" t="n">
        <v>5.9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37920-2023</t>
        </is>
      </c>
      <c r="B10122" s="1" t="n">
        <v>45160</v>
      </c>
      <c r="C10122" s="1" t="n">
        <v>46185</v>
      </c>
      <c r="D10122" t="inlineStr">
        <is>
          <t>VÄSTERNORRLANDS LÄN</t>
        </is>
      </c>
      <c r="E10122" t="inlineStr">
        <is>
          <t>ÖRNSKÖLDSVIK</t>
        </is>
      </c>
      <c r="G10122" t="n">
        <v>6.8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37927-2023</t>
        </is>
      </c>
      <c r="B10123" s="1" t="n">
        <v>45160.50259259259</v>
      </c>
      <c r="C10123" s="1" t="n">
        <v>46185</v>
      </c>
      <c r="D10123" t="inlineStr">
        <is>
          <t>VÄSTERNORRLANDS LÄN</t>
        </is>
      </c>
      <c r="E10123" t="inlineStr">
        <is>
          <t>SUNDSVALL</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2585-2025</t>
        </is>
      </c>
      <c r="B10124" s="1" t="n">
        <v>45674.68055555555</v>
      </c>
      <c r="C10124" s="1" t="n">
        <v>46185</v>
      </c>
      <c r="D10124" t="inlineStr">
        <is>
          <t>VÄSTERNORRLANDS LÄN</t>
        </is>
      </c>
      <c r="E10124" t="inlineStr">
        <is>
          <t>SUNDSVALL</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60168-2022</t>
        </is>
      </c>
      <c r="B10125" s="1" t="n">
        <v>44909</v>
      </c>
      <c r="C10125" s="1" t="n">
        <v>46185</v>
      </c>
      <c r="D10125" t="inlineStr">
        <is>
          <t>VÄSTERNORRLANDS LÄN</t>
        </is>
      </c>
      <c r="E10125" t="inlineStr">
        <is>
          <t>SOLLEFTEÅ</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12015-2022</t>
        </is>
      </c>
      <c r="B10126" s="1" t="n">
        <v>44635.94351851852</v>
      </c>
      <c r="C10126" s="1" t="n">
        <v>46185</v>
      </c>
      <c r="D10126" t="inlineStr">
        <is>
          <t>VÄSTERNORRLANDS LÄN</t>
        </is>
      </c>
      <c r="E10126" t="inlineStr">
        <is>
          <t>SUNDSVALL</t>
        </is>
      </c>
      <c r="F10126" t="inlineStr">
        <is>
          <t>SCA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42228-2021</t>
        </is>
      </c>
      <c r="B10127" s="1" t="n">
        <v>44426</v>
      </c>
      <c r="C10127" s="1" t="n">
        <v>46185</v>
      </c>
      <c r="D10127" t="inlineStr">
        <is>
          <t>VÄSTERNORRLANDS LÄN</t>
        </is>
      </c>
      <c r="E10127" t="inlineStr">
        <is>
          <t>SOLLEFTEÅ</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26895-2024</t>
        </is>
      </c>
      <c r="B10128" s="1" t="n">
        <v>45470.66502314815</v>
      </c>
      <c r="C10128" s="1" t="n">
        <v>46185</v>
      </c>
      <c r="D10128" t="inlineStr">
        <is>
          <t>VÄSTERNORRLANDS LÄN</t>
        </is>
      </c>
      <c r="E10128" t="inlineStr">
        <is>
          <t>ÖRNSKÖLDSVIK</t>
        </is>
      </c>
      <c r="F10128" t="inlineStr">
        <is>
          <t>Holmen skog AB</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23557-2024</t>
        </is>
      </c>
      <c r="B10129" s="1" t="n">
        <v>45453.95444444445</v>
      </c>
      <c r="C10129" s="1" t="n">
        <v>46185</v>
      </c>
      <c r="D10129" t="inlineStr">
        <is>
          <t>VÄSTERNORRLANDS LÄN</t>
        </is>
      </c>
      <c r="E10129" t="inlineStr">
        <is>
          <t>SUNDSVALL</t>
        </is>
      </c>
      <c r="F10129" t="inlineStr">
        <is>
          <t>SCA</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14365-2024</t>
        </is>
      </c>
      <c r="B10130" s="1" t="n">
        <v>45393.94332175926</v>
      </c>
      <c r="C10130" s="1" t="n">
        <v>46185</v>
      </c>
      <c r="D10130" t="inlineStr">
        <is>
          <t>VÄSTERNORRLANDS LÄN</t>
        </is>
      </c>
      <c r="E10130" t="inlineStr">
        <is>
          <t>SOLLEFTEÅ</t>
        </is>
      </c>
      <c r="F10130" t="inlineStr">
        <is>
          <t>SCA</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47030-2023</t>
        </is>
      </c>
      <c r="B10131" s="1" t="n">
        <v>45196</v>
      </c>
      <c r="C10131" s="1" t="n">
        <v>46185</v>
      </c>
      <c r="D10131" t="inlineStr">
        <is>
          <t>VÄSTERNORRLANDS LÄN</t>
        </is>
      </c>
      <c r="E10131" t="inlineStr">
        <is>
          <t>SUNDSVALL</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47588-2023</t>
        </is>
      </c>
      <c r="B10132" s="1" t="n">
        <v>45197</v>
      </c>
      <c r="C10132" s="1" t="n">
        <v>46185</v>
      </c>
      <c r="D10132" t="inlineStr">
        <is>
          <t>VÄSTERNORRLANDS LÄN</t>
        </is>
      </c>
      <c r="E10132" t="inlineStr">
        <is>
          <t>ÖRNSKÖLDSVIK</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29255-2024</t>
        </is>
      </c>
      <c r="B10133" s="1" t="n">
        <v>45482</v>
      </c>
      <c r="C10133" s="1" t="n">
        <v>46185</v>
      </c>
      <c r="D10133" t="inlineStr">
        <is>
          <t>VÄSTERNORRLANDS LÄN</t>
        </is>
      </c>
      <c r="E10133" t="inlineStr">
        <is>
          <t>HÄRNÖSAND</t>
        </is>
      </c>
      <c r="F10133" t="inlineStr">
        <is>
          <t>SCA</t>
        </is>
      </c>
      <c r="G10133" t="n">
        <v>5.5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26391-2024</t>
        </is>
      </c>
      <c r="B10134" s="1" t="n">
        <v>45468</v>
      </c>
      <c r="C10134" s="1" t="n">
        <v>46185</v>
      </c>
      <c r="D10134" t="inlineStr">
        <is>
          <t>VÄSTERNORRLANDS LÄN</t>
        </is>
      </c>
      <c r="E10134" t="inlineStr">
        <is>
          <t>SOLLEFTEÅ</t>
        </is>
      </c>
      <c r="G10134" t="n">
        <v>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26395-2024</t>
        </is>
      </c>
      <c r="B10135" s="1" t="n">
        <v>45469.43778935185</v>
      </c>
      <c r="C10135" s="1" t="n">
        <v>46185</v>
      </c>
      <c r="D10135" t="inlineStr">
        <is>
          <t>VÄSTERNORRLANDS LÄN</t>
        </is>
      </c>
      <c r="E10135" t="inlineStr">
        <is>
          <t>ÖRNSKÖLDSVIK</t>
        </is>
      </c>
      <c r="F10135" t="inlineStr">
        <is>
          <t>Holmen skog AB</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16863-2024</t>
        </is>
      </c>
      <c r="B10136" s="1" t="n">
        <v>45411</v>
      </c>
      <c r="C10136" s="1" t="n">
        <v>46185</v>
      </c>
      <c r="D10136" t="inlineStr">
        <is>
          <t>VÄSTERNORRLANDS LÄN</t>
        </is>
      </c>
      <c r="E10136" t="inlineStr">
        <is>
          <t>TIMRÅ</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29337-2023</t>
        </is>
      </c>
      <c r="B10137" s="1" t="n">
        <v>45105</v>
      </c>
      <c r="C10137" s="1" t="n">
        <v>46185</v>
      </c>
      <c r="D10137" t="inlineStr">
        <is>
          <t>VÄSTERNORRLANDS LÄN</t>
        </is>
      </c>
      <c r="E10137" t="inlineStr">
        <is>
          <t>SOLLEFTEÅ</t>
        </is>
      </c>
      <c r="F10137" t="inlineStr">
        <is>
          <t>SCA</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14097-2022</t>
        </is>
      </c>
      <c r="B10138" s="1" t="n">
        <v>44651</v>
      </c>
      <c r="C10138" s="1" t="n">
        <v>46185</v>
      </c>
      <c r="D10138" t="inlineStr">
        <is>
          <t>VÄSTERNORRLANDS LÄN</t>
        </is>
      </c>
      <c r="E10138" t="inlineStr">
        <is>
          <t>ÅNGE</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29667-2024</t>
        </is>
      </c>
      <c r="B10139" s="1" t="n">
        <v>45484.94041666666</v>
      </c>
      <c r="C10139" s="1" t="n">
        <v>46185</v>
      </c>
      <c r="D10139" t="inlineStr">
        <is>
          <t>VÄSTERNORRLANDS LÄN</t>
        </is>
      </c>
      <c r="E10139" t="inlineStr">
        <is>
          <t>ÅNGE</t>
        </is>
      </c>
      <c r="F10139" t="inlineStr">
        <is>
          <t>SCA</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26655-2024</t>
        </is>
      </c>
      <c r="B10140" s="1" t="n">
        <v>45469</v>
      </c>
      <c r="C10140" s="1" t="n">
        <v>46185</v>
      </c>
      <c r="D10140" t="inlineStr">
        <is>
          <t>VÄSTERNORRLANDS LÄN</t>
        </is>
      </c>
      <c r="E10140" t="inlineStr">
        <is>
          <t>SOLLEFTEÅ</t>
        </is>
      </c>
      <c r="F10140" t="inlineStr">
        <is>
          <t>SCA</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34737-2023</t>
        </is>
      </c>
      <c r="B10141" s="1" t="n">
        <v>45139</v>
      </c>
      <c r="C10141" s="1" t="n">
        <v>46185</v>
      </c>
      <c r="D10141" t="inlineStr">
        <is>
          <t>VÄSTERNORRLANDS LÄN</t>
        </is>
      </c>
      <c r="E10141" t="inlineStr">
        <is>
          <t>SOLLEFTEÅ</t>
        </is>
      </c>
      <c r="F10141" t="inlineStr">
        <is>
          <t>SCA</t>
        </is>
      </c>
      <c r="G10141" t="n">
        <v>4.5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20754-2024</t>
        </is>
      </c>
      <c r="B10142" s="1" t="n">
        <v>45436</v>
      </c>
      <c r="C10142" s="1" t="n">
        <v>46185</v>
      </c>
      <c r="D10142" t="inlineStr">
        <is>
          <t>VÄSTERNORRLANDS LÄN</t>
        </is>
      </c>
      <c r="E10142" t="inlineStr">
        <is>
          <t>SUNDSVALL</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39975-2023</t>
        </is>
      </c>
      <c r="B10143" s="1" t="n">
        <v>45168.58844907407</v>
      </c>
      <c r="C10143" s="1" t="n">
        <v>46185</v>
      </c>
      <c r="D10143" t="inlineStr">
        <is>
          <t>VÄSTERNORRLANDS LÄN</t>
        </is>
      </c>
      <c r="E10143" t="inlineStr">
        <is>
          <t>ÅNGE</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932-2025</t>
        </is>
      </c>
      <c r="B10144" s="1" t="n">
        <v>45666.04009259259</v>
      </c>
      <c r="C10144" s="1" t="n">
        <v>46185</v>
      </c>
      <c r="D10144" t="inlineStr">
        <is>
          <t>VÄSTERNORRLANDS LÄN</t>
        </is>
      </c>
      <c r="E10144" t="inlineStr">
        <is>
          <t>ÖRNSKÖLDSVIK</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58757-2024</t>
        </is>
      </c>
      <c r="B10145" s="1" t="n">
        <v>45635.71940972222</v>
      </c>
      <c r="C10145" s="1" t="n">
        <v>46185</v>
      </c>
      <c r="D10145" t="inlineStr">
        <is>
          <t>VÄSTERNORRLANDS LÄN</t>
        </is>
      </c>
      <c r="E10145" t="inlineStr">
        <is>
          <t>SUNDSVALL</t>
        </is>
      </c>
      <c r="F10145" t="inlineStr">
        <is>
          <t>SCA</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19167-2025</t>
        </is>
      </c>
      <c r="B10146" s="1" t="n">
        <v>45769.38585648148</v>
      </c>
      <c r="C10146" s="1" t="n">
        <v>46185</v>
      </c>
      <c r="D10146" t="inlineStr">
        <is>
          <t>VÄSTERNORRLANDS LÄN</t>
        </is>
      </c>
      <c r="E10146" t="inlineStr">
        <is>
          <t>HÄRNÖSAND</t>
        </is>
      </c>
      <c r="F10146" t="inlineStr">
        <is>
          <t>SCA</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40421-2023</t>
        </is>
      </c>
      <c r="B10147" s="1" t="n">
        <v>45169.93973379629</v>
      </c>
      <c r="C10147" s="1" t="n">
        <v>46185</v>
      </c>
      <c r="D10147" t="inlineStr">
        <is>
          <t>VÄSTERNORRLANDS LÄN</t>
        </is>
      </c>
      <c r="E10147" t="inlineStr">
        <is>
          <t>SOLLEFTEÅ</t>
        </is>
      </c>
      <c r="F10147" t="inlineStr">
        <is>
          <t>SCA</t>
        </is>
      </c>
      <c r="G10147" t="n">
        <v>10.2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32776-2022</t>
        </is>
      </c>
      <c r="B10148" s="1" t="n">
        <v>44783.94607638889</v>
      </c>
      <c r="C10148" s="1" t="n">
        <v>46185</v>
      </c>
      <c r="D10148" t="inlineStr">
        <is>
          <t>VÄSTERNORRLANDS LÄN</t>
        </is>
      </c>
      <c r="E10148" t="inlineStr">
        <is>
          <t>ÅNGE</t>
        </is>
      </c>
      <c r="F10148" t="inlineStr">
        <is>
          <t>SCA</t>
        </is>
      </c>
      <c r="G10148" t="n">
        <v>3.8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31256-2023</t>
        </is>
      </c>
      <c r="B10149" s="1" t="n">
        <v>45114</v>
      </c>
      <c r="C10149" s="1" t="n">
        <v>46185</v>
      </c>
      <c r="D10149" t="inlineStr">
        <is>
          <t>VÄSTERNORRLANDS LÄN</t>
        </is>
      </c>
      <c r="E10149" t="inlineStr">
        <is>
          <t>ÖRNSKÖLDSVIK</t>
        </is>
      </c>
      <c r="F10149" t="inlineStr">
        <is>
          <t>Holmen skog AB</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11028-2025</t>
        </is>
      </c>
      <c r="B10150" s="1" t="n">
        <v>45723.46983796296</v>
      </c>
      <c r="C10150" s="1" t="n">
        <v>46185</v>
      </c>
      <c r="D10150" t="inlineStr">
        <is>
          <t>VÄSTERNORRLANDS LÄN</t>
        </is>
      </c>
      <c r="E10150" t="inlineStr">
        <is>
          <t>SUNDSVALL</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11032-2025</t>
        </is>
      </c>
      <c r="B10151" s="1" t="n">
        <v>45723.47601851852</v>
      </c>
      <c r="C10151" s="1" t="n">
        <v>46185</v>
      </c>
      <c r="D10151" t="inlineStr">
        <is>
          <t>VÄSTERNORRLANDS LÄN</t>
        </is>
      </c>
      <c r="E10151" t="inlineStr">
        <is>
          <t>ÅNGE</t>
        </is>
      </c>
      <c r="G10151" t="n">
        <v>4.4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61778-2024</t>
        </is>
      </c>
      <c r="B10152" s="1" t="n">
        <v>45649.46961805555</v>
      </c>
      <c r="C10152" s="1" t="n">
        <v>46185</v>
      </c>
      <c r="D10152" t="inlineStr">
        <is>
          <t>VÄSTERNORRLANDS LÄN</t>
        </is>
      </c>
      <c r="E10152" t="inlineStr">
        <is>
          <t>SOLLEFTEÅ</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583-2025</t>
        </is>
      </c>
      <c r="B10153" s="1" t="n">
        <v>45664</v>
      </c>
      <c r="C10153" s="1" t="n">
        <v>46185</v>
      </c>
      <c r="D10153" t="inlineStr">
        <is>
          <t>VÄSTERNORRLANDS LÄN</t>
        </is>
      </c>
      <c r="E10153" t="inlineStr">
        <is>
          <t>SOLLEFTEÅ</t>
        </is>
      </c>
      <c r="G10153" t="n">
        <v>47.2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56401-2023</t>
        </is>
      </c>
      <c r="B10154" s="1" t="n">
        <v>45243</v>
      </c>
      <c r="C10154" s="1" t="n">
        <v>46185</v>
      </c>
      <c r="D10154" t="inlineStr">
        <is>
          <t>VÄSTERNORRLANDS LÄN</t>
        </is>
      </c>
      <c r="E10154" t="inlineStr">
        <is>
          <t>KRAMFORS</t>
        </is>
      </c>
      <c r="G10154" t="n">
        <v>16.4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58967-2023</t>
        </is>
      </c>
      <c r="B10155" s="1" t="n">
        <v>45250</v>
      </c>
      <c r="C10155" s="1" t="n">
        <v>46185</v>
      </c>
      <c r="D10155" t="inlineStr">
        <is>
          <t>VÄSTERNORRLANDS LÄN</t>
        </is>
      </c>
      <c r="E10155" t="inlineStr">
        <is>
          <t>SUNDSVALL</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56874-2024</t>
        </is>
      </c>
      <c r="B10156" s="1" t="n">
        <v>45628</v>
      </c>
      <c r="C10156" s="1" t="n">
        <v>46185</v>
      </c>
      <c r="D10156" t="inlineStr">
        <is>
          <t>VÄSTERNORRLANDS LÄN</t>
        </is>
      </c>
      <c r="E10156" t="inlineStr">
        <is>
          <t>ÅNGE</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61337-2024</t>
        </is>
      </c>
      <c r="B10157" s="1" t="n">
        <v>45646</v>
      </c>
      <c r="C10157" s="1" t="n">
        <v>46185</v>
      </c>
      <c r="D10157" t="inlineStr">
        <is>
          <t>VÄSTERNORRLANDS LÄN</t>
        </is>
      </c>
      <c r="E10157" t="inlineStr">
        <is>
          <t>HÄRNÖSAND</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56022-2023</t>
        </is>
      </c>
      <c r="B10158" s="1" t="n">
        <v>45233</v>
      </c>
      <c r="C10158" s="1" t="n">
        <v>46185</v>
      </c>
      <c r="D10158" t="inlineStr">
        <is>
          <t>VÄSTERNORRLANDS LÄN</t>
        </is>
      </c>
      <c r="E10158" t="inlineStr">
        <is>
          <t>ÖRNSKÖLDSVIK</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2257-2025</t>
        </is>
      </c>
      <c r="B10159" s="1" t="n">
        <v>45673.51421296296</v>
      </c>
      <c r="C10159" s="1" t="n">
        <v>46185</v>
      </c>
      <c r="D10159" t="inlineStr">
        <is>
          <t>VÄSTERNORRLANDS LÄN</t>
        </is>
      </c>
      <c r="E10159" t="inlineStr">
        <is>
          <t>ÖRNSKÖLDSVIK</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48741-2023</t>
        </is>
      </c>
      <c r="B10160" s="1" t="n">
        <v>45208</v>
      </c>
      <c r="C10160" s="1" t="n">
        <v>46185</v>
      </c>
      <c r="D10160" t="inlineStr">
        <is>
          <t>VÄSTERNORRLANDS LÄN</t>
        </is>
      </c>
      <c r="E10160" t="inlineStr">
        <is>
          <t>ÖRNSKÖLDSVIK</t>
        </is>
      </c>
      <c r="G10160" t="n">
        <v>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32140-2023</t>
        </is>
      </c>
      <c r="B10161" s="1" t="n">
        <v>45107</v>
      </c>
      <c r="C10161" s="1" t="n">
        <v>46185</v>
      </c>
      <c r="D10161" t="inlineStr">
        <is>
          <t>VÄSTERNORRLANDS LÄN</t>
        </is>
      </c>
      <c r="E10161" t="inlineStr">
        <is>
          <t>HÄRNÖSAND</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34648-2024</t>
        </is>
      </c>
      <c r="B10162" s="1" t="n">
        <v>45526</v>
      </c>
      <c r="C10162" s="1" t="n">
        <v>46185</v>
      </c>
      <c r="D10162" t="inlineStr">
        <is>
          <t>VÄSTERNORRLANDS LÄN</t>
        </is>
      </c>
      <c r="E10162" t="inlineStr">
        <is>
          <t>ÖRNSKÖLDSVIK</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5150-2023</t>
        </is>
      </c>
      <c r="B10163" s="1" t="n">
        <v>44958</v>
      </c>
      <c r="C10163" s="1" t="n">
        <v>46185</v>
      </c>
      <c r="D10163" t="inlineStr">
        <is>
          <t>VÄSTERNORRLANDS LÄN</t>
        </is>
      </c>
      <c r="E10163" t="inlineStr">
        <is>
          <t>KRAMFORS</t>
        </is>
      </c>
      <c r="G10163" t="n">
        <v>12.8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8664-2025</t>
        </is>
      </c>
      <c r="B10164" s="1" t="n">
        <v>45712.40648148148</v>
      </c>
      <c r="C10164" s="1" t="n">
        <v>46185</v>
      </c>
      <c r="D10164" t="inlineStr">
        <is>
          <t>VÄSTERNORRLANDS LÄN</t>
        </is>
      </c>
      <c r="E10164" t="inlineStr">
        <is>
          <t>ÖRNSKÖLDSVIK</t>
        </is>
      </c>
      <c r="G10164" t="n">
        <v>13.3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61485-2024</t>
        </is>
      </c>
      <c r="B10165" s="1" t="n">
        <v>45646.53175925926</v>
      </c>
      <c r="C10165" s="1" t="n">
        <v>46185</v>
      </c>
      <c r="D10165" t="inlineStr">
        <is>
          <t>VÄSTERNORRLANDS LÄN</t>
        </is>
      </c>
      <c r="E10165" t="inlineStr">
        <is>
          <t>SOLLEFTEÅ</t>
        </is>
      </c>
      <c r="F10165" t="inlineStr">
        <is>
          <t>SCA</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55417-2024</t>
        </is>
      </c>
      <c r="B10166" s="1" t="n">
        <v>45622.37831018519</v>
      </c>
      <c r="C10166" s="1" t="n">
        <v>46185</v>
      </c>
      <c r="D10166" t="inlineStr">
        <is>
          <t>VÄSTERNORRLANDS LÄN</t>
        </is>
      </c>
      <c r="E10166" t="inlineStr">
        <is>
          <t>ÖRNSKÖLDSVIK</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56095-2024</t>
        </is>
      </c>
      <c r="B10167" s="1" t="n">
        <v>45624.41864583334</v>
      </c>
      <c r="C10167" s="1" t="n">
        <v>46185</v>
      </c>
      <c r="D10167" t="inlineStr">
        <is>
          <t>VÄSTERNORRLANDS LÄN</t>
        </is>
      </c>
      <c r="E10167" t="inlineStr">
        <is>
          <t>ÖRNSKÖLDSVIK</t>
        </is>
      </c>
      <c r="F10167" t="inlineStr">
        <is>
          <t>Holmen skog AB</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16468-2024</t>
        </is>
      </c>
      <c r="B10168" s="1" t="n">
        <v>45408.0508449074</v>
      </c>
      <c r="C10168" s="1" t="n">
        <v>46185</v>
      </c>
      <c r="D10168" t="inlineStr">
        <is>
          <t>VÄSTERNORRLANDS LÄN</t>
        </is>
      </c>
      <c r="E10168" t="inlineStr">
        <is>
          <t>SOLLEFTEÅ</t>
        </is>
      </c>
      <c r="F10168" t="inlineStr">
        <is>
          <t>SCA</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57521-2024</t>
        </is>
      </c>
      <c r="B10169" s="1" t="n">
        <v>45629</v>
      </c>
      <c r="C10169" s="1" t="n">
        <v>46185</v>
      </c>
      <c r="D10169" t="inlineStr">
        <is>
          <t>VÄSTERNORRLANDS LÄN</t>
        </is>
      </c>
      <c r="E10169" t="inlineStr">
        <is>
          <t>SUNDSVALL</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3944-2024</t>
        </is>
      </c>
      <c r="B10170" s="1" t="n">
        <v>45322</v>
      </c>
      <c r="C10170" s="1" t="n">
        <v>46185</v>
      </c>
      <c r="D10170" t="inlineStr">
        <is>
          <t>VÄSTERNORRLANDS LÄN</t>
        </is>
      </c>
      <c r="E10170" t="inlineStr">
        <is>
          <t>SUNDSVALL</t>
        </is>
      </c>
      <c r="G10170" t="n">
        <v>0.3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49076-2023</t>
        </is>
      </c>
      <c r="B10171" s="1" t="n">
        <v>45210</v>
      </c>
      <c r="C10171" s="1" t="n">
        <v>46185</v>
      </c>
      <c r="D10171" t="inlineStr">
        <is>
          <t>VÄSTERNORRLANDS LÄN</t>
        </is>
      </c>
      <c r="E10171" t="inlineStr">
        <is>
          <t>ÖRNSKÖLDSVIK</t>
        </is>
      </c>
      <c r="F10171" t="inlineStr">
        <is>
          <t>Holmen skog AB</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53293-2024</t>
        </is>
      </c>
      <c r="B10172" s="1" t="n">
        <v>45614.38722222222</v>
      </c>
      <c r="C10172" s="1" t="n">
        <v>46185</v>
      </c>
      <c r="D10172" t="inlineStr">
        <is>
          <t>VÄSTERNORRLANDS LÄN</t>
        </is>
      </c>
      <c r="E10172" t="inlineStr">
        <is>
          <t>TIMRÅ</t>
        </is>
      </c>
      <c r="F10172" t="inlineStr">
        <is>
          <t>SCA</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47280-2023</t>
        </is>
      </c>
      <c r="B10173" s="1" t="n">
        <v>45196</v>
      </c>
      <c r="C10173" s="1" t="n">
        <v>46185</v>
      </c>
      <c r="D10173" t="inlineStr">
        <is>
          <t>VÄSTERNORRLANDS LÄN</t>
        </is>
      </c>
      <c r="E10173" t="inlineStr">
        <is>
          <t>SUNDSVALL</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16160-2025</t>
        </is>
      </c>
      <c r="B10174" s="1" t="n">
        <v>45750.49572916667</v>
      </c>
      <c r="C10174" s="1" t="n">
        <v>46185</v>
      </c>
      <c r="D10174" t="inlineStr">
        <is>
          <t>VÄSTERNORRLANDS LÄN</t>
        </is>
      </c>
      <c r="E10174" t="inlineStr">
        <is>
          <t>KRAMFORS</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48884-2024</t>
        </is>
      </c>
      <c r="B10175" s="1" t="n">
        <v>45594</v>
      </c>
      <c r="C10175" s="1" t="n">
        <v>46185</v>
      </c>
      <c r="D10175" t="inlineStr">
        <is>
          <t>VÄSTERNORRLANDS LÄN</t>
        </is>
      </c>
      <c r="E10175" t="inlineStr">
        <is>
          <t>ÖRNSKÖLDSVIK</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51871-2024</t>
        </is>
      </c>
      <c r="B10176" s="1" t="n">
        <v>45607</v>
      </c>
      <c r="C10176" s="1" t="n">
        <v>46185</v>
      </c>
      <c r="D10176" t="inlineStr">
        <is>
          <t>VÄSTERNORRLANDS LÄN</t>
        </is>
      </c>
      <c r="E10176" t="inlineStr">
        <is>
          <t>ÅNGE</t>
        </is>
      </c>
      <c r="F10176" t="inlineStr">
        <is>
          <t>SCA</t>
        </is>
      </c>
      <c r="G10176" t="n">
        <v>10.1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58342-2024</t>
        </is>
      </c>
      <c r="B10177" s="1" t="n">
        <v>45632</v>
      </c>
      <c r="C10177" s="1" t="n">
        <v>46185</v>
      </c>
      <c r="D10177" t="inlineStr">
        <is>
          <t>VÄSTERNORRLANDS LÄN</t>
        </is>
      </c>
      <c r="E10177" t="inlineStr">
        <is>
          <t>ÖRNSKÖLDSVIK</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15551-2025</t>
        </is>
      </c>
      <c r="B10178" s="1" t="n">
        <v>45747.67410879629</v>
      </c>
      <c r="C10178" s="1" t="n">
        <v>46185</v>
      </c>
      <c r="D10178" t="inlineStr">
        <is>
          <t>VÄSTERNORRLANDS LÄN</t>
        </is>
      </c>
      <c r="E10178" t="inlineStr">
        <is>
          <t>SUNDSVALL</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19091-2025</t>
        </is>
      </c>
      <c r="B10179" s="1" t="n">
        <v>45767.47315972222</v>
      </c>
      <c r="C10179" s="1" t="n">
        <v>46185</v>
      </c>
      <c r="D10179" t="inlineStr">
        <is>
          <t>VÄSTERNORRLANDS LÄN</t>
        </is>
      </c>
      <c r="E10179" t="inlineStr">
        <is>
          <t>SUNDSVALL</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7909-2025</t>
        </is>
      </c>
      <c r="B10180" s="1" t="n">
        <v>45707</v>
      </c>
      <c r="C10180" s="1" t="n">
        <v>46185</v>
      </c>
      <c r="D10180" t="inlineStr">
        <is>
          <t>VÄSTERNORRLANDS LÄN</t>
        </is>
      </c>
      <c r="E10180" t="inlineStr">
        <is>
          <t>ÖRNSKÖLDSVIK</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7960-2025</t>
        </is>
      </c>
      <c r="B10181" s="1" t="n">
        <v>45707.44020833333</v>
      </c>
      <c r="C10181" s="1" t="n">
        <v>46185</v>
      </c>
      <c r="D10181" t="inlineStr">
        <is>
          <t>VÄSTERNORRLANDS LÄN</t>
        </is>
      </c>
      <c r="E10181" t="inlineStr">
        <is>
          <t>SUNDSVALL</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7962-2025</t>
        </is>
      </c>
      <c r="B10182" s="1" t="n">
        <v>45707.44831018519</v>
      </c>
      <c r="C10182" s="1" t="n">
        <v>46185</v>
      </c>
      <c r="D10182" t="inlineStr">
        <is>
          <t>VÄSTERNORRLANDS LÄN</t>
        </is>
      </c>
      <c r="E10182" t="inlineStr">
        <is>
          <t>SUNDSVALL</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7967-2025</t>
        </is>
      </c>
      <c r="B10183" s="1" t="n">
        <v>45707.45425925926</v>
      </c>
      <c r="C10183" s="1" t="n">
        <v>46185</v>
      </c>
      <c r="D10183" t="inlineStr">
        <is>
          <t>VÄSTERNORRLANDS LÄN</t>
        </is>
      </c>
      <c r="E10183" t="inlineStr">
        <is>
          <t>SUNDSVALL</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52266-2023</t>
        </is>
      </c>
      <c r="B10184" s="1" t="n">
        <v>45217</v>
      </c>
      <c r="C10184" s="1" t="n">
        <v>46185</v>
      </c>
      <c r="D10184" t="inlineStr">
        <is>
          <t>VÄSTERNORRLANDS LÄN</t>
        </is>
      </c>
      <c r="E10184" t="inlineStr">
        <is>
          <t>SOLLEFTEÅ</t>
        </is>
      </c>
      <c r="F10184" t="inlineStr">
        <is>
          <t>SCA</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602-2025</t>
        </is>
      </c>
      <c r="B10185" s="1" t="n">
        <v>45660</v>
      </c>
      <c r="C10185" s="1" t="n">
        <v>46185</v>
      </c>
      <c r="D10185" t="inlineStr">
        <is>
          <t>VÄSTERNORRLANDS LÄN</t>
        </is>
      </c>
      <c r="E10185" t="inlineStr">
        <is>
          <t>KRAMFORS</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61847-2024</t>
        </is>
      </c>
      <c r="B10186" s="1" t="n">
        <v>45646</v>
      </c>
      <c r="C10186" s="1" t="n">
        <v>46185</v>
      </c>
      <c r="D10186" t="inlineStr">
        <is>
          <t>VÄSTERNORRLANDS LÄN</t>
        </is>
      </c>
      <c r="E10186" t="inlineStr">
        <is>
          <t>SOLLEFTEÅ</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36282-2023</t>
        </is>
      </c>
      <c r="B10187" s="1" t="n">
        <v>45149</v>
      </c>
      <c r="C10187" s="1" t="n">
        <v>46185</v>
      </c>
      <c r="D10187" t="inlineStr">
        <is>
          <t>VÄSTERNORRLANDS LÄN</t>
        </is>
      </c>
      <c r="E10187" t="inlineStr">
        <is>
          <t>ÖRNSKÖLDSVIK</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36290-2023</t>
        </is>
      </c>
      <c r="B10188" s="1" t="n">
        <v>45152.35467592593</v>
      </c>
      <c r="C10188" s="1" t="n">
        <v>46185</v>
      </c>
      <c r="D10188" t="inlineStr">
        <is>
          <t>VÄSTERNORRLANDS LÄN</t>
        </is>
      </c>
      <c r="E10188" t="inlineStr">
        <is>
          <t>ÅNGE</t>
        </is>
      </c>
      <c r="F10188" t="inlineStr">
        <is>
          <t>Övriga Aktiebolag</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19416-2022</t>
        </is>
      </c>
      <c r="B10189" s="1" t="n">
        <v>44693</v>
      </c>
      <c r="C10189" s="1" t="n">
        <v>46185</v>
      </c>
      <c r="D10189" t="inlineStr">
        <is>
          <t>VÄSTERNORRLANDS LÄN</t>
        </is>
      </c>
      <c r="E10189" t="inlineStr">
        <is>
          <t>SOLLEFTEÅ</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5439-2025</t>
        </is>
      </c>
      <c r="B10190" s="1" t="n">
        <v>45692</v>
      </c>
      <c r="C10190" s="1" t="n">
        <v>46185</v>
      </c>
      <c r="D10190" t="inlineStr">
        <is>
          <t>VÄSTERNORRLANDS LÄN</t>
        </is>
      </c>
      <c r="E10190" t="inlineStr">
        <is>
          <t>ÖRNSKÖLDSVIK</t>
        </is>
      </c>
      <c r="G10190" t="n">
        <v>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55622-2023</t>
        </is>
      </c>
      <c r="B10191" s="1" t="n">
        <v>45238</v>
      </c>
      <c r="C10191" s="1" t="n">
        <v>46185</v>
      </c>
      <c r="D10191" t="inlineStr">
        <is>
          <t>VÄSTERNORRLANDS LÄN</t>
        </is>
      </c>
      <c r="E10191" t="inlineStr">
        <is>
          <t>SOLLEFTEÅ</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48369-2024</t>
        </is>
      </c>
      <c r="B10192" s="1" t="n">
        <v>45590.57960648148</v>
      </c>
      <c r="C10192" s="1" t="n">
        <v>46185</v>
      </c>
      <c r="D10192" t="inlineStr">
        <is>
          <t>VÄSTERNORRLANDS LÄN</t>
        </is>
      </c>
      <c r="E10192" t="inlineStr">
        <is>
          <t>ÅNGE</t>
        </is>
      </c>
      <c r="F10192" t="inlineStr">
        <is>
          <t>SCA</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32204-2023</t>
        </is>
      </c>
      <c r="B10193" s="1" t="n">
        <v>45119.92628472222</v>
      </c>
      <c r="C10193" s="1" t="n">
        <v>46185</v>
      </c>
      <c r="D10193" t="inlineStr">
        <is>
          <t>VÄSTERNORRLANDS LÄN</t>
        </is>
      </c>
      <c r="E10193" t="inlineStr">
        <is>
          <t>SUNDSVALL</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50878-2023</t>
        </is>
      </c>
      <c r="B10194" s="1" t="n">
        <v>45218</v>
      </c>
      <c r="C10194" s="1" t="n">
        <v>46185</v>
      </c>
      <c r="D10194" t="inlineStr">
        <is>
          <t>VÄSTERNORRLANDS LÄN</t>
        </is>
      </c>
      <c r="E10194" t="inlineStr">
        <is>
          <t>ÖRNSKÖLDSVIK</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10716-2023</t>
        </is>
      </c>
      <c r="B10195" s="1" t="n">
        <v>44988.64170138889</v>
      </c>
      <c r="C10195" s="1" t="n">
        <v>46185</v>
      </c>
      <c r="D10195" t="inlineStr">
        <is>
          <t>VÄSTERNORRLANDS LÄN</t>
        </is>
      </c>
      <c r="E10195" t="inlineStr">
        <is>
          <t>SUNDSVALL</t>
        </is>
      </c>
      <c r="F10195" t="inlineStr">
        <is>
          <t>Holmen skog AB</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10784-2023</t>
        </is>
      </c>
      <c r="B10196" s="1" t="n">
        <v>44988</v>
      </c>
      <c r="C10196" s="1" t="n">
        <v>46185</v>
      </c>
      <c r="D10196" t="inlineStr">
        <is>
          <t>VÄSTERNORRLANDS LÄN</t>
        </is>
      </c>
      <c r="E10196" t="inlineStr">
        <is>
          <t>ÖRNSKÖLDSVIK</t>
        </is>
      </c>
      <c r="F10196" t="inlineStr">
        <is>
          <t>SCA</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1531-2025</t>
        </is>
      </c>
      <c r="B10197" s="1" t="n">
        <v>45670.4811574074</v>
      </c>
      <c r="C10197" s="1" t="n">
        <v>46185</v>
      </c>
      <c r="D10197" t="inlineStr">
        <is>
          <t>VÄSTERNORRLANDS LÄN</t>
        </is>
      </c>
      <c r="E10197" t="inlineStr">
        <is>
          <t>ÖRNSKÖLDSVIK</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1714-2025</t>
        </is>
      </c>
      <c r="B10198" s="1" t="n">
        <v>45671.32474537037</v>
      </c>
      <c r="C10198" s="1" t="n">
        <v>46185</v>
      </c>
      <c r="D10198" t="inlineStr">
        <is>
          <t>VÄSTERNORRLANDS LÄN</t>
        </is>
      </c>
      <c r="E10198" t="inlineStr">
        <is>
          <t>ÅNGE</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12972-2023</t>
        </is>
      </c>
      <c r="B10199" s="1" t="n">
        <v>45001</v>
      </c>
      <c r="C10199" s="1" t="n">
        <v>46185</v>
      </c>
      <c r="D10199" t="inlineStr">
        <is>
          <t>VÄSTERNORRLANDS LÄN</t>
        </is>
      </c>
      <c r="E10199" t="inlineStr">
        <is>
          <t>SOLLEFTEÅ</t>
        </is>
      </c>
      <c r="F10199" t="inlineStr">
        <is>
          <t>SCA</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36178-2024</t>
        </is>
      </c>
      <c r="B10200" s="1" t="n">
        <v>45534.40929398148</v>
      </c>
      <c r="C10200" s="1" t="n">
        <v>46185</v>
      </c>
      <c r="D10200" t="inlineStr">
        <is>
          <t>VÄSTERNORRLANDS LÄN</t>
        </is>
      </c>
      <c r="E10200" t="inlineStr">
        <is>
          <t>KRAMFORS</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45048-2023</t>
        </is>
      </c>
      <c r="B10201" s="1" t="n">
        <v>45187</v>
      </c>
      <c r="C10201" s="1" t="n">
        <v>46185</v>
      </c>
      <c r="D10201" t="inlineStr">
        <is>
          <t>VÄSTERNORRLANDS LÄN</t>
        </is>
      </c>
      <c r="E10201" t="inlineStr">
        <is>
          <t>SUNDSVALL</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45057-2023</t>
        </is>
      </c>
      <c r="B10202" s="1" t="n">
        <v>45187</v>
      </c>
      <c r="C10202" s="1" t="n">
        <v>46185</v>
      </c>
      <c r="D10202" t="inlineStr">
        <is>
          <t>VÄSTERNORRLANDS LÄN</t>
        </is>
      </c>
      <c r="E10202" t="inlineStr">
        <is>
          <t>SUNDSVALL</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46032-2022</t>
        </is>
      </c>
      <c r="B10203" s="1" t="n">
        <v>44846</v>
      </c>
      <c r="C10203" s="1" t="n">
        <v>46185</v>
      </c>
      <c r="D10203" t="inlineStr">
        <is>
          <t>VÄSTERNORRLANDS LÄN</t>
        </is>
      </c>
      <c r="E10203" t="inlineStr">
        <is>
          <t>SOLLEFTEÅ</t>
        </is>
      </c>
      <c r="F10203" t="inlineStr">
        <is>
          <t>SCA</t>
        </is>
      </c>
      <c r="G10203" t="n">
        <v>5.9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29946-2023</t>
        </is>
      </c>
      <c r="B10204" s="1" t="n">
        <v>45107.93818287037</v>
      </c>
      <c r="C10204" s="1" t="n">
        <v>46185</v>
      </c>
      <c r="D10204" t="inlineStr">
        <is>
          <t>VÄSTERNORRLANDS LÄN</t>
        </is>
      </c>
      <c r="E10204" t="inlineStr">
        <is>
          <t>SOLLEFTEÅ</t>
        </is>
      </c>
      <c r="F10204" t="inlineStr">
        <is>
          <t>SCA</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32791-2023</t>
        </is>
      </c>
      <c r="B10205" s="1" t="n">
        <v>45124</v>
      </c>
      <c r="C10205" s="1" t="n">
        <v>46185</v>
      </c>
      <c r="D10205" t="inlineStr">
        <is>
          <t>VÄSTERNORRLANDS LÄN</t>
        </is>
      </c>
      <c r="E10205" t="inlineStr">
        <is>
          <t>KRAMFORS</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11529-2023</t>
        </is>
      </c>
      <c r="B10206" s="1" t="n">
        <v>44993</v>
      </c>
      <c r="C10206" s="1" t="n">
        <v>46185</v>
      </c>
      <c r="D10206" t="inlineStr">
        <is>
          <t>VÄSTERNORRLANDS LÄN</t>
        </is>
      </c>
      <c r="E10206" t="inlineStr">
        <is>
          <t>ÅNGE</t>
        </is>
      </c>
      <c r="G10206" t="n">
        <v>8.9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38749-2024</t>
        </is>
      </c>
      <c r="B10207" s="1" t="n">
        <v>45547</v>
      </c>
      <c r="C10207" s="1" t="n">
        <v>46185</v>
      </c>
      <c r="D10207" t="inlineStr">
        <is>
          <t>VÄSTERNORRLANDS LÄN</t>
        </is>
      </c>
      <c r="E10207" t="inlineStr">
        <is>
          <t>SOLLEFTEÅ</t>
        </is>
      </c>
      <c r="F10207" t="inlineStr">
        <is>
          <t>SCA</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49253-2024</t>
        </is>
      </c>
      <c r="B10208" s="1" t="n">
        <v>45595</v>
      </c>
      <c r="C10208" s="1" t="n">
        <v>46185</v>
      </c>
      <c r="D10208" t="inlineStr">
        <is>
          <t>VÄSTERNORRLANDS LÄN</t>
        </is>
      </c>
      <c r="E10208" t="inlineStr">
        <is>
          <t>SOLLEFTEÅ</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52196-2024</t>
        </is>
      </c>
      <c r="B10209" s="1" t="n">
        <v>45607</v>
      </c>
      <c r="C10209" s="1" t="n">
        <v>46185</v>
      </c>
      <c r="D10209" t="inlineStr">
        <is>
          <t>VÄSTERNORRLANDS LÄN</t>
        </is>
      </c>
      <c r="E10209" t="inlineStr">
        <is>
          <t>SUNDSVALL</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13335-2023</t>
        </is>
      </c>
      <c r="B10210" s="1" t="n">
        <v>45005.4337037037</v>
      </c>
      <c r="C10210" s="1" t="n">
        <v>46185</v>
      </c>
      <c r="D10210" t="inlineStr">
        <is>
          <t>VÄSTERNORRLANDS LÄN</t>
        </is>
      </c>
      <c r="E10210" t="inlineStr">
        <is>
          <t>SUNDSVALL</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39429-2024</t>
        </is>
      </c>
      <c r="B10211" s="1" t="n">
        <v>45551.59427083333</v>
      </c>
      <c r="C10211" s="1" t="n">
        <v>46185</v>
      </c>
      <c r="D10211" t="inlineStr">
        <is>
          <t>VÄSTERNORRLANDS LÄN</t>
        </is>
      </c>
      <c r="E10211" t="inlineStr">
        <is>
          <t>SOLLEFTEÅ</t>
        </is>
      </c>
      <c r="F10211" t="inlineStr">
        <is>
          <t>SCA</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69593-2021</t>
        </is>
      </c>
      <c r="B10212" s="1" t="n">
        <v>44532.37070601852</v>
      </c>
      <c r="C10212" s="1" t="n">
        <v>46185</v>
      </c>
      <c r="D10212" t="inlineStr">
        <is>
          <t>VÄSTERNORRLANDS LÄN</t>
        </is>
      </c>
      <c r="E10212" t="inlineStr">
        <is>
          <t>ÖRNSKÖLDSVIK</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31182-2024</t>
        </is>
      </c>
      <c r="B10213" s="1" t="n">
        <v>45503</v>
      </c>
      <c r="C10213" s="1" t="n">
        <v>46185</v>
      </c>
      <c r="D10213" t="inlineStr">
        <is>
          <t>VÄSTERNORRLANDS LÄN</t>
        </is>
      </c>
      <c r="E10213" t="inlineStr">
        <is>
          <t>ÅNGE</t>
        </is>
      </c>
      <c r="G10213" t="n">
        <v>8.6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52658-2024</t>
        </is>
      </c>
      <c r="B10214" s="1" t="n">
        <v>45610.35798611111</v>
      </c>
      <c r="C10214" s="1" t="n">
        <v>46185</v>
      </c>
      <c r="D10214" t="inlineStr">
        <is>
          <t>VÄSTERNORRLANDS LÄN</t>
        </is>
      </c>
      <c r="E10214" t="inlineStr">
        <is>
          <t>ÖRNSKÖLDSVIK</t>
        </is>
      </c>
      <c r="F10214" t="inlineStr">
        <is>
          <t>Holmen skog AB</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34200-2024</t>
        </is>
      </c>
      <c r="B10215" s="1" t="n">
        <v>45524.4669212963</v>
      </c>
      <c r="C10215" s="1" t="n">
        <v>46185</v>
      </c>
      <c r="D10215" t="inlineStr">
        <is>
          <t>VÄSTERNORRLANDS LÄN</t>
        </is>
      </c>
      <c r="E10215" t="inlineStr">
        <is>
          <t>KRAMFORS</t>
        </is>
      </c>
      <c r="G10215" t="n">
        <v>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28355-2023</t>
        </is>
      </c>
      <c r="B10216" s="1" t="n">
        <v>45099</v>
      </c>
      <c r="C10216" s="1" t="n">
        <v>46185</v>
      </c>
      <c r="D10216" t="inlineStr">
        <is>
          <t>VÄSTERNORRLANDS LÄN</t>
        </is>
      </c>
      <c r="E10216" t="inlineStr">
        <is>
          <t>KRAMFORS</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18352-2023</t>
        </is>
      </c>
      <c r="B10217" s="1" t="n">
        <v>45040</v>
      </c>
      <c r="C10217" s="1" t="n">
        <v>46185</v>
      </c>
      <c r="D10217" t="inlineStr">
        <is>
          <t>VÄSTERNORRLANDS LÄN</t>
        </is>
      </c>
      <c r="E10217" t="inlineStr">
        <is>
          <t>SUNDSVALL</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54538-2022</t>
        </is>
      </c>
      <c r="B10218" s="1" t="n">
        <v>44882.77261574074</v>
      </c>
      <c r="C10218" s="1" t="n">
        <v>46185</v>
      </c>
      <c r="D10218" t="inlineStr">
        <is>
          <t>VÄSTERNORRLANDS LÄN</t>
        </is>
      </c>
      <c r="E10218" t="inlineStr">
        <is>
          <t>SOLLEFTEÅ</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8893-2025</t>
        </is>
      </c>
      <c r="B10219" s="1" t="n">
        <v>45713.4065162037</v>
      </c>
      <c r="C10219" s="1" t="n">
        <v>46185</v>
      </c>
      <c r="D10219" t="inlineStr">
        <is>
          <t>VÄSTERNORRLANDS LÄN</t>
        </is>
      </c>
      <c r="E10219" t="inlineStr">
        <is>
          <t>SOLLEFTEÅ</t>
        </is>
      </c>
      <c r="F10219" t="inlineStr">
        <is>
          <t>SCA</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37150-2023</t>
        </is>
      </c>
      <c r="B10220" s="1" t="n">
        <v>45155.59532407407</v>
      </c>
      <c r="C10220" s="1" t="n">
        <v>46185</v>
      </c>
      <c r="D10220" t="inlineStr">
        <is>
          <t>VÄSTERNORRLANDS LÄN</t>
        </is>
      </c>
      <c r="E10220" t="inlineStr">
        <is>
          <t>ÖRNSKÖLDSVIK</t>
        </is>
      </c>
      <c r="F10220" t="inlineStr">
        <is>
          <t>Holmen skog AB</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54238-2024</t>
        </is>
      </c>
      <c r="B10221" s="1" t="n">
        <v>45616.67844907408</v>
      </c>
      <c r="C10221" s="1" t="n">
        <v>46185</v>
      </c>
      <c r="D10221" t="inlineStr">
        <is>
          <t>VÄSTERNORRLANDS LÄN</t>
        </is>
      </c>
      <c r="E10221" t="inlineStr">
        <is>
          <t>SOLLEFTEÅ</t>
        </is>
      </c>
      <c r="F10221" t="inlineStr">
        <is>
          <t>SCA</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46481-2023</t>
        </is>
      </c>
      <c r="B10222" s="1" t="n">
        <v>45194</v>
      </c>
      <c r="C10222" s="1" t="n">
        <v>46185</v>
      </c>
      <c r="D10222" t="inlineStr">
        <is>
          <t>VÄSTERNORRLANDS LÄN</t>
        </is>
      </c>
      <c r="E10222" t="inlineStr">
        <is>
          <t>ÖRNSKÖLDSVIK</t>
        </is>
      </c>
      <c r="G10222" t="n">
        <v>18.8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40066-2023</t>
        </is>
      </c>
      <c r="B10223" s="1" t="n">
        <v>45168</v>
      </c>
      <c r="C10223" s="1" t="n">
        <v>46185</v>
      </c>
      <c r="D10223" t="inlineStr">
        <is>
          <t>VÄSTERNORRLANDS LÄN</t>
        </is>
      </c>
      <c r="E10223" t="inlineStr">
        <is>
          <t>ÖRNSKÖLDSVIK</t>
        </is>
      </c>
      <c r="F10223" t="inlineStr">
        <is>
          <t>Holmen skog AB</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13551-2024</t>
        </is>
      </c>
      <c r="B10224" s="1" t="n">
        <v>45387.95395833333</v>
      </c>
      <c r="C10224" s="1" t="n">
        <v>46185</v>
      </c>
      <c r="D10224" t="inlineStr">
        <is>
          <t>VÄSTERNORRLANDS LÄN</t>
        </is>
      </c>
      <c r="E10224" t="inlineStr">
        <is>
          <t>SUNDSVALL</t>
        </is>
      </c>
      <c r="F10224" t="inlineStr">
        <is>
          <t>SCA</t>
        </is>
      </c>
      <c r="G10224" t="n">
        <v>7.1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29127-2022</t>
        </is>
      </c>
      <c r="B10225" s="1" t="n">
        <v>44750.45601851852</v>
      </c>
      <c r="C10225" s="1" t="n">
        <v>46185</v>
      </c>
      <c r="D10225" t="inlineStr">
        <is>
          <t>VÄSTERNORRLANDS LÄN</t>
        </is>
      </c>
      <c r="E10225" t="inlineStr">
        <is>
          <t>SUNDSVALL</t>
        </is>
      </c>
      <c r="G10225" t="n">
        <v>7.4</v>
      </c>
      <c r="H10225" t="n">
        <v>0</v>
      </c>
      <c r="I10225" t="n">
        <v>0</v>
      </c>
      <c r="J10225" t="n">
        <v>0</v>
      </c>
      <c r="K10225" t="n">
        <v>0</v>
      </c>
      <c r="L10225" t="n">
        <v>0</v>
      </c>
      <c r="M10225" t="n">
        <v>0</v>
      </c>
      <c r="N10225" t="n">
        <v>0</v>
      </c>
      <c r="O10225" t="n">
        <v>0</v>
      </c>
      <c r="P10225" t="n">
        <v>0</v>
      </c>
      <c r="Q10225" t="n">
        <v>0</v>
      </c>
      <c r="R10225" s="2" t="inlineStr"/>
      <c r="U10225">
        <f>HYPERLINK("https://klasma.github.io/Logging_2281/knärot/A 29127-2022 karta knärot.png", "A 29127-2022")</f>
        <v/>
      </c>
      <c r="V10225">
        <f>HYPERLINK("https://klasma.github.io/Logging_2281/klagomål/A 29127-2022 FSC-klagomål.docx", "A 29127-2022")</f>
        <v/>
      </c>
      <c r="W10225">
        <f>HYPERLINK("https://klasma.github.io/Logging_2281/klagomålsmail/A 29127-2022 FSC-klagomål mail.docx", "A 29127-2022")</f>
        <v/>
      </c>
      <c r="X10225">
        <f>HYPERLINK("https://klasma.github.io/Logging_2281/tillsyn/A 29127-2022 tillsynsbegäran.docx", "A 29127-2022")</f>
        <v/>
      </c>
      <c r="Y10225">
        <f>HYPERLINK("https://klasma.github.io/Logging_2281/tillsynsmail/A 29127-2022 tillsynsbegäran mail.docx", "A 29127-2022")</f>
        <v/>
      </c>
    </row>
    <row r="10226" ht="15" customHeight="1">
      <c r="A10226" t="inlineStr">
        <is>
          <t>A 24988-2022</t>
        </is>
      </c>
      <c r="B10226" s="1" t="n">
        <v>44728</v>
      </c>
      <c r="C10226" s="1" t="n">
        <v>46185</v>
      </c>
      <c r="D10226" t="inlineStr">
        <is>
          <t>VÄSTERNORRLANDS LÄN</t>
        </is>
      </c>
      <c r="E10226" t="inlineStr">
        <is>
          <t>TIMRÅ</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19429-2024</t>
        </is>
      </c>
      <c r="B10227" s="1" t="n">
        <v>45429</v>
      </c>
      <c r="C10227" s="1" t="n">
        <v>46185</v>
      </c>
      <c r="D10227" t="inlineStr">
        <is>
          <t>VÄSTERNORRLANDS LÄN</t>
        </is>
      </c>
      <c r="E10227" t="inlineStr">
        <is>
          <t>SOLLEFTEÅ</t>
        </is>
      </c>
      <c r="G10227" t="n">
        <v>10.6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44405-2023</t>
        </is>
      </c>
      <c r="B10228" s="1" t="n">
        <v>45188</v>
      </c>
      <c r="C10228" s="1" t="n">
        <v>46185</v>
      </c>
      <c r="D10228" t="inlineStr">
        <is>
          <t>VÄSTERNORRLANDS LÄN</t>
        </is>
      </c>
      <c r="E10228" t="inlineStr">
        <is>
          <t>TIMRÅ</t>
        </is>
      </c>
      <c r="F10228" t="inlineStr">
        <is>
          <t>SCA</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42059-2023</t>
        </is>
      </c>
      <c r="B10229" s="1" t="n">
        <v>45177.56361111111</v>
      </c>
      <c r="C10229" s="1" t="n">
        <v>46185</v>
      </c>
      <c r="D10229" t="inlineStr">
        <is>
          <t>VÄSTERNORRLANDS LÄN</t>
        </is>
      </c>
      <c r="E10229" t="inlineStr">
        <is>
          <t>ÖRNSKÖLDSVIK</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58710-2024</t>
        </is>
      </c>
      <c r="B10230" s="1" t="n">
        <v>45635.64413194444</v>
      </c>
      <c r="C10230" s="1" t="n">
        <v>46185</v>
      </c>
      <c r="D10230" t="inlineStr">
        <is>
          <t>VÄSTERNORRLANDS LÄN</t>
        </is>
      </c>
      <c r="E10230" t="inlineStr">
        <is>
          <t>ÖRNSKÖLDSVIK</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44392-2023</t>
        </is>
      </c>
      <c r="B10231" s="1" t="n">
        <v>45188.94527777778</v>
      </c>
      <c r="C10231" s="1" t="n">
        <v>46185</v>
      </c>
      <c r="D10231" t="inlineStr">
        <is>
          <t>VÄSTERNORRLANDS LÄN</t>
        </is>
      </c>
      <c r="E10231" t="inlineStr">
        <is>
          <t>SOLLEFTEÅ</t>
        </is>
      </c>
      <c r="F10231" t="inlineStr">
        <is>
          <t>SCA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48703-2023</t>
        </is>
      </c>
      <c r="B10232" s="1" t="n">
        <v>45208</v>
      </c>
      <c r="C10232" s="1" t="n">
        <v>46185</v>
      </c>
      <c r="D10232" t="inlineStr">
        <is>
          <t>VÄSTERNORRLANDS LÄN</t>
        </is>
      </c>
      <c r="E10232" t="inlineStr">
        <is>
          <t>ÖRNSKÖLDSVIK</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59451-2023</t>
        </is>
      </c>
      <c r="B10233" s="1" t="n">
        <v>45254</v>
      </c>
      <c r="C10233" s="1" t="n">
        <v>46185</v>
      </c>
      <c r="D10233" t="inlineStr">
        <is>
          <t>VÄSTERNORRLANDS LÄN</t>
        </is>
      </c>
      <c r="E10233" t="inlineStr">
        <is>
          <t>ÖRNSKÖLDSVIK</t>
        </is>
      </c>
      <c r="G10233" t="n">
        <v>5.9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28794-2024</t>
        </is>
      </c>
      <c r="B10234" s="1" t="n">
        <v>45478.61696759259</v>
      </c>
      <c r="C10234" s="1" t="n">
        <v>46185</v>
      </c>
      <c r="D10234" t="inlineStr">
        <is>
          <t>VÄSTERNORRLANDS LÄN</t>
        </is>
      </c>
      <c r="E10234" t="inlineStr">
        <is>
          <t>SUNDSVALL</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43946-2023</t>
        </is>
      </c>
      <c r="B10235" s="1" t="n">
        <v>45187</v>
      </c>
      <c r="C10235" s="1" t="n">
        <v>46185</v>
      </c>
      <c r="D10235" t="inlineStr">
        <is>
          <t>VÄSTERNORRLANDS LÄN</t>
        </is>
      </c>
      <c r="E10235" t="inlineStr">
        <is>
          <t>SUNDSVALL</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34603-2024</t>
        </is>
      </c>
      <c r="B10236" s="1" t="n">
        <v>45526.40513888889</v>
      </c>
      <c r="C10236" s="1" t="n">
        <v>46185</v>
      </c>
      <c r="D10236" t="inlineStr">
        <is>
          <t>VÄSTERNORRLANDS LÄN</t>
        </is>
      </c>
      <c r="E10236" t="inlineStr">
        <is>
          <t>ÖRNSKÖLDSVIK</t>
        </is>
      </c>
      <c r="F10236" t="inlineStr">
        <is>
          <t>Holmen skog AB</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63068-2023</t>
        </is>
      </c>
      <c r="B10237" s="1" t="n">
        <v>45272</v>
      </c>
      <c r="C10237" s="1" t="n">
        <v>46185</v>
      </c>
      <c r="D10237" t="inlineStr">
        <is>
          <t>VÄSTERNORRLANDS LÄN</t>
        </is>
      </c>
      <c r="E10237" t="inlineStr">
        <is>
          <t>SUNDSVALL</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42160-2023</t>
        </is>
      </c>
      <c r="B10238" s="1" t="n">
        <v>45177</v>
      </c>
      <c r="C10238" s="1" t="n">
        <v>46185</v>
      </c>
      <c r="D10238" t="inlineStr">
        <is>
          <t>VÄSTERNORRLANDS LÄN</t>
        </is>
      </c>
      <c r="E10238" t="inlineStr">
        <is>
          <t>SOLLEFTEÅ</t>
        </is>
      </c>
      <c r="F10238" t="inlineStr">
        <is>
          <t>SCA</t>
        </is>
      </c>
      <c r="G10238" t="n">
        <v>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47769-2024</t>
        </is>
      </c>
      <c r="B10239" s="1" t="n">
        <v>45588.56342592592</v>
      </c>
      <c r="C10239" s="1" t="n">
        <v>46185</v>
      </c>
      <c r="D10239" t="inlineStr">
        <is>
          <t>VÄSTERNORRLANDS LÄN</t>
        </is>
      </c>
      <c r="E10239" t="inlineStr">
        <is>
          <t>SUNDSVALL</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39469-2024</t>
        </is>
      </c>
      <c r="B10240" s="1" t="n">
        <v>45551</v>
      </c>
      <c r="C10240" s="1" t="n">
        <v>46185</v>
      </c>
      <c r="D10240" t="inlineStr">
        <is>
          <t>VÄSTERNORRLANDS LÄN</t>
        </is>
      </c>
      <c r="E10240" t="inlineStr">
        <is>
          <t>SOLLEFTEÅ</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41758-2024</t>
        </is>
      </c>
      <c r="B10241" s="1" t="n">
        <v>45561.34478009259</v>
      </c>
      <c r="C10241" s="1" t="n">
        <v>46185</v>
      </c>
      <c r="D10241" t="inlineStr">
        <is>
          <t>VÄSTERNORRLANDS LÄN</t>
        </is>
      </c>
      <c r="E10241" t="inlineStr">
        <is>
          <t>ÅNGE</t>
        </is>
      </c>
      <c r="F10241" t="inlineStr">
        <is>
          <t>SCA</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5433-2024</t>
        </is>
      </c>
      <c r="B10242" s="1" t="n">
        <v>45331</v>
      </c>
      <c r="C10242" s="1" t="n">
        <v>46185</v>
      </c>
      <c r="D10242" t="inlineStr">
        <is>
          <t>VÄSTERNORRLANDS LÄN</t>
        </is>
      </c>
      <c r="E10242" t="inlineStr">
        <is>
          <t>ÅNGE</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59660-2023</t>
        </is>
      </c>
      <c r="B10243" s="1" t="n">
        <v>45254</v>
      </c>
      <c r="C10243" s="1" t="n">
        <v>46185</v>
      </c>
      <c r="D10243" t="inlineStr">
        <is>
          <t>VÄSTERNORRLANDS LÄN</t>
        </is>
      </c>
      <c r="E10243" t="inlineStr">
        <is>
          <t>SUNDSVALL</t>
        </is>
      </c>
      <c r="F10243" t="inlineStr">
        <is>
          <t>SCA</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59661-2023</t>
        </is>
      </c>
      <c r="B10244" s="1" t="n">
        <v>45254</v>
      </c>
      <c r="C10244" s="1" t="n">
        <v>46185</v>
      </c>
      <c r="D10244" t="inlineStr">
        <is>
          <t>VÄSTERNORRLANDS LÄN</t>
        </is>
      </c>
      <c r="E10244" t="inlineStr">
        <is>
          <t>SUNDSVALL</t>
        </is>
      </c>
      <c r="F10244" t="inlineStr">
        <is>
          <t>SCA</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61474-2023</t>
        </is>
      </c>
      <c r="B10245" s="1" t="n">
        <v>45264.92684027777</v>
      </c>
      <c r="C10245" s="1" t="n">
        <v>46185</v>
      </c>
      <c r="D10245" t="inlineStr">
        <is>
          <t>VÄSTERNORRLANDS LÄN</t>
        </is>
      </c>
      <c r="E10245" t="inlineStr">
        <is>
          <t>SUNDSVALL</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61475-2023</t>
        </is>
      </c>
      <c r="B10246" s="1" t="n">
        <v>45264.92688657407</v>
      </c>
      <c r="C10246" s="1" t="n">
        <v>46185</v>
      </c>
      <c r="D10246" t="inlineStr">
        <is>
          <t>VÄSTERNORRLANDS LÄN</t>
        </is>
      </c>
      <c r="E10246" t="inlineStr">
        <is>
          <t>SUNDSVALL</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51055-2023</t>
        </is>
      </c>
      <c r="B10247" s="1" t="n">
        <v>45218</v>
      </c>
      <c r="C10247" s="1" t="n">
        <v>46185</v>
      </c>
      <c r="D10247" t="inlineStr">
        <is>
          <t>VÄSTERNORRLANDS LÄN</t>
        </is>
      </c>
      <c r="E10247" t="inlineStr">
        <is>
          <t>ÅNGE</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14578-2024</t>
        </is>
      </c>
      <c r="B10248" s="1" t="n">
        <v>45394.95059027777</v>
      </c>
      <c r="C10248" s="1" t="n">
        <v>46185</v>
      </c>
      <c r="D10248" t="inlineStr">
        <is>
          <t>VÄSTERNORRLANDS LÄN</t>
        </is>
      </c>
      <c r="E10248" t="inlineStr">
        <is>
          <t>TIMRÅ</t>
        </is>
      </c>
      <c r="F10248" t="inlineStr">
        <is>
          <t>SCA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6684-2024</t>
        </is>
      </c>
      <c r="B10249" s="1" t="n">
        <v>45341.92555555556</v>
      </c>
      <c r="C10249" s="1" t="n">
        <v>46185</v>
      </c>
      <c r="D10249" t="inlineStr">
        <is>
          <t>VÄSTERNORRLANDS LÄN</t>
        </is>
      </c>
      <c r="E10249" t="inlineStr">
        <is>
          <t>ÅNGE</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31646-2022</t>
        </is>
      </c>
      <c r="B10250" s="1" t="n">
        <v>44775.94166666667</v>
      </c>
      <c r="C10250" s="1" t="n">
        <v>46185</v>
      </c>
      <c r="D10250" t="inlineStr">
        <is>
          <t>VÄSTERNORRLANDS LÄN</t>
        </is>
      </c>
      <c r="E10250" t="inlineStr">
        <is>
          <t>SOLLEFTEÅ</t>
        </is>
      </c>
      <c r="F10250" t="inlineStr">
        <is>
          <t>SCA</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40244-2021</t>
        </is>
      </c>
      <c r="B10251" s="1" t="n">
        <v>44419</v>
      </c>
      <c r="C10251" s="1" t="n">
        <v>46185</v>
      </c>
      <c r="D10251" t="inlineStr">
        <is>
          <t>VÄSTERNORRLANDS LÄN</t>
        </is>
      </c>
      <c r="E10251" t="inlineStr">
        <is>
          <t>ÖRNSKÖLDSVIK</t>
        </is>
      </c>
      <c r="F10251" t="inlineStr">
        <is>
          <t>Holmen skog AB</t>
        </is>
      </c>
      <c r="G10251" t="n">
        <v>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10200-2024</t>
        </is>
      </c>
      <c r="B10252" s="1" t="n">
        <v>45364.92836805555</v>
      </c>
      <c r="C10252" s="1" t="n">
        <v>46185</v>
      </c>
      <c r="D10252" t="inlineStr">
        <is>
          <t>VÄSTERNORRLANDS LÄN</t>
        </is>
      </c>
      <c r="E10252" t="inlineStr">
        <is>
          <t>SUNDSVALL</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13445-2025</t>
        </is>
      </c>
      <c r="B10253" s="1" t="n">
        <v>45736.34521990741</v>
      </c>
      <c r="C10253" s="1" t="n">
        <v>46185</v>
      </c>
      <c r="D10253" t="inlineStr">
        <is>
          <t>VÄSTERNORRLANDS LÄN</t>
        </is>
      </c>
      <c r="E10253" t="inlineStr">
        <is>
          <t>SUNDSVALL</t>
        </is>
      </c>
      <c r="F10253" t="inlineStr">
        <is>
          <t>SCA</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13479-2025</t>
        </is>
      </c>
      <c r="B10254" s="1" t="n">
        <v>45736.41797453703</v>
      </c>
      <c r="C10254" s="1" t="n">
        <v>46185</v>
      </c>
      <c r="D10254" t="inlineStr">
        <is>
          <t>VÄSTERNORRLANDS LÄN</t>
        </is>
      </c>
      <c r="E10254" t="inlineStr">
        <is>
          <t>SUNDSVALL</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45118-2022</t>
        </is>
      </c>
      <c r="B10255" s="1" t="n">
        <v>44843</v>
      </c>
      <c r="C10255" s="1" t="n">
        <v>46185</v>
      </c>
      <c r="D10255" t="inlineStr">
        <is>
          <t>VÄSTERNORRLANDS LÄN</t>
        </is>
      </c>
      <c r="E10255" t="inlineStr">
        <is>
          <t>SOLLEFTEÅ</t>
        </is>
      </c>
      <c r="F10255" t="inlineStr">
        <is>
          <t>SCA</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5421-2024</t>
        </is>
      </c>
      <c r="B10256" s="1" t="n">
        <v>45331</v>
      </c>
      <c r="C10256" s="1" t="n">
        <v>46185</v>
      </c>
      <c r="D10256" t="inlineStr">
        <is>
          <t>VÄSTERNORRLANDS LÄN</t>
        </is>
      </c>
      <c r="E10256" t="inlineStr">
        <is>
          <t>SUNDSVALL</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11045-2025</t>
        </is>
      </c>
      <c r="B10257" s="1" t="n">
        <v>45723</v>
      </c>
      <c r="C10257" s="1" t="n">
        <v>46185</v>
      </c>
      <c r="D10257" t="inlineStr">
        <is>
          <t>VÄSTERNORRLANDS LÄN</t>
        </is>
      </c>
      <c r="E10257" t="inlineStr">
        <is>
          <t>HÄRNÖSAND</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54255-2022</t>
        </is>
      </c>
      <c r="B10258" s="1" t="n">
        <v>44881.95225694445</v>
      </c>
      <c r="C10258" s="1" t="n">
        <v>46185</v>
      </c>
      <c r="D10258" t="inlineStr">
        <is>
          <t>VÄSTERNORRLANDS LÄN</t>
        </is>
      </c>
      <c r="E10258" t="inlineStr">
        <is>
          <t>SOLLEFTEÅ</t>
        </is>
      </c>
      <c r="F10258" t="inlineStr">
        <is>
          <t>SCA</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61267-2023</t>
        </is>
      </c>
      <c r="B10259" s="1" t="n">
        <v>45264</v>
      </c>
      <c r="C10259" s="1" t="n">
        <v>46185</v>
      </c>
      <c r="D10259" t="inlineStr">
        <is>
          <t>VÄSTERNORRLANDS LÄN</t>
        </is>
      </c>
      <c r="E10259" t="inlineStr">
        <is>
          <t>SUNDSVALL</t>
        </is>
      </c>
      <c r="G10259" t="n">
        <v>8.199999999999999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16670-2022</t>
        </is>
      </c>
      <c r="B10260" s="1" t="n">
        <v>44672.93802083333</v>
      </c>
      <c r="C10260" s="1" t="n">
        <v>46185</v>
      </c>
      <c r="D10260" t="inlineStr">
        <is>
          <t>VÄSTERNORRLANDS LÄN</t>
        </is>
      </c>
      <c r="E10260" t="inlineStr">
        <is>
          <t>SOLLEFTEÅ</t>
        </is>
      </c>
      <c r="F10260" t="inlineStr">
        <is>
          <t>SCA</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113-2025</t>
        </is>
      </c>
      <c r="B10261" s="1" t="n">
        <v>45659.5106712963</v>
      </c>
      <c r="C10261" s="1" t="n">
        <v>46185</v>
      </c>
      <c r="D10261" t="inlineStr">
        <is>
          <t>VÄSTERNORRLANDS LÄN</t>
        </is>
      </c>
      <c r="E10261" t="inlineStr">
        <is>
          <t>ÅNGE</t>
        </is>
      </c>
      <c r="F10261" t="inlineStr">
        <is>
          <t>SCA</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196-2025</t>
        </is>
      </c>
      <c r="B10262" s="1" t="n">
        <v>45659.79658564815</v>
      </c>
      <c r="C10262" s="1" t="n">
        <v>46185</v>
      </c>
      <c r="D10262" t="inlineStr">
        <is>
          <t>VÄSTERNORRLANDS LÄN</t>
        </is>
      </c>
      <c r="E10262" t="inlineStr">
        <is>
          <t>ÖRNSKÖLDSVIK</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48176-2023</t>
        </is>
      </c>
      <c r="B10263" s="1" t="n">
        <v>45199</v>
      </c>
      <c r="C10263" s="1" t="n">
        <v>46185</v>
      </c>
      <c r="D10263" t="inlineStr">
        <is>
          <t>VÄSTERNORRLANDS LÄN</t>
        </is>
      </c>
      <c r="E10263" t="inlineStr">
        <is>
          <t>KRAMFORS</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16193-2023</t>
        </is>
      </c>
      <c r="B10264" s="1" t="n">
        <v>45027.94125</v>
      </c>
      <c r="C10264" s="1" t="n">
        <v>46185</v>
      </c>
      <c r="D10264" t="inlineStr">
        <is>
          <t>VÄSTERNORRLANDS LÄN</t>
        </is>
      </c>
      <c r="E10264" t="inlineStr">
        <is>
          <t>ÖRNSKÖLDSVIK</t>
        </is>
      </c>
      <c r="F10264" t="inlineStr">
        <is>
          <t>SCA</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1403-2025</t>
        </is>
      </c>
      <c r="B10265" s="1" t="n">
        <v>45667.70548611111</v>
      </c>
      <c r="C10265" s="1" t="n">
        <v>46185</v>
      </c>
      <c r="D10265" t="inlineStr">
        <is>
          <t>VÄSTERNORRLANDS LÄN</t>
        </is>
      </c>
      <c r="E10265" t="inlineStr">
        <is>
          <t>ÅNGE</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39619-2024</t>
        </is>
      </c>
      <c r="B10266" s="1" t="n">
        <v>45552</v>
      </c>
      <c r="C10266" s="1" t="n">
        <v>46185</v>
      </c>
      <c r="D10266" t="inlineStr">
        <is>
          <t>VÄSTERNORRLANDS LÄN</t>
        </is>
      </c>
      <c r="E10266" t="inlineStr">
        <is>
          <t>ÅNGE</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2185-2025</t>
        </is>
      </c>
      <c r="B10267" s="1" t="n">
        <v>45673</v>
      </c>
      <c r="C10267" s="1" t="n">
        <v>46185</v>
      </c>
      <c r="D10267" t="inlineStr">
        <is>
          <t>VÄSTERNORRLANDS LÄN</t>
        </is>
      </c>
      <c r="E10267" t="inlineStr">
        <is>
          <t>SOLLEFTEÅ</t>
        </is>
      </c>
      <c r="G10267" t="n">
        <v>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29104-2023</t>
        </is>
      </c>
      <c r="B10268" s="1" t="n">
        <v>45097</v>
      </c>
      <c r="C10268" s="1" t="n">
        <v>46185</v>
      </c>
      <c r="D10268" t="inlineStr">
        <is>
          <t>VÄSTERNORRLANDS LÄN</t>
        </is>
      </c>
      <c r="E10268" t="inlineStr">
        <is>
          <t>HÄRNÖSAND</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58965-2024</t>
        </is>
      </c>
      <c r="B10269" s="1" t="n">
        <v>45636.59234953704</v>
      </c>
      <c r="C10269" s="1" t="n">
        <v>46185</v>
      </c>
      <c r="D10269" t="inlineStr">
        <is>
          <t>VÄSTERNORRLANDS LÄN</t>
        </is>
      </c>
      <c r="E10269" t="inlineStr">
        <is>
          <t>KRAMFORS</t>
        </is>
      </c>
      <c r="G10269" t="n">
        <v>11.7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63222-2023</t>
        </is>
      </c>
      <c r="B10270" s="1" t="n">
        <v>45273</v>
      </c>
      <c r="C10270" s="1" t="n">
        <v>46185</v>
      </c>
      <c r="D10270" t="inlineStr">
        <is>
          <t>VÄSTERNORRLANDS LÄN</t>
        </is>
      </c>
      <c r="E10270" t="inlineStr">
        <is>
          <t>KRAMFORS</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37926-2024</t>
        </is>
      </c>
      <c r="B10271" s="1" t="n">
        <v>45544</v>
      </c>
      <c r="C10271" s="1" t="n">
        <v>46185</v>
      </c>
      <c r="D10271" t="inlineStr">
        <is>
          <t>VÄSTERNORRLANDS LÄN</t>
        </is>
      </c>
      <c r="E10271" t="inlineStr">
        <is>
          <t>ÖRNSKÖLDSVIK</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37930-2024</t>
        </is>
      </c>
      <c r="B10272" s="1" t="n">
        <v>45544</v>
      </c>
      <c r="C10272" s="1" t="n">
        <v>46185</v>
      </c>
      <c r="D10272" t="inlineStr">
        <is>
          <t>VÄSTERNORRLANDS LÄN</t>
        </is>
      </c>
      <c r="E10272" t="inlineStr">
        <is>
          <t>ÖRNSKÖLDSVIK</t>
        </is>
      </c>
      <c r="G10272" t="n">
        <v>6.8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11156-2025</t>
        </is>
      </c>
      <c r="B10273" s="1" t="n">
        <v>45723.72005787037</v>
      </c>
      <c r="C10273" s="1" t="n">
        <v>46185</v>
      </c>
      <c r="D10273" t="inlineStr">
        <is>
          <t>VÄSTERNORRLANDS LÄN</t>
        </is>
      </c>
      <c r="E10273" t="inlineStr">
        <is>
          <t>ÖRNSKÖLDSVIK</t>
        </is>
      </c>
      <c r="F10273" t="inlineStr">
        <is>
          <t>Holmen skog AB</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21344-2023</t>
        </is>
      </c>
      <c r="B10274" s="1" t="n">
        <v>45062</v>
      </c>
      <c r="C10274" s="1" t="n">
        <v>46185</v>
      </c>
      <c r="D10274" t="inlineStr">
        <is>
          <t>VÄSTERNORRLANDS LÄN</t>
        </is>
      </c>
      <c r="E10274" t="inlineStr">
        <is>
          <t>SOLLEFTEÅ</t>
        </is>
      </c>
      <c r="F10274" t="inlineStr">
        <is>
          <t>SCA</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37659-2024</t>
        </is>
      </c>
      <c r="B10275" s="1" t="n">
        <v>45541.56174768518</v>
      </c>
      <c r="C10275" s="1" t="n">
        <v>46185</v>
      </c>
      <c r="D10275" t="inlineStr">
        <is>
          <t>VÄSTERNORRLANDS LÄN</t>
        </is>
      </c>
      <c r="E10275" t="inlineStr">
        <is>
          <t>ÖRNSKÖLDSVIK</t>
        </is>
      </c>
      <c r="F10275" t="inlineStr">
        <is>
          <t>Holmen skog AB</t>
        </is>
      </c>
      <c r="G10275" t="n">
        <v>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4189-2024</t>
        </is>
      </c>
      <c r="B10276" s="1" t="n">
        <v>45324</v>
      </c>
      <c r="C10276" s="1" t="n">
        <v>46185</v>
      </c>
      <c r="D10276" t="inlineStr">
        <is>
          <t>VÄSTERNORRLANDS LÄN</t>
        </is>
      </c>
      <c r="E10276" t="inlineStr">
        <is>
          <t>KRAMFORS</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43891-2024</t>
        </is>
      </c>
      <c r="B10277" s="1" t="n">
        <v>45572.40936342593</v>
      </c>
      <c r="C10277" s="1" t="n">
        <v>46185</v>
      </c>
      <c r="D10277" t="inlineStr">
        <is>
          <t>VÄSTERNORRLANDS LÄN</t>
        </is>
      </c>
      <c r="E10277" t="inlineStr">
        <is>
          <t>ÖRNSKÖLDSVIK</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58774-2023</t>
        </is>
      </c>
      <c r="B10278" s="1" t="n">
        <v>45251</v>
      </c>
      <c r="C10278" s="1" t="n">
        <v>46185</v>
      </c>
      <c r="D10278" t="inlineStr">
        <is>
          <t>VÄSTERNORRLANDS LÄN</t>
        </is>
      </c>
      <c r="E10278" t="inlineStr">
        <is>
          <t>ÅNGE</t>
        </is>
      </c>
      <c r="F10278" t="inlineStr">
        <is>
          <t>SCA</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48964-2023</t>
        </is>
      </c>
      <c r="B10279" s="1" t="n">
        <v>45204</v>
      </c>
      <c r="C10279" s="1" t="n">
        <v>46185</v>
      </c>
      <c r="D10279" t="inlineStr">
        <is>
          <t>VÄSTERNORRLANDS LÄN</t>
        </is>
      </c>
      <c r="E10279" t="inlineStr">
        <is>
          <t>SOLLEFTEÅ</t>
        </is>
      </c>
      <c r="G10279" t="n">
        <v>6.1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61021-2023</t>
        </is>
      </c>
      <c r="B10280" s="1" t="n">
        <v>45261</v>
      </c>
      <c r="C10280" s="1" t="n">
        <v>46185</v>
      </c>
      <c r="D10280" t="inlineStr">
        <is>
          <t>VÄSTERNORRLANDS LÄN</t>
        </is>
      </c>
      <c r="E10280" t="inlineStr">
        <is>
          <t>SUNDSVALL</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4359-2025</t>
        </is>
      </c>
      <c r="B10281" s="1" t="n">
        <v>45686.33072916666</v>
      </c>
      <c r="C10281" s="1" t="n">
        <v>46185</v>
      </c>
      <c r="D10281" t="inlineStr">
        <is>
          <t>VÄSTERNORRLANDS LÄN</t>
        </is>
      </c>
      <c r="E10281" t="inlineStr">
        <is>
          <t>ÅNGE</t>
        </is>
      </c>
      <c r="F10281" t="inlineStr">
        <is>
          <t>Holmen skog AB</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61476-2023</t>
        </is>
      </c>
      <c r="B10282" s="1" t="n">
        <v>45264.92694444444</v>
      </c>
      <c r="C10282" s="1" t="n">
        <v>46185</v>
      </c>
      <c r="D10282" t="inlineStr">
        <is>
          <t>VÄSTERNORRLANDS LÄN</t>
        </is>
      </c>
      <c r="E10282" t="inlineStr">
        <is>
          <t>SUNDSVALL</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55774-2023</t>
        </is>
      </c>
      <c r="B10283" s="1" t="n">
        <v>45239</v>
      </c>
      <c r="C10283" s="1" t="n">
        <v>46185</v>
      </c>
      <c r="D10283" t="inlineStr">
        <is>
          <t>VÄSTERNORRLANDS LÄN</t>
        </is>
      </c>
      <c r="E10283" t="inlineStr">
        <is>
          <t>ÖRNSKÖLDSVIK</t>
        </is>
      </c>
      <c r="G10283" t="n">
        <v>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47177-2023</t>
        </is>
      </c>
      <c r="B10284" s="1" t="n">
        <v>45201</v>
      </c>
      <c r="C10284" s="1" t="n">
        <v>46185</v>
      </c>
      <c r="D10284" t="inlineStr">
        <is>
          <t>VÄSTERNORRLANDS LÄN</t>
        </is>
      </c>
      <c r="E10284" t="inlineStr">
        <is>
          <t>SOLLEFTEÅ</t>
        </is>
      </c>
      <c r="F10284" t="inlineStr">
        <is>
          <t>SCA</t>
        </is>
      </c>
      <c r="G10284" t="n">
        <v>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24211-2024</t>
        </is>
      </c>
      <c r="B10285" s="1" t="n">
        <v>45456.9681712963</v>
      </c>
      <c r="C10285" s="1" t="n">
        <v>46185</v>
      </c>
      <c r="D10285" t="inlineStr">
        <is>
          <t>VÄSTERNORRLANDS LÄN</t>
        </is>
      </c>
      <c r="E10285" t="inlineStr">
        <is>
          <t>SOLLEFTEÅ</t>
        </is>
      </c>
      <c r="F10285" t="inlineStr">
        <is>
          <t>SCA</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22519-2024</t>
        </is>
      </c>
      <c r="B10286" s="1" t="n">
        <v>45447</v>
      </c>
      <c r="C10286" s="1" t="n">
        <v>46185</v>
      </c>
      <c r="D10286" t="inlineStr">
        <is>
          <t>VÄSTERNORRLANDS LÄN</t>
        </is>
      </c>
      <c r="E10286" t="inlineStr">
        <is>
          <t>ÖRNSKÖLDSVIK</t>
        </is>
      </c>
      <c r="F10286" t="inlineStr">
        <is>
          <t>Holmen skog AB</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48047-2022</t>
        </is>
      </c>
      <c r="B10287" s="1" t="n">
        <v>44855.92621527778</v>
      </c>
      <c r="C10287" s="1" t="n">
        <v>46185</v>
      </c>
      <c r="D10287" t="inlineStr">
        <is>
          <t>VÄSTERNORRLANDS LÄN</t>
        </is>
      </c>
      <c r="E10287" t="inlineStr">
        <is>
          <t>HÄRNÖSAND</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27623-2024</t>
        </is>
      </c>
      <c r="B10288" s="1" t="n">
        <v>45474</v>
      </c>
      <c r="C10288" s="1" t="n">
        <v>46185</v>
      </c>
      <c r="D10288" t="inlineStr">
        <is>
          <t>VÄSTERNORRLANDS LÄN</t>
        </is>
      </c>
      <c r="E10288" t="inlineStr">
        <is>
          <t>TIMRÅ</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11399-2025</t>
        </is>
      </c>
      <c r="B10289" s="1" t="n">
        <v>45726.57364583333</v>
      </c>
      <c r="C10289" s="1" t="n">
        <v>46185</v>
      </c>
      <c r="D10289" t="inlineStr">
        <is>
          <t>VÄSTERNORRLANDS LÄN</t>
        </is>
      </c>
      <c r="E10289" t="inlineStr">
        <is>
          <t>ÅNGE</t>
        </is>
      </c>
      <c r="F10289" t="inlineStr">
        <is>
          <t>SCA</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19244-2023</t>
        </is>
      </c>
      <c r="B10290" s="1" t="n">
        <v>45048</v>
      </c>
      <c r="C10290" s="1" t="n">
        <v>46185</v>
      </c>
      <c r="D10290" t="inlineStr">
        <is>
          <t>VÄSTERNORRLANDS LÄN</t>
        </is>
      </c>
      <c r="E10290" t="inlineStr">
        <is>
          <t>TIMRÅ</t>
        </is>
      </c>
      <c r="F10290" t="inlineStr">
        <is>
          <t>SCA</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24304-2022</t>
        </is>
      </c>
      <c r="B10291" s="1" t="n">
        <v>44725</v>
      </c>
      <c r="C10291" s="1" t="n">
        <v>46185</v>
      </c>
      <c r="D10291" t="inlineStr">
        <is>
          <t>VÄSTERNORRLANDS LÄN</t>
        </is>
      </c>
      <c r="E10291" t="inlineStr">
        <is>
          <t>TIMRÅ</t>
        </is>
      </c>
      <c r="F10291" t="inlineStr">
        <is>
          <t>SCA</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43525-2021</t>
        </is>
      </c>
      <c r="B10292" s="1" t="n">
        <v>44433</v>
      </c>
      <c r="C10292" s="1" t="n">
        <v>46185</v>
      </c>
      <c r="D10292" t="inlineStr">
        <is>
          <t>VÄSTERNORRLANDS LÄN</t>
        </is>
      </c>
      <c r="E10292" t="inlineStr">
        <is>
          <t>SOLLEFTEÅ</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6777-2025</t>
        </is>
      </c>
      <c r="B10293" s="1" t="n">
        <v>45700</v>
      </c>
      <c r="C10293" s="1" t="n">
        <v>46185</v>
      </c>
      <c r="D10293" t="inlineStr">
        <is>
          <t>VÄSTERNORRLANDS LÄN</t>
        </is>
      </c>
      <c r="E10293" t="inlineStr">
        <is>
          <t>SUNDSVALL</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45608-2024</t>
        </is>
      </c>
      <c r="B10294" s="1" t="n">
        <v>45579.4483912037</v>
      </c>
      <c r="C10294" s="1" t="n">
        <v>46185</v>
      </c>
      <c r="D10294" t="inlineStr">
        <is>
          <t>VÄSTERNORRLANDS LÄN</t>
        </is>
      </c>
      <c r="E10294" t="inlineStr">
        <is>
          <t>TIMRÅ</t>
        </is>
      </c>
      <c r="F10294" t="inlineStr">
        <is>
          <t>SCA</t>
        </is>
      </c>
      <c r="G10294" t="n">
        <v>4.6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45628-2024</t>
        </is>
      </c>
      <c r="B10295" s="1" t="n">
        <v>45579</v>
      </c>
      <c r="C10295" s="1" t="n">
        <v>46185</v>
      </c>
      <c r="D10295" t="inlineStr">
        <is>
          <t>VÄSTERNORRLANDS LÄN</t>
        </is>
      </c>
      <c r="E10295" t="inlineStr">
        <is>
          <t>KRAMFORS</t>
        </is>
      </c>
      <c r="F10295" t="inlineStr">
        <is>
          <t>SCA</t>
        </is>
      </c>
      <c r="G10295" t="n">
        <v>5.4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45629-2024</t>
        </is>
      </c>
      <c r="B10296" s="1" t="n">
        <v>45579.46957175926</v>
      </c>
      <c r="C10296" s="1" t="n">
        <v>46185</v>
      </c>
      <c r="D10296" t="inlineStr">
        <is>
          <t>VÄSTERNORRLANDS LÄN</t>
        </is>
      </c>
      <c r="E10296" t="inlineStr">
        <is>
          <t>TIMRÅ</t>
        </is>
      </c>
      <c r="F10296" t="inlineStr">
        <is>
          <t>SCA</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57762-2023</t>
        </is>
      </c>
      <c r="B10297" s="1" t="n">
        <v>45246</v>
      </c>
      <c r="C10297" s="1" t="n">
        <v>46185</v>
      </c>
      <c r="D10297" t="inlineStr">
        <is>
          <t>VÄSTERNORRLANDS LÄN</t>
        </is>
      </c>
      <c r="E10297" t="inlineStr">
        <is>
          <t>TIMRÅ</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23433-2023</t>
        </is>
      </c>
      <c r="B10298" s="1" t="n">
        <v>45076.57974537037</v>
      </c>
      <c r="C10298" s="1" t="n">
        <v>46185</v>
      </c>
      <c r="D10298" t="inlineStr">
        <is>
          <t>VÄSTERNORRLANDS LÄN</t>
        </is>
      </c>
      <c r="E10298" t="inlineStr">
        <is>
          <t>ÖRNSKÖLDSVIK</t>
        </is>
      </c>
      <c r="F10298" t="inlineStr">
        <is>
          <t>Holmen skog AB</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21737-2023</t>
        </is>
      </c>
      <c r="B10299" s="1" t="n">
        <v>45065</v>
      </c>
      <c r="C10299" s="1" t="n">
        <v>46185</v>
      </c>
      <c r="D10299" t="inlineStr">
        <is>
          <t>VÄSTERNORRLANDS LÄN</t>
        </is>
      </c>
      <c r="E10299" t="inlineStr">
        <is>
          <t>ÖRNSKÖLDSVIK</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61102-2024</t>
        </is>
      </c>
      <c r="B10300" s="1" t="n">
        <v>45645</v>
      </c>
      <c r="C10300" s="1" t="n">
        <v>46185</v>
      </c>
      <c r="D10300" t="inlineStr">
        <is>
          <t>VÄSTERNORRLANDS LÄN</t>
        </is>
      </c>
      <c r="E10300" t="inlineStr">
        <is>
          <t>ÖRNSKÖLDSVIK</t>
        </is>
      </c>
      <c r="G10300" t="n">
        <v>8.5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11338-2025</t>
        </is>
      </c>
      <c r="B10301" s="1" t="n">
        <v>45726.48987268518</v>
      </c>
      <c r="C10301" s="1" t="n">
        <v>46185</v>
      </c>
      <c r="D10301" t="inlineStr">
        <is>
          <t>VÄSTERNORRLANDS LÄN</t>
        </is>
      </c>
      <c r="E10301" t="inlineStr">
        <is>
          <t>SOLLEFTEÅ</t>
        </is>
      </c>
      <c r="F10301" t="inlineStr">
        <is>
          <t>SCA</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57154-2024</t>
        </is>
      </c>
      <c r="B10302" s="1" t="n">
        <v>45629.39958333333</v>
      </c>
      <c r="C10302" s="1" t="n">
        <v>46185</v>
      </c>
      <c r="D10302" t="inlineStr">
        <is>
          <t>VÄSTERNORRLANDS LÄN</t>
        </is>
      </c>
      <c r="E10302" t="inlineStr">
        <is>
          <t>HÄRNÖSAND</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3447-2025</t>
        </is>
      </c>
      <c r="B10303" s="1" t="n">
        <v>45680.47208333333</v>
      </c>
      <c r="C10303" s="1" t="n">
        <v>46185</v>
      </c>
      <c r="D10303" t="inlineStr">
        <is>
          <t>VÄSTERNORRLANDS LÄN</t>
        </is>
      </c>
      <c r="E10303" t="inlineStr">
        <is>
          <t>KRAMFORS</t>
        </is>
      </c>
      <c r="G10303" t="n">
        <v>0.2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15822-2025</t>
        </is>
      </c>
      <c r="B10304" s="1" t="n">
        <v>45748.70172453704</v>
      </c>
      <c r="C10304" s="1" t="n">
        <v>46185</v>
      </c>
      <c r="D10304" t="inlineStr">
        <is>
          <t>VÄSTERNORRLANDS LÄN</t>
        </is>
      </c>
      <c r="E10304" t="inlineStr">
        <is>
          <t>ÅNGE</t>
        </is>
      </c>
      <c r="F10304" t="inlineStr">
        <is>
          <t>SCA</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22263-2023</t>
        </is>
      </c>
      <c r="B10305" s="1" t="n">
        <v>45068</v>
      </c>
      <c r="C10305" s="1" t="n">
        <v>46185</v>
      </c>
      <c r="D10305" t="inlineStr">
        <is>
          <t>VÄSTERNORRLANDS LÄN</t>
        </is>
      </c>
      <c r="E10305" t="inlineStr">
        <is>
          <t>ÖRNSKÖLDSVIK</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56398-2024</t>
        </is>
      </c>
      <c r="B10306" s="1" t="n">
        <v>45625.35395833333</v>
      </c>
      <c r="C10306" s="1" t="n">
        <v>46185</v>
      </c>
      <c r="D10306" t="inlineStr">
        <is>
          <t>VÄSTERNORRLANDS LÄN</t>
        </is>
      </c>
      <c r="E10306" t="inlineStr">
        <is>
          <t>SOLLEFTEÅ</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44991-2023</t>
        </is>
      </c>
      <c r="B10307" s="1" t="n">
        <v>45190</v>
      </c>
      <c r="C10307" s="1" t="n">
        <v>46185</v>
      </c>
      <c r="D10307" t="inlineStr">
        <is>
          <t>VÄSTERNORRLANDS LÄN</t>
        </is>
      </c>
      <c r="E10307" t="inlineStr">
        <is>
          <t>TIMRÅ</t>
        </is>
      </c>
      <c r="F10307" t="inlineStr">
        <is>
          <t>SCA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21234-2023</t>
        </is>
      </c>
      <c r="B10308" s="1" t="n">
        <v>45058</v>
      </c>
      <c r="C10308" s="1" t="n">
        <v>46185</v>
      </c>
      <c r="D10308" t="inlineStr">
        <is>
          <t>VÄSTERNORRLANDS LÄN</t>
        </is>
      </c>
      <c r="E10308" t="inlineStr">
        <is>
          <t>ÖRNSKÖLDSVIK</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43002-2024</t>
        </is>
      </c>
      <c r="B10309" s="1" t="n">
        <v>45567.37609953704</v>
      </c>
      <c r="C10309" s="1" t="n">
        <v>46185</v>
      </c>
      <c r="D10309" t="inlineStr">
        <is>
          <t>VÄSTERNORRLANDS LÄN</t>
        </is>
      </c>
      <c r="E10309" t="inlineStr">
        <is>
          <t>SUNDSVALL</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64318-2023</t>
        </is>
      </c>
      <c r="B10310" s="1" t="n">
        <v>45279</v>
      </c>
      <c r="C10310" s="1" t="n">
        <v>46185</v>
      </c>
      <c r="D10310" t="inlineStr">
        <is>
          <t>VÄSTERNORRLANDS LÄN</t>
        </is>
      </c>
      <c r="E10310" t="inlineStr">
        <is>
          <t>SUNDSVALL</t>
        </is>
      </c>
      <c r="G10310" t="n">
        <v>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37201-2024</t>
        </is>
      </c>
      <c r="B10311" s="1" t="n">
        <v>45539</v>
      </c>
      <c r="C10311" s="1" t="n">
        <v>46185</v>
      </c>
      <c r="D10311" t="inlineStr">
        <is>
          <t>VÄSTERNORRLANDS LÄN</t>
        </is>
      </c>
      <c r="E10311" t="inlineStr">
        <is>
          <t>SOLLEFTEÅ</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18861-2023</t>
        </is>
      </c>
      <c r="B10312" s="1" t="n">
        <v>45042</v>
      </c>
      <c r="C10312" s="1" t="n">
        <v>46185</v>
      </c>
      <c r="D10312" t="inlineStr">
        <is>
          <t>VÄSTERNORRLANDS LÄN</t>
        </is>
      </c>
      <c r="E10312" t="inlineStr">
        <is>
          <t>SOLLEFTEÅ</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59222-2022</t>
        </is>
      </c>
      <c r="B10313" s="1" t="n">
        <v>44904</v>
      </c>
      <c r="C10313" s="1" t="n">
        <v>46185</v>
      </c>
      <c r="D10313" t="inlineStr">
        <is>
          <t>VÄSTERNORRLANDS LÄN</t>
        </is>
      </c>
      <c r="E10313" t="inlineStr">
        <is>
          <t>ÖRNSKÖLDSVIK</t>
        </is>
      </c>
      <c r="F10313" t="inlineStr">
        <is>
          <t>Holmen skog AB</t>
        </is>
      </c>
      <c r="G10313" t="n">
        <v>7.4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50824-2022</t>
        </is>
      </c>
      <c r="B10314" s="1" t="n">
        <v>44862</v>
      </c>
      <c r="C10314" s="1" t="n">
        <v>46185</v>
      </c>
      <c r="D10314" t="inlineStr">
        <is>
          <t>VÄSTERNORRLANDS LÄN</t>
        </is>
      </c>
      <c r="E10314" t="inlineStr">
        <is>
          <t>SUNDSVALL</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59787-2022</t>
        </is>
      </c>
      <c r="B10315" s="1" t="n">
        <v>44908</v>
      </c>
      <c r="C10315" s="1" t="n">
        <v>46185</v>
      </c>
      <c r="D10315" t="inlineStr">
        <is>
          <t>VÄSTERNORRLANDS LÄN</t>
        </is>
      </c>
      <c r="E10315" t="inlineStr">
        <is>
          <t>ÖRNSKÖLDSVIK</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10970-2023</t>
        </is>
      </c>
      <c r="B10316" s="1" t="n">
        <v>44985</v>
      </c>
      <c r="C10316" s="1" t="n">
        <v>46185</v>
      </c>
      <c r="D10316" t="inlineStr">
        <is>
          <t>VÄSTERNORRLANDS LÄN</t>
        </is>
      </c>
      <c r="E10316" t="inlineStr">
        <is>
          <t>ÖRNSKÖLDSVIK</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57591-2022</t>
        </is>
      </c>
      <c r="B10317" s="1" t="n">
        <v>44896.97834490741</v>
      </c>
      <c r="C10317" s="1" t="n">
        <v>46185</v>
      </c>
      <c r="D10317" t="inlineStr">
        <is>
          <t>VÄSTERNORRLANDS LÄN</t>
        </is>
      </c>
      <c r="E10317" t="inlineStr">
        <is>
          <t>ÅNGE</t>
        </is>
      </c>
      <c r="F10317" t="inlineStr">
        <is>
          <t>SCA</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39754-2024</t>
        </is>
      </c>
      <c r="B10318" s="1" t="n">
        <v>45552.67739583334</v>
      </c>
      <c r="C10318" s="1" t="n">
        <v>46185</v>
      </c>
      <c r="D10318" t="inlineStr">
        <is>
          <t>VÄSTERNORRLANDS LÄN</t>
        </is>
      </c>
      <c r="E10318" t="inlineStr">
        <is>
          <t>SUNDSVALL</t>
        </is>
      </c>
      <c r="F10318" t="inlineStr">
        <is>
          <t>SCA</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54972-2023</t>
        </is>
      </c>
      <c r="B10319" s="1" t="n">
        <v>45236.92770833334</v>
      </c>
      <c r="C10319" s="1" t="n">
        <v>46185</v>
      </c>
      <c r="D10319" t="inlineStr">
        <is>
          <t>VÄSTERNORRLANDS LÄN</t>
        </is>
      </c>
      <c r="E10319" t="inlineStr">
        <is>
          <t>KRAMFORS</t>
        </is>
      </c>
      <c r="G10319" t="n">
        <v>5.5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54485-2024</t>
        </is>
      </c>
      <c r="B10320" s="1" t="n">
        <v>45617.5625462963</v>
      </c>
      <c r="C10320" s="1" t="n">
        <v>46185</v>
      </c>
      <c r="D10320" t="inlineStr">
        <is>
          <t>VÄSTERNORRLANDS LÄN</t>
        </is>
      </c>
      <c r="E10320" t="inlineStr">
        <is>
          <t>SOLLEFTEÅ</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7986-2025</t>
        </is>
      </c>
      <c r="B10321" s="1" t="n">
        <v>45707.47594907408</v>
      </c>
      <c r="C10321" s="1" t="n">
        <v>46185</v>
      </c>
      <c r="D10321" t="inlineStr">
        <is>
          <t>VÄSTERNORRLANDS LÄN</t>
        </is>
      </c>
      <c r="E10321" t="inlineStr">
        <is>
          <t>KRAMFORS</t>
        </is>
      </c>
      <c r="G10321" t="n">
        <v>8.800000000000001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54578-2022</t>
        </is>
      </c>
      <c r="B10322" s="1" t="n">
        <v>44882</v>
      </c>
      <c r="C10322" s="1" t="n">
        <v>46185</v>
      </c>
      <c r="D10322" t="inlineStr">
        <is>
          <t>VÄSTERNORRLANDS LÄN</t>
        </is>
      </c>
      <c r="E10322" t="inlineStr">
        <is>
          <t>SUNDSVALL</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17044-2023</t>
        </is>
      </c>
      <c r="B10323" s="1" t="n">
        <v>45034</v>
      </c>
      <c r="C10323" s="1" t="n">
        <v>46185</v>
      </c>
      <c r="D10323" t="inlineStr">
        <is>
          <t>VÄSTERNORRLANDS LÄN</t>
        </is>
      </c>
      <c r="E10323" t="inlineStr">
        <is>
          <t>ÅNGE</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4092-2024</t>
        </is>
      </c>
      <c r="B10324" s="1" t="n">
        <v>45323.62694444445</v>
      </c>
      <c r="C10324" s="1" t="n">
        <v>46185</v>
      </c>
      <c r="D10324" t="inlineStr">
        <is>
          <t>VÄSTERNORRLANDS LÄN</t>
        </is>
      </c>
      <c r="E10324" t="inlineStr">
        <is>
          <t>HÄRNÖSAND</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48001-2024</t>
        </is>
      </c>
      <c r="B10325" s="1" t="n">
        <v>45589.44826388889</v>
      </c>
      <c r="C10325" s="1" t="n">
        <v>46185</v>
      </c>
      <c r="D10325" t="inlineStr">
        <is>
          <t>VÄSTERNORRLANDS LÄN</t>
        </is>
      </c>
      <c r="E10325" t="inlineStr">
        <is>
          <t>SOLLEFTEÅ</t>
        </is>
      </c>
      <c r="F10325" t="inlineStr">
        <is>
          <t>SCA</t>
        </is>
      </c>
      <c r="G10325" t="n">
        <v>7.6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42979-2024</t>
        </is>
      </c>
      <c r="B10326" s="1" t="n">
        <v>45567.37438657408</v>
      </c>
      <c r="C10326" s="1" t="n">
        <v>46185</v>
      </c>
      <c r="D10326" t="inlineStr">
        <is>
          <t>VÄSTERNORRLANDS LÄN</t>
        </is>
      </c>
      <c r="E10326" t="inlineStr">
        <is>
          <t>SOLLEFTEÅ</t>
        </is>
      </c>
      <c r="F10326" t="inlineStr">
        <is>
          <t>SCA</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43242-2023</t>
        </is>
      </c>
      <c r="B10327" s="1" t="n">
        <v>45183</v>
      </c>
      <c r="C10327" s="1" t="n">
        <v>46185</v>
      </c>
      <c r="D10327" t="inlineStr">
        <is>
          <t>VÄSTERNORRLANDS LÄN</t>
        </is>
      </c>
      <c r="E10327" t="inlineStr">
        <is>
          <t>ÖRNSKÖLDSVIK</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56979-2024</t>
        </is>
      </c>
      <c r="B10328" s="1" t="n">
        <v>45628.68003472222</v>
      </c>
      <c r="C10328" s="1" t="n">
        <v>46185</v>
      </c>
      <c r="D10328" t="inlineStr">
        <is>
          <t>VÄSTERNORRLANDS LÄN</t>
        </is>
      </c>
      <c r="E10328" t="inlineStr">
        <is>
          <t>ÖRNSKÖLDSVIK</t>
        </is>
      </c>
      <c r="G10328" t="n">
        <v>11.6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56991-2024</t>
        </is>
      </c>
      <c r="B10329" s="1" t="n">
        <v>45628.70171296296</v>
      </c>
      <c r="C10329" s="1" t="n">
        <v>46185</v>
      </c>
      <c r="D10329" t="inlineStr">
        <is>
          <t>VÄSTERNORRLANDS LÄN</t>
        </is>
      </c>
      <c r="E10329" t="inlineStr">
        <is>
          <t>ÖRNSKÖLDSVIK</t>
        </is>
      </c>
      <c r="G10329" t="n">
        <v>4.9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45500-2024</t>
        </is>
      </c>
      <c r="B10330" s="1" t="n">
        <v>45578.34388888889</v>
      </c>
      <c r="C10330" s="1" t="n">
        <v>46185</v>
      </c>
      <c r="D10330" t="inlineStr">
        <is>
          <t>VÄSTERNORRLANDS LÄN</t>
        </is>
      </c>
      <c r="E10330" t="inlineStr">
        <is>
          <t>HÄRNÖSAND</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45504-2024</t>
        </is>
      </c>
      <c r="B10331" s="1" t="n">
        <v>45578.40445601852</v>
      </c>
      <c r="C10331" s="1" t="n">
        <v>46185</v>
      </c>
      <c r="D10331" t="inlineStr">
        <is>
          <t>VÄSTERNORRLANDS LÄN</t>
        </is>
      </c>
      <c r="E10331" t="inlineStr">
        <is>
          <t>HÄRNÖSAND</t>
        </is>
      </c>
      <c r="G10331" t="n">
        <v>10.3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36247-2024</t>
        </is>
      </c>
      <c r="B10332" s="1" t="n">
        <v>45534.52898148148</v>
      </c>
      <c r="C10332" s="1" t="n">
        <v>46185</v>
      </c>
      <c r="D10332" t="inlineStr">
        <is>
          <t>VÄSTERNORRLANDS LÄN</t>
        </is>
      </c>
      <c r="E10332" t="inlineStr">
        <is>
          <t>ÖRNSKÖLDSVIK</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13907-2025</t>
        </is>
      </c>
      <c r="B10333" s="1" t="n">
        <v>45737.64099537037</v>
      </c>
      <c r="C10333" s="1" t="n">
        <v>46185</v>
      </c>
      <c r="D10333" t="inlineStr">
        <is>
          <t>VÄSTERNORRLANDS LÄN</t>
        </is>
      </c>
      <c r="E10333" t="inlineStr">
        <is>
          <t>ÖRNSKÖLDSVIK</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33667-2023</t>
        </is>
      </c>
      <c r="B10334" s="1" t="n">
        <v>45119</v>
      </c>
      <c r="C10334" s="1" t="n">
        <v>46185</v>
      </c>
      <c r="D10334" t="inlineStr">
        <is>
          <t>VÄSTERNORRLANDS LÄN</t>
        </is>
      </c>
      <c r="E10334" t="inlineStr">
        <is>
          <t>TIMRÅ</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61716-2024</t>
        </is>
      </c>
      <c r="B10335" s="1" t="n">
        <v>45648.9</v>
      </c>
      <c r="C10335" s="1" t="n">
        <v>46185</v>
      </c>
      <c r="D10335" t="inlineStr">
        <is>
          <t>VÄSTERNORRLANDS LÄN</t>
        </is>
      </c>
      <c r="E10335" t="inlineStr">
        <is>
          <t>ÖRNSKÖLDSVIK</t>
        </is>
      </c>
      <c r="G10335" t="n">
        <v>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54791-2024</t>
        </is>
      </c>
      <c r="B10336" s="1" t="n">
        <v>45618.49863425926</v>
      </c>
      <c r="C10336" s="1" t="n">
        <v>46185</v>
      </c>
      <c r="D10336" t="inlineStr">
        <is>
          <t>VÄSTERNORRLANDS LÄN</t>
        </is>
      </c>
      <c r="E10336" t="inlineStr">
        <is>
          <t>ÖRNSKÖLDSVIK</t>
        </is>
      </c>
      <c r="F10336" t="inlineStr">
        <is>
          <t>Holmen skog AB</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60812-2024</t>
        </is>
      </c>
      <c r="B10337" s="1" t="n">
        <v>45644</v>
      </c>
      <c r="C10337" s="1" t="n">
        <v>46185</v>
      </c>
      <c r="D10337" t="inlineStr">
        <is>
          <t>VÄSTERNORRLANDS LÄN</t>
        </is>
      </c>
      <c r="E10337" t="inlineStr">
        <is>
          <t>ÅNGE</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3897-2023</t>
        </is>
      </c>
      <c r="B10338" s="1" t="n">
        <v>44951.94020833333</v>
      </c>
      <c r="C10338" s="1" t="n">
        <v>46185</v>
      </c>
      <c r="D10338" t="inlineStr">
        <is>
          <t>VÄSTERNORRLANDS LÄN</t>
        </is>
      </c>
      <c r="E10338" t="inlineStr">
        <is>
          <t>HÄRNÖSAND</t>
        </is>
      </c>
      <c r="F10338" t="inlineStr">
        <is>
          <t>SCA</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49860-2024</t>
        </is>
      </c>
      <c r="B10339" s="1" t="n">
        <v>45597.47138888889</v>
      </c>
      <c r="C10339" s="1" t="n">
        <v>46185</v>
      </c>
      <c r="D10339" t="inlineStr">
        <is>
          <t>VÄSTERNORRLANDS LÄN</t>
        </is>
      </c>
      <c r="E10339" t="inlineStr">
        <is>
          <t>ÖRNSKÖLDSVIK</t>
        </is>
      </c>
      <c r="F10339" t="inlineStr">
        <is>
          <t>Holmen skog AB</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4794-2024</t>
        </is>
      </c>
      <c r="B10340" s="1" t="n">
        <v>45328.82377314815</v>
      </c>
      <c r="C10340" s="1" t="n">
        <v>46185</v>
      </c>
      <c r="D10340" t="inlineStr">
        <is>
          <t>VÄSTERNORRLANDS LÄN</t>
        </is>
      </c>
      <c r="E10340" t="inlineStr">
        <is>
          <t>ÖRNSKÖLDSVIK</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1745-2022</t>
        </is>
      </c>
      <c r="B10341" s="1" t="n">
        <v>44574</v>
      </c>
      <c r="C10341" s="1" t="n">
        <v>46185</v>
      </c>
      <c r="D10341" t="inlineStr">
        <is>
          <t>VÄSTERNORRLANDS LÄN</t>
        </is>
      </c>
      <c r="E10341" t="inlineStr">
        <is>
          <t>KRAMFORS</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62743-2021</t>
        </is>
      </c>
      <c r="B10342" s="1" t="n">
        <v>44504.3884375</v>
      </c>
      <c r="C10342" s="1" t="n">
        <v>46185</v>
      </c>
      <c r="D10342" t="inlineStr">
        <is>
          <t>VÄSTERNORRLANDS LÄN</t>
        </is>
      </c>
      <c r="E10342" t="inlineStr">
        <is>
          <t>ÖRNSKÖLDSVIK</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10528-2022</t>
        </is>
      </c>
      <c r="B10343" s="1" t="n">
        <v>44623.92115740741</v>
      </c>
      <c r="C10343" s="1" t="n">
        <v>46185</v>
      </c>
      <c r="D10343" t="inlineStr">
        <is>
          <t>VÄSTERNORRLANDS LÄN</t>
        </is>
      </c>
      <c r="E10343" t="inlineStr">
        <is>
          <t>SUNDSVALL</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1840-2024</t>
        </is>
      </c>
      <c r="B10344" s="1" t="n">
        <v>45307</v>
      </c>
      <c r="C10344" s="1" t="n">
        <v>46185</v>
      </c>
      <c r="D10344" t="inlineStr">
        <is>
          <t>VÄSTERNORRLANDS LÄN</t>
        </is>
      </c>
      <c r="E10344" t="inlineStr">
        <is>
          <t>SOLLEFTEÅ</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1844-2024</t>
        </is>
      </c>
      <c r="B10345" s="1" t="n">
        <v>45307</v>
      </c>
      <c r="C10345" s="1" t="n">
        <v>46185</v>
      </c>
      <c r="D10345" t="inlineStr">
        <is>
          <t>VÄSTERNORRLANDS LÄN</t>
        </is>
      </c>
      <c r="E10345" t="inlineStr">
        <is>
          <t>SOLLEFTEÅ</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64254-2023</t>
        </is>
      </c>
      <c r="B10346" s="1" t="n">
        <v>45279</v>
      </c>
      <c r="C10346" s="1" t="n">
        <v>46185</v>
      </c>
      <c r="D10346" t="inlineStr">
        <is>
          <t>VÄSTERNORRLANDS LÄN</t>
        </is>
      </c>
      <c r="E10346" t="inlineStr">
        <is>
          <t>SUNDSVALL</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58943-2022</t>
        </is>
      </c>
      <c r="B10347" s="1" t="n">
        <v>44903.64400462963</v>
      </c>
      <c r="C10347" s="1" t="n">
        <v>46185</v>
      </c>
      <c r="D10347" t="inlineStr">
        <is>
          <t>VÄSTERNORRLANDS LÄN</t>
        </is>
      </c>
      <c r="E10347" t="inlineStr">
        <is>
          <t>ÅNGE</t>
        </is>
      </c>
      <c r="G10347" t="n">
        <v>5.6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31436-2024</t>
        </is>
      </c>
      <c r="B10348" s="1" t="n">
        <v>45505</v>
      </c>
      <c r="C10348" s="1" t="n">
        <v>46185</v>
      </c>
      <c r="D10348" t="inlineStr">
        <is>
          <t>VÄSTERNORRLANDS LÄN</t>
        </is>
      </c>
      <c r="E10348" t="inlineStr">
        <is>
          <t>SUNDSVALL</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9689-2024</t>
        </is>
      </c>
      <c r="B10349" s="1" t="n">
        <v>45362</v>
      </c>
      <c r="C10349" s="1" t="n">
        <v>46185</v>
      </c>
      <c r="D10349" t="inlineStr">
        <is>
          <t>VÄSTERNORRLANDS LÄN</t>
        </is>
      </c>
      <c r="E10349" t="inlineStr">
        <is>
          <t>SOLLEFTEÅ</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38296-2024</t>
        </is>
      </c>
      <c r="B10350" s="1" t="n">
        <v>45545.6296412037</v>
      </c>
      <c r="C10350" s="1" t="n">
        <v>46185</v>
      </c>
      <c r="D10350" t="inlineStr">
        <is>
          <t>VÄSTERNORRLANDS LÄN</t>
        </is>
      </c>
      <c r="E10350" t="inlineStr">
        <is>
          <t>ÖRNSKÖLDSVIK</t>
        </is>
      </c>
      <c r="F10350" t="inlineStr">
        <is>
          <t>Holmen skog AB</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26723-2024</t>
        </is>
      </c>
      <c r="B10351" s="1" t="n">
        <v>45470.42023148148</v>
      </c>
      <c r="C10351" s="1" t="n">
        <v>46185</v>
      </c>
      <c r="D10351" t="inlineStr">
        <is>
          <t>VÄSTERNORRLANDS LÄN</t>
        </is>
      </c>
      <c r="E10351" t="inlineStr">
        <is>
          <t>ÖRNSKÖLDSVIK</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25139-2024</t>
        </is>
      </c>
      <c r="B10352" s="1" t="n">
        <v>45462.48130787037</v>
      </c>
      <c r="C10352" s="1" t="n">
        <v>46185</v>
      </c>
      <c r="D10352" t="inlineStr">
        <is>
          <t>VÄSTERNORRLANDS LÄN</t>
        </is>
      </c>
      <c r="E10352" t="inlineStr">
        <is>
          <t>SOLLEFTEÅ</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38769-2024</t>
        </is>
      </c>
      <c r="B10353" s="1" t="n">
        <v>45547.44914351852</v>
      </c>
      <c r="C10353" s="1" t="n">
        <v>46185</v>
      </c>
      <c r="D10353" t="inlineStr">
        <is>
          <t>VÄSTERNORRLANDS LÄN</t>
        </is>
      </c>
      <c r="E10353" t="inlineStr">
        <is>
          <t>SOLLEFTEÅ</t>
        </is>
      </c>
      <c r="F10353" t="inlineStr">
        <is>
          <t>SCA</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31202-2021</t>
        </is>
      </c>
      <c r="B10354" s="1" t="n">
        <v>44368.6316087963</v>
      </c>
      <c r="C10354" s="1" t="n">
        <v>46185</v>
      </c>
      <c r="D10354" t="inlineStr">
        <is>
          <t>VÄSTERNORRLANDS LÄN</t>
        </is>
      </c>
      <c r="E10354" t="inlineStr">
        <is>
          <t>ÖRNSKÖLDSVIK</t>
        </is>
      </c>
      <c r="F10354" t="inlineStr">
        <is>
          <t>Holmen skog AB</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35387-2024</t>
        </is>
      </c>
      <c r="B10355" s="1" t="n">
        <v>45531.39597222222</v>
      </c>
      <c r="C10355" s="1" t="n">
        <v>46185</v>
      </c>
      <c r="D10355" t="inlineStr">
        <is>
          <t>VÄSTERNORRLANDS LÄN</t>
        </is>
      </c>
      <c r="E10355" t="inlineStr">
        <is>
          <t>HÄRNÖSAND</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1103-2023</t>
        </is>
      </c>
      <c r="B10356" s="1" t="n">
        <v>44929</v>
      </c>
      <c r="C10356" s="1" t="n">
        <v>46185</v>
      </c>
      <c r="D10356" t="inlineStr">
        <is>
          <t>VÄSTERNORRLANDS LÄN</t>
        </is>
      </c>
      <c r="E10356" t="inlineStr">
        <is>
          <t>ÅNGE</t>
        </is>
      </c>
      <c r="G10356" t="n">
        <v>7.3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16799-2023</t>
        </is>
      </c>
      <c r="B10357" s="1" t="n">
        <v>45028</v>
      </c>
      <c r="C10357" s="1" t="n">
        <v>46185</v>
      </c>
      <c r="D10357" t="inlineStr">
        <is>
          <t>VÄSTERNORRLANDS LÄN</t>
        </is>
      </c>
      <c r="E10357" t="inlineStr">
        <is>
          <t>ÖRNSKÖLDSVIK</t>
        </is>
      </c>
      <c r="G10357" t="n">
        <v>0.3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13254-2023</t>
        </is>
      </c>
      <c r="B10358" s="1" t="n">
        <v>45002</v>
      </c>
      <c r="C10358" s="1" t="n">
        <v>46185</v>
      </c>
      <c r="D10358" t="inlineStr">
        <is>
          <t>VÄSTERNORRLANDS LÄN</t>
        </is>
      </c>
      <c r="E10358" t="inlineStr">
        <is>
          <t>TIMRÅ</t>
        </is>
      </c>
      <c r="F10358" t="inlineStr">
        <is>
          <t>SCA</t>
        </is>
      </c>
      <c r="G10358" t="n">
        <v>8.800000000000001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12754-2023</t>
        </is>
      </c>
      <c r="B10359" s="1" t="n">
        <v>45000</v>
      </c>
      <c r="C10359" s="1" t="n">
        <v>46185</v>
      </c>
      <c r="D10359" t="inlineStr">
        <is>
          <t>VÄSTERNORRLANDS LÄN</t>
        </is>
      </c>
      <c r="E10359" t="inlineStr">
        <is>
          <t>KRAMFORS</t>
        </is>
      </c>
      <c r="F10359" t="inlineStr">
        <is>
          <t>SCA</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20807-2023</t>
        </is>
      </c>
      <c r="B10360" s="1" t="n">
        <v>45058</v>
      </c>
      <c r="C10360" s="1" t="n">
        <v>46185</v>
      </c>
      <c r="D10360" t="inlineStr">
        <is>
          <t>VÄSTERNORRLANDS LÄN</t>
        </is>
      </c>
      <c r="E10360" t="inlineStr">
        <is>
          <t>ÖRNSKÖLDSVIK</t>
        </is>
      </c>
      <c r="F10360" t="inlineStr">
        <is>
          <t>Holmen skog AB</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20835-2023</t>
        </is>
      </c>
      <c r="B10361" s="1" t="n">
        <v>45058</v>
      </c>
      <c r="C10361" s="1" t="n">
        <v>46185</v>
      </c>
      <c r="D10361" t="inlineStr">
        <is>
          <t>VÄSTERNORRLANDS LÄN</t>
        </is>
      </c>
      <c r="E10361" t="inlineStr">
        <is>
          <t>TIMRÅ</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10525-2023</t>
        </is>
      </c>
      <c r="B10362" s="1" t="n">
        <v>44987.92320601852</v>
      </c>
      <c r="C10362" s="1" t="n">
        <v>46185</v>
      </c>
      <c r="D10362" t="inlineStr">
        <is>
          <t>VÄSTERNORRLANDS LÄN</t>
        </is>
      </c>
      <c r="E10362" t="inlineStr">
        <is>
          <t>SUNDSVALL</t>
        </is>
      </c>
      <c r="G10362" t="n">
        <v>7.2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32418-2024</t>
        </is>
      </c>
      <c r="B10363" s="1" t="n">
        <v>45512</v>
      </c>
      <c r="C10363" s="1" t="n">
        <v>46185</v>
      </c>
      <c r="D10363" t="inlineStr">
        <is>
          <t>VÄSTERNORRLANDS LÄN</t>
        </is>
      </c>
      <c r="E10363" t="inlineStr">
        <is>
          <t>HÄRNÖSAND</t>
        </is>
      </c>
      <c r="G10363" t="n">
        <v>6.8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32032-2024</t>
        </is>
      </c>
      <c r="B10364" s="1" t="n">
        <v>45510</v>
      </c>
      <c r="C10364" s="1" t="n">
        <v>46185</v>
      </c>
      <c r="D10364" t="inlineStr">
        <is>
          <t>VÄSTERNORRLANDS LÄN</t>
        </is>
      </c>
      <c r="E10364" t="inlineStr">
        <is>
          <t>SUNDSVALL</t>
        </is>
      </c>
      <c r="G10364" t="n">
        <v>10.8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2234-2025</t>
        </is>
      </c>
      <c r="B10365" s="1" t="n">
        <v>45673.47938657407</v>
      </c>
      <c r="C10365" s="1" t="n">
        <v>46185</v>
      </c>
      <c r="D10365" t="inlineStr">
        <is>
          <t>VÄSTERNORRLANDS LÄN</t>
        </is>
      </c>
      <c r="E10365" t="inlineStr">
        <is>
          <t>ÖRNSKÖLDSVIK</t>
        </is>
      </c>
      <c r="G10365" t="n">
        <v>9.5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8252-2025</t>
        </is>
      </c>
      <c r="B10366" s="1" t="n">
        <v>45708</v>
      </c>
      <c r="C10366" s="1" t="n">
        <v>46185</v>
      </c>
      <c r="D10366" t="inlineStr">
        <is>
          <t>VÄSTERNORRLANDS LÄN</t>
        </is>
      </c>
      <c r="E10366" t="inlineStr">
        <is>
          <t>ÖRNSKÖLDSVIK</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8265-2025</t>
        </is>
      </c>
      <c r="B10367" s="1" t="n">
        <v>45708.510625</v>
      </c>
      <c r="C10367" s="1" t="n">
        <v>46185</v>
      </c>
      <c r="D10367" t="inlineStr">
        <is>
          <t>VÄSTERNORRLANDS LÄN</t>
        </is>
      </c>
      <c r="E10367" t="inlineStr">
        <is>
          <t>ÖRNSKÖLDSVIK</t>
        </is>
      </c>
      <c r="G10367" t="n">
        <v>7.3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37338-2023</t>
        </is>
      </c>
      <c r="B10368" s="1" t="n">
        <v>45156</v>
      </c>
      <c r="C10368" s="1" t="n">
        <v>46185</v>
      </c>
      <c r="D10368" t="inlineStr">
        <is>
          <t>VÄSTERNORRLANDS LÄN</t>
        </is>
      </c>
      <c r="E10368" t="inlineStr">
        <is>
          <t>ÖRNSKÖLDSVIK</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769-2025</t>
        </is>
      </c>
      <c r="B10369" s="1" t="n">
        <v>45659</v>
      </c>
      <c r="C10369" s="1" t="n">
        <v>46185</v>
      </c>
      <c r="D10369" t="inlineStr">
        <is>
          <t>VÄSTERNORRLANDS LÄN</t>
        </is>
      </c>
      <c r="E10369" t="inlineStr">
        <is>
          <t>SOLLEFTEÅ</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51001-2022</t>
        </is>
      </c>
      <c r="B10370" s="1" t="n">
        <v>44867.92756944444</v>
      </c>
      <c r="C10370" s="1" t="n">
        <v>46185</v>
      </c>
      <c r="D10370" t="inlineStr">
        <is>
          <t>VÄSTERNORRLANDS LÄN</t>
        </is>
      </c>
      <c r="E10370" t="inlineStr">
        <is>
          <t>HÄRNÖSAND</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57526-2024</t>
        </is>
      </c>
      <c r="B10371" s="1" t="n">
        <v>45630</v>
      </c>
      <c r="C10371" s="1" t="n">
        <v>46185</v>
      </c>
      <c r="D10371" t="inlineStr">
        <is>
          <t>VÄSTERNORRLANDS LÄN</t>
        </is>
      </c>
      <c r="E10371" t="inlineStr">
        <is>
          <t>ÅNGE</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15646-2025</t>
        </is>
      </c>
      <c r="B10372" s="1" t="n">
        <v>45748</v>
      </c>
      <c r="C10372" s="1" t="n">
        <v>46185</v>
      </c>
      <c r="D10372" t="inlineStr">
        <is>
          <t>VÄSTERNORRLANDS LÄN</t>
        </is>
      </c>
      <c r="E10372" t="inlineStr">
        <is>
          <t>ÖRNSKÖLDSVIK</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36546-2023</t>
        </is>
      </c>
      <c r="B10373" s="1" t="n">
        <v>45153</v>
      </c>
      <c r="C10373" s="1" t="n">
        <v>46185</v>
      </c>
      <c r="D10373" t="inlineStr">
        <is>
          <t>VÄSTERNORRLANDS LÄN</t>
        </is>
      </c>
      <c r="E10373" t="inlineStr">
        <is>
          <t>KRAMFORS</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4905-2025</t>
        </is>
      </c>
      <c r="B10374" s="1" t="n">
        <v>45688.68043981482</v>
      </c>
      <c r="C10374" s="1" t="n">
        <v>46185</v>
      </c>
      <c r="D10374" t="inlineStr">
        <is>
          <t>VÄSTERNORRLANDS LÄN</t>
        </is>
      </c>
      <c r="E10374" t="inlineStr">
        <is>
          <t>SOLLEFTEÅ</t>
        </is>
      </c>
      <c r="F10374" t="inlineStr">
        <is>
          <t>SCA</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6733-2025</t>
        </is>
      </c>
      <c r="B10375" s="1" t="n">
        <v>45700.59425925926</v>
      </c>
      <c r="C10375" s="1" t="n">
        <v>46185</v>
      </c>
      <c r="D10375" t="inlineStr">
        <is>
          <t>VÄSTERNORRLANDS LÄN</t>
        </is>
      </c>
      <c r="E10375" t="inlineStr">
        <is>
          <t>SOLLEFTEÅ</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14036-2025</t>
        </is>
      </c>
      <c r="B10376" s="1" t="n">
        <v>45740.36508101852</v>
      </c>
      <c r="C10376" s="1" t="n">
        <v>46185</v>
      </c>
      <c r="D10376" t="inlineStr">
        <is>
          <t>VÄSTERNORRLANDS LÄN</t>
        </is>
      </c>
      <c r="E10376" t="inlineStr">
        <is>
          <t>SOLLEFTEÅ</t>
        </is>
      </c>
      <c r="F10376" t="inlineStr">
        <is>
          <t>SCA</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9598-2025</t>
        </is>
      </c>
      <c r="B10377" s="1" t="n">
        <v>45715</v>
      </c>
      <c r="C10377" s="1" t="n">
        <v>46185</v>
      </c>
      <c r="D10377" t="inlineStr">
        <is>
          <t>VÄSTERNORRLANDS LÄN</t>
        </is>
      </c>
      <c r="E10377" t="inlineStr">
        <is>
          <t>SUNDSVALL</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18866-2024</t>
        </is>
      </c>
      <c r="B10378" s="1" t="n">
        <v>45426.92612268519</v>
      </c>
      <c r="C10378" s="1" t="n">
        <v>46185</v>
      </c>
      <c r="D10378" t="inlineStr">
        <is>
          <t>VÄSTERNORRLANDS LÄN</t>
        </is>
      </c>
      <c r="E10378" t="inlineStr">
        <is>
          <t>ÖRNSKÖLDSVIK</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18456-2024</t>
        </is>
      </c>
      <c r="B10379" s="1" t="n">
        <v>45425.46831018518</v>
      </c>
      <c r="C10379" s="1" t="n">
        <v>46185</v>
      </c>
      <c r="D10379" t="inlineStr">
        <is>
          <t>VÄSTERNORRLANDS LÄN</t>
        </is>
      </c>
      <c r="E10379" t="inlineStr">
        <is>
          <t>ÅNGE</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22624-2024</t>
        </is>
      </c>
      <c r="B10380" s="1" t="n">
        <v>45447</v>
      </c>
      <c r="C10380" s="1" t="n">
        <v>46185</v>
      </c>
      <c r="D10380" t="inlineStr">
        <is>
          <t>VÄSTERNORRLANDS LÄN</t>
        </is>
      </c>
      <c r="E10380" t="inlineStr">
        <is>
          <t>SUNDSVALL</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22627-2024</t>
        </is>
      </c>
      <c r="B10381" s="1" t="n">
        <v>45447.6671412037</v>
      </c>
      <c r="C10381" s="1" t="n">
        <v>46185</v>
      </c>
      <c r="D10381" t="inlineStr">
        <is>
          <t>VÄSTERNORRLANDS LÄN</t>
        </is>
      </c>
      <c r="E10381" t="inlineStr">
        <is>
          <t>SUNDSVALL</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21342-2024</t>
        </is>
      </c>
      <c r="B10382" s="1" t="n">
        <v>45440.92842592593</v>
      </c>
      <c r="C10382" s="1" t="n">
        <v>46185</v>
      </c>
      <c r="D10382" t="inlineStr">
        <is>
          <t>VÄSTERNORRLANDS LÄN</t>
        </is>
      </c>
      <c r="E10382" t="inlineStr">
        <is>
          <t>KRAMFORS</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64641-2021</t>
        </is>
      </c>
      <c r="B10383" s="1" t="n">
        <v>44511</v>
      </c>
      <c r="C10383" s="1" t="n">
        <v>46185</v>
      </c>
      <c r="D10383" t="inlineStr">
        <is>
          <t>VÄSTERNORRLANDS LÄN</t>
        </is>
      </c>
      <c r="E10383" t="inlineStr">
        <is>
          <t>SUNDSVALL</t>
        </is>
      </c>
      <c r="F10383" t="inlineStr">
        <is>
          <t>SCA</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21377-2023</t>
        </is>
      </c>
      <c r="B10384" s="1" t="n">
        <v>45063</v>
      </c>
      <c r="C10384" s="1" t="n">
        <v>46185</v>
      </c>
      <c r="D10384" t="inlineStr">
        <is>
          <t>VÄSTERNORRLANDS LÄN</t>
        </is>
      </c>
      <c r="E10384" t="inlineStr">
        <is>
          <t>SUNDSVALL</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21600-2023</t>
        </is>
      </c>
      <c r="B10385" s="1" t="n">
        <v>45062</v>
      </c>
      <c r="C10385" s="1" t="n">
        <v>46185</v>
      </c>
      <c r="D10385" t="inlineStr">
        <is>
          <t>VÄSTERNORRLANDS LÄN</t>
        </is>
      </c>
      <c r="E10385" t="inlineStr">
        <is>
          <t>SUNDSVALL</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10574-2022</t>
        </is>
      </c>
      <c r="B10386" s="1" t="n">
        <v>44623</v>
      </c>
      <c r="C10386" s="1" t="n">
        <v>46185</v>
      </c>
      <c r="D10386" t="inlineStr">
        <is>
          <t>VÄSTERNORRLANDS LÄN</t>
        </is>
      </c>
      <c r="E10386" t="inlineStr">
        <is>
          <t>ÖRNSKÖLDSVIK</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27844-2023</t>
        </is>
      </c>
      <c r="B10387" s="1" t="n">
        <v>45098.55303240741</v>
      </c>
      <c r="C10387" s="1" t="n">
        <v>46185</v>
      </c>
      <c r="D10387" t="inlineStr">
        <is>
          <t>VÄSTERNORRLANDS LÄN</t>
        </is>
      </c>
      <c r="E10387" t="inlineStr">
        <is>
          <t>SUNDSVALL</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2589-2025</t>
        </is>
      </c>
      <c r="B10388" s="1" t="n">
        <v>45674.6950462963</v>
      </c>
      <c r="C10388" s="1" t="n">
        <v>46185</v>
      </c>
      <c r="D10388" t="inlineStr">
        <is>
          <t>VÄSTERNORRLANDS LÄN</t>
        </is>
      </c>
      <c r="E10388" t="inlineStr">
        <is>
          <t>SUNDSVALL</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50205-2023</t>
        </is>
      </c>
      <c r="B10389" s="1" t="n">
        <v>45215.92600694444</v>
      </c>
      <c r="C10389" s="1" t="n">
        <v>46185</v>
      </c>
      <c r="D10389" t="inlineStr">
        <is>
          <t>VÄSTERNORRLANDS LÄN</t>
        </is>
      </c>
      <c r="E10389" t="inlineStr">
        <is>
          <t>SUNDSVALL</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17049-2022</t>
        </is>
      </c>
      <c r="B10390" s="1" t="n">
        <v>44676</v>
      </c>
      <c r="C10390" s="1" t="n">
        <v>46185</v>
      </c>
      <c r="D10390" t="inlineStr">
        <is>
          <t>VÄSTERNORRLANDS LÄN</t>
        </is>
      </c>
      <c r="E10390" t="inlineStr">
        <is>
          <t>SOLLEFTEÅ</t>
        </is>
      </c>
      <c r="F10390" t="inlineStr">
        <is>
          <t>SCA</t>
        </is>
      </c>
      <c r="G10390" t="n">
        <v>2.6</v>
      </c>
      <c r="H10390" t="n">
        <v>0</v>
      </c>
      <c r="I10390" t="n">
        <v>0</v>
      </c>
      <c r="J10390" t="n">
        <v>0</v>
      </c>
      <c r="K10390" t="n">
        <v>0</v>
      </c>
      <c r="L10390" t="n">
        <v>0</v>
      </c>
      <c r="M10390" t="n">
        <v>0</v>
      </c>
      <c r="N10390" t="n">
        <v>0</v>
      </c>
      <c r="O10390" t="n">
        <v>0</v>
      </c>
      <c r="P10390" t="n">
        <v>0</v>
      </c>
      <c r="Q10390" t="n">
        <v>0</v>
      </c>
      <c r="R10390" s="2" t="inlineStr"/>
      <c r="U10390">
        <f>HYPERLINK("https://klasma.github.io/Logging_2283/knärot/A 17049-2022 karta knärot.png", "A 17049-2022")</f>
        <v/>
      </c>
      <c r="V10390">
        <f>HYPERLINK("https://klasma.github.io/Logging_2283/klagomål/A 17049-2022 FSC-klagomål.docx", "A 17049-2022")</f>
        <v/>
      </c>
      <c r="W10390">
        <f>HYPERLINK("https://klasma.github.io/Logging_2283/klagomålsmail/A 17049-2022 FSC-klagomål mail.docx", "A 17049-2022")</f>
        <v/>
      </c>
      <c r="X10390">
        <f>HYPERLINK("https://klasma.github.io/Logging_2283/tillsyn/A 17049-2022 tillsynsbegäran.docx", "A 17049-2022")</f>
        <v/>
      </c>
      <c r="Y10390">
        <f>HYPERLINK("https://klasma.github.io/Logging_2283/tillsynsmail/A 17049-2022 tillsynsbegäran mail.docx", "A 17049-2022")</f>
        <v/>
      </c>
    </row>
    <row r="10391" ht="15" customHeight="1">
      <c r="A10391" t="inlineStr">
        <is>
          <t>A 8674-2025</t>
        </is>
      </c>
      <c r="B10391" s="1" t="n">
        <v>45712.42736111111</v>
      </c>
      <c r="C10391" s="1" t="n">
        <v>46185</v>
      </c>
      <c r="D10391" t="inlineStr">
        <is>
          <t>VÄSTERNORRLANDS LÄN</t>
        </is>
      </c>
      <c r="E10391" t="inlineStr">
        <is>
          <t>ÖRNSKÖLDSVIK</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47150-2023</t>
        </is>
      </c>
      <c r="B10392" s="1" t="n">
        <v>45201</v>
      </c>
      <c r="C10392" s="1" t="n">
        <v>46185</v>
      </c>
      <c r="D10392" t="inlineStr">
        <is>
          <t>VÄSTERNORRLANDS LÄN</t>
        </is>
      </c>
      <c r="E10392" t="inlineStr">
        <is>
          <t>TIMRÅ</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47158-2023</t>
        </is>
      </c>
      <c r="B10393" s="1" t="n">
        <v>45201</v>
      </c>
      <c r="C10393" s="1" t="n">
        <v>46185</v>
      </c>
      <c r="D10393" t="inlineStr">
        <is>
          <t>VÄSTERNORRLANDS LÄN</t>
        </is>
      </c>
      <c r="E10393" t="inlineStr">
        <is>
          <t>SUNDSVALL</t>
        </is>
      </c>
      <c r="G10393" t="n">
        <v>6.7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7384-2024</t>
        </is>
      </c>
      <c r="B10394" s="1" t="n">
        <v>45345</v>
      </c>
      <c r="C10394" s="1" t="n">
        <v>46185</v>
      </c>
      <c r="D10394" t="inlineStr">
        <is>
          <t>VÄSTERNORRLANDS LÄN</t>
        </is>
      </c>
      <c r="E10394" t="inlineStr">
        <is>
          <t>SUNDSVALL</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27960-2023</t>
        </is>
      </c>
      <c r="B10395" s="1" t="n">
        <v>45098.68864583333</v>
      </c>
      <c r="C10395" s="1" t="n">
        <v>46185</v>
      </c>
      <c r="D10395" t="inlineStr">
        <is>
          <t>VÄSTERNORRLANDS LÄN</t>
        </is>
      </c>
      <c r="E10395" t="inlineStr">
        <is>
          <t>SUNDSVALL</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26846-2024</t>
        </is>
      </c>
      <c r="B10396" s="1" t="n">
        <v>45470.58299768518</v>
      </c>
      <c r="C10396" s="1" t="n">
        <v>46185</v>
      </c>
      <c r="D10396" t="inlineStr">
        <is>
          <t>VÄSTERNORRLANDS LÄN</t>
        </is>
      </c>
      <c r="E10396" t="inlineStr">
        <is>
          <t>ÖRNSKÖLDSVIK</t>
        </is>
      </c>
      <c r="F10396" t="inlineStr">
        <is>
          <t>Holmen skog AB</t>
        </is>
      </c>
      <c r="G10396" t="n">
        <v>10.4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44180-2023</t>
        </is>
      </c>
      <c r="B10397" s="1" t="n">
        <v>45183</v>
      </c>
      <c r="C10397" s="1" t="n">
        <v>46185</v>
      </c>
      <c r="D10397" t="inlineStr">
        <is>
          <t>VÄSTERNORRLANDS LÄN</t>
        </is>
      </c>
      <c r="E10397" t="inlineStr">
        <is>
          <t>ÅNGE</t>
        </is>
      </c>
      <c r="F10397" t="inlineStr">
        <is>
          <t>SCA</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16271-2024</t>
        </is>
      </c>
      <c r="B10398" s="1" t="n">
        <v>45407</v>
      </c>
      <c r="C10398" s="1" t="n">
        <v>46185</v>
      </c>
      <c r="D10398" t="inlineStr">
        <is>
          <t>VÄSTERNORRLANDS LÄN</t>
        </is>
      </c>
      <c r="E10398" t="inlineStr">
        <is>
          <t>ÖRNSKÖLDSVIK</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32639-2024</t>
        </is>
      </c>
      <c r="B10399" s="1" t="n">
        <v>45513</v>
      </c>
      <c r="C10399" s="1" t="n">
        <v>46185</v>
      </c>
      <c r="D10399" t="inlineStr">
        <is>
          <t>VÄSTERNORRLANDS LÄN</t>
        </is>
      </c>
      <c r="E10399" t="inlineStr">
        <is>
          <t>HÄRNÖSAND</t>
        </is>
      </c>
      <c r="F10399" t="inlineStr">
        <is>
          <t>SCA</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35218-2024</t>
        </is>
      </c>
      <c r="B10400" s="1" t="n">
        <v>45530.49400462963</v>
      </c>
      <c r="C10400" s="1" t="n">
        <v>46185</v>
      </c>
      <c r="D10400" t="inlineStr">
        <is>
          <t>VÄSTERNORRLANDS LÄN</t>
        </is>
      </c>
      <c r="E10400" t="inlineStr">
        <is>
          <t>SUNDSVALL</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30944-2024</t>
        </is>
      </c>
      <c r="B10401" s="1" t="n">
        <v>45499.35756944444</v>
      </c>
      <c r="C10401" s="1" t="n">
        <v>46185</v>
      </c>
      <c r="D10401" t="inlineStr">
        <is>
          <t>VÄSTERNORRLANDS LÄN</t>
        </is>
      </c>
      <c r="E10401" t="inlineStr">
        <is>
          <t>SUNDSVALL</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12129-2025</t>
        </is>
      </c>
      <c r="B10402" s="1" t="n">
        <v>45729.38563657407</v>
      </c>
      <c r="C10402" s="1" t="n">
        <v>46185</v>
      </c>
      <c r="D10402" t="inlineStr">
        <is>
          <t>VÄSTERNORRLANDS LÄN</t>
        </is>
      </c>
      <c r="E10402" t="inlineStr">
        <is>
          <t>HÄRNÖSAND</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37416-2024</t>
        </is>
      </c>
      <c r="B10403" s="1" t="n">
        <v>45540.63575231482</v>
      </c>
      <c r="C10403" s="1" t="n">
        <v>46185</v>
      </c>
      <c r="D10403" t="inlineStr">
        <is>
          <t>VÄSTERNORRLANDS LÄN</t>
        </is>
      </c>
      <c r="E10403" t="inlineStr">
        <is>
          <t>SUNDSVALL</t>
        </is>
      </c>
      <c r="G10403" t="n">
        <v>7.3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59647-2022</t>
        </is>
      </c>
      <c r="B10404" s="1" t="n">
        <v>44907.96577546297</v>
      </c>
      <c r="C10404" s="1" t="n">
        <v>46185</v>
      </c>
      <c r="D10404" t="inlineStr">
        <is>
          <t>VÄSTERNORRLANDS LÄN</t>
        </is>
      </c>
      <c r="E10404" t="inlineStr">
        <is>
          <t>SOLLEFTEÅ</t>
        </is>
      </c>
      <c r="F10404" t="inlineStr">
        <is>
          <t>SCA</t>
        </is>
      </c>
      <c r="G10404" t="n">
        <v>0.2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62530-2023</t>
        </is>
      </c>
      <c r="B10405" s="1" t="n">
        <v>45268</v>
      </c>
      <c r="C10405" s="1" t="n">
        <v>46185</v>
      </c>
      <c r="D10405" t="inlineStr">
        <is>
          <t>VÄSTERNORRLANDS LÄN</t>
        </is>
      </c>
      <c r="E10405" t="inlineStr">
        <is>
          <t>SUNDSVALL</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20840-2023</t>
        </is>
      </c>
      <c r="B10406" s="1" t="n">
        <v>45058</v>
      </c>
      <c r="C10406" s="1" t="n">
        <v>46185</v>
      </c>
      <c r="D10406" t="inlineStr">
        <is>
          <t>VÄSTERNORRLANDS LÄN</t>
        </is>
      </c>
      <c r="E10406" t="inlineStr">
        <is>
          <t>TIMRÅ</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62821-2023</t>
        </is>
      </c>
      <c r="B10407" s="1" t="n">
        <v>45271</v>
      </c>
      <c r="C10407" s="1" t="n">
        <v>46185</v>
      </c>
      <c r="D10407" t="inlineStr">
        <is>
          <t>VÄSTERNORRLANDS LÄN</t>
        </is>
      </c>
      <c r="E10407" t="inlineStr">
        <is>
          <t>KRAMFORS</t>
        </is>
      </c>
      <c r="G10407" t="n">
        <v>10.6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20859-2023</t>
        </is>
      </c>
      <c r="B10408" s="1" t="n">
        <v>45058.94212962963</v>
      </c>
      <c r="C10408" s="1" t="n">
        <v>46185</v>
      </c>
      <c r="D10408" t="inlineStr">
        <is>
          <t>VÄSTERNORRLANDS LÄN</t>
        </is>
      </c>
      <c r="E10408" t="inlineStr">
        <is>
          <t>SOLLEFTEÅ</t>
        </is>
      </c>
      <c r="F10408" t="inlineStr">
        <is>
          <t>SCA</t>
        </is>
      </c>
      <c r="G10408" t="n">
        <v>4.9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47478-2023</t>
        </is>
      </c>
      <c r="B10409" s="1" t="n">
        <v>45202</v>
      </c>
      <c r="C10409" s="1" t="n">
        <v>46185</v>
      </c>
      <c r="D10409" t="inlineStr">
        <is>
          <t>VÄSTERNORRLANDS LÄN</t>
        </is>
      </c>
      <c r="E10409" t="inlineStr">
        <is>
          <t>KRAMFORS</t>
        </is>
      </c>
      <c r="F10409" t="inlineStr">
        <is>
          <t>SCA</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47518-2023</t>
        </is>
      </c>
      <c r="B10410" s="1" t="n">
        <v>45203.32945601852</v>
      </c>
      <c r="C10410" s="1" t="n">
        <v>46185</v>
      </c>
      <c r="D10410" t="inlineStr">
        <is>
          <t>VÄSTERNORRLANDS LÄN</t>
        </is>
      </c>
      <c r="E10410" t="inlineStr">
        <is>
          <t>SUNDSVALL</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62257-2022</t>
        </is>
      </c>
      <c r="B10411" s="1" t="n">
        <v>44922.94297453704</v>
      </c>
      <c r="C10411" s="1" t="n">
        <v>46185</v>
      </c>
      <c r="D10411" t="inlineStr">
        <is>
          <t>VÄSTERNORRLANDS LÄN</t>
        </is>
      </c>
      <c r="E10411" t="inlineStr">
        <is>
          <t>ÖRNSKÖLDSVIK</t>
        </is>
      </c>
      <c r="F10411" t="inlineStr">
        <is>
          <t>SCA</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48439-2023</t>
        </is>
      </c>
      <c r="B10412" s="1" t="n">
        <v>45205</v>
      </c>
      <c r="C10412" s="1" t="n">
        <v>46185</v>
      </c>
      <c r="D10412" t="inlineStr">
        <is>
          <t>VÄSTERNORRLANDS LÄN</t>
        </is>
      </c>
      <c r="E10412" t="inlineStr">
        <is>
          <t>ÖRNSKÖLDSVIK</t>
        </is>
      </c>
      <c r="F10412" t="inlineStr">
        <is>
          <t>SCA</t>
        </is>
      </c>
      <c r="G10412" t="n">
        <v>7.5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60929-2022</t>
        </is>
      </c>
      <c r="B10413" s="1" t="n">
        <v>44908</v>
      </c>
      <c r="C10413" s="1" t="n">
        <v>46185</v>
      </c>
      <c r="D10413" t="inlineStr">
        <is>
          <t>VÄSTERNORRLANDS LÄN</t>
        </is>
      </c>
      <c r="E10413" t="inlineStr">
        <is>
          <t>ÖRNSKÖLDSVIK</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8706-2024</t>
        </is>
      </c>
      <c r="B10414" s="1" t="n">
        <v>45355</v>
      </c>
      <c r="C10414" s="1" t="n">
        <v>46185</v>
      </c>
      <c r="D10414" t="inlineStr">
        <is>
          <t>VÄSTERNORRLANDS LÄN</t>
        </is>
      </c>
      <c r="E10414" t="inlineStr">
        <is>
          <t>KRAMFORS</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524-2023</t>
        </is>
      </c>
      <c r="B10415" s="1" t="n">
        <v>44924</v>
      </c>
      <c r="C10415" s="1" t="n">
        <v>46185</v>
      </c>
      <c r="D10415" t="inlineStr">
        <is>
          <t>VÄSTERNORRLANDS LÄN</t>
        </is>
      </c>
      <c r="E10415" t="inlineStr">
        <is>
          <t>TIMRÅ</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5197-2025</t>
        </is>
      </c>
      <c r="B10416" s="1" t="n">
        <v>45691.65701388889</v>
      </c>
      <c r="C10416" s="1" t="n">
        <v>46185</v>
      </c>
      <c r="D10416" t="inlineStr">
        <is>
          <t>VÄSTERNORRLANDS LÄN</t>
        </is>
      </c>
      <c r="E10416" t="inlineStr">
        <is>
          <t>ÅNGE</t>
        </is>
      </c>
      <c r="F10416" t="inlineStr">
        <is>
          <t>SCA</t>
        </is>
      </c>
      <c r="G10416" t="n">
        <v>5.7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5246-2025</t>
        </is>
      </c>
      <c r="B10417" s="1" t="n">
        <v>45692.34427083333</v>
      </c>
      <c r="C10417" s="1" t="n">
        <v>46185</v>
      </c>
      <c r="D10417" t="inlineStr">
        <is>
          <t>VÄSTERNORRLANDS LÄN</t>
        </is>
      </c>
      <c r="E10417" t="inlineStr">
        <is>
          <t>ÅNGE</t>
        </is>
      </c>
      <c r="F10417" t="inlineStr">
        <is>
          <t>SCA</t>
        </is>
      </c>
      <c r="G10417" t="n">
        <v>4.4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56443-2024</t>
        </is>
      </c>
      <c r="B10418" s="1" t="n">
        <v>45625</v>
      </c>
      <c r="C10418" s="1" t="n">
        <v>46185</v>
      </c>
      <c r="D10418" t="inlineStr">
        <is>
          <t>VÄSTERNORRLANDS LÄN</t>
        </is>
      </c>
      <c r="E10418" t="inlineStr">
        <is>
          <t>TIMRÅ</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62107-2022</t>
        </is>
      </c>
      <c r="B10419" s="1" t="n">
        <v>44920</v>
      </c>
      <c r="C10419" s="1" t="n">
        <v>46185</v>
      </c>
      <c r="D10419" t="inlineStr">
        <is>
          <t>VÄSTERNORRLANDS LÄN</t>
        </is>
      </c>
      <c r="E10419" t="inlineStr">
        <is>
          <t>ÖRNSKÖLDSVIK</t>
        </is>
      </c>
      <c r="G10419" t="n">
        <v>26.3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41829-2021</t>
        </is>
      </c>
      <c r="B10420" s="1" t="n">
        <v>44425.92202546296</v>
      </c>
      <c r="C10420" s="1" t="n">
        <v>46185</v>
      </c>
      <c r="D10420" t="inlineStr">
        <is>
          <t>VÄSTERNORRLANDS LÄN</t>
        </is>
      </c>
      <c r="E10420" t="inlineStr">
        <is>
          <t>ÅNGE</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44610-2024</t>
        </is>
      </c>
      <c r="B10421" s="1" t="n">
        <v>45574.5122337963</v>
      </c>
      <c r="C10421" s="1" t="n">
        <v>46185</v>
      </c>
      <c r="D10421" t="inlineStr">
        <is>
          <t>VÄSTERNORRLANDS LÄN</t>
        </is>
      </c>
      <c r="E10421" t="inlineStr">
        <is>
          <t>SUNDSVALL</t>
        </is>
      </c>
      <c r="F10421" t="inlineStr">
        <is>
          <t>SCA</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39833-2024</t>
        </is>
      </c>
      <c r="B10422" s="1" t="n">
        <v>45553.413125</v>
      </c>
      <c r="C10422" s="1" t="n">
        <v>46185</v>
      </c>
      <c r="D10422" t="inlineStr">
        <is>
          <t>VÄSTERNORRLANDS LÄN</t>
        </is>
      </c>
      <c r="E10422" t="inlineStr">
        <is>
          <t>ÖRNSKÖLDSVIK</t>
        </is>
      </c>
      <c r="F10422" t="inlineStr">
        <is>
          <t>Holmen skog AB</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61228-2022</t>
        </is>
      </c>
      <c r="B10423" s="1" t="n">
        <v>44909</v>
      </c>
      <c r="C10423" s="1" t="n">
        <v>46185</v>
      </c>
      <c r="D10423" t="inlineStr">
        <is>
          <t>VÄSTERNORRLANDS LÄN</t>
        </is>
      </c>
      <c r="E10423" t="inlineStr">
        <is>
          <t>ÖRNSKÖLDSVIK</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27836-2024</t>
        </is>
      </c>
      <c r="B10424" s="1" t="n">
        <v>45475</v>
      </c>
      <c r="C10424" s="1" t="n">
        <v>46185</v>
      </c>
      <c r="D10424" t="inlineStr">
        <is>
          <t>VÄSTERNORRLANDS LÄN</t>
        </is>
      </c>
      <c r="E10424" t="inlineStr">
        <is>
          <t>KRAMFORS</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11094-2023</t>
        </is>
      </c>
      <c r="B10425" s="1" t="n">
        <v>44986</v>
      </c>
      <c r="C10425" s="1" t="n">
        <v>46185</v>
      </c>
      <c r="D10425" t="inlineStr">
        <is>
          <t>VÄSTERNORRLANDS LÄN</t>
        </is>
      </c>
      <c r="E10425" t="inlineStr">
        <is>
          <t>SOLLEFTEÅ</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39691-2022</t>
        </is>
      </c>
      <c r="B10426" s="1" t="n">
        <v>44818.9474537037</v>
      </c>
      <c r="C10426" s="1" t="n">
        <v>46185</v>
      </c>
      <c r="D10426" t="inlineStr">
        <is>
          <t>VÄSTERNORRLANDS LÄN</t>
        </is>
      </c>
      <c r="E10426" t="inlineStr">
        <is>
          <t>TIMRÅ</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5362-2025</t>
        </is>
      </c>
      <c r="B10427" s="1" t="n">
        <v>45692.57824074074</v>
      </c>
      <c r="C10427" s="1" t="n">
        <v>46185</v>
      </c>
      <c r="D10427" t="inlineStr">
        <is>
          <t>VÄSTERNORRLANDS LÄN</t>
        </is>
      </c>
      <c r="E10427" t="inlineStr">
        <is>
          <t>SUNDSVALL</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37855-2024</t>
        </is>
      </c>
      <c r="B10428" s="1" t="n">
        <v>45544.3822337963</v>
      </c>
      <c r="C10428" s="1" t="n">
        <v>46185</v>
      </c>
      <c r="D10428" t="inlineStr">
        <is>
          <t>VÄSTERNORRLANDS LÄN</t>
        </is>
      </c>
      <c r="E10428" t="inlineStr">
        <is>
          <t>ÖRNSKÖLDSVIK</t>
        </is>
      </c>
      <c r="F10428" t="inlineStr">
        <is>
          <t>Holmen skog AB</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55080-2024</t>
        </is>
      </c>
      <c r="B10429" s="1" t="n">
        <v>45621.4275462963</v>
      </c>
      <c r="C10429" s="1" t="n">
        <v>46185</v>
      </c>
      <c r="D10429" t="inlineStr">
        <is>
          <t>VÄSTERNORRLANDS LÄN</t>
        </is>
      </c>
      <c r="E10429" t="inlineStr">
        <is>
          <t>TIMRÅ</t>
        </is>
      </c>
      <c r="F10429" t="inlineStr">
        <is>
          <t>SCA</t>
        </is>
      </c>
      <c r="G10429" t="n">
        <v>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48007-2023</t>
        </is>
      </c>
      <c r="B10430" s="1" t="n">
        <v>45204</v>
      </c>
      <c r="C10430" s="1" t="n">
        <v>46185</v>
      </c>
      <c r="D10430" t="inlineStr">
        <is>
          <t>VÄSTERNORRLANDS LÄN</t>
        </is>
      </c>
      <c r="E10430" t="inlineStr">
        <is>
          <t>ÖRNSKÖLDSVIK</t>
        </is>
      </c>
      <c r="F10430" t="inlineStr">
        <is>
          <t>Holmen skog AB</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56256-2023</t>
        </is>
      </c>
      <c r="B10431" s="1" t="n">
        <v>45240</v>
      </c>
      <c r="C10431" s="1" t="n">
        <v>46185</v>
      </c>
      <c r="D10431" t="inlineStr">
        <is>
          <t>VÄSTERNORRLANDS LÄN</t>
        </is>
      </c>
      <c r="E10431" t="inlineStr">
        <is>
          <t>SOLLEFTEÅ</t>
        </is>
      </c>
      <c r="F10431" t="inlineStr">
        <is>
          <t>SCA</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56262-2023</t>
        </is>
      </c>
      <c r="B10432" s="1" t="n">
        <v>45240</v>
      </c>
      <c r="C10432" s="1" t="n">
        <v>46185</v>
      </c>
      <c r="D10432" t="inlineStr">
        <is>
          <t>VÄSTERNORRLANDS LÄN</t>
        </is>
      </c>
      <c r="E10432" t="inlineStr">
        <is>
          <t>SOLLEFTEÅ</t>
        </is>
      </c>
      <c r="F10432" t="inlineStr">
        <is>
          <t>SCA</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28546-2024</t>
        </is>
      </c>
      <c r="B10433" s="1" t="n">
        <v>45478.35644675926</v>
      </c>
      <c r="C10433" s="1" t="n">
        <v>46185</v>
      </c>
      <c r="D10433" t="inlineStr">
        <is>
          <t>VÄSTERNORRLANDS LÄN</t>
        </is>
      </c>
      <c r="E10433" t="inlineStr">
        <is>
          <t>ÖRNSKÖLDSVIK</t>
        </is>
      </c>
      <c r="G10433" t="n">
        <v>4.8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50716-2023</t>
        </is>
      </c>
      <c r="B10434" s="1" t="n">
        <v>45210</v>
      </c>
      <c r="C10434" s="1" t="n">
        <v>46185</v>
      </c>
      <c r="D10434" t="inlineStr">
        <is>
          <t>VÄSTERNORRLANDS LÄN</t>
        </is>
      </c>
      <c r="E10434" t="inlineStr">
        <is>
          <t>SOLLEFTEÅ</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10985-2025</t>
        </is>
      </c>
      <c r="B10435" s="1" t="n">
        <v>45723</v>
      </c>
      <c r="C10435" s="1" t="n">
        <v>46185</v>
      </c>
      <c r="D10435" t="inlineStr">
        <is>
          <t>VÄSTERNORRLANDS LÄN</t>
        </is>
      </c>
      <c r="E10435" t="inlineStr">
        <is>
          <t>ÖRNSKÖLDSVIK</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6468-2024</t>
        </is>
      </c>
      <c r="B10436" s="1" t="n">
        <v>45338</v>
      </c>
      <c r="C10436" s="1" t="n">
        <v>46185</v>
      </c>
      <c r="D10436" t="inlineStr">
        <is>
          <t>VÄSTERNORRLANDS LÄN</t>
        </is>
      </c>
      <c r="E10436" t="inlineStr">
        <is>
          <t>SUNDSVALL</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8407-2024</t>
        </is>
      </c>
      <c r="B10437" s="1" t="n">
        <v>45352</v>
      </c>
      <c r="C10437" s="1" t="n">
        <v>46185</v>
      </c>
      <c r="D10437" t="inlineStr">
        <is>
          <t>VÄSTERNORRLANDS LÄN</t>
        </is>
      </c>
      <c r="E10437" t="inlineStr">
        <is>
          <t>HÄRNÖSAND</t>
        </is>
      </c>
      <c r="F10437" t="inlineStr">
        <is>
          <t>SCA</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50549-2024</t>
        </is>
      </c>
      <c r="B10438" s="1" t="n">
        <v>45601</v>
      </c>
      <c r="C10438" s="1" t="n">
        <v>46185</v>
      </c>
      <c r="D10438" t="inlineStr">
        <is>
          <t>VÄSTERNORRLANDS LÄN</t>
        </is>
      </c>
      <c r="E10438" t="inlineStr">
        <is>
          <t>SOLLEFTEÅ</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63992-2023</t>
        </is>
      </c>
      <c r="B10439" s="1" t="n">
        <v>45278</v>
      </c>
      <c r="C10439" s="1" t="n">
        <v>46185</v>
      </c>
      <c r="D10439" t="inlineStr">
        <is>
          <t>VÄSTERNORRLANDS LÄN</t>
        </is>
      </c>
      <c r="E10439" t="inlineStr">
        <is>
          <t>KRAMFORS</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50612-2024</t>
        </is>
      </c>
      <c r="B10440" s="1" t="n">
        <v>45601</v>
      </c>
      <c r="C10440" s="1" t="n">
        <v>46185</v>
      </c>
      <c r="D10440" t="inlineStr">
        <is>
          <t>VÄSTERNORRLANDS LÄN</t>
        </is>
      </c>
      <c r="E10440" t="inlineStr">
        <is>
          <t>ÅNGE</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50624-2024</t>
        </is>
      </c>
      <c r="B10441" s="1" t="n">
        <v>45601.65728009259</v>
      </c>
      <c r="C10441" s="1" t="n">
        <v>46185</v>
      </c>
      <c r="D10441" t="inlineStr">
        <is>
          <t>VÄSTERNORRLANDS LÄN</t>
        </is>
      </c>
      <c r="E10441" t="inlineStr">
        <is>
          <t>SOLLEFTEÅ</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27735-2024</t>
        </is>
      </c>
      <c r="B10442" s="1" t="n">
        <v>45475</v>
      </c>
      <c r="C10442" s="1" t="n">
        <v>46185</v>
      </c>
      <c r="D10442" t="inlineStr">
        <is>
          <t>VÄSTERNORRLANDS LÄN</t>
        </is>
      </c>
      <c r="E10442" t="inlineStr">
        <is>
          <t>SUNDSVALL</t>
        </is>
      </c>
      <c r="G10442" t="n">
        <v>5.1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342-2024</t>
        </is>
      </c>
      <c r="B10443" s="1" t="n">
        <v>45295</v>
      </c>
      <c r="C10443" s="1" t="n">
        <v>46185</v>
      </c>
      <c r="D10443" t="inlineStr">
        <is>
          <t>VÄSTERNORRLANDS LÄN</t>
        </is>
      </c>
      <c r="E10443" t="inlineStr">
        <is>
          <t>ÖRNSKÖLDSVIK</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13491-2023</t>
        </is>
      </c>
      <c r="B10444" s="1" t="n">
        <v>45005.93929398148</v>
      </c>
      <c r="C10444" s="1" t="n">
        <v>46185</v>
      </c>
      <c r="D10444" t="inlineStr">
        <is>
          <t>VÄSTERNORRLANDS LÄN</t>
        </is>
      </c>
      <c r="E10444" t="inlineStr">
        <is>
          <t>ÅNGE</t>
        </is>
      </c>
      <c r="F10444" t="inlineStr">
        <is>
          <t>SCA</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47438-2024</t>
        </is>
      </c>
      <c r="B10445" s="1" t="n">
        <v>45587</v>
      </c>
      <c r="C10445" s="1" t="n">
        <v>46185</v>
      </c>
      <c r="D10445" t="inlineStr">
        <is>
          <t>VÄSTERNORRLANDS LÄN</t>
        </is>
      </c>
      <c r="E10445" t="inlineStr">
        <is>
          <t>ÖRNSKÖLDSVIK</t>
        </is>
      </c>
      <c r="G10445" t="n">
        <v>11.8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38996-2024</t>
        </is>
      </c>
      <c r="B10446" s="1" t="n">
        <v>45548.41377314815</v>
      </c>
      <c r="C10446" s="1" t="n">
        <v>46185</v>
      </c>
      <c r="D10446" t="inlineStr">
        <is>
          <t>VÄSTERNORRLANDS LÄN</t>
        </is>
      </c>
      <c r="E10446" t="inlineStr">
        <is>
          <t>TIMRÅ</t>
        </is>
      </c>
      <c r="G10446" t="n">
        <v>8.5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5765-2025</t>
        </is>
      </c>
      <c r="B10447" s="1" t="n">
        <v>45694.57601851852</v>
      </c>
      <c r="C10447" s="1" t="n">
        <v>46185</v>
      </c>
      <c r="D10447" t="inlineStr">
        <is>
          <t>VÄSTERNORRLANDS LÄN</t>
        </is>
      </c>
      <c r="E10447" t="inlineStr">
        <is>
          <t>ÖRNSKÖLDSVIK</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60829-2024</t>
        </is>
      </c>
      <c r="B10448" s="1" t="n">
        <v>45644</v>
      </c>
      <c r="C10448" s="1" t="n">
        <v>46185</v>
      </c>
      <c r="D10448" t="inlineStr">
        <is>
          <t>VÄSTERNORRLANDS LÄN</t>
        </is>
      </c>
      <c r="E10448" t="inlineStr">
        <is>
          <t>KRAMFORS</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47243-2024</t>
        </is>
      </c>
      <c r="B10449" s="1" t="n">
        <v>45586.6987962963</v>
      </c>
      <c r="C10449" s="1" t="n">
        <v>46185</v>
      </c>
      <c r="D10449" t="inlineStr">
        <is>
          <t>VÄSTERNORRLANDS LÄN</t>
        </is>
      </c>
      <c r="E10449" t="inlineStr">
        <is>
          <t>ÅNGE</t>
        </is>
      </c>
      <c r="F10449" t="inlineStr">
        <is>
          <t>SCA</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59896-2024</t>
        </is>
      </c>
      <c r="B10450" s="1" t="n">
        <v>45641</v>
      </c>
      <c r="C10450" s="1" t="n">
        <v>46185</v>
      </c>
      <c r="D10450" t="inlineStr">
        <is>
          <t>VÄSTERNORRLANDS LÄN</t>
        </is>
      </c>
      <c r="E10450" t="inlineStr">
        <is>
          <t>SUNDSVALL</t>
        </is>
      </c>
      <c r="F10450" t="inlineStr">
        <is>
          <t>SCA</t>
        </is>
      </c>
      <c r="G10450" t="n">
        <v>6.1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10480-2025</t>
        </is>
      </c>
      <c r="B10451" s="1" t="n">
        <v>45721.32282407407</v>
      </c>
      <c r="C10451" s="1" t="n">
        <v>46185</v>
      </c>
      <c r="D10451" t="inlineStr">
        <is>
          <t>VÄSTERNORRLANDS LÄN</t>
        </is>
      </c>
      <c r="E10451" t="inlineStr">
        <is>
          <t>ÖRNSKÖLDSVIK</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34875-2024</t>
        </is>
      </c>
      <c r="B10452" s="1" t="n">
        <v>45527.35077546296</v>
      </c>
      <c r="C10452" s="1" t="n">
        <v>46185</v>
      </c>
      <c r="D10452" t="inlineStr">
        <is>
          <t>VÄSTERNORRLANDS LÄN</t>
        </is>
      </c>
      <c r="E10452" t="inlineStr">
        <is>
          <t>ÖRNSKÖLDSVIK</t>
        </is>
      </c>
      <c r="F10452" t="inlineStr">
        <is>
          <t>Holmen skog AB</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34878-2024</t>
        </is>
      </c>
      <c r="B10453" s="1" t="n">
        <v>45527</v>
      </c>
      <c r="C10453" s="1" t="n">
        <v>46185</v>
      </c>
      <c r="D10453" t="inlineStr">
        <is>
          <t>VÄSTERNORRLANDS LÄN</t>
        </is>
      </c>
      <c r="E10453" t="inlineStr">
        <is>
          <t>SOLLEFTEÅ</t>
        </is>
      </c>
      <c r="F10453" t="inlineStr">
        <is>
          <t>SCA</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55759-2024</t>
        </is>
      </c>
      <c r="B10454" s="1" t="n">
        <v>45623.3647337963</v>
      </c>
      <c r="C10454" s="1" t="n">
        <v>46185</v>
      </c>
      <c r="D10454" t="inlineStr">
        <is>
          <t>VÄSTERNORRLANDS LÄN</t>
        </is>
      </c>
      <c r="E10454" t="inlineStr">
        <is>
          <t>SOLLEFTEÅ</t>
        </is>
      </c>
      <c r="G10454" t="n">
        <v>6.1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58583-2024</t>
        </is>
      </c>
      <c r="B10455" s="1" t="n">
        <v>45635</v>
      </c>
      <c r="C10455" s="1" t="n">
        <v>46185</v>
      </c>
      <c r="D10455" t="inlineStr">
        <is>
          <t>VÄSTERNORRLANDS LÄN</t>
        </is>
      </c>
      <c r="E10455" t="inlineStr">
        <is>
          <t>SUNDSVALL</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37540-2024</t>
        </is>
      </c>
      <c r="B10456" s="1" t="n">
        <v>45541.42111111111</v>
      </c>
      <c r="C10456" s="1" t="n">
        <v>46185</v>
      </c>
      <c r="D10456" t="inlineStr">
        <is>
          <t>VÄSTERNORRLANDS LÄN</t>
        </is>
      </c>
      <c r="E10456" t="inlineStr">
        <is>
          <t>ÅNGE</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42948-2024</t>
        </is>
      </c>
      <c r="B10457" s="1" t="n">
        <v>45567.36628472222</v>
      </c>
      <c r="C10457" s="1" t="n">
        <v>46185</v>
      </c>
      <c r="D10457" t="inlineStr">
        <is>
          <t>VÄSTERNORRLANDS LÄN</t>
        </is>
      </c>
      <c r="E10457" t="inlineStr">
        <is>
          <t>ÅNGE</t>
        </is>
      </c>
      <c r="F10457" t="inlineStr">
        <is>
          <t>SCA</t>
        </is>
      </c>
      <c r="G10457" t="n">
        <v>6.1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51302-2024</t>
        </is>
      </c>
      <c r="B10458" s="1" t="n">
        <v>45604.30118055556</v>
      </c>
      <c r="C10458" s="1" t="n">
        <v>46185</v>
      </c>
      <c r="D10458" t="inlineStr">
        <is>
          <t>VÄSTERNORRLANDS LÄN</t>
        </is>
      </c>
      <c r="E10458" t="inlineStr">
        <is>
          <t>ÖRNSKÖLDSVIK</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57063-2024</t>
        </is>
      </c>
      <c r="B10459" s="1" t="n">
        <v>45629.35313657407</v>
      </c>
      <c r="C10459" s="1" t="n">
        <v>46185</v>
      </c>
      <c r="D10459" t="inlineStr">
        <is>
          <t>VÄSTERNORRLANDS LÄN</t>
        </is>
      </c>
      <c r="E10459" t="inlineStr">
        <is>
          <t>TIMRÅ</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57079-2024</t>
        </is>
      </c>
      <c r="B10460" s="1" t="n">
        <v>45629</v>
      </c>
      <c r="C10460" s="1" t="n">
        <v>46185</v>
      </c>
      <c r="D10460" t="inlineStr">
        <is>
          <t>VÄSTERNORRLANDS LÄN</t>
        </is>
      </c>
      <c r="E10460" t="inlineStr">
        <is>
          <t>SUNDSVALL</t>
        </is>
      </c>
      <c r="F10460" t="inlineStr">
        <is>
          <t>SCA</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3909-2025</t>
        </is>
      </c>
      <c r="B10461" s="1" t="n">
        <v>45684.41552083333</v>
      </c>
      <c r="C10461" s="1" t="n">
        <v>46185</v>
      </c>
      <c r="D10461" t="inlineStr">
        <is>
          <t>VÄSTERNORRLANDS LÄN</t>
        </is>
      </c>
      <c r="E10461" t="inlineStr">
        <is>
          <t>ÖRNSKÖLDSVIK</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26468-2023</t>
        </is>
      </c>
      <c r="B10462" s="1" t="n">
        <v>45089</v>
      </c>
      <c r="C10462" s="1" t="n">
        <v>46185</v>
      </c>
      <c r="D10462" t="inlineStr">
        <is>
          <t>VÄSTERNORRLANDS LÄN</t>
        </is>
      </c>
      <c r="E10462" t="inlineStr">
        <is>
          <t>SUNDSVALL</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39713-2024</t>
        </is>
      </c>
      <c r="B10463" s="1" t="n">
        <v>45552</v>
      </c>
      <c r="C10463" s="1" t="n">
        <v>46185</v>
      </c>
      <c r="D10463" t="inlineStr">
        <is>
          <t>VÄSTERNORRLANDS LÄN</t>
        </is>
      </c>
      <c r="E10463" t="inlineStr">
        <is>
          <t>SUNDSVALL</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57892-2024</t>
        </is>
      </c>
      <c r="B10464" s="1" t="n">
        <v>45631.46910879629</v>
      </c>
      <c r="C10464" s="1" t="n">
        <v>46185</v>
      </c>
      <c r="D10464" t="inlineStr">
        <is>
          <t>VÄSTERNORRLANDS LÄN</t>
        </is>
      </c>
      <c r="E10464" t="inlineStr">
        <is>
          <t>SOLLEFTEÅ</t>
        </is>
      </c>
      <c r="F10464" t="inlineStr">
        <is>
          <t>SCA</t>
        </is>
      </c>
      <c r="G10464" t="n">
        <v>13.8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46356-2024</t>
        </is>
      </c>
      <c r="B10465" s="1" t="n">
        <v>45582.34539351852</v>
      </c>
      <c r="C10465" s="1" t="n">
        <v>46185</v>
      </c>
      <c r="D10465" t="inlineStr">
        <is>
          <t>VÄSTERNORRLANDS LÄN</t>
        </is>
      </c>
      <c r="E10465" t="inlineStr">
        <is>
          <t>ÖRNSKÖLDSVIK</t>
        </is>
      </c>
      <c r="F10465" t="inlineStr">
        <is>
          <t>Holmen skog AB</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49868-2024</t>
        </is>
      </c>
      <c r="B10466" s="1" t="n">
        <v>45597.48740740741</v>
      </c>
      <c r="C10466" s="1" t="n">
        <v>46185</v>
      </c>
      <c r="D10466" t="inlineStr">
        <is>
          <t>VÄSTERNORRLANDS LÄN</t>
        </is>
      </c>
      <c r="E10466" t="inlineStr">
        <is>
          <t>ÖRNSKÖLDSVIK</t>
        </is>
      </c>
      <c r="F10466" t="inlineStr">
        <is>
          <t>Holmen skog AB</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11903-2024</t>
        </is>
      </c>
      <c r="B10467" s="1" t="n">
        <v>45376</v>
      </c>
      <c r="C10467" s="1" t="n">
        <v>46185</v>
      </c>
      <c r="D10467" t="inlineStr">
        <is>
          <t>VÄSTERNORRLANDS LÄN</t>
        </is>
      </c>
      <c r="E10467" t="inlineStr">
        <is>
          <t>HÄRNÖSAND</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59771-2024</t>
        </is>
      </c>
      <c r="B10468" s="1" t="n">
        <v>45638</v>
      </c>
      <c r="C10468" s="1" t="n">
        <v>46185</v>
      </c>
      <c r="D10468" t="inlineStr">
        <is>
          <t>VÄSTERNORRLANDS LÄN</t>
        </is>
      </c>
      <c r="E10468" t="inlineStr">
        <is>
          <t>ÖRNSKÖLDSVIK</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20222-2024</t>
        </is>
      </c>
      <c r="B10469" s="1" t="n">
        <v>45434</v>
      </c>
      <c r="C10469" s="1" t="n">
        <v>46185</v>
      </c>
      <c r="D10469" t="inlineStr">
        <is>
          <t>VÄSTERNORRLANDS LÄN</t>
        </is>
      </c>
      <c r="E10469" t="inlineStr">
        <is>
          <t>ÖRNSKÖLDSVIK</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20223-2024</t>
        </is>
      </c>
      <c r="B10470" s="1" t="n">
        <v>45434</v>
      </c>
      <c r="C10470" s="1" t="n">
        <v>46185</v>
      </c>
      <c r="D10470" t="inlineStr">
        <is>
          <t>VÄSTERNORRLANDS LÄN</t>
        </is>
      </c>
      <c r="E10470" t="inlineStr">
        <is>
          <t>SOLLEFTEÅ</t>
        </is>
      </c>
      <c r="G10470" t="n">
        <v>5.5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10499-2024</t>
        </is>
      </c>
      <c r="B10471" s="1" t="n">
        <v>45366</v>
      </c>
      <c r="C10471" s="1" t="n">
        <v>46185</v>
      </c>
      <c r="D10471" t="inlineStr">
        <is>
          <t>VÄSTERNORRLANDS LÄN</t>
        </is>
      </c>
      <c r="E10471" t="inlineStr">
        <is>
          <t>ÖRNSKÖLDSVIK</t>
        </is>
      </c>
      <c r="F10471" t="inlineStr">
        <is>
          <t>Holmen skog AB</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16315-2024</t>
        </is>
      </c>
      <c r="B10472" s="1" t="n">
        <v>45407</v>
      </c>
      <c r="C10472" s="1" t="n">
        <v>46185</v>
      </c>
      <c r="D10472" t="inlineStr">
        <is>
          <t>VÄSTERNORRLANDS LÄN</t>
        </is>
      </c>
      <c r="E10472" t="inlineStr">
        <is>
          <t>TIMRÅ</t>
        </is>
      </c>
      <c r="F10472" t="inlineStr">
        <is>
          <t>Kommuner</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61914-2023</t>
        </is>
      </c>
      <c r="B10473" s="1" t="n">
        <v>45265</v>
      </c>
      <c r="C10473" s="1" t="n">
        <v>46185</v>
      </c>
      <c r="D10473" t="inlineStr">
        <is>
          <t>VÄSTERNORRLANDS LÄN</t>
        </is>
      </c>
      <c r="E10473" t="inlineStr">
        <is>
          <t>KRAMFORS</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60831-2024</t>
        </is>
      </c>
      <c r="B10474" s="1" t="n">
        <v>45644</v>
      </c>
      <c r="C10474" s="1" t="n">
        <v>46185</v>
      </c>
      <c r="D10474" t="inlineStr">
        <is>
          <t>VÄSTERNORRLANDS LÄN</t>
        </is>
      </c>
      <c r="E10474" t="inlineStr">
        <is>
          <t>SOLLEFTEÅ</t>
        </is>
      </c>
      <c r="G10474" t="n">
        <v>8.199999999999999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20843-2023</t>
        </is>
      </c>
      <c r="B10475" s="1" t="n">
        <v>45058</v>
      </c>
      <c r="C10475" s="1" t="n">
        <v>46185</v>
      </c>
      <c r="D10475" t="inlineStr">
        <is>
          <t>VÄSTERNORRLANDS LÄN</t>
        </is>
      </c>
      <c r="E10475" t="inlineStr">
        <is>
          <t>TIMRÅ</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20844-2023</t>
        </is>
      </c>
      <c r="B10476" s="1" t="n">
        <v>45058</v>
      </c>
      <c r="C10476" s="1" t="n">
        <v>46185</v>
      </c>
      <c r="D10476" t="inlineStr">
        <is>
          <t>VÄSTERNORRLANDS LÄN</t>
        </is>
      </c>
      <c r="E10476" t="inlineStr">
        <is>
          <t>TIMRÅ</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60611-2024</t>
        </is>
      </c>
      <c r="B10477" s="1" t="n">
        <v>45644.38586805556</v>
      </c>
      <c r="C10477" s="1" t="n">
        <v>46185</v>
      </c>
      <c r="D10477" t="inlineStr">
        <is>
          <t>VÄSTERNORRLANDS LÄN</t>
        </is>
      </c>
      <c r="E10477" t="inlineStr">
        <is>
          <t>SUNDSVALL</t>
        </is>
      </c>
      <c r="F10477" t="inlineStr">
        <is>
          <t>SCA</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13152-2025</t>
        </is>
      </c>
      <c r="B10478" s="1" t="n">
        <v>45735</v>
      </c>
      <c r="C10478" s="1" t="n">
        <v>46185</v>
      </c>
      <c r="D10478" t="inlineStr">
        <is>
          <t>VÄSTERNORRLANDS LÄN</t>
        </is>
      </c>
      <c r="E10478" t="inlineStr">
        <is>
          <t>SUNDSVALL</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54585-2024</t>
        </is>
      </c>
      <c r="B10479" s="1" t="n">
        <v>45617.65762731482</v>
      </c>
      <c r="C10479" s="1" t="n">
        <v>46185</v>
      </c>
      <c r="D10479" t="inlineStr">
        <is>
          <t>VÄSTERNORRLANDS LÄN</t>
        </is>
      </c>
      <c r="E10479" t="inlineStr">
        <is>
          <t>ÅNGE</t>
        </is>
      </c>
      <c r="F10479" t="inlineStr">
        <is>
          <t>SCA</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49374-2023</t>
        </is>
      </c>
      <c r="B10480" s="1" t="n">
        <v>45211.36520833334</v>
      </c>
      <c r="C10480" s="1" t="n">
        <v>46185</v>
      </c>
      <c r="D10480" t="inlineStr">
        <is>
          <t>VÄSTERNORRLANDS LÄN</t>
        </is>
      </c>
      <c r="E10480" t="inlineStr">
        <is>
          <t>ÖRNSKÖLDSVIK</t>
        </is>
      </c>
      <c r="F10480" t="inlineStr">
        <is>
          <t>Holmen skog AB</t>
        </is>
      </c>
      <c r="G10480" t="n">
        <v>6.3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14097-2025</t>
        </is>
      </c>
      <c r="B10481" s="1" t="n">
        <v>45740.44875</v>
      </c>
      <c r="C10481" s="1" t="n">
        <v>46185</v>
      </c>
      <c r="D10481" t="inlineStr">
        <is>
          <t>VÄSTERNORRLANDS LÄN</t>
        </is>
      </c>
      <c r="E10481" t="inlineStr">
        <is>
          <t>SOLLEFTEÅ</t>
        </is>
      </c>
      <c r="F10481" t="inlineStr">
        <is>
          <t>SCA</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63144-2023</t>
        </is>
      </c>
      <c r="B10482" s="1" t="n">
        <v>45272</v>
      </c>
      <c r="C10482" s="1" t="n">
        <v>46185</v>
      </c>
      <c r="D10482" t="inlineStr">
        <is>
          <t>VÄSTERNORRLANDS LÄN</t>
        </is>
      </c>
      <c r="E10482" t="inlineStr">
        <is>
          <t>SOLLEFTEÅ</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42529-2024</t>
        </is>
      </c>
      <c r="B10483" s="1" t="n">
        <v>45565.57324074074</v>
      </c>
      <c r="C10483" s="1" t="n">
        <v>46185</v>
      </c>
      <c r="D10483" t="inlineStr">
        <is>
          <t>VÄSTERNORRLANDS LÄN</t>
        </is>
      </c>
      <c r="E10483" t="inlineStr">
        <is>
          <t>ÅNGE</t>
        </is>
      </c>
      <c r="F10483" t="inlineStr">
        <is>
          <t>SCA</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12497-2025</t>
        </is>
      </c>
      <c r="B10484" s="1" t="n">
        <v>45730</v>
      </c>
      <c r="C10484" s="1" t="n">
        <v>46185</v>
      </c>
      <c r="D10484" t="inlineStr">
        <is>
          <t>VÄSTERNORRLANDS LÄN</t>
        </is>
      </c>
      <c r="E10484" t="inlineStr">
        <is>
          <t>HÄRNÖSAND</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12105-2025</t>
        </is>
      </c>
      <c r="B10485" s="1" t="n">
        <v>45729</v>
      </c>
      <c r="C10485" s="1" t="n">
        <v>46185</v>
      </c>
      <c r="D10485" t="inlineStr">
        <is>
          <t>VÄSTERNORRLANDS LÄN</t>
        </is>
      </c>
      <c r="E10485" t="inlineStr">
        <is>
          <t>HÄRNÖSAND</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51327-2024</t>
        </is>
      </c>
      <c r="B10486" s="1" t="n">
        <v>45604.33793981482</v>
      </c>
      <c r="C10486" s="1" t="n">
        <v>46185</v>
      </c>
      <c r="D10486" t="inlineStr">
        <is>
          <t>VÄSTERNORRLANDS LÄN</t>
        </is>
      </c>
      <c r="E10486" t="inlineStr">
        <is>
          <t>SUNDSVALL</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3232-2025</t>
        </is>
      </c>
      <c r="B10487" s="1" t="n">
        <v>45679.49</v>
      </c>
      <c r="C10487" s="1" t="n">
        <v>46185</v>
      </c>
      <c r="D10487" t="inlineStr">
        <is>
          <t>VÄSTERNORRLANDS LÄN</t>
        </is>
      </c>
      <c r="E10487" t="inlineStr">
        <is>
          <t>SUNDSVALL</t>
        </is>
      </c>
      <c r="F10487" t="inlineStr">
        <is>
          <t>SCA</t>
        </is>
      </c>
      <c r="G10487" t="n">
        <v>4.3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20105-2025</t>
        </is>
      </c>
      <c r="B10488" s="1" t="n">
        <v>45772.46976851852</v>
      </c>
      <c r="C10488" s="1" t="n">
        <v>46185</v>
      </c>
      <c r="D10488" t="inlineStr">
        <is>
          <t>VÄSTERNORRLANDS LÄN</t>
        </is>
      </c>
      <c r="E10488" t="inlineStr">
        <is>
          <t>SUNDSVALL</t>
        </is>
      </c>
      <c r="F10488" t="inlineStr">
        <is>
          <t>Naturvårdsverket</t>
        </is>
      </c>
      <c r="G10488" t="n">
        <v>3.6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43487-2023</t>
        </is>
      </c>
      <c r="B10489" s="1" t="n">
        <v>45181</v>
      </c>
      <c r="C10489" s="1" t="n">
        <v>46185</v>
      </c>
      <c r="D10489" t="inlineStr">
        <is>
          <t>VÄSTERNORRLANDS LÄN</t>
        </is>
      </c>
      <c r="E10489" t="inlineStr">
        <is>
          <t>SOLLEFTEÅ</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30263-2024</t>
        </is>
      </c>
      <c r="B10490" s="1" t="n">
        <v>45489</v>
      </c>
      <c r="C10490" s="1" t="n">
        <v>46185</v>
      </c>
      <c r="D10490" t="inlineStr">
        <is>
          <t>VÄSTERNORRLANDS LÄN</t>
        </is>
      </c>
      <c r="E10490" t="inlineStr">
        <is>
          <t>ÖRNSKÖLDSVIK</t>
        </is>
      </c>
      <c r="G10490" t="n">
        <v>11.5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54313-2024</t>
        </is>
      </c>
      <c r="B10491" s="1" t="n">
        <v>45617.34414351852</v>
      </c>
      <c r="C10491" s="1" t="n">
        <v>46185</v>
      </c>
      <c r="D10491" t="inlineStr">
        <is>
          <t>VÄSTERNORRLANDS LÄN</t>
        </is>
      </c>
      <c r="E10491" t="inlineStr">
        <is>
          <t>SUNDSVALL</t>
        </is>
      </c>
      <c r="F10491" t="inlineStr">
        <is>
          <t>SCA</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54316-2024</t>
        </is>
      </c>
      <c r="B10492" s="1" t="n">
        <v>45617.34443287037</v>
      </c>
      <c r="C10492" s="1" t="n">
        <v>46185</v>
      </c>
      <c r="D10492" t="inlineStr">
        <is>
          <t>VÄSTERNORRLANDS LÄN</t>
        </is>
      </c>
      <c r="E10492" t="inlineStr">
        <is>
          <t>ÅNGE</t>
        </is>
      </c>
      <c r="F10492" t="inlineStr">
        <is>
          <t>SCA</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21418-2025</t>
        </is>
      </c>
      <c r="B10493" s="1" t="n">
        <v>45692</v>
      </c>
      <c r="C10493" s="1" t="n">
        <v>46185</v>
      </c>
      <c r="D10493" t="inlineStr">
        <is>
          <t>VÄSTERNORRLANDS LÄN</t>
        </is>
      </c>
      <c r="E10493" t="inlineStr">
        <is>
          <t>ÖRNSKÖLDSVIK</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13150-2025</t>
        </is>
      </c>
      <c r="B10494" s="1" t="n">
        <v>45735.34439814815</v>
      </c>
      <c r="C10494" s="1" t="n">
        <v>46185</v>
      </c>
      <c r="D10494" t="inlineStr">
        <is>
          <t>VÄSTERNORRLANDS LÄN</t>
        </is>
      </c>
      <c r="E10494" t="inlineStr">
        <is>
          <t>SOLLEFTEÅ</t>
        </is>
      </c>
      <c r="F10494" t="inlineStr">
        <is>
          <t>SCA</t>
        </is>
      </c>
      <c r="G10494" t="n">
        <v>8.1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13161-2025</t>
        </is>
      </c>
      <c r="B10495" s="1" t="n">
        <v>45734</v>
      </c>
      <c r="C10495" s="1" t="n">
        <v>46185</v>
      </c>
      <c r="D10495" t="inlineStr">
        <is>
          <t>VÄSTERNORRLANDS LÄN</t>
        </is>
      </c>
      <c r="E10495" t="inlineStr">
        <is>
          <t>ÖRNSKÖLDSVIK</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8476-2025</t>
        </is>
      </c>
      <c r="B10496" s="1" t="n">
        <v>45709.47894675926</v>
      </c>
      <c r="C10496" s="1" t="n">
        <v>46185</v>
      </c>
      <c r="D10496" t="inlineStr">
        <is>
          <t>VÄSTERNORRLANDS LÄN</t>
        </is>
      </c>
      <c r="E10496" t="inlineStr">
        <is>
          <t>SOLLEFTEÅ</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4186-2025</t>
        </is>
      </c>
      <c r="B10497" s="1" t="n">
        <v>45685.44827546296</v>
      </c>
      <c r="C10497" s="1" t="n">
        <v>46185</v>
      </c>
      <c r="D10497" t="inlineStr">
        <is>
          <t>VÄSTERNORRLANDS LÄN</t>
        </is>
      </c>
      <c r="E10497" t="inlineStr">
        <is>
          <t>ÅNGE</t>
        </is>
      </c>
      <c r="F10497" t="inlineStr">
        <is>
          <t>SCA</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2587-2024</t>
        </is>
      </c>
      <c r="B10498" s="1" t="n">
        <v>45313</v>
      </c>
      <c r="C10498" s="1" t="n">
        <v>46185</v>
      </c>
      <c r="D10498" t="inlineStr">
        <is>
          <t>VÄSTERNORRLANDS LÄN</t>
        </is>
      </c>
      <c r="E10498" t="inlineStr">
        <is>
          <t>SUNDSVALL</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53209-2024</t>
        </is>
      </c>
      <c r="B10499" s="1" t="n">
        <v>45612.51079861111</v>
      </c>
      <c r="C10499" s="1" t="n">
        <v>46185</v>
      </c>
      <c r="D10499" t="inlineStr">
        <is>
          <t>VÄSTERNORRLANDS LÄN</t>
        </is>
      </c>
      <c r="E10499" t="inlineStr">
        <is>
          <t>ÅNGE</t>
        </is>
      </c>
      <c r="F10499" t="inlineStr">
        <is>
          <t>SCA</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47682-2024</t>
        </is>
      </c>
      <c r="B10500" s="1" t="n">
        <v>45588.42511574074</v>
      </c>
      <c r="C10500" s="1" t="n">
        <v>46185</v>
      </c>
      <c r="D10500" t="inlineStr">
        <is>
          <t>VÄSTERNORRLANDS LÄN</t>
        </is>
      </c>
      <c r="E10500" t="inlineStr">
        <is>
          <t>SUNDSVALL</t>
        </is>
      </c>
      <c r="F10500" t="inlineStr">
        <is>
          <t>Holmen skog AB</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17493-2024</t>
        </is>
      </c>
      <c r="B10501" s="1" t="n">
        <v>45415.51228009259</v>
      </c>
      <c r="C10501" s="1" t="n">
        <v>46185</v>
      </c>
      <c r="D10501" t="inlineStr">
        <is>
          <t>VÄSTERNORRLANDS LÄN</t>
        </is>
      </c>
      <c r="E10501" t="inlineStr">
        <is>
          <t>ÖRNSKÖLDSVIK</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45816-2024</t>
        </is>
      </c>
      <c r="B10502" s="1" t="n">
        <v>45579.72534722222</v>
      </c>
      <c r="C10502" s="1" t="n">
        <v>46185</v>
      </c>
      <c r="D10502" t="inlineStr">
        <is>
          <t>VÄSTERNORRLANDS LÄN</t>
        </is>
      </c>
      <c r="E10502" t="inlineStr">
        <is>
          <t>SUNDSVALL</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49673-2024</t>
        </is>
      </c>
      <c r="B10503" s="1" t="n">
        <v>45596.65657407408</v>
      </c>
      <c r="C10503" s="1" t="n">
        <v>46185</v>
      </c>
      <c r="D10503" t="inlineStr">
        <is>
          <t>VÄSTERNORRLANDS LÄN</t>
        </is>
      </c>
      <c r="E10503" t="inlineStr">
        <is>
          <t>SOLLEFTEÅ</t>
        </is>
      </c>
      <c r="F10503" t="inlineStr">
        <is>
          <t>SCA</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12683-2025</t>
        </is>
      </c>
      <c r="B10504" s="1" t="n">
        <v>45733.44483796296</v>
      </c>
      <c r="C10504" s="1" t="n">
        <v>46185</v>
      </c>
      <c r="D10504" t="inlineStr">
        <is>
          <t>VÄSTERNORRLANDS LÄN</t>
        </is>
      </c>
      <c r="E10504" t="inlineStr">
        <is>
          <t>SOLLEFTEÅ</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15778-2025</t>
        </is>
      </c>
      <c r="B10505" s="1" t="n">
        <v>45748.60030092593</v>
      </c>
      <c r="C10505" s="1" t="n">
        <v>46185</v>
      </c>
      <c r="D10505" t="inlineStr">
        <is>
          <t>VÄSTERNORRLANDS LÄN</t>
        </is>
      </c>
      <c r="E10505" t="inlineStr">
        <is>
          <t>ÅNGE</t>
        </is>
      </c>
      <c r="F10505" t="inlineStr">
        <is>
          <t>SCA</t>
        </is>
      </c>
      <c r="G10505" t="n">
        <v>13.6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12020-2025</t>
        </is>
      </c>
      <c r="B10506" s="1" t="n">
        <v>45728</v>
      </c>
      <c r="C10506" s="1" t="n">
        <v>46185</v>
      </c>
      <c r="D10506" t="inlineStr">
        <is>
          <t>VÄSTERNORRLANDS LÄN</t>
        </is>
      </c>
      <c r="E10506" t="inlineStr">
        <is>
          <t>KRAMFORS</t>
        </is>
      </c>
      <c r="G10506" t="n">
        <v>7.9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51681-2023</t>
        </is>
      </c>
      <c r="B10507" s="1" t="n">
        <v>45215</v>
      </c>
      <c r="C10507" s="1" t="n">
        <v>46185</v>
      </c>
      <c r="D10507" t="inlineStr">
        <is>
          <t>VÄSTERNORRLANDS LÄN</t>
        </is>
      </c>
      <c r="E10507" t="inlineStr">
        <is>
          <t>SOLLEFTEÅ</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59378-2024</t>
        </is>
      </c>
      <c r="B10508" s="1" t="n">
        <v>45638.35197916667</v>
      </c>
      <c r="C10508" s="1" t="n">
        <v>46185</v>
      </c>
      <c r="D10508" t="inlineStr">
        <is>
          <t>VÄSTERNORRLANDS LÄN</t>
        </is>
      </c>
      <c r="E10508" t="inlineStr">
        <is>
          <t>KRAMFORS</t>
        </is>
      </c>
      <c r="G10508" t="n">
        <v>7.1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57807-2024</t>
        </is>
      </c>
      <c r="B10509" s="1" t="n">
        <v>45631.35287037037</v>
      </c>
      <c r="C10509" s="1" t="n">
        <v>46185</v>
      </c>
      <c r="D10509" t="inlineStr">
        <is>
          <t>VÄSTERNORRLANDS LÄN</t>
        </is>
      </c>
      <c r="E10509" t="inlineStr">
        <is>
          <t>ÖRNSKÖLDSVIK</t>
        </is>
      </c>
      <c r="G10509" t="n">
        <v>10.3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61343-2024</t>
        </is>
      </c>
      <c r="B10510" s="1" t="n">
        <v>45646.37037037037</v>
      </c>
      <c r="C10510" s="1" t="n">
        <v>46185</v>
      </c>
      <c r="D10510" t="inlineStr">
        <is>
          <t>VÄSTERNORRLANDS LÄN</t>
        </is>
      </c>
      <c r="E10510" t="inlineStr">
        <is>
          <t>ÖRNSKÖLDSVIK</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61400-2024</t>
        </is>
      </c>
      <c r="B10511" s="1" t="n">
        <v>45646.42946759259</v>
      </c>
      <c r="C10511" s="1" t="n">
        <v>46185</v>
      </c>
      <c r="D10511" t="inlineStr">
        <is>
          <t>VÄSTERNORRLANDS LÄN</t>
        </is>
      </c>
      <c r="E10511" t="inlineStr">
        <is>
          <t>ÖRNSKÖLDSVIK</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3772-2025</t>
        </is>
      </c>
      <c r="B10512" s="1" t="n">
        <v>45681</v>
      </c>
      <c r="C10512" s="1" t="n">
        <v>46185</v>
      </c>
      <c r="D10512" t="inlineStr">
        <is>
          <t>VÄSTERNORRLANDS LÄN</t>
        </is>
      </c>
      <c r="E10512" t="inlineStr">
        <is>
          <t>SUNDSVALL</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4341-2024</t>
        </is>
      </c>
      <c r="B10513" s="1" t="n">
        <v>45324.82131944445</v>
      </c>
      <c r="C10513" s="1" t="n">
        <v>46185</v>
      </c>
      <c r="D10513" t="inlineStr">
        <is>
          <t>VÄSTERNORRLANDS LÄN</t>
        </is>
      </c>
      <c r="E10513" t="inlineStr">
        <is>
          <t>ÖRNSKÖLDSVIK</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4344-2024</t>
        </is>
      </c>
      <c r="B10514" s="1" t="n">
        <v>45324.83277777778</v>
      </c>
      <c r="C10514" s="1" t="n">
        <v>46185</v>
      </c>
      <c r="D10514" t="inlineStr">
        <is>
          <t>VÄSTERNORRLANDS LÄN</t>
        </is>
      </c>
      <c r="E10514" t="inlineStr">
        <is>
          <t>ÖRNSKÖLDSVIK</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2538-2024</t>
        </is>
      </c>
      <c r="B10515" s="1" t="n">
        <v>45313</v>
      </c>
      <c r="C10515" s="1" t="n">
        <v>46185</v>
      </c>
      <c r="D10515" t="inlineStr">
        <is>
          <t>VÄSTERNORRLANDS LÄN</t>
        </is>
      </c>
      <c r="E10515" t="inlineStr">
        <is>
          <t>ÖRNSKÖLDSVIK</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12280-2025</t>
        </is>
      </c>
      <c r="B10516" s="1" t="n">
        <v>45729.6537962963</v>
      </c>
      <c r="C10516" s="1" t="n">
        <v>46185</v>
      </c>
      <c r="D10516" t="inlineStr">
        <is>
          <t>VÄSTERNORRLANDS LÄN</t>
        </is>
      </c>
      <c r="E10516" t="inlineStr">
        <is>
          <t>SUNDSVALL</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10814-2025</t>
        </is>
      </c>
      <c r="B10517" s="1" t="n">
        <v>45722.54180555556</v>
      </c>
      <c r="C10517" s="1" t="n">
        <v>46185</v>
      </c>
      <c r="D10517" t="inlineStr">
        <is>
          <t>VÄSTERNORRLANDS LÄN</t>
        </is>
      </c>
      <c r="E10517" t="inlineStr">
        <is>
          <t>ÖRNSKÖLDSVIK</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5849-2024</t>
        </is>
      </c>
      <c r="B10518" s="1" t="n">
        <v>45335</v>
      </c>
      <c r="C10518" s="1" t="n">
        <v>46185</v>
      </c>
      <c r="D10518" t="inlineStr">
        <is>
          <t>VÄSTERNORRLANDS LÄN</t>
        </is>
      </c>
      <c r="E10518" t="inlineStr">
        <is>
          <t>ÖRNSKÖLDSVIK</t>
        </is>
      </c>
      <c r="F10518" t="inlineStr">
        <is>
          <t>Holmen skog AB</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11486-2025</t>
        </is>
      </c>
      <c r="B10519" s="1" t="n">
        <v>45726.6990162037</v>
      </c>
      <c r="C10519" s="1" t="n">
        <v>46185</v>
      </c>
      <c r="D10519" t="inlineStr">
        <is>
          <t>VÄSTERNORRLANDS LÄN</t>
        </is>
      </c>
      <c r="E10519" t="inlineStr">
        <is>
          <t>ÖRNSKÖLDSVIK</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61845-2024</t>
        </is>
      </c>
      <c r="B10520" s="1" t="n">
        <v>45646</v>
      </c>
      <c r="C10520" s="1" t="n">
        <v>46185</v>
      </c>
      <c r="D10520" t="inlineStr">
        <is>
          <t>VÄSTERNORRLANDS LÄN</t>
        </is>
      </c>
      <c r="E10520" t="inlineStr">
        <is>
          <t>SOLLEFTEÅ</t>
        </is>
      </c>
      <c r="G10520" t="n">
        <v>9.4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61849-2024</t>
        </is>
      </c>
      <c r="B10521" s="1" t="n">
        <v>45646</v>
      </c>
      <c r="C10521" s="1" t="n">
        <v>46185</v>
      </c>
      <c r="D10521" t="inlineStr">
        <is>
          <t>VÄSTERNORRLANDS LÄN</t>
        </is>
      </c>
      <c r="E10521" t="inlineStr">
        <is>
          <t>SOLLEFTEÅ</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16809-2025</t>
        </is>
      </c>
      <c r="B10522" s="1" t="n">
        <v>45754</v>
      </c>
      <c r="C10522" s="1" t="n">
        <v>46185</v>
      </c>
      <c r="D10522" t="inlineStr">
        <is>
          <t>VÄSTERNORRLANDS LÄN</t>
        </is>
      </c>
      <c r="E10522" t="inlineStr">
        <is>
          <t>KRAMFORS</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50844-2023</t>
        </is>
      </c>
      <c r="B10523" s="1" t="n">
        <v>45217</v>
      </c>
      <c r="C10523" s="1" t="n">
        <v>46185</v>
      </c>
      <c r="D10523" t="inlineStr">
        <is>
          <t>VÄSTERNORRLANDS LÄN</t>
        </is>
      </c>
      <c r="E10523" t="inlineStr">
        <is>
          <t>SOLLEFTEÅ</t>
        </is>
      </c>
      <c r="F10523" t="inlineStr">
        <is>
          <t>SCA</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50947-2023</t>
        </is>
      </c>
      <c r="B10524" s="1" t="n">
        <v>45211</v>
      </c>
      <c r="C10524" s="1" t="n">
        <v>46185</v>
      </c>
      <c r="D10524" t="inlineStr">
        <is>
          <t>VÄSTERNORRLANDS LÄN</t>
        </is>
      </c>
      <c r="E10524" t="inlineStr">
        <is>
          <t>ÖRNSKÖLDSVIK</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61362-2023</t>
        </is>
      </c>
      <c r="B10525" s="1" t="n">
        <v>45264</v>
      </c>
      <c r="C10525" s="1" t="n">
        <v>46185</v>
      </c>
      <c r="D10525" t="inlineStr">
        <is>
          <t>VÄSTERNORRLANDS LÄN</t>
        </is>
      </c>
      <c r="E10525" t="inlineStr">
        <is>
          <t>ÖRNSKÖLDSVIK</t>
        </is>
      </c>
      <c r="F10525" t="inlineStr">
        <is>
          <t>Övriga Aktiebolag</t>
        </is>
      </c>
      <c r="G10525" t="n">
        <v>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19835-2024</t>
        </is>
      </c>
      <c r="B10526" s="1" t="n">
        <v>45433.37478009259</v>
      </c>
      <c r="C10526" s="1" t="n">
        <v>46185</v>
      </c>
      <c r="D10526" t="inlineStr">
        <is>
          <t>VÄSTERNORRLANDS LÄN</t>
        </is>
      </c>
      <c r="E10526" t="inlineStr">
        <is>
          <t>KRAMFORS</t>
        </is>
      </c>
      <c r="G10526" t="n">
        <v>6.3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19845-2024</t>
        </is>
      </c>
      <c r="B10527" s="1" t="n">
        <v>45433.39101851852</v>
      </c>
      <c r="C10527" s="1" t="n">
        <v>46185</v>
      </c>
      <c r="D10527" t="inlineStr">
        <is>
          <t>VÄSTERNORRLANDS LÄN</t>
        </is>
      </c>
      <c r="E10527" t="inlineStr">
        <is>
          <t>ÖRNSKÖLDSVIK</t>
        </is>
      </c>
      <c r="F10527" t="inlineStr">
        <is>
          <t>Holmen skog AB</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2107-2025</t>
        </is>
      </c>
      <c r="B10528" s="1" t="n">
        <v>45672</v>
      </c>
      <c r="C10528" s="1" t="n">
        <v>46185</v>
      </c>
      <c r="D10528" t="inlineStr">
        <is>
          <t>VÄSTERNORRLANDS LÄN</t>
        </is>
      </c>
      <c r="E10528" t="inlineStr">
        <is>
          <t>ÖRNSKÖLDSVIK</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2112-2025</t>
        </is>
      </c>
      <c r="B10529" s="1" t="n">
        <v>45672</v>
      </c>
      <c r="C10529" s="1" t="n">
        <v>46185</v>
      </c>
      <c r="D10529" t="inlineStr">
        <is>
          <t>VÄSTERNORRLANDS LÄN</t>
        </is>
      </c>
      <c r="E10529" t="inlineStr">
        <is>
          <t>ÖRNSKÖLDSVIK</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38291-2024</t>
        </is>
      </c>
      <c r="B10530" s="1" t="n">
        <v>45545.61715277778</v>
      </c>
      <c r="C10530" s="1" t="n">
        <v>46185</v>
      </c>
      <c r="D10530" t="inlineStr">
        <is>
          <t>VÄSTERNORRLANDS LÄN</t>
        </is>
      </c>
      <c r="E10530" t="inlineStr">
        <is>
          <t>ÖRNSKÖLDSVIK</t>
        </is>
      </c>
      <c r="F10530" t="inlineStr">
        <is>
          <t>Holmen skog AB</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26943-2024</t>
        </is>
      </c>
      <c r="B10531" s="1" t="n">
        <v>45470</v>
      </c>
      <c r="C10531" s="1" t="n">
        <v>46185</v>
      </c>
      <c r="D10531" t="inlineStr">
        <is>
          <t>VÄSTERNORRLANDS LÄN</t>
        </is>
      </c>
      <c r="E10531" t="inlineStr">
        <is>
          <t>ÅNGE</t>
        </is>
      </c>
      <c r="F10531" t="inlineStr">
        <is>
          <t>SCA</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61232-2022</t>
        </is>
      </c>
      <c r="B10532" s="1" t="n">
        <v>44909</v>
      </c>
      <c r="C10532" s="1" t="n">
        <v>46185</v>
      </c>
      <c r="D10532" t="inlineStr">
        <is>
          <t>VÄSTERNORRLANDS LÄN</t>
        </is>
      </c>
      <c r="E10532" t="inlineStr">
        <is>
          <t>ÖRNSKÖLDSVIK</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17664-2023</t>
        </is>
      </c>
      <c r="B10533" s="1" t="n">
        <v>45036.94416666667</v>
      </c>
      <c r="C10533" s="1" t="n">
        <v>46185</v>
      </c>
      <c r="D10533" t="inlineStr">
        <is>
          <t>VÄSTERNORRLANDS LÄN</t>
        </is>
      </c>
      <c r="E10533" t="inlineStr">
        <is>
          <t>SOLLEFTEÅ</t>
        </is>
      </c>
      <c r="F10533" t="inlineStr">
        <is>
          <t>SCA</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53512-2023</t>
        </is>
      </c>
      <c r="B10534" s="1" t="n">
        <v>45230</v>
      </c>
      <c r="C10534" s="1" t="n">
        <v>46185</v>
      </c>
      <c r="D10534" t="inlineStr">
        <is>
          <t>VÄSTERNORRLANDS LÄN</t>
        </is>
      </c>
      <c r="E10534" t="inlineStr">
        <is>
          <t>ÅNGE</t>
        </is>
      </c>
      <c r="F10534" t="inlineStr">
        <is>
          <t>Holmen skog AB</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14353-2025</t>
        </is>
      </c>
      <c r="B10535" s="1" t="n">
        <v>45741.36502314815</v>
      </c>
      <c r="C10535" s="1" t="n">
        <v>46185</v>
      </c>
      <c r="D10535" t="inlineStr">
        <is>
          <t>VÄSTERNORRLANDS LÄN</t>
        </is>
      </c>
      <c r="E10535" t="inlineStr">
        <is>
          <t>SOLLEFTEÅ</t>
        </is>
      </c>
      <c r="F10535" t="inlineStr">
        <is>
          <t>SCA</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2580-2025</t>
        </is>
      </c>
      <c r="B10536" s="1" t="n">
        <v>45674</v>
      </c>
      <c r="C10536" s="1" t="n">
        <v>46185</v>
      </c>
      <c r="D10536" t="inlineStr">
        <is>
          <t>VÄSTERNORRLANDS LÄN</t>
        </is>
      </c>
      <c r="E10536" t="inlineStr">
        <is>
          <t>SOLLEFTEÅ</t>
        </is>
      </c>
      <c r="F10536" t="inlineStr">
        <is>
          <t>SCA</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3235-2024</t>
        </is>
      </c>
      <c r="B10537" s="1" t="n">
        <v>45316</v>
      </c>
      <c r="C10537" s="1" t="n">
        <v>46185</v>
      </c>
      <c r="D10537" t="inlineStr">
        <is>
          <t>VÄSTERNORRLANDS LÄN</t>
        </is>
      </c>
      <c r="E10537" t="inlineStr">
        <is>
          <t>SUNDSVALL</t>
        </is>
      </c>
      <c r="F10537" t="inlineStr">
        <is>
          <t>SCA</t>
        </is>
      </c>
      <c r="G10537" t="n">
        <v>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52758-2023</t>
        </is>
      </c>
      <c r="B10538" s="1" t="n">
        <v>45225</v>
      </c>
      <c r="C10538" s="1" t="n">
        <v>46185</v>
      </c>
      <c r="D10538" t="inlineStr">
        <is>
          <t>VÄSTERNORRLANDS LÄN</t>
        </is>
      </c>
      <c r="E10538" t="inlineStr">
        <is>
          <t>SUNDSVALL</t>
        </is>
      </c>
      <c r="F10538" t="inlineStr">
        <is>
          <t>SCA</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59041-2024</t>
        </is>
      </c>
      <c r="B10539" s="1" t="n">
        <v>45636.71923611111</v>
      </c>
      <c r="C10539" s="1" t="n">
        <v>46185</v>
      </c>
      <c r="D10539" t="inlineStr">
        <is>
          <t>VÄSTERNORRLANDS LÄN</t>
        </is>
      </c>
      <c r="E10539" t="inlineStr">
        <is>
          <t>ÖRNSKÖLDSVIK</t>
        </is>
      </c>
      <c r="F10539" t="inlineStr">
        <is>
          <t>SCA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4147-2025</t>
        </is>
      </c>
      <c r="B10540" s="1" t="n">
        <v>45685.36509259259</v>
      </c>
      <c r="C10540" s="1" t="n">
        <v>46185</v>
      </c>
      <c r="D10540" t="inlineStr">
        <is>
          <t>VÄSTERNORRLANDS LÄN</t>
        </is>
      </c>
      <c r="E10540" t="inlineStr">
        <is>
          <t>HÄRNÖSAND</t>
        </is>
      </c>
      <c r="G10540" t="n">
        <v>6.2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9608-2025</t>
        </is>
      </c>
      <c r="B10541" s="1" t="n">
        <v>45715.65699074074</v>
      </c>
      <c r="C10541" s="1" t="n">
        <v>46185</v>
      </c>
      <c r="D10541" t="inlineStr">
        <is>
          <t>VÄSTERNORRLANDS LÄN</t>
        </is>
      </c>
      <c r="E10541" t="inlineStr">
        <is>
          <t>SOLLEFTEÅ</t>
        </is>
      </c>
      <c r="F10541" t="inlineStr">
        <is>
          <t>SCA</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56411-2023</t>
        </is>
      </c>
      <c r="B10542" s="1" t="n">
        <v>45243</v>
      </c>
      <c r="C10542" s="1" t="n">
        <v>46185</v>
      </c>
      <c r="D10542" t="inlineStr">
        <is>
          <t>VÄSTERNORRLANDS LÄN</t>
        </is>
      </c>
      <c r="E10542" t="inlineStr">
        <is>
          <t>ÖRNSKÖLDSVIK</t>
        </is>
      </c>
      <c r="F10542" t="inlineStr">
        <is>
          <t>Holmen skog AB</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20822-2025</t>
        </is>
      </c>
      <c r="B10543" s="1" t="n">
        <v>45776</v>
      </c>
      <c r="C10543" s="1" t="n">
        <v>46185</v>
      </c>
      <c r="D10543" t="inlineStr">
        <is>
          <t>VÄSTERNORRLANDS LÄN</t>
        </is>
      </c>
      <c r="E10543" t="inlineStr">
        <is>
          <t>HÄRNÖSAND</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20700-2025</t>
        </is>
      </c>
      <c r="B10544" s="1" t="n">
        <v>45776.47576388889</v>
      </c>
      <c r="C10544" s="1" t="n">
        <v>46185</v>
      </c>
      <c r="D10544" t="inlineStr">
        <is>
          <t>VÄSTERNORRLANDS LÄN</t>
        </is>
      </c>
      <c r="E10544" t="inlineStr">
        <is>
          <t>ÖRNSKÖLDSVIK</t>
        </is>
      </c>
      <c r="F10544" t="inlineStr">
        <is>
          <t>Holmen skog AB</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20725-2025</t>
        </is>
      </c>
      <c r="B10545" s="1" t="n">
        <v>45776.51074074074</v>
      </c>
      <c r="C10545" s="1" t="n">
        <v>46185</v>
      </c>
      <c r="D10545" t="inlineStr">
        <is>
          <t>VÄSTERNORRLANDS LÄN</t>
        </is>
      </c>
      <c r="E10545" t="inlineStr">
        <is>
          <t>SOLLEFTEÅ</t>
        </is>
      </c>
      <c r="F10545" t="inlineStr">
        <is>
          <t>SCA</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20726-2025</t>
        </is>
      </c>
      <c r="B10546" s="1" t="n">
        <v>45776.51077546296</v>
      </c>
      <c r="C10546" s="1" t="n">
        <v>46185</v>
      </c>
      <c r="D10546" t="inlineStr">
        <is>
          <t>VÄSTERNORRLANDS LÄN</t>
        </is>
      </c>
      <c r="E10546" t="inlineStr">
        <is>
          <t>ÖRNSKÖLDSVIK</t>
        </is>
      </c>
      <c r="F10546" t="inlineStr">
        <is>
          <t>Holmen skog AB</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20626-2025</t>
        </is>
      </c>
      <c r="B10547" s="1" t="n">
        <v>45776</v>
      </c>
      <c r="C10547" s="1" t="n">
        <v>46185</v>
      </c>
      <c r="D10547" t="inlineStr">
        <is>
          <t>VÄSTERNORRLANDS LÄN</t>
        </is>
      </c>
      <c r="E10547" t="inlineStr">
        <is>
          <t>SUNDSVALL</t>
        </is>
      </c>
      <c r="F10547" t="inlineStr">
        <is>
          <t>Naturvårdsverket</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20629-2025</t>
        </is>
      </c>
      <c r="B10548" s="1" t="n">
        <v>45776</v>
      </c>
      <c r="C10548" s="1" t="n">
        <v>46185</v>
      </c>
      <c r="D10548" t="inlineStr">
        <is>
          <t>VÄSTERNORRLANDS LÄN</t>
        </is>
      </c>
      <c r="E10548" t="inlineStr">
        <is>
          <t>SUNDSVALL</t>
        </is>
      </c>
      <c r="F10548" t="inlineStr">
        <is>
          <t>SCA</t>
        </is>
      </c>
      <c r="G10548" t="n">
        <v>9.4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20630-2025</t>
        </is>
      </c>
      <c r="B10549" s="1" t="n">
        <v>45776.34467592592</v>
      </c>
      <c r="C10549" s="1" t="n">
        <v>46185</v>
      </c>
      <c r="D10549" t="inlineStr">
        <is>
          <t>VÄSTERNORRLANDS LÄN</t>
        </is>
      </c>
      <c r="E10549" t="inlineStr">
        <is>
          <t>SUNDSVALL</t>
        </is>
      </c>
      <c r="F10549" t="inlineStr">
        <is>
          <t>Naturvårdsverket</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20765-2025</t>
        </is>
      </c>
      <c r="B10550" s="1" t="n">
        <v>45776.57975694445</v>
      </c>
      <c r="C10550" s="1" t="n">
        <v>46185</v>
      </c>
      <c r="D10550" t="inlineStr">
        <is>
          <t>VÄSTERNORRLANDS LÄN</t>
        </is>
      </c>
      <c r="E10550" t="inlineStr">
        <is>
          <t>ÖRNSKÖLDSVIK</t>
        </is>
      </c>
      <c r="G10550" t="n">
        <v>20</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20776-2025</t>
        </is>
      </c>
      <c r="B10551" s="1" t="n">
        <v>45776.59410879629</v>
      </c>
      <c r="C10551" s="1" t="n">
        <v>46185</v>
      </c>
      <c r="D10551" t="inlineStr">
        <is>
          <t>VÄSTERNORRLANDS LÄN</t>
        </is>
      </c>
      <c r="E10551" t="inlineStr">
        <is>
          <t>ÅNGE</t>
        </is>
      </c>
      <c r="F10551" t="inlineStr">
        <is>
          <t>SCA</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20793-2025</t>
        </is>
      </c>
      <c r="B10552" s="1" t="n">
        <v>45776</v>
      </c>
      <c r="C10552" s="1" t="n">
        <v>46185</v>
      </c>
      <c r="D10552" t="inlineStr">
        <is>
          <t>VÄSTERNORRLANDS LÄN</t>
        </is>
      </c>
      <c r="E10552" t="inlineStr">
        <is>
          <t>SOLLEFTEÅ</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20627-2025</t>
        </is>
      </c>
      <c r="B10553" s="1" t="n">
        <v>45776.34429398148</v>
      </c>
      <c r="C10553" s="1" t="n">
        <v>46185</v>
      </c>
      <c r="D10553" t="inlineStr">
        <is>
          <t>VÄSTERNORRLANDS LÄN</t>
        </is>
      </c>
      <c r="E10553" t="inlineStr">
        <is>
          <t>SUNDSVALL</t>
        </is>
      </c>
      <c r="F10553" t="inlineStr">
        <is>
          <t>SCA</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20821-2025</t>
        </is>
      </c>
      <c r="B10554" s="1" t="n">
        <v>45776</v>
      </c>
      <c r="C10554" s="1" t="n">
        <v>46185</v>
      </c>
      <c r="D10554" t="inlineStr">
        <is>
          <t>VÄSTERNORRLANDS LÄN</t>
        </is>
      </c>
      <c r="E10554" t="inlineStr">
        <is>
          <t>HÄRNÖSAND</t>
        </is>
      </c>
      <c r="G10554" t="n">
        <v>7.6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20693-2025</t>
        </is>
      </c>
      <c r="B10555" s="1" t="n">
        <v>45776.46915509259</v>
      </c>
      <c r="C10555" s="1" t="n">
        <v>46185</v>
      </c>
      <c r="D10555" t="inlineStr">
        <is>
          <t>VÄSTERNORRLANDS LÄN</t>
        </is>
      </c>
      <c r="E10555" t="inlineStr">
        <is>
          <t>KRAMFORS</t>
        </is>
      </c>
      <c r="F10555" t="inlineStr">
        <is>
          <t>SCA</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20935-2025</t>
        </is>
      </c>
      <c r="B10556" s="1" t="n">
        <v>45777.42762731481</v>
      </c>
      <c r="C10556" s="1" t="n">
        <v>46185</v>
      </c>
      <c r="D10556" t="inlineStr">
        <is>
          <t>VÄSTERNORRLANDS LÄN</t>
        </is>
      </c>
      <c r="E10556" t="inlineStr">
        <is>
          <t>KRAMFORS</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21088-2025</t>
        </is>
      </c>
      <c r="B10557" s="1" t="n">
        <v>45777.61498842593</v>
      </c>
      <c r="C10557" s="1" t="n">
        <v>46185</v>
      </c>
      <c r="D10557" t="inlineStr">
        <is>
          <t>VÄSTERNORRLANDS LÄN</t>
        </is>
      </c>
      <c r="E10557" t="inlineStr">
        <is>
          <t>SOLLEFTEÅ</t>
        </is>
      </c>
      <c r="F10557" t="inlineStr">
        <is>
          <t>SCA</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21068-2025</t>
        </is>
      </c>
      <c r="B10558" s="1" t="n">
        <v>45777.59413194445</v>
      </c>
      <c r="C10558" s="1" t="n">
        <v>46185</v>
      </c>
      <c r="D10558" t="inlineStr">
        <is>
          <t>VÄSTERNORRLANDS LÄN</t>
        </is>
      </c>
      <c r="E10558" t="inlineStr">
        <is>
          <t>ÅNGE</t>
        </is>
      </c>
      <c r="F10558" t="inlineStr">
        <is>
          <t>SCA</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21484-2025</t>
        </is>
      </c>
      <c r="B10559" s="1" t="n">
        <v>45782.595</v>
      </c>
      <c r="C10559" s="1" t="n">
        <v>46185</v>
      </c>
      <c r="D10559" t="inlineStr">
        <is>
          <t>VÄSTERNORRLANDS LÄN</t>
        </is>
      </c>
      <c r="E10559" t="inlineStr">
        <is>
          <t>HÄRNÖSAND</t>
        </is>
      </c>
      <c r="F10559" t="inlineStr">
        <is>
          <t>SCA</t>
        </is>
      </c>
      <c r="G10559" t="n">
        <v>32.1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21480-2025</t>
        </is>
      </c>
      <c r="B10560" s="1" t="n">
        <v>45782.59438657408</v>
      </c>
      <c r="C10560" s="1" t="n">
        <v>46185</v>
      </c>
      <c r="D10560" t="inlineStr">
        <is>
          <t>VÄSTERNORRLANDS LÄN</t>
        </is>
      </c>
      <c r="E10560" t="inlineStr">
        <is>
          <t>HÄRNÖSAND</t>
        </is>
      </c>
      <c r="F10560" t="inlineStr">
        <is>
          <t>SCA</t>
        </is>
      </c>
      <c r="G10560" t="n">
        <v>12.3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21483-2025</t>
        </is>
      </c>
      <c r="B10561" s="1" t="n">
        <v>45782.59474537037</v>
      </c>
      <c r="C10561" s="1" t="n">
        <v>46185</v>
      </c>
      <c r="D10561" t="inlineStr">
        <is>
          <t>VÄSTERNORRLANDS LÄN</t>
        </is>
      </c>
      <c r="E10561" t="inlineStr">
        <is>
          <t>TIMRÅ</t>
        </is>
      </c>
      <c r="F10561" t="inlineStr">
        <is>
          <t>SCA</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21313-2025</t>
        </is>
      </c>
      <c r="B10562" s="1" t="n">
        <v>45782.28538194444</v>
      </c>
      <c r="C10562" s="1" t="n">
        <v>46185</v>
      </c>
      <c r="D10562" t="inlineStr">
        <is>
          <t>VÄSTERNORRLANDS LÄN</t>
        </is>
      </c>
      <c r="E10562" t="inlineStr">
        <is>
          <t>ÖRNSKÖLDSVIK</t>
        </is>
      </c>
      <c r="F10562" t="inlineStr">
        <is>
          <t>Holmen skog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21475-2025</t>
        </is>
      </c>
      <c r="B10563" s="1" t="n">
        <v>45782.59091435185</v>
      </c>
      <c r="C10563" s="1" t="n">
        <v>46185</v>
      </c>
      <c r="D10563" t="inlineStr">
        <is>
          <t>VÄSTERNORRLANDS LÄN</t>
        </is>
      </c>
      <c r="E10563" t="inlineStr">
        <is>
          <t>ÖRNSKÖLDSVIK</t>
        </is>
      </c>
      <c r="F10563" t="inlineStr">
        <is>
          <t>Holmen skog AB</t>
        </is>
      </c>
      <c r="G10563" t="n">
        <v>5.9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57403-2023</t>
        </is>
      </c>
      <c r="B10564" s="1" t="n">
        <v>45245</v>
      </c>
      <c r="C10564" s="1" t="n">
        <v>46185</v>
      </c>
      <c r="D10564" t="inlineStr">
        <is>
          <t>VÄSTERNORRLANDS LÄN</t>
        </is>
      </c>
      <c r="E10564" t="inlineStr">
        <is>
          <t>SUNDSVALL</t>
        </is>
      </c>
      <c r="F10564" t="inlineStr">
        <is>
          <t>SCA</t>
        </is>
      </c>
      <c r="G10564" t="n">
        <v>5.8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3990-2024</t>
        </is>
      </c>
      <c r="B10565" s="1" t="n">
        <v>45322.94880787037</v>
      </c>
      <c r="C10565" s="1" t="n">
        <v>46185</v>
      </c>
      <c r="D10565" t="inlineStr">
        <is>
          <t>VÄSTERNORRLANDS LÄN</t>
        </is>
      </c>
      <c r="E10565" t="inlineStr">
        <is>
          <t>SOLLEFTEÅ</t>
        </is>
      </c>
      <c r="F10565" t="inlineStr">
        <is>
          <t>SCA</t>
        </is>
      </c>
      <c r="G10565" t="n">
        <v>6.3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52087-2023</t>
        </is>
      </c>
      <c r="B10566" s="1" t="n">
        <v>45223</v>
      </c>
      <c r="C10566" s="1" t="n">
        <v>46185</v>
      </c>
      <c r="D10566" t="inlineStr">
        <is>
          <t>VÄSTERNORRLANDS LÄN</t>
        </is>
      </c>
      <c r="E10566" t="inlineStr">
        <is>
          <t>SOLLEFTEÅ</t>
        </is>
      </c>
      <c r="G10566" t="n">
        <v>10.7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21415-2025</t>
        </is>
      </c>
      <c r="B10567" s="1" t="n">
        <v>45782.4940625</v>
      </c>
      <c r="C10567" s="1" t="n">
        <v>46185</v>
      </c>
      <c r="D10567" t="inlineStr">
        <is>
          <t>VÄSTERNORRLANDS LÄN</t>
        </is>
      </c>
      <c r="E10567" t="inlineStr">
        <is>
          <t>ÖRNSKÖLDSVIK</t>
        </is>
      </c>
      <c r="F10567" t="inlineStr">
        <is>
          <t>Holmen skog AB</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21241-2025</t>
        </is>
      </c>
      <c r="B10568" s="1" t="n">
        <v>45779.56971064815</v>
      </c>
      <c r="C10568" s="1" t="n">
        <v>46185</v>
      </c>
      <c r="D10568" t="inlineStr">
        <is>
          <t>VÄSTERNORRLANDS LÄN</t>
        </is>
      </c>
      <c r="E10568" t="inlineStr">
        <is>
          <t>ÖRNSKÖLDSVIK</t>
        </is>
      </c>
      <c r="G10568" t="n">
        <v>0.2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21553-2025</t>
        </is>
      </c>
      <c r="B10569" s="1" t="n">
        <v>45782.67805555555</v>
      </c>
      <c r="C10569" s="1" t="n">
        <v>46185</v>
      </c>
      <c r="D10569" t="inlineStr">
        <is>
          <t>VÄSTERNORRLANDS LÄN</t>
        </is>
      </c>
      <c r="E10569" t="inlineStr">
        <is>
          <t>SOLLEFTEÅ</t>
        </is>
      </c>
      <c r="F10569" t="inlineStr">
        <is>
          <t>SCA</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21555-2025</t>
        </is>
      </c>
      <c r="B10570" s="1" t="n">
        <v>45782.67828703704</v>
      </c>
      <c r="C10570" s="1" t="n">
        <v>46185</v>
      </c>
      <c r="D10570" t="inlineStr">
        <is>
          <t>VÄSTERNORRLANDS LÄN</t>
        </is>
      </c>
      <c r="E10570" t="inlineStr">
        <is>
          <t>SOLLEFTEÅ</t>
        </is>
      </c>
      <c r="F10570" t="inlineStr">
        <is>
          <t>SCA</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21521-2025</t>
        </is>
      </c>
      <c r="B10571" s="1" t="n">
        <v>45782.63612268519</v>
      </c>
      <c r="C10571" s="1" t="n">
        <v>46185</v>
      </c>
      <c r="D10571" t="inlineStr">
        <is>
          <t>VÄSTERNORRLANDS LÄN</t>
        </is>
      </c>
      <c r="E10571" t="inlineStr">
        <is>
          <t>ÖRNSKÖLDSVIK</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21429-2025</t>
        </is>
      </c>
      <c r="B10572" s="1" t="n">
        <v>45782.51084490741</v>
      </c>
      <c r="C10572" s="1" t="n">
        <v>46185</v>
      </c>
      <c r="D10572" t="inlineStr">
        <is>
          <t>VÄSTERNORRLANDS LÄN</t>
        </is>
      </c>
      <c r="E10572" t="inlineStr">
        <is>
          <t>SOLLEFTEÅ</t>
        </is>
      </c>
      <c r="F10572" t="inlineStr">
        <is>
          <t>SCA</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6058-2024</t>
        </is>
      </c>
      <c r="B10573" s="1" t="n">
        <v>45336.75866898148</v>
      </c>
      <c r="C10573" s="1" t="n">
        <v>46185</v>
      </c>
      <c r="D10573" t="inlineStr">
        <is>
          <t>VÄSTERNORRLANDS LÄN</t>
        </is>
      </c>
      <c r="E10573" t="inlineStr">
        <is>
          <t>SOLLEFTEÅ</t>
        </is>
      </c>
      <c r="F10573" t="inlineStr">
        <is>
          <t>Övriga Aktiebolag</t>
        </is>
      </c>
      <c r="G10573" t="n">
        <v>5.2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21197-2025</t>
        </is>
      </c>
      <c r="B10574" s="1" t="n">
        <v>45779.46949074074</v>
      </c>
      <c r="C10574" s="1" t="n">
        <v>46185</v>
      </c>
      <c r="D10574" t="inlineStr">
        <is>
          <t>VÄSTERNORRLANDS LÄN</t>
        </is>
      </c>
      <c r="E10574" t="inlineStr">
        <is>
          <t>ÅNGE</t>
        </is>
      </c>
      <c r="F10574" t="inlineStr">
        <is>
          <t>SCA</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21490-2025</t>
        </is>
      </c>
      <c r="B10575" s="1" t="n">
        <v>45782.59568287037</v>
      </c>
      <c r="C10575" s="1" t="n">
        <v>46185</v>
      </c>
      <c r="D10575" t="inlineStr">
        <is>
          <t>VÄSTERNORRLANDS LÄN</t>
        </is>
      </c>
      <c r="E10575" t="inlineStr">
        <is>
          <t>KRAMFORS</t>
        </is>
      </c>
      <c r="F10575" t="inlineStr">
        <is>
          <t>SCA</t>
        </is>
      </c>
      <c r="G10575" t="n">
        <v>32.4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21455-2025</t>
        </is>
      </c>
      <c r="B10576" s="1" t="n">
        <v>45782.55332175926</v>
      </c>
      <c r="C10576" s="1" t="n">
        <v>46185</v>
      </c>
      <c r="D10576" t="inlineStr">
        <is>
          <t>VÄSTERNORRLANDS LÄN</t>
        </is>
      </c>
      <c r="E10576" t="inlineStr">
        <is>
          <t>SOLLEFTEÅ</t>
        </is>
      </c>
      <c r="F10576" t="inlineStr">
        <is>
          <t>SCA</t>
        </is>
      </c>
      <c r="G10576" t="n">
        <v>10.5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51527-2024</t>
        </is>
      </c>
      <c r="B10577" s="1" t="n">
        <v>45604</v>
      </c>
      <c r="C10577" s="1" t="n">
        <v>46185</v>
      </c>
      <c r="D10577" t="inlineStr">
        <is>
          <t>VÄSTERNORRLANDS LÄN</t>
        </is>
      </c>
      <c r="E10577" t="inlineStr">
        <is>
          <t>SOLLEFTEÅ</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36661-2024</t>
        </is>
      </c>
      <c r="B10578" s="1" t="n">
        <v>45537</v>
      </c>
      <c r="C10578" s="1" t="n">
        <v>46185</v>
      </c>
      <c r="D10578" t="inlineStr">
        <is>
          <t>VÄSTERNORRLANDS LÄN</t>
        </is>
      </c>
      <c r="E10578" t="inlineStr">
        <is>
          <t>ÖRNSKÖLDSVIK</t>
        </is>
      </c>
      <c r="F10578" t="inlineStr">
        <is>
          <t>Holmen skog AB</t>
        </is>
      </c>
      <c r="G10578" t="n">
        <v>6.5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21554-2025</t>
        </is>
      </c>
      <c r="B10579" s="1" t="n">
        <v>45782.67815972222</v>
      </c>
      <c r="C10579" s="1" t="n">
        <v>46185</v>
      </c>
      <c r="D10579" t="inlineStr">
        <is>
          <t>VÄSTERNORRLANDS LÄN</t>
        </is>
      </c>
      <c r="E10579" t="inlineStr">
        <is>
          <t>SUNDSVALL</t>
        </is>
      </c>
      <c r="F10579" t="inlineStr">
        <is>
          <t>SCA</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21563-2025</t>
        </is>
      </c>
      <c r="B10580" s="1" t="n">
        <v>45782.69822916666</v>
      </c>
      <c r="C10580" s="1" t="n">
        <v>46185</v>
      </c>
      <c r="D10580" t="inlineStr">
        <is>
          <t>VÄSTERNORRLANDS LÄN</t>
        </is>
      </c>
      <c r="E10580" t="inlineStr">
        <is>
          <t>ÅNGE</t>
        </is>
      </c>
      <c r="F10580" t="inlineStr">
        <is>
          <t>SCA</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45030-2024</t>
        </is>
      </c>
      <c r="B10581" s="1" t="n">
        <v>45575.52089120371</v>
      </c>
      <c r="C10581" s="1" t="n">
        <v>46185</v>
      </c>
      <c r="D10581" t="inlineStr">
        <is>
          <t>VÄSTERNORRLANDS LÄN</t>
        </is>
      </c>
      <c r="E10581" t="inlineStr">
        <is>
          <t>ÅNGE</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21533-2025</t>
        </is>
      </c>
      <c r="B10582" s="1" t="n">
        <v>45782.65508101852</v>
      </c>
      <c r="C10582" s="1" t="n">
        <v>46185</v>
      </c>
      <c r="D10582" t="inlineStr">
        <is>
          <t>VÄSTERNORRLANDS LÄN</t>
        </is>
      </c>
      <c r="E10582" t="inlineStr">
        <is>
          <t>KRAMFORS</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45719-2022</t>
        </is>
      </c>
      <c r="B10583" s="1" t="n">
        <v>44845.95533564815</v>
      </c>
      <c r="C10583" s="1" t="n">
        <v>46185</v>
      </c>
      <c r="D10583" t="inlineStr">
        <is>
          <t>VÄSTERNORRLANDS LÄN</t>
        </is>
      </c>
      <c r="E10583" t="inlineStr">
        <is>
          <t>SOLLEFTEÅ</t>
        </is>
      </c>
      <c r="F10583" t="inlineStr">
        <is>
          <t>SCA</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21319-2025</t>
        </is>
      </c>
      <c r="B10584" s="1" t="n">
        <v>45782.34487268519</v>
      </c>
      <c r="C10584" s="1" t="n">
        <v>46185</v>
      </c>
      <c r="D10584" t="inlineStr">
        <is>
          <t>VÄSTERNORRLANDS LÄN</t>
        </is>
      </c>
      <c r="E10584" t="inlineStr">
        <is>
          <t>SUNDSVALL</t>
        </is>
      </c>
      <c r="F10584" t="inlineStr">
        <is>
          <t>SCA</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21481-2025</t>
        </is>
      </c>
      <c r="B10585" s="1" t="n">
        <v>45782.59451388889</v>
      </c>
      <c r="C10585" s="1" t="n">
        <v>46185</v>
      </c>
      <c r="D10585" t="inlineStr">
        <is>
          <t>VÄSTERNORRLANDS LÄN</t>
        </is>
      </c>
      <c r="E10585" t="inlineStr">
        <is>
          <t>SOLLEFTEÅ</t>
        </is>
      </c>
      <c r="F10585" t="inlineStr">
        <is>
          <t>SCA</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21488-2025</t>
        </is>
      </c>
      <c r="B10586" s="1" t="n">
        <v>45782.59545138889</v>
      </c>
      <c r="C10586" s="1" t="n">
        <v>46185</v>
      </c>
      <c r="D10586" t="inlineStr">
        <is>
          <t>VÄSTERNORRLANDS LÄN</t>
        </is>
      </c>
      <c r="E10586" t="inlineStr">
        <is>
          <t>SUNDSVALL</t>
        </is>
      </c>
      <c r="F10586" t="inlineStr">
        <is>
          <t>SCA</t>
        </is>
      </c>
      <c r="G10586" t="n">
        <v>19.2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21489-2025</t>
        </is>
      </c>
      <c r="B10587" s="1" t="n">
        <v>45782.59555555556</v>
      </c>
      <c r="C10587" s="1" t="n">
        <v>46185</v>
      </c>
      <c r="D10587" t="inlineStr">
        <is>
          <t>VÄSTERNORRLANDS LÄN</t>
        </is>
      </c>
      <c r="E10587" t="inlineStr">
        <is>
          <t>SOLLEFTEÅ</t>
        </is>
      </c>
      <c r="F10587" t="inlineStr">
        <is>
          <t>SCA</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21478-2025</t>
        </is>
      </c>
      <c r="B10588" s="1" t="n">
        <v>45782.59412037037</v>
      </c>
      <c r="C10588" s="1" t="n">
        <v>46185</v>
      </c>
      <c r="D10588" t="inlineStr">
        <is>
          <t>VÄSTERNORRLANDS LÄN</t>
        </is>
      </c>
      <c r="E10588" t="inlineStr">
        <is>
          <t>SUNDSVALL</t>
        </is>
      </c>
      <c r="F10588" t="inlineStr">
        <is>
          <t>Naturvårdsverket</t>
        </is>
      </c>
      <c r="G10588" t="n">
        <v>5.6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21387-2025</t>
        </is>
      </c>
      <c r="B10589" s="1" t="n">
        <v>45782.47387731481</v>
      </c>
      <c r="C10589" s="1" t="n">
        <v>46185</v>
      </c>
      <c r="D10589" t="inlineStr">
        <is>
          <t>VÄSTERNORRLANDS LÄN</t>
        </is>
      </c>
      <c r="E10589" t="inlineStr">
        <is>
          <t>ÖRNSKÖLDSVIK</t>
        </is>
      </c>
      <c r="F10589" t="inlineStr">
        <is>
          <t>Holmen skog AB</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21174-2025</t>
        </is>
      </c>
      <c r="B10590" s="1" t="n">
        <v>45779.42746527777</v>
      </c>
      <c r="C10590" s="1" t="n">
        <v>46185</v>
      </c>
      <c r="D10590" t="inlineStr">
        <is>
          <t>VÄSTERNORRLANDS LÄN</t>
        </is>
      </c>
      <c r="E10590" t="inlineStr">
        <is>
          <t>ÅNGE</t>
        </is>
      </c>
      <c r="F10590" t="inlineStr">
        <is>
          <t>SCA</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28659-2024</t>
        </is>
      </c>
      <c r="B10591" s="1" t="n">
        <v>45478.47100694444</v>
      </c>
      <c r="C10591" s="1" t="n">
        <v>46185</v>
      </c>
      <c r="D10591" t="inlineStr">
        <is>
          <t>VÄSTERNORRLANDS LÄN</t>
        </is>
      </c>
      <c r="E10591" t="inlineStr">
        <is>
          <t>ÖRNSKÖLDSVIK</t>
        </is>
      </c>
      <c r="F10591" t="inlineStr">
        <is>
          <t>Holmen skog AB</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21251-2025</t>
        </is>
      </c>
      <c r="B10592" s="1" t="n">
        <v>45779.57417824074</v>
      </c>
      <c r="C10592" s="1" t="n">
        <v>46185</v>
      </c>
      <c r="D10592" t="inlineStr">
        <is>
          <t>VÄSTERNORRLANDS LÄN</t>
        </is>
      </c>
      <c r="E10592" t="inlineStr">
        <is>
          <t>ÅNGE</t>
        </is>
      </c>
      <c r="F10592" t="inlineStr">
        <is>
          <t>SCA</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6269-2024</t>
        </is>
      </c>
      <c r="B10593" s="1" t="n">
        <v>45337</v>
      </c>
      <c r="C10593" s="1" t="n">
        <v>46185</v>
      </c>
      <c r="D10593" t="inlineStr">
        <is>
          <t>VÄSTERNORRLANDS LÄN</t>
        </is>
      </c>
      <c r="E10593" t="inlineStr">
        <is>
          <t>SUNDSVALL</t>
        </is>
      </c>
      <c r="G10593" t="n">
        <v>9.699999999999999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21859-2025</t>
        </is>
      </c>
      <c r="B10594" s="1" t="n">
        <v>45784.36427083334</v>
      </c>
      <c r="C10594" s="1" t="n">
        <v>46185</v>
      </c>
      <c r="D10594" t="inlineStr">
        <is>
          <t>VÄSTERNORRLANDS LÄN</t>
        </is>
      </c>
      <c r="E10594" t="inlineStr">
        <is>
          <t>ÖRNSKÖLDSVIK</t>
        </is>
      </c>
      <c r="F10594" t="inlineStr">
        <is>
          <t>Holmen skog AB</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21712-2025</t>
        </is>
      </c>
      <c r="B10595" s="1" t="n">
        <v>45783.53210648148</v>
      </c>
      <c r="C10595" s="1" t="n">
        <v>46185</v>
      </c>
      <c r="D10595" t="inlineStr">
        <is>
          <t>VÄSTERNORRLANDS LÄN</t>
        </is>
      </c>
      <c r="E10595" t="inlineStr">
        <is>
          <t>ÅNGE</t>
        </is>
      </c>
      <c r="F10595" t="inlineStr">
        <is>
          <t>SCA</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52237-2023</t>
        </is>
      </c>
      <c r="B10596" s="1" t="n">
        <v>45217</v>
      </c>
      <c r="C10596" s="1" t="n">
        <v>46185</v>
      </c>
      <c r="D10596" t="inlineStr">
        <is>
          <t>VÄSTERNORRLANDS LÄN</t>
        </is>
      </c>
      <c r="E10596" t="inlineStr">
        <is>
          <t>SUNDSVALL</t>
        </is>
      </c>
      <c r="G10596" t="n">
        <v>8.800000000000001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2539-2025</t>
        </is>
      </c>
      <c r="B10597" s="1" t="n">
        <v>45674.61581018518</v>
      </c>
      <c r="C10597" s="1" t="n">
        <v>46185</v>
      </c>
      <c r="D10597" t="inlineStr">
        <is>
          <t>VÄSTERNORRLANDS LÄN</t>
        </is>
      </c>
      <c r="E10597" t="inlineStr">
        <is>
          <t>ÅNGE</t>
        </is>
      </c>
      <c r="F10597" t="inlineStr">
        <is>
          <t>SCA</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63748-2023</t>
        </is>
      </c>
      <c r="B10598" s="1" t="n">
        <v>45277</v>
      </c>
      <c r="C10598" s="1" t="n">
        <v>46185</v>
      </c>
      <c r="D10598" t="inlineStr">
        <is>
          <t>VÄSTERNORRLANDS LÄN</t>
        </is>
      </c>
      <c r="E10598" t="inlineStr">
        <is>
          <t>ÖRNSKÖLDSVIK</t>
        </is>
      </c>
      <c r="F10598" t="inlineStr">
        <is>
          <t>Övriga Aktiebolag</t>
        </is>
      </c>
      <c r="G10598" t="n">
        <v>4.6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22187-2024</t>
        </is>
      </c>
      <c r="B10599" s="1" t="n">
        <v>45446.35222222222</v>
      </c>
      <c r="C10599" s="1" t="n">
        <v>46185</v>
      </c>
      <c r="D10599" t="inlineStr">
        <is>
          <t>VÄSTERNORRLANDS LÄN</t>
        </is>
      </c>
      <c r="E10599" t="inlineStr">
        <is>
          <t>ÅNGE</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21883-2025</t>
        </is>
      </c>
      <c r="B10600" s="1" t="n">
        <v>45784.41361111111</v>
      </c>
      <c r="C10600" s="1" t="n">
        <v>46185</v>
      </c>
      <c r="D10600" t="inlineStr">
        <is>
          <t>VÄSTERNORRLANDS LÄN</t>
        </is>
      </c>
      <c r="E10600" t="inlineStr">
        <is>
          <t>ÅNGE</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21596-2025</t>
        </is>
      </c>
      <c r="B10601" s="1" t="n">
        <v>45783.34482638889</v>
      </c>
      <c r="C10601" s="1" t="n">
        <v>46185</v>
      </c>
      <c r="D10601" t="inlineStr">
        <is>
          <t>VÄSTERNORRLANDS LÄN</t>
        </is>
      </c>
      <c r="E10601" t="inlineStr">
        <is>
          <t>TIMRÅ</t>
        </is>
      </c>
      <c r="F10601" t="inlineStr">
        <is>
          <t>SCA</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21665-2025</t>
        </is>
      </c>
      <c r="B10602" s="1" t="n">
        <v>45783.45895833334</v>
      </c>
      <c r="C10602" s="1" t="n">
        <v>46185</v>
      </c>
      <c r="D10602" t="inlineStr">
        <is>
          <t>VÄSTERNORRLANDS LÄN</t>
        </is>
      </c>
      <c r="E10602" t="inlineStr">
        <is>
          <t>SUNDSVALL</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21983-2025</t>
        </is>
      </c>
      <c r="B10603" s="1" t="n">
        <v>45784.65678240741</v>
      </c>
      <c r="C10603" s="1" t="n">
        <v>46185</v>
      </c>
      <c r="D10603" t="inlineStr">
        <is>
          <t>VÄSTERNORRLANDS LÄN</t>
        </is>
      </c>
      <c r="E10603" t="inlineStr">
        <is>
          <t>SOLLEFTEÅ</t>
        </is>
      </c>
      <c r="F10603" t="inlineStr">
        <is>
          <t>SCA</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21998-2025</t>
        </is>
      </c>
      <c r="B10604" s="1" t="n">
        <v>45784.69828703703</v>
      </c>
      <c r="C10604" s="1" t="n">
        <v>46185</v>
      </c>
      <c r="D10604" t="inlineStr">
        <is>
          <t>VÄSTERNORRLANDS LÄN</t>
        </is>
      </c>
      <c r="E10604" t="inlineStr">
        <is>
          <t>TIMRÅ</t>
        </is>
      </c>
      <c r="F10604" t="inlineStr">
        <is>
          <t>SCA</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25867-2024</t>
        </is>
      </c>
      <c r="B10605" s="1" t="n">
        <v>45463</v>
      </c>
      <c r="C10605" s="1" t="n">
        <v>46185</v>
      </c>
      <c r="D10605" t="inlineStr">
        <is>
          <t>VÄSTERNORRLANDS LÄN</t>
        </is>
      </c>
      <c r="E10605" t="inlineStr">
        <is>
          <t>ÅNGE</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17669-2023</t>
        </is>
      </c>
      <c r="B10606" s="1" t="n">
        <v>45036.94457175926</v>
      </c>
      <c r="C10606" s="1" t="n">
        <v>46185</v>
      </c>
      <c r="D10606" t="inlineStr">
        <is>
          <t>VÄSTERNORRLANDS LÄN</t>
        </is>
      </c>
      <c r="E10606" t="inlineStr">
        <is>
          <t>ÅNGE</t>
        </is>
      </c>
      <c r="F10606" t="inlineStr">
        <is>
          <t>SCA</t>
        </is>
      </c>
      <c r="G10606" t="n">
        <v>3.5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29395-2023</t>
        </is>
      </c>
      <c r="B10607" s="1" t="n">
        <v>45106.4359837963</v>
      </c>
      <c r="C10607" s="1" t="n">
        <v>46185</v>
      </c>
      <c r="D10607" t="inlineStr">
        <is>
          <t>VÄSTERNORRLANDS LÄN</t>
        </is>
      </c>
      <c r="E10607" t="inlineStr">
        <is>
          <t>ÅNGE</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7107-2024</t>
        </is>
      </c>
      <c r="B10608" s="1" t="n">
        <v>45343</v>
      </c>
      <c r="C10608" s="1" t="n">
        <v>46185</v>
      </c>
      <c r="D10608" t="inlineStr">
        <is>
          <t>VÄSTERNORRLANDS LÄN</t>
        </is>
      </c>
      <c r="E10608" t="inlineStr">
        <is>
          <t>SOLLEFTEÅ</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21666-2025</t>
        </is>
      </c>
      <c r="B10609" s="1" t="n">
        <v>45783.46287037037</v>
      </c>
      <c r="C10609" s="1" t="n">
        <v>46185</v>
      </c>
      <c r="D10609" t="inlineStr">
        <is>
          <t>VÄSTERNORRLANDS LÄN</t>
        </is>
      </c>
      <c r="E10609" t="inlineStr">
        <is>
          <t>ÖRNSKÖLDSVIK</t>
        </is>
      </c>
      <c r="G10609" t="n">
        <v>4.2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21862-2025</t>
        </is>
      </c>
      <c r="B10610" s="1" t="n">
        <v>45784.36519675926</v>
      </c>
      <c r="C10610" s="1" t="n">
        <v>46185</v>
      </c>
      <c r="D10610" t="inlineStr">
        <is>
          <t>VÄSTERNORRLANDS LÄN</t>
        </is>
      </c>
      <c r="E10610" t="inlineStr">
        <is>
          <t>ÅNGE</t>
        </is>
      </c>
      <c r="F10610" t="inlineStr">
        <is>
          <t>SCA</t>
        </is>
      </c>
      <c r="G10610" t="n">
        <v>4.6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21896-2025</t>
        </is>
      </c>
      <c r="B10611" s="1" t="n">
        <v>45784.45366898148</v>
      </c>
      <c r="C10611" s="1" t="n">
        <v>46185</v>
      </c>
      <c r="D10611" t="inlineStr">
        <is>
          <t>VÄSTERNORRLANDS LÄN</t>
        </is>
      </c>
      <c r="E10611" t="inlineStr">
        <is>
          <t>SOLLEFTEÅ</t>
        </is>
      </c>
      <c r="G10611" t="n">
        <v>16.1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54295-2024</t>
        </is>
      </c>
      <c r="B10612" s="1" t="n">
        <v>45617</v>
      </c>
      <c r="C10612" s="1" t="n">
        <v>46185</v>
      </c>
      <c r="D10612" t="inlineStr">
        <is>
          <t>VÄSTERNORRLANDS LÄN</t>
        </is>
      </c>
      <c r="E10612" t="inlineStr">
        <is>
          <t>ÅNGE</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21338-2024</t>
        </is>
      </c>
      <c r="B10613" s="1" t="n">
        <v>45440.92746527777</v>
      </c>
      <c r="C10613" s="1" t="n">
        <v>46185</v>
      </c>
      <c r="D10613" t="inlineStr">
        <is>
          <t>VÄSTERNORRLANDS LÄN</t>
        </is>
      </c>
      <c r="E10613" t="inlineStr">
        <is>
          <t>SUNDSVALL</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28172-2024</t>
        </is>
      </c>
      <c r="B10614" s="1" t="n">
        <v>45476</v>
      </c>
      <c r="C10614" s="1" t="n">
        <v>46185</v>
      </c>
      <c r="D10614" t="inlineStr">
        <is>
          <t>VÄSTERNORRLANDS LÄN</t>
        </is>
      </c>
      <c r="E10614" t="inlineStr">
        <is>
          <t>SUNDSVALL</t>
        </is>
      </c>
      <c r="F10614" t="inlineStr">
        <is>
          <t>Kyrkan</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42343-2024</t>
        </is>
      </c>
      <c r="B10615" s="1" t="n">
        <v>45562</v>
      </c>
      <c r="C10615" s="1" t="n">
        <v>46185</v>
      </c>
      <c r="D10615" t="inlineStr">
        <is>
          <t>VÄSTERNORRLANDS LÄN</t>
        </is>
      </c>
      <c r="E10615" t="inlineStr">
        <is>
          <t>HÄRNÖSAND</t>
        </is>
      </c>
      <c r="G10615" t="n">
        <v>15.6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21768-2025</t>
        </is>
      </c>
      <c r="B10616" s="1" t="n">
        <v>45783.65178240741</v>
      </c>
      <c r="C10616" s="1" t="n">
        <v>46185</v>
      </c>
      <c r="D10616" t="inlineStr">
        <is>
          <t>VÄSTERNORRLANDS LÄN</t>
        </is>
      </c>
      <c r="E10616" t="inlineStr">
        <is>
          <t>SUNDSVALL</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21777-2025</t>
        </is>
      </c>
      <c r="B10617" s="1" t="n">
        <v>45783.66395833333</v>
      </c>
      <c r="C10617" s="1" t="n">
        <v>46185</v>
      </c>
      <c r="D10617" t="inlineStr">
        <is>
          <t>VÄSTERNORRLANDS LÄN</t>
        </is>
      </c>
      <c r="E10617" t="inlineStr">
        <is>
          <t>ÖRNSKÖLDSVIK</t>
        </is>
      </c>
      <c r="G10617" t="n">
        <v>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21863-2025</t>
        </is>
      </c>
      <c r="B10618" s="1" t="n">
        <v>45784.36532407408</v>
      </c>
      <c r="C10618" s="1" t="n">
        <v>46185</v>
      </c>
      <c r="D10618" t="inlineStr">
        <is>
          <t>VÄSTERNORRLANDS LÄN</t>
        </is>
      </c>
      <c r="E10618" t="inlineStr">
        <is>
          <t>SOLLEFTEÅ</t>
        </is>
      </c>
      <c r="F10618" t="inlineStr">
        <is>
          <t>SCA</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21599-2025</t>
        </is>
      </c>
      <c r="B10619" s="1" t="n">
        <v>45783.34505787037</v>
      </c>
      <c r="C10619" s="1" t="n">
        <v>46185</v>
      </c>
      <c r="D10619" t="inlineStr">
        <is>
          <t>VÄSTERNORRLANDS LÄN</t>
        </is>
      </c>
      <c r="E10619" t="inlineStr">
        <is>
          <t>TIMRÅ</t>
        </is>
      </c>
      <c r="F10619" t="inlineStr">
        <is>
          <t>SCA</t>
        </is>
      </c>
      <c r="G10619" t="n">
        <v>8.300000000000001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21626-2025</t>
        </is>
      </c>
      <c r="B10620" s="1" t="n">
        <v>45783.4165162037</v>
      </c>
      <c r="C10620" s="1" t="n">
        <v>46185</v>
      </c>
      <c r="D10620" t="inlineStr">
        <is>
          <t>VÄSTERNORRLANDS LÄN</t>
        </is>
      </c>
      <c r="E10620" t="inlineStr">
        <is>
          <t>KRAMFORS</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21669-2025</t>
        </is>
      </c>
      <c r="B10621" s="1" t="n">
        <v>45783.46905092592</v>
      </c>
      <c r="C10621" s="1" t="n">
        <v>46185</v>
      </c>
      <c r="D10621" t="inlineStr">
        <is>
          <t>VÄSTERNORRLANDS LÄN</t>
        </is>
      </c>
      <c r="E10621" t="inlineStr">
        <is>
          <t>SOLLEFTEÅ</t>
        </is>
      </c>
      <c r="F10621" t="inlineStr">
        <is>
          <t>SCA</t>
        </is>
      </c>
      <c r="G10621" t="n">
        <v>7.8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21741-2025</t>
        </is>
      </c>
      <c r="B10622" s="1" t="n">
        <v>45783.59415509259</v>
      </c>
      <c r="C10622" s="1" t="n">
        <v>46185</v>
      </c>
      <c r="D10622" t="inlineStr">
        <is>
          <t>VÄSTERNORRLANDS LÄN</t>
        </is>
      </c>
      <c r="E10622" t="inlineStr">
        <is>
          <t>ÅNGE</t>
        </is>
      </c>
      <c r="F10622" t="inlineStr">
        <is>
          <t>SCA</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21929-2025</t>
        </is>
      </c>
      <c r="B10623" s="1" t="n">
        <v>45784.55241898148</v>
      </c>
      <c r="C10623" s="1" t="n">
        <v>46185</v>
      </c>
      <c r="D10623" t="inlineStr">
        <is>
          <t>VÄSTERNORRLANDS LÄN</t>
        </is>
      </c>
      <c r="E10623" t="inlineStr">
        <is>
          <t>TIMRÅ</t>
        </is>
      </c>
      <c r="F10623" t="inlineStr">
        <is>
          <t>SCA</t>
        </is>
      </c>
      <c r="G10623" t="n">
        <v>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39119-2024</t>
        </is>
      </c>
      <c r="B10624" s="1" t="n">
        <v>45548.58939814815</v>
      </c>
      <c r="C10624" s="1" t="n">
        <v>46185</v>
      </c>
      <c r="D10624" t="inlineStr">
        <is>
          <t>VÄSTERNORRLANDS LÄN</t>
        </is>
      </c>
      <c r="E10624" t="inlineStr">
        <is>
          <t>ÅNGE</t>
        </is>
      </c>
      <c r="G10624" t="n">
        <v>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43422-2023</t>
        </is>
      </c>
      <c r="B10625" s="1" t="n">
        <v>45183</v>
      </c>
      <c r="C10625" s="1" t="n">
        <v>46185</v>
      </c>
      <c r="D10625" t="inlineStr">
        <is>
          <t>VÄSTERNORRLANDS LÄN</t>
        </is>
      </c>
      <c r="E10625" t="inlineStr">
        <is>
          <t>SUNDSVALL</t>
        </is>
      </c>
      <c r="F10625" t="inlineStr">
        <is>
          <t>SCA</t>
        </is>
      </c>
      <c r="G10625" t="n">
        <v>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21685-2025</t>
        </is>
      </c>
      <c r="B10626" s="1" t="n">
        <v>45783.49050925926</v>
      </c>
      <c r="C10626" s="1" t="n">
        <v>46185</v>
      </c>
      <c r="D10626" t="inlineStr">
        <is>
          <t>VÄSTERNORRLANDS LÄN</t>
        </is>
      </c>
      <c r="E10626" t="inlineStr">
        <is>
          <t>ÅNGE</t>
        </is>
      </c>
      <c r="F10626" t="inlineStr">
        <is>
          <t>SCA</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15677-2024</t>
        </is>
      </c>
      <c r="B10627" s="1" t="n">
        <v>45404.41268518518</v>
      </c>
      <c r="C10627" s="1" t="n">
        <v>46185</v>
      </c>
      <c r="D10627" t="inlineStr">
        <is>
          <t>VÄSTERNORRLANDS LÄN</t>
        </is>
      </c>
      <c r="E10627" t="inlineStr">
        <is>
          <t>SUNDSVALL</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21659-2025</t>
        </is>
      </c>
      <c r="B10628" s="1" t="n">
        <v>45783.45505787037</v>
      </c>
      <c r="C10628" s="1" t="n">
        <v>46185</v>
      </c>
      <c r="D10628" t="inlineStr">
        <is>
          <t>VÄSTERNORRLANDS LÄN</t>
        </is>
      </c>
      <c r="E10628" t="inlineStr">
        <is>
          <t>SUNDSVALL</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10539-2023</t>
        </is>
      </c>
      <c r="B10629" s="1" t="n">
        <v>44987</v>
      </c>
      <c r="C10629" s="1" t="n">
        <v>46185</v>
      </c>
      <c r="D10629" t="inlineStr">
        <is>
          <t>VÄSTERNORRLANDS LÄN</t>
        </is>
      </c>
      <c r="E10629" t="inlineStr">
        <is>
          <t>SUNDSVALL</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22368-2024</t>
        </is>
      </c>
      <c r="B10630" s="1" t="n">
        <v>45446</v>
      </c>
      <c r="C10630" s="1" t="n">
        <v>46185</v>
      </c>
      <c r="D10630" t="inlineStr">
        <is>
          <t>VÄSTERNORRLANDS LÄN</t>
        </is>
      </c>
      <c r="E10630" t="inlineStr">
        <is>
          <t>TIMRÅ</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7515-2023</t>
        </is>
      </c>
      <c r="B10631" s="1" t="n">
        <v>44971</v>
      </c>
      <c r="C10631" s="1" t="n">
        <v>46185</v>
      </c>
      <c r="D10631" t="inlineStr">
        <is>
          <t>VÄSTERNORRLANDS LÄN</t>
        </is>
      </c>
      <c r="E10631" t="inlineStr">
        <is>
          <t>SUNDSVALL</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17189-2024</t>
        </is>
      </c>
      <c r="B10632" s="1" t="n">
        <v>45412</v>
      </c>
      <c r="C10632" s="1" t="n">
        <v>46185</v>
      </c>
      <c r="D10632" t="inlineStr">
        <is>
          <t>VÄSTERNORRLANDS LÄN</t>
        </is>
      </c>
      <c r="E10632" t="inlineStr">
        <is>
          <t>SUNDSVALL</t>
        </is>
      </c>
      <c r="F10632" t="inlineStr">
        <is>
          <t>SCA</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23670-2022</t>
        </is>
      </c>
      <c r="B10633" s="1" t="n">
        <v>44721.92605324074</v>
      </c>
      <c r="C10633" s="1" t="n">
        <v>46185</v>
      </c>
      <c r="D10633" t="inlineStr">
        <is>
          <t>VÄSTERNORRLANDS LÄN</t>
        </is>
      </c>
      <c r="E10633" t="inlineStr">
        <is>
          <t>TIMRÅ</t>
        </is>
      </c>
      <c r="G10633" t="n">
        <v>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32257-2024</t>
        </is>
      </c>
      <c r="B10634" s="1" t="n">
        <v>45511</v>
      </c>
      <c r="C10634" s="1" t="n">
        <v>46185</v>
      </c>
      <c r="D10634" t="inlineStr">
        <is>
          <t>VÄSTERNORRLANDS LÄN</t>
        </is>
      </c>
      <c r="E10634" t="inlineStr">
        <is>
          <t>ÅNGE</t>
        </is>
      </c>
      <c r="F10634" t="inlineStr">
        <is>
          <t>SCA</t>
        </is>
      </c>
      <c r="G10634" t="n">
        <v>4.7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46207-2023</t>
        </is>
      </c>
      <c r="B10635" s="1" t="n">
        <v>45190</v>
      </c>
      <c r="C10635" s="1" t="n">
        <v>46185</v>
      </c>
      <c r="D10635" t="inlineStr">
        <is>
          <t>VÄSTERNORRLANDS LÄN</t>
        </is>
      </c>
      <c r="E10635" t="inlineStr">
        <is>
          <t>SOLLEFTEÅ</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22240-2025</t>
        </is>
      </c>
      <c r="B10636" s="1" t="n">
        <v>45785.67780092593</v>
      </c>
      <c r="C10636" s="1" t="n">
        <v>46185</v>
      </c>
      <c r="D10636" t="inlineStr">
        <is>
          <t>VÄSTERNORRLANDS LÄN</t>
        </is>
      </c>
      <c r="E10636" t="inlineStr">
        <is>
          <t>TIMRÅ</t>
        </is>
      </c>
      <c r="F10636" t="inlineStr">
        <is>
          <t>SCA</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56249-2024</t>
        </is>
      </c>
      <c r="B10637" s="1" t="n">
        <v>45624.63584490741</v>
      </c>
      <c r="C10637" s="1" t="n">
        <v>46185</v>
      </c>
      <c r="D10637" t="inlineStr">
        <is>
          <t>VÄSTERNORRLANDS LÄN</t>
        </is>
      </c>
      <c r="E10637" t="inlineStr">
        <is>
          <t>SOLLEFTEÅ</t>
        </is>
      </c>
      <c r="F10637" t="inlineStr">
        <is>
          <t>SCA</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22348-2025</t>
        </is>
      </c>
      <c r="B10638" s="1" t="n">
        <v>45786.44878472222</v>
      </c>
      <c r="C10638" s="1" t="n">
        <v>46185</v>
      </c>
      <c r="D10638" t="inlineStr">
        <is>
          <t>VÄSTERNORRLANDS LÄN</t>
        </is>
      </c>
      <c r="E10638" t="inlineStr">
        <is>
          <t>SUNDSVALL</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44030-2024</t>
        </is>
      </c>
      <c r="B10639" s="1" t="n">
        <v>45572</v>
      </c>
      <c r="C10639" s="1" t="n">
        <v>46185</v>
      </c>
      <c r="D10639" t="inlineStr">
        <is>
          <t>VÄSTERNORRLANDS LÄN</t>
        </is>
      </c>
      <c r="E10639" t="inlineStr">
        <is>
          <t>TIMRÅ</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60399-2022</t>
        </is>
      </c>
      <c r="B10640" s="1" t="n">
        <v>44910</v>
      </c>
      <c r="C10640" s="1" t="n">
        <v>46185</v>
      </c>
      <c r="D10640" t="inlineStr">
        <is>
          <t>VÄSTERNORRLANDS LÄN</t>
        </is>
      </c>
      <c r="E10640" t="inlineStr">
        <is>
          <t>SUNDSVALL</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22208-2025</t>
        </is>
      </c>
      <c r="B10641" s="1" t="n">
        <v>45785.65722222222</v>
      </c>
      <c r="C10641" s="1" t="n">
        <v>46185</v>
      </c>
      <c r="D10641" t="inlineStr">
        <is>
          <t>VÄSTERNORRLANDS LÄN</t>
        </is>
      </c>
      <c r="E10641" t="inlineStr">
        <is>
          <t>SUNDSVALL</t>
        </is>
      </c>
      <c r="F10641" t="inlineStr">
        <is>
          <t>Naturvårdsverket</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13521-2023</t>
        </is>
      </c>
      <c r="B10642" s="1" t="n">
        <v>45005</v>
      </c>
      <c r="C10642" s="1" t="n">
        <v>46185</v>
      </c>
      <c r="D10642" t="inlineStr">
        <is>
          <t>VÄSTERNORRLANDS LÄN</t>
        </is>
      </c>
      <c r="E10642" t="inlineStr">
        <is>
          <t>SOLLEFTEÅ</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10500-2024</t>
        </is>
      </c>
      <c r="B10643" s="1" t="n">
        <v>45366.48253472222</v>
      </c>
      <c r="C10643" s="1" t="n">
        <v>46185</v>
      </c>
      <c r="D10643" t="inlineStr">
        <is>
          <t>VÄSTERNORRLANDS LÄN</t>
        </is>
      </c>
      <c r="E10643" t="inlineStr">
        <is>
          <t>ÖRNSKÖLDSVIK</t>
        </is>
      </c>
      <c r="F10643" t="inlineStr">
        <is>
          <t>Holmen skog AB</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39492-2024</t>
        </is>
      </c>
      <c r="B10644" s="1" t="n">
        <v>45551</v>
      </c>
      <c r="C10644" s="1" t="n">
        <v>46185</v>
      </c>
      <c r="D10644" t="inlineStr">
        <is>
          <t>VÄSTERNORRLANDS LÄN</t>
        </is>
      </c>
      <c r="E10644" t="inlineStr">
        <is>
          <t>KRAMFORS</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31492-2024</t>
        </is>
      </c>
      <c r="B10645" s="1" t="n">
        <v>45505</v>
      </c>
      <c r="C10645" s="1" t="n">
        <v>46185</v>
      </c>
      <c r="D10645" t="inlineStr">
        <is>
          <t>VÄSTERNORRLANDS LÄN</t>
        </is>
      </c>
      <c r="E10645" t="inlineStr">
        <is>
          <t>ÅNGE</t>
        </is>
      </c>
      <c r="F10645" t="inlineStr">
        <is>
          <t>SCA</t>
        </is>
      </c>
      <c r="G10645" t="n">
        <v>5.5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46350-2024</t>
        </is>
      </c>
      <c r="B10646" s="1" t="n">
        <v>45582.34105324074</v>
      </c>
      <c r="C10646" s="1" t="n">
        <v>46185</v>
      </c>
      <c r="D10646" t="inlineStr">
        <is>
          <t>VÄSTERNORRLANDS LÄN</t>
        </is>
      </c>
      <c r="E10646" t="inlineStr">
        <is>
          <t>ÖRNSKÖLDSVIK</t>
        </is>
      </c>
      <c r="F10646" t="inlineStr">
        <is>
          <t>Holmen skog AB</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64608-2023</t>
        </is>
      </c>
      <c r="B10647" s="1" t="n">
        <v>45281</v>
      </c>
      <c r="C10647" s="1" t="n">
        <v>46185</v>
      </c>
      <c r="D10647" t="inlineStr">
        <is>
          <t>VÄSTERNORRLANDS LÄN</t>
        </is>
      </c>
      <c r="E10647" t="inlineStr">
        <is>
          <t>KRAMFORS</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43435-2022</t>
        </is>
      </c>
      <c r="B10648" s="1" t="n">
        <v>44834</v>
      </c>
      <c r="C10648" s="1" t="n">
        <v>46185</v>
      </c>
      <c r="D10648" t="inlineStr">
        <is>
          <t>VÄSTERNORRLANDS LÄN</t>
        </is>
      </c>
      <c r="E10648" t="inlineStr">
        <is>
          <t>KRAMFORS</t>
        </is>
      </c>
      <c r="F10648" t="inlineStr">
        <is>
          <t>SCA</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22102-2025</t>
        </is>
      </c>
      <c r="B10649" s="1" t="n">
        <v>45785.48142361111</v>
      </c>
      <c r="C10649" s="1" t="n">
        <v>46185</v>
      </c>
      <c r="D10649" t="inlineStr">
        <is>
          <t>VÄSTERNORRLANDS LÄN</t>
        </is>
      </c>
      <c r="E10649" t="inlineStr">
        <is>
          <t>HÄRNÖSAND</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40786-2023</t>
        </is>
      </c>
      <c r="B10650" s="1" t="n">
        <v>45170.95792824074</v>
      </c>
      <c r="C10650" s="1" t="n">
        <v>46185</v>
      </c>
      <c r="D10650" t="inlineStr">
        <is>
          <t>VÄSTERNORRLANDS LÄN</t>
        </is>
      </c>
      <c r="E10650" t="inlineStr">
        <is>
          <t>SUNDSVALL</t>
        </is>
      </c>
      <c r="F10650" t="inlineStr">
        <is>
          <t>SCA</t>
        </is>
      </c>
      <c r="G10650" t="n">
        <v>18.1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4838-2025</t>
        </is>
      </c>
      <c r="B10651" s="1" t="n">
        <v>45688.67167824074</v>
      </c>
      <c r="C10651" s="1" t="n">
        <v>46185</v>
      </c>
      <c r="D10651" t="inlineStr">
        <is>
          <t>VÄSTERNORRLANDS LÄN</t>
        </is>
      </c>
      <c r="E10651" t="inlineStr">
        <is>
          <t>SOLLEFTEÅ</t>
        </is>
      </c>
      <c r="F10651" t="inlineStr">
        <is>
          <t>SCA</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38800-2024</t>
        </is>
      </c>
      <c r="B10652" s="1" t="n">
        <v>45547</v>
      </c>
      <c r="C10652" s="1" t="n">
        <v>46185</v>
      </c>
      <c r="D10652" t="inlineStr">
        <is>
          <t>VÄSTERNORRLANDS LÄN</t>
        </is>
      </c>
      <c r="E10652" t="inlineStr">
        <is>
          <t>ÅNGE</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60389-2024</t>
        </is>
      </c>
      <c r="B10653" s="1" t="n">
        <v>45643.48988425926</v>
      </c>
      <c r="C10653" s="1" t="n">
        <v>46185</v>
      </c>
      <c r="D10653" t="inlineStr">
        <is>
          <t>VÄSTERNORRLANDS LÄN</t>
        </is>
      </c>
      <c r="E10653" t="inlineStr">
        <is>
          <t>SOLLEFTEÅ</t>
        </is>
      </c>
      <c r="F10653" t="inlineStr">
        <is>
          <t>SCA</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1585-2024</t>
        </is>
      </c>
      <c r="B10654" s="1" t="n">
        <v>45306.57518518518</v>
      </c>
      <c r="C10654" s="1" t="n">
        <v>46185</v>
      </c>
      <c r="D10654" t="inlineStr">
        <is>
          <t>VÄSTERNORRLANDS LÄN</t>
        </is>
      </c>
      <c r="E10654" t="inlineStr">
        <is>
          <t>KRAMFORS</t>
        </is>
      </c>
      <c r="G10654" t="n">
        <v>6.4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38287-2024</t>
        </is>
      </c>
      <c r="B10655" s="1" t="n">
        <v>45545.61619212963</v>
      </c>
      <c r="C10655" s="1" t="n">
        <v>46185</v>
      </c>
      <c r="D10655" t="inlineStr">
        <is>
          <t>VÄSTERNORRLANDS LÄN</t>
        </is>
      </c>
      <c r="E10655" t="inlineStr">
        <is>
          <t>SUNDSVALL</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16504-2024</t>
        </is>
      </c>
      <c r="B10656" s="1" t="n">
        <v>45408</v>
      </c>
      <c r="C10656" s="1" t="n">
        <v>46185</v>
      </c>
      <c r="D10656" t="inlineStr">
        <is>
          <t>VÄSTERNORRLANDS LÄN</t>
        </is>
      </c>
      <c r="E10656" t="inlineStr">
        <is>
          <t>KRAMFORS</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28121-2024</t>
        </is>
      </c>
      <c r="B10657" s="1" t="n">
        <v>45476</v>
      </c>
      <c r="C10657" s="1" t="n">
        <v>46185</v>
      </c>
      <c r="D10657" t="inlineStr">
        <is>
          <t>VÄSTERNORRLANDS LÄN</t>
        </is>
      </c>
      <c r="E10657" t="inlineStr">
        <is>
          <t>KRAMFORS</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56252-2023</t>
        </is>
      </c>
      <c r="B10658" s="1" t="n">
        <v>45240</v>
      </c>
      <c r="C10658" s="1" t="n">
        <v>46185</v>
      </c>
      <c r="D10658" t="inlineStr">
        <is>
          <t>VÄSTERNORRLANDS LÄN</t>
        </is>
      </c>
      <c r="E10658" t="inlineStr">
        <is>
          <t>SUNDSVALL</t>
        </is>
      </c>
      <c r="F10658" t="inlineStr">
        <is>
          <t>SCA</t>
        </is>
      </c>
      <c r="G10658" t="n">
        <v>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20880-2025</t>
        </is>
      </c>
      <c r="B10659" s="1" t="n">
        <v>45777</v>
      </c>
      <c r="C10659" s="1" t="n">
        <v>46185</v>
      </c>
      <c r="D10659" t="inlineStr">
        <is>
          <t>VÄSTERNORRLANDS LÄN</t>
        </is>
      </c>
      <c r="E10659" t="inlineStr">
        <is>
          <t>ÅNGE</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22389-2025</t>
        </is>
      </c>
      <c r="B10660" s="1" t="n">
        <v>45786.51099537037</v>
      </c>
      <c r="C10660" s="1" t="n">
        <v>46185</v>
      </c>
      <c r="D10660" t="inlineStr">
        <is>
          <t>VÄSTERNORRLANDS LÄN</t>
        </is>
      </c>
      <c r="E10660" t="inlineStr">
        <is>
          <t>TIMRÅ</t>
        </is>
      </c>
      <c r="F10660" t="inlineStr">
        <is>
          <t>SCA</t>
        </is>
      </c>
      <c r="G10660" t="n">
        <v>36.5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22322-2025</t>
        </is>
      </c>
      <c r="B10661" s="1" t="n">
        <v>45786.40657407408</v>
      </c>
      <c r="C10661" s="1" t="n">
        <v>46185</v>
      </c>
      <c r="D10661" t="inlineStr">
        <is>
          <t>VÄSTERNORRLANDS LÄN</t>
        </is>
      </c>
      <c r="E10661" t="inlineStr">
        <is>
          <t>SUNDSVALL</t>
        </is>
      </c>
      <c r="G10661" t="n">
        <v>5.6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21099-2024</t>
        </is>
      </c>
      <c r="B10662" s="1" t="n">
        <v>45439</v>
      </c>
      <c r="C10662" s="1" t="n">
        <v>46185</v>
      </c>
      <c r="D10662" t="inlineStr">
        <is>
          <t>VÄSTERNORRLANDS LÄN</t>
        </is>
      </c>
      <c r="E10662" t="inlineStr">
        <is>
          <t>SOLLEFTEÅ</t>
        </is>
      </c>
      <c r="F10662" t="inlineStr">
        <is>
          <t>SCA</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60361-2024</t>
        </is>
      </c>
      <c r="B10663" s="1" t="n">
        <v>45643.44851851852</v>
      </c>
      <c r="C10663" s="1" t="n">
        <v>46185</v>
      </c>
      <c r="D10663" t="inlineStr">
        <is>
          <t>VÄSTERNORRLANDS LÄN</t>
        </is>
      </c>
      <c r="E10663" t="inlineStr">
        <is>
          <t>SOLLEFTEÅ</t>
        </is>
      </c>
      <c r="F10663" t="inlineStr">
        <is>
          <t>SCA</t>
        </is>
      </c>
      <c r="G10663" t="n">
        <v>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22515-2025</t>
        </is>
      </c>
      <c r="B10664" s="1" t="n">
        <v>45786.67776620371</v>
      </c>
      <c r="C10664" s="1" t="n">
        <v>46185</v>
      </c>
      <c r="D10664" t="inlineStr">
        <is>
          <t>VÄSTERNORRLANDS LÄN</t>
        </is>
      </c>
      <c r="E10664" t="inlineStr">
        <is>
          <t>HÄRNÖSAND</t>
        </is>
      </c>
      <c r="F10664" t="inlineStr">
        <is>
          <t>SCA</t>
        </is>
      </c>
      <c r="G10664" t="n">
        <v>31.8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42813-2024</t>
        </is>
      </c>
      <c r="B10665" s="1" t="n">
        <v>45566.57800925926</v>
      </c>
      <c r="C10665" s="1" t="n">
        <v>46185</v>
      </c>
      <c r="D10665" t="inlineStr">
        <is>
          <t>VÄSTERNORRLANDS LÄN</t>
        </is>
      </c>
      <c r="E10665" t="inlineStr">
        <is>
          <t>ÖRNSKÖLDSVIK</t>
        </is>
      </c>
      <c r="G10665" t="n">
        <v>4.4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24661-2024</t>
        </is>
      </c>
      <c r="B10666" s="1" t="n">
        <v>45460.58011574074</v>
      </c>
      <c r="C10666" s="1" t="n">
        <v>46185</v>
      </c>
      <c r="D10666" t="inlineStr">
        <is>
          <t>VÄSTERNORRLANDS LÄN</t>
        </is>
      </c>
      <c r="E10666" t="inlineStr">
        <is>
          <t>ÖRNSKÖLDSVIK</t>
        </is>
      </c>
      <c r="F10666" t="inlineStr">
        <is>
          <t>Holmen skog AB</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22184-2025</t>
        </is>
      </c>
      <c r="B10667" s="1" t="n">
        <v>45785.61679398148</v>
      </c>
      <c r="C10667" s="1" t="n">
        <v>46185</v>
      </c>
      <c r="D10667" t="inlineStr">
        <is>
          <t>VÄSTERNORRLANDS LÄN</t>
        </is>
      </c>
      <c r="E10667" t="inlineStr">
        <is>
          <t>SOLLEFTEÅ</t>
        </is>
      </c>
      <c r="F10667" t="inlineStr">
        <is>
          <t>SCA</t>
        </is>
      </c>
      <c r="G10667" t="n">
        <v>7.4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22219-2025</t>
        </is>
      </c>
      <c r="B10668" s="1" t="n">
        <v>45785.65849537037</v>
      </c>
      <c r="C10668" s="1" t="n">
        <v>46185</v>
      </c>
      <c r="D10668" t="inlineStr">
        <is>
          <t>VÄSTERNORRLANDS LÄN</t>
        </is>
      </c>
      <c r="E10668" t="inlineStr">
        <is>
          <t>ÅNGE</t>
        </is>
      </c>
      <c r="F10668" t="inlineStr">
        <is>
          <t>SCA</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22206-2025</t>
        </is>
      </c>
      <c r="B10669" s="1" t="n">
        <v>45785.65699074074</v>
      </c>
      <c r="C10669" s="1" t="n">
        <v>46185</v>
      </c>
      <c r="D10669" t="inlineStr">
        <is>
          <t>VÄSTERNORRLANDS LÄN</t>
        </is>
      </c>
      <c r="E10669" t="inlineStr">
        <is>
          <t>ÅNGE</t>
        </is>
      </c>
      <c r="F10669" t="inlineStr">
        <is>
          <t>SCA</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22211-2025</t>
        </is>
      </c>
      <c r="B10670" s="1" t="n">
        <v>45785.65752314815</v>
      </c>
      <c r="C10670" s="1" t="n">
        <v>46185</v>
      </c>
      <c r="D10670" t="inlineStr">
        <is>
          <t>VÄSTERNORRLANDS LÄN</t>
        </is>
      </c>
      <c r="E10670" t="inlineStr">
        <is>
          <t>SOLLEFTEÅ</t>
        </is>
      </c>
      <c r="F10670" t="inlineStr">
        <is>
          <t>SCA</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22036-2025</t>
        </is>
      </c>
      <c r="B10671" s="1" t="n">
        <v>45785.31820601852</v>
      </c>
      <c r="C10671" s="1" t="n">
        <v>46185</v>
      </c>
      <c r="D10671" t="inlineStr">
        <is>
          <t>VÄSTERNORRLANDS LÄN</t>
        </is>
      </c>
      <c r="E10671" t="inlineStr">
        <is>
          <t>SOLLEFTEÅ</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22079-2025</t>
        </is>
      </c>
      <c r="B10672" s="1" t="n">
        <v>45785</v>
      </c>
      <c r="C10672" s="1" t="n">
        <v>46185</v>
      </c>
      <c r="D10672" t="inlineStr">
        <is>
          <t>VÄSTERNORRLANDS LÄN</t>
        </is>
      </c>
      <c r="E10672" t="inlineStr">
        <is>
          <t>HÄRNÖSAND</t>
        </is>
      </c>
      <c r="F10672" t="inlineStr">
        <is>
          <t>SCA</t>
        </is>
      </c>
      <c r="G10672" t="n">
        <v>4.4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50864-2024</t>
        </is>
      </c>
      <c r="B10673" s="1" t="n">
        <v>45602.63653935185</v>
      </c>
      <c r="C10673" s="1" t="n">
        <v>46185</v>
      </c>
      <c r="D10673" t="inlineStr">
        <is>
          <t>VÄSTERNORRLANDS LÄN</t>
        </is>
      </c>
      <c r="E10673" t="inlineStr">
        <is>
          <t>SOLLEFTEÅ</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30770-2024</t>
        </is>
      </c>
      <c r="B10674" s="1" t="n">
        <v>45496.93024305555</v>
      </c>
      <c r="C10674" s="1" t="n">
        <v>46185</v>
      </c>
      <c r="D10674" t="inlineStr">
        <is>
          <t>VÄSTERNORRLANDS LÄN</t>
        </is>
      </c>
      <c r="E10674" t="inlineStr">
        <is>
          <t>KRAMFORS</t>
        </is>
      </c>
      <c r="F10674" t="inlineStr">
        <is>
          <t>Kyrkan</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45437-2024</t>
        </is>
      </c>
      <c r="B10675" s="1" t="n">
        <v>45576</v>
      </c>
      <c r="C10675" s="1" t="n">
        <v>46185</v>
      </c>
      <c r="D10675" t="inlineStr">
        <is>
          <t>VÄSTERNORRLANDS LÄN</t>
        </is>
      </c>
      <c r="E10675" t="inlineStr">
        <is>
          <t>ÖRNSKÖLDSVIK</t>
        </is>
      </c>
      <c r="G10675" t="n">
        <v>6.7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45502-2024</t>
        </is>
      </c>
      <c r="B10676" s="1" t="n">
        <v>45578.37409722222</v>
      </c>
      <c r="C10676" s="1" t="n">
        <v>46185</v>
      </c>
      <c r="D10676" t="inlineStr">
        <is>
          <t>VÄSTERNORRLANDS LÄN</t>
        </is>
      </c>
      <c r="E10676" t="inlineStr">
        <is>
          <t>HÄRNÖSAND</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22445-2025</t>
        </is>
      </c>
      <c r="B10677" s="1" t="n">
        <v>45786.59431712963</v>
      </c>
      <c r="C10677" s="1" t="n">
        <v>46185</v>
      </c>
      <c r="D10677" t="inlineStr">
        <is>
          <t>VÄSTERNORRLANDS LÄN</t>
        </is>
      </c>
      <c r="E10677" t="inlineStr">
        <is>
          <t>SUNDSVALL</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11689-2024</t>
        </is>
      </c>
      <c r="B10678" s="1" t="n">
        <v>45373.59425925926</v>
      </c>
      <c r="C10678" s="1" t="n">
        <v>46185</v>
      </c>
      <c r="D10678" t="inlineStr">
        <is>
          <t>VÄSTERNORRLANDS LÄN</t>
        </is>
      </c>
      <c r="E10678" t="inlineStr">
        <is>
          <t>ÖRNSKÖLDSVIK</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22489-2025</t>
        </is>
      </c>
      <c r="B10679" s="1" t="n">
        <v>45786.64946759259</v>
      </c>
      <c r="C10679" s="1" t="n">
        <v>46185</v>
      </c>
      <c r="D10679" t="inlineStr">
        <is>
          <t>VÄSTERNORRLANDS LÄN</t>
        </is>
      </c>
      <c r="E10679" t="inlineStr">
        <is>
          <t>ÅNGE</t>
        </is>
      </c>
      <c r="F10679" t="inlineStr">
        <is>
          <t>Sveaskog</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22046-2025</t>
        </is>
      </c>
      <c r="B10680" s="1" t="n">
        <v>45785.34412037037</v>
      </c>
      <c r="C10680" s="1" t="n">
        <v>46185</v>
      </c>
      <c r="D10680" t="inlineStr">
        <is>
          <t>VÄSTERNORRLANDS LÄN</t>
        </is>
      </c>
      <c r="E10680" t="inlineStr">
        <is>
          <t>SOLLEFTEÅ</t>
        </is>
      </c>
      <c r="F10680" t="inlineStr">
        <is>
          <t>SCA</t>
        </is>
      </c>
      <c r="G10680" t="n">
        <v>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22704-2025</t>
        </is>
      </c>
      <c r="B10681" s="1" t="n">
        <v>45789.55251157407</v>
      </c>
      <c r="C10681" s="1" t="n">
        <v>46185</v>
      </c>
      <c r="D10681" t="inlineStr">
        <is>
          <t>VÄSTERNORRLANDS LÄN</t>
        </is>
      </c>
      <c r="E10681" t="inlineStr">
        <is>
          <t>SOLLEFTEÅ</t>
        </is>
      </c>
      <c r="F10681" t="inlineStr">
        <is>
          <t>SCA</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40187-2023</t>
        </is>
      </c>
      <c r="B10682" s="1" t="n">
        <v>45169.41689814815</v>
      </c>
      <c r="C10682" s="1" t="n">
        <v>46185</v>
      </c>
      <c r="D10682" t="inlineStr">
        <is>
          <t>VÄSTERNORRLANDS LÄN</t>
        </is>
      </c>
      <c r="E10682" t="inlineStr">
        <is>
          <t>KRAMFORS</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26172-2024</t>
        </is>
      </c>
      <c r="B10683" s="1" t="n">
        <v>45468</v>
      </c>
      <c r="C10683" s="1" t="n">
        <v>46185</v>
      </c>
      <c r="D10683" t="inlineStr">
        <is>
          <t>VÄSTERNORRLANDS LÄN</t>
        </is>
      </c>
      <c r="E10683" t="inlineStr">
        <is>
          <t>SOLLEFTEÅ</t>
        </is>
      </c>
      <c r="G10683" t="n">
        <v>4.4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22615-2025</t>
        </is>
      </c>
      <c r="B10684" s="1" t="n">
        <v>45789.42741898148</v>
      </c>
      <c r="C10684" s="1" t="n">
        <v>46185</v>
      </c>
      <c r="D10684" t="inlineStr">
        <is>
          <t>VÄSTERNORRLANDS LÄN</t>
        </is>
      </c>
      <c r="E10684" t="inlineStr">
        <is>
          <t>SOLLEFTEÅ</t>
        </is>
      </c>
      <c r="F10684" t="inlineStr">
        <is>
          <t>SCA</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37058-2023</t>
        </is>
      </c>
      <c r="B10685" s="1" t="n">
        <v>45155.44530092592</v>
      </c>
      <c r="C10685" s="1" t="n">
        <v>46185</v>
      </c>
      <c r="D10685" t="inlineStr">
        <is>
          <t>VÄSTERNORRLANDS LÄN</t>
        </is>
      </c>
      <c r="E10685" t="inlineStr">
        <is>
          <t>ÖRNSKÖLDSVIK</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22820-2025</t>
        </is>
      </c>
      <c r="B10686" s="1" t="n">
        <v>45789.71949074074</v>
      </c>
      <c r="C10686" s="1" t="n">
        <v>46185</v>
      </c>
      <c r="D10686" t="inlineStr">
        <is>
          <t>VÄSTERNORRLANDS LÄN</t>
        </is>
      </c>
      <c r="E10686" t="inlineStr">
        <is>
          <t>TIMRÅ</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22821-2025</t>
        </is>
      </c>
      <c r="B10687" s="1" t="n">
        <v>45789.71967592592</v>
      </c>
      <c r="C10687" s="1" t="n">
        <v>46185</v>
      </c>
      <c r="D10687" t="inlineStr">
        <is>
          <t>VÄSTERNORRLANDS LÄN</t>
        </is>
      </c>
      <c r="E10687" t="inlineStr">
        <is>
          <t>TIMRÅ</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41028-2024</t>
        </is>
      </c>
      <c r="B10688" s="1" t="n">
        <v>45559.34466435185</v>
      </c>
      <c r="C10688" s="1" t="n">
        <v>46185</v>
      </c>
      <c r="D10688" t="inlineStr">
        <is>
          <t>VÄSTERNORRLANDS LÄN</t>
        </is>
      </c>
      <c r="E10688" t="inlineStr">
        <is>
          <t>SOLLEFTEÅ</t>
        </is>
      </c>
      <c r="F10688" t="inlineStr">
        <is>
          <t>SCA</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22549-2025</t>
        </is>
      </c>
      <c r="B10689" s="1" t="n">
        <v>45788.48113425926</v>
      </c>
      <c r="C10689" s="1" t="n">
        <v>46185</v>
      </c>
      <c r="D10689" t="inlineStr">
        <is>
          <t>VÄSTERNORRLANDS LÄN</t>
        </is>
      </c>
      <c r="E10689" t="inlineStr">
        <is>
          <t>ÅNGE</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22775-2025</t>
        </is>
      </c>
      <c r="B10690" s="1" t="n">
        <v>45789.63674768519</v>
      </c>
      <c r="C10690" s="1" t="n">
        <v>46185</v>
      </c>
      <c r="D10690" t="inlineStr">
        <is>
          <t>VÄSTERNORRLANDS LÄN</t>
        </is>
      </c>
      <c r="E10690" t="inlineStr">
        <is>
          <t>SUNDSVALL</t>
        </is>
      </c>
      <c r="F10690" t="inlineStr">
        <is>
          <t>SCA</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22668-2025</t>
        </is>
      </c>
      <c r="B10691" s="1" t="n">
        <v>45789</v>
      </c>
      <c r="C10691" s="1" t="n">
        <v>46185</v>
      </c>
      <c r="D10691" t="inlineStr">
        <is>
          <t>VÄSTERNORRLANDS LÄN</t>
        </is>
      </c>
      <c r="E10691" t="inlineStr">
        <is>
          <t>TIMRÅ</t>
        </is>
      </c>
      <c r="F10691" t="inlineStr">
        <is>
          <t>SCA</t>
        </is>
      </c>
      <c r="G10691" t="n">
        <v>10.7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28789-2024</t>
        </is>
      </c>
      <c r="B10692" s="1" t="n">
        <v>45478.61197916666</v>
      </c>
      <c r="C10692" s="1" t="n">
        <v>46185</v>
      </c>
      <c r="D10692" t="inlineStr">
        <is>
          <t>VÄSTERNORRLANDS LÄN</t>
        </is>
      </c>
      <c r="E10692" t="inlineStr">
        <is>
          <t>ÖRNSKÖLDSVIK</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31-2024</t>
        </is>
      </c>
      <c r="B10693" s="1" t="n">
        <v>45291</v>
      </c>
      <c r="C10693" s="1" t="n">
        <v>46185</v>
      </c>
      <c r="D10693" t="inlineStr">
        <is>
          <t>VÄSTERNORRLANDS LÄN</t>
        </is>
      </c>
      <c r="E10693" t="inlineStr">
        <is>
          <t>ÖRNSKÖLDSVIK</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4584-2024</t>
        </is>
      </c>
      <c r="B10694" s="1" t="n">
        <v>45327.92819444444</v>
      </c>
      <c r="C10694" s="1" t="n">
        <v>46185</v>
      </c>
      <c r="D10694" t="inlineStr">
        <is>
          <t>VÄSTERNORRLANDS LÄN</t>
        </is>
      </c>
      <c r="E10694" t="inlineStr">
        <is>
          <t>SUNDSVALL</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22942-2025</t>
        </is>
      </c>
      <c r="B10695" s="1" t="n">
        <v>45790.46957175926</v>
      </c>
      <c r="C10695" s="1" t="n">
        <v>46185</v>
      </c>
      <c r="D10695" t="inlineStr">
        <is>
          <t>VÄSTERNORRLANDS LÄN</t>
        </is>
      </c>
      <c r="E10695" t="inlineStr">
        <is>
          <t>KRAMFORS</t>
        </is>
      </c>
      <c r="G10695" t="n">
        <v>0.3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22287-2025</t>
        </is>
      </c>
      <c r="B10696" s="1" t="n">
        <v>45786.34409722222</v>
      </c>
      <c r="C10696" s="1" t="n">
        <v>46185</v>
      </c>
      <c r="D10696" t="inlineStr">
        <is>
          <t>VÄSTERNORRLANDS LÄN</t>
        </is>
      </c>
      <c r="E10696" t="inlineStr">
        <is>
          <t>SOLLEFTEÅ</t>
        </is>
      </c>
      <c r="F10696" t="inlineStr">
        <is>
          <t>SCA</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22470-2025</t>
        </is>
      </c>
      <c r="B10697" s="1" t="n">
        <v>45786.61554398148</v>
      </c>
      <c r="C10697" s="1" t="n">
        <v>46185</v>
      </c>
      <c r="D10697" t="inlineStr">
        <is>
          <t>VÄSTERNORRLANDS LÄN</t>
        </is>
      </c>
      <c r="E10697" t="inlineStr">
        <is>
          <t>SUNDSVALL</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22818-2025</t>
        </is>
      </c>
      <c r="B10698" s="1" t="n">
        <v>45789.71915509259</v>
      </c>
      <c r="C10698" s="1" t="n">
        <v>46185</v>
      </c>
      <c r="D10698" t="inlineStr">
        <is>
          <t>VÄSTERNORRLANDS LÄN</t>
        </is>
      </c>
      <c r="E10698" t="inlineStr">
        <is>
          <t>TIMRÅ</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22852-2025</t>
        </is>
      </c>
      <c r="B10699" s="1" t="n">
        <v>45790.34427083333</v>
      </c>
      <c r="C10699" s="1" t="n">
        <v>46185</v>
      </c>
      <c r="D10699" t="inlineStr">
        <is>
          <t>VÄSTERNORRLANDS LÄN</t>
        </is>
      </c>
      <c r="E10699" t="inlineStr">
        <is>
          <t>HÄRNÖSAND</t>
        </is>
      </c>
      <c r="F10699" t="inlineStr">
        <is>
          <t>SCA</t>
        </is>
      </c>
      <c r="G10699" t="n">
        <v>31.8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22858-2025</t>
        </is>
      </c>
      <c r="B10700" s="1" t="n">
        <v>45790.34915509259</v>
      </c>
      <c r="C10700" s="1" t="n">
        <v>46185</v>
      </c>
      <c r="D10700" t="inlineStr">
        <is>
          <t>VÄSTERNORRLANDS LÄN</t>
        </is>
      </c>
      <c r="E10700" t="inlineStr">
        <is>
          <t>ÖRNSKÖLDSVIK</t>
        </is>
      </c>
      <c r="F10700" t="inlineStr">
        <is>
          <t>Holmen skog AB</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22791-2025</t>
        </is>
      </c>
      <c r="B10701" s="1" t="n">
        <v>45789.65663194445</v>
      </c>
      <c r="C10701" s="1" t="n">
        <v>46185</v>
      </c>
      <c r="D10701" t="inlineStr">
        <is>
          <t>VÄSTERNORRLANDS LÄN</t>
        </is>
      </c>
      <c r="E10701" t="inlineStr">
        <is>
          <t>ÅNGE</t>
        </is>
      </c>
      <c r="F10701" t="inlineStr">
        <is>
          <t>SCA</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20389-2025</t>
        </is>
      </c>
      <c r="B10702" s="1" t="n">
        <v>45775</v>
      </c>
      <c r="C10702" s="1" t="n">
        <v>46185</v>
      </c>
      <c r="D10702" t="inlineStr">
        <is>
          <t>VÄSTERNORRLANDS LÄN</t>
        </is>
      </c>
      <c r="E10702" t="inlineStr">
        <is>
          <t>SOLLEFTEÅ</t>
        </is>
      </c>
      <c r="F10702" t="inlineStr">
        <is>
          <t>SCA</t>
        </is>
      </c>
      <c r="G10702" t="n">
        <v>4.2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59997-2023</t>
        </is>
      </c>
      <c r="B10703" s="1" t="n">
        <v>45257.97215277778</v>
      </c>
      <c r="C10703" s="1" t="n">
        <v>46185</v>
      </c>
      <c r="D10703" t="inlineStr">
        <is>
          <t>VÄSTERNORRLANDS LÄN</t>
        </is>
      </c>
      <c r="E10703" t="inlineStr">
        <is>
          <t>SUNDSVALL</t>
        </is>
      </c>
      <c r="F10703" t="inlineStr">
        <is>
          <t>SCA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22866-2025</t>
        </is>
      </c>
      <c r="B10704" s="1" t="n">
        <v>45790.36519675926</v>
      </c>
      <c r="C10704" s="1" t="n">
        <v>46185</v>
      </c>
      <c r="D10704" t="inlineStr">
        <is>
          <t>VÄSTERNORRLANDS LÄN</t>
        </is>
      </c>
      <c r="E10704" t="inlineStr">
        <is>
          <t>SOLLEFTEÅ</t>
        </is>
      </c>
      <c r="F10704" t="inlineStr">
        <is>
          <t>SCA</t>
        </is>
      </c>
      <c r="G10704" t="n">
        <v>16.2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23030-2025</t>
        </is>
      </c>
      <c r="B10705" s="1" t="n">
        <v>45790.65737268519</v>
      </c>
      <c r="C10705" s="1" t="n">
        <v>46185</v>
      </c>
      <c r="D10705" t="inlineStr">
        <is>
          <t>VÄSTERNORRLANDS LÄN</t>
        </is>
      </c>
      <c r="E10705" t="inlineStr">
        <is>
          <t>TIMRÅ</t>
        </is>
      </c>
      <c r="F10705" t="inlineStr">
        <is>
          <t>SCA</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22562-2025</t>
        </is>
      </c>
      <c r="B10706" s="1" t="n">
        <v>45789.34736111111</v>
      </c>
      <c r="C10706" s="1" t="n">
        <v>46185</v>
      </c>
      <c r="D10706" t="inlineStr">
        <is>
          <t>VÄSTERNORRLANDS LÄN</t>
        </is>
      </c>
      <c r="E10706" t="inlineStr">
        <is>
          <t>SOLLEFTEÅ</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22884-2025</t>
        </is>
      </c>
      <c r="B10707" s="1" t="n">
        <v>45790.38577546296</v>
      </c>
      <c r="C10707" s="1" t="n">
        <v>46185</v>
      </c>
      <c r="D10707" t="inlineStr">
        <is>
          <t>VÄSTERNORRLANDS LÄN</t>
        </is>
      </c>
      <c r="E10707" t="inlineStr">
        <is>
          <t>SUNDSVALL</t>
        </is>
      </c>
      <c r="F10707" t="inlineStr">
        <is>
          <t>SCA</t>
        </is>
      </c>
      <c r="G10707" t="n">
        <v>4.5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16941-2025</t>
        </is>
      </c>
      <c r="B10708" s="1" t="n">
        <v>45755</v>
      </c>
      <c r="C10708" s="1" t="n">
        <v>46185</v>
      </c>
      <c r="D10708" t="inlineStr">
        <is>
          <t>VÄSTERNORRLANDS LÄN</t>
        </is>
      </c>
      <c r="E10708" t="inlineStr">
        <is>
          <t>SUNDSVALL</t>
        </is>
      </c>
      <c r="G10708" t="n">
        <v>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22803-2025</t>
        </is>
      </c>
      <c r="B10709" s="1" t="n">
        <v>45789</v>
      </c>
      <c r="C10709" s="1" t="n">
        <v>46185</v>
      </c>
      <c r="D10709" t="inlineStr">
        <is>
          <t>VÄSTERNORRLANDS LÄN</t>
        </is>
      </c>
      <c r="E10709" t="inlineStr">
        <is>
          <t>SOLLEFTEÅ</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22837-2025</t>
        </is>
      </c>
      <c r="B10710" s="1" t="n">
        <v>45789.91606481482</v>
      </c>
      <c r="C10710" s="1" t="n">
        <v>46185</v>
      </c>
      <c r="D10710" t="inlineStr">
        <is>
          <t>VÄSTERNORRLANDS LÄN</t>
        </is>
      </c>
      <c r="E10710" t="inlineStr">
        <is>
          <t>SUNDSVALL</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30769-2024</t>
        </is>
      </c>
      <c r="B10711" s="1" t="n">
        <v>45496.93018518519</v>
      </c>
      <c r="C10711" s="1" t="n">
        <v>46185</v>
      </c>
      <c r="D10711" t="inlineStr">
        <is>
          <t>VÄSTERNORRLANDS LÄN</t>
        </is>
      </c>
      <c r="E10711" t="inlineStr">
        <is>
          <t>KRAMFORS</t>
        </is>
      </c>
      <c r="F10711" t="inlineStr">
        <is>
          <t>Kyrkan</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69772-2021</t>
        </is>
      </c>
      <c r="B10712" s="1" t="n">
        <v>44532</v>
      </c>
      <c r="C10712" s="1" t="n">
        <v>46185</v>
      </c>
      <c r="D10712" t="inlineStr">
        <is>
          <t>VÄSTERNORRLANDS LÄN</t>
        </is>
      </c>
      <c r="E10712" t="inlineStr">
        <is>
          <t>ÖRNSKÖLDSVIK</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14403-2022</t>
        </is>
      </c>
      <c r="B10713" s="1" t="n">
        <v>44652</v>
      </c>
      <c r="C10713" s="1" t="n">
        <v>46185</v>
      </c>
      <c r="D10713" t="inlineStr">
        <is>
          <t>VÄSTERNORRLANDS LÄN</t>
        </is>
      </c>
      <c r="E10713" t="inlineStr">
        <is>
          <t>ÖRNSKÖLDSVIK</t>
        </is>
      </c>
      <c r="F10713" t="inlineStr">
        <is>
          <t>Kyrkan</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17386-2022</t>
        </is>
      </c>
      <c r="B10714" s="1" t="n">
        <v>44678.66943287037</v>
      </c>
      <c r="C10714" s="1" t="n">
        <v>46185</v>
      </c>
      <c r="D10714" t="inlineStr">
        <is>
          <t>VÄSTERNORRLANDS LÄN</t>
        </is>
      </c>
      <c r="E10714" t="inlineStr">
        <is>
          <t>ÖRNSKÖLDSVIK</t>
        </is>
      </c>
      <c r="G10714" t="n">
        <v>10.5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23522-2025</t>
        </is>
      </c>
      <c r="B10715" s="1" t="n">
        <v>45792.51415509259</v>
      </c>
      <c r="C10715" s="1" t="n">
        <v>46185</v>
      </c>
      <c r="D10715" t="inlineStr">
        <is>
          <t>VÄSTERNORRLANDS LÄN</t>
        </is>
      </c>
      <c r="E10715" t="inlineStr">
        <is>
          <t>SOLLEFTEÅ</t>
        </is>
      </c>
      <c r="F10715" t="inlineStr">
        <is>
          <t>Holmen skog AB</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59065-2024</t>
        </is>
      </c>
      <c r="B10716" s="1" t="n">
        <v>45636.89309027778</v>
      </c>
      <c r="C10716" s="1" t="n">
        <v>46185</v>
      </c>
      <c r="D10716" t="inlineStr">
        <is>
          <t>VÄSTERNORRLANDS LÄN</t>
        </is>
      </c>
      <c r="E10716" t="inlineStr">
        <is>
          <t>KRAMFORS</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42944-2024</t>
        </is>
      </c>
      <c r="B10717" s="1" t="n">
        <v>45567</v>
      </c>
      <c r="C10717" s="1" t="n">
        <v>46185</v>
      </c>
      <c r="D10717" t="inlineStr">
        <is>
          <t>VÄSTERNORRLANDS LÄN</t>
        </is>
      </c>
      <c r="E10717" t="inlineStr">
        <is>
          <t>ÖRNSKÖLDSVIK</t>
        </is>
      </c>
      <c r="G10717" t="n">
        <v>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45951-2024</t>
        </is>
      </c>
      <c r="B10718" s="1" t="n">
        <v>45580.55883101852</v>
      </c>
      <c r="C10718" s="1" t="n">
        <v>46185</v>
      </c>
      <c r="D10718" t="inlineStr">
        <is>
          <t>VÄSTERNORRLANDS LÄN</t>
        </is>
      </c>
      <c r="E10718" t="inlineStr">
        <is>
          <t>ÖRNSKÖLDSVIK</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23634-2025</t>
        </is>
      </c>
      <c r="B10719" s="1" t="n">
        <v>45792.67803240741</v>
      </c>
      <c r="C10719" s="1" t="n">
        <v>46185</v>
      </c>
      <c r="D10719" t="inlineStr">
        <is>
          <t>VÄSTERNORRLANDS LÄN</t>
        </is>
      </c>
      <c r="E10719" t="inlineStr">
        <is>
          <t>SOLLEFTEÅ</t>
        </is>
      </c>
      <c r="F10719" t="inlineStr">
        <is>
          <t>SCA</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23637-2025</t>
        </is>
      </c>
      <c r="B10720" s="1" t="n">
        <v>45792.67971064815</v>
      </c>
      <c r="C10720" s="1" t="n">
        <v>46185</v>
      </c>
      <c r="D10720" t="inlineStr">
        <is>
          <t>VÄSTERNORRLANDS LÄN</t>
        </is>
      </c>
      <c r="E10720" t="inlineStr">
        <is>
          <t>SUNDSVALL</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23653-2025</t>
        </is>
      </c>
      <c r="B10721" s="1" t="n">
        <v>45792</v>
      </c>
      <c r="C10721" s="1" t="n">
        <v>46185</v>
      </c>
      <c r="D10721" t="inlineStr">
        <is>
          <t>VÄSTERNORRLANDS LÄN</t>
        </is>
      </c>
      <c r="E10721" t="inlineStr">
        <is>
          <t>SUNDSVALL</t>
        </is>
      </c>
      <c r="G10721" t="n">
        <v>0.4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23326-2025</t>
        </is>
      </c>
      <c r="B10722" s="1" t="n">
        <v>45791.62273148148</v>
      </c>
      <c r="C10722" s="1" t="n">
        <v>46185</v>
      </c>
      <c r="D10722" t="inlineStr">
        <is>
          <t>VÄSTERNORRLANDS LÄN</t>
        </is>
      </c>
      <c r="E10722" t="inlineStr">
        <is>
          <t>HÄRNÖSAND</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23346-2025</t>
        </is>
      </c>
      <c r="B10723" s="1" t="n">
        <v>45791.65733796296</v>
      </c>
      <c r="C10723" s="1" t="n">
        <v>46185</v>
      </c>
      <c r="D10723" t="inlineStr">
        <is>
          <t>VÄSTERNORRLANDS LÄN</t>
        </is>
      </c>
      <c r="E10723" t="inlineStr">
        <is>
          <t>TIMRÅ</t>
        </is>
      </c>
      <c r="F10723" t="inlineStr">
        <is>
          <t>SCA</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23355-2025</t>
        </is>
      </c>
      <c r="B10724" s="1" t="n">
        <v>45791.6706712963</v>
      </c>
      <c r="C10724" s="1" t="n">
        <v>46185</v>
      </c>
      <c r="D10724" t="inlineStr">
        <is>
          <t>VÄSTERNORRLANDS LÄN</t>
        </is>
      </c>
      <c r="E10724" t="inlineStr">
        <is>
          <t>ÖRNSKÖLDSVIK</t>
        </is>
      </c>
      <c r="F10724" t="inlineStr">
        <is>
          <t>Holmen skog AB</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23478-2025</t>
        </is>
      </c>
      <c r="B10725" s="1" t="n">
        <v>45792</v>
      </c>
      <c r="C10725" s="1" t="n">
        <v>46185</v>
      </c>
      <c r="D10725" t="inlineStr">
        <is>
          <t>VÄSTERNORRLANDS LÄN</t>
        </is>
      </c>
      <c r="E10725" t="inlineStr">
        <is>
          <t>SOLLEFTEÅ</t>
        </is>
      </c>
      <c r="F10725" t="inlineStr">
        <is>
          <t>Holmen skog AB</t>
        </is>
      </c>
      <c r="G10725" t="n">
        <v>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23290-2025</t>
        </is>
      </c>
      <c r="B10726" s="1" t="n">
        <v>45791</v>
      </c>
      <c r="C10726" s="1" t="n">
        <v>46185</v>
      </c>
      <c r="D10726" t="inlineStr">
        <is>
          <t>VÄSTERNORRLANDS LÄN</t>
        </is>
      </c>
      <c r="E10726" t="inlineStr">
        <is>
          <t>HÄRNÖSAND</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61373-2022</t>
        </is>
      </c>
      <c r="B10727" s="1" t="n">
        <v>44915</v>
      </c>
      <c r="C10727" s="1" t="n">
        <v>46185</v>
      </c>
      <c r="D10727" t="inlineStr">
        <is>
          <t>VÄSTERNORRLANDS LÄN</t>
        </is>
      </c>
      <c r="E10727" t="inlineStr">
        <is>
          <t>TIMRÅ</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23515-2025</t>
        </is>
      </c>
      <c r="B10728" s="1" t="n">
        <v>45792</v>
      </c>
      <c r="C10728" s="1" t="n">
        <v>46185</v>
      </c>
      <c r="D10728" t="inlineStr">
        <is>
          <t>VÄSTERNORRLANDS LÄN</t>
        </is>
      </c>
      <c r="E10728" t="inlineStr">
        <is>
          <t>SOLLEFTEÅ</t>
        </is>
      </c>
      <c r="F10728" t="inlineStr">
        <is>
          <t>Holmen skog AB</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23577-2025</t>
        </is>
      </c>
      <c r="B10729" s="1" t="n">
        <v>45792.62400462963</v>
      </c>
      <c r="C10729" s="1" t="n">
        <v>46185</v>
      </c>
      <c r="D10729" t="inlineStr">
        <is>
          <t>VÄSTERNORRLANDS LÄN</t>
        </is>
      </c>
      <c r="E10729" t="inlineStr">
        <is>
          <t>KRAMFORS</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19361-2024</t>
        </is>
      </c>
      <c r="B10730" s="1" t="n">
        <v>45429</v>
      </c>
      <c r="C10730" s="1" t="n">
        <v>46185</v>
      </c>
      <c r="D10730" t="inlineStr">
        <is>
          <t>VÄSTERNORRLANDS LÄN</t>
        </is>
      </c>
      <c r="E10730" t="inlineStr">
        <is>
          <t>ÖRNSKÖLDSVIK</t>
        </is>
      </c>
      <c r="G10730" t="n">
        <v>3.9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6831-2024</t>
        </is>
      </c>
      <c r="B10731" s="1" t="n">
        <v>45342</v>
      </c>
      <c r="C10731" s="1" t="n">
        <v>46185</v>
      </c>
      <c r="D10731" t="inlineStr">
        <is>
          <t>VÄSTERNORRLANDS LÄN</t>
        </is>
      </c>
      <c r="E10731" t="inlineStr">
        <is>
          <t>HÄRNÖSAND</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41043-2024</t>
        </is>
      </c>
      <c r="B10732" s="1" t="n">
        <v>45559.36640046296</v>
      </c>
      <c r="C10732" s="1" t="n">
        <v>46185</v>
      </c>
      <c r="D10732" t="inlineStr">
        <is>
          <t>VÄSTERNORRLANDS LÄN</t>
        </is>
      </c>
      <c r="E10732" t="inlineStr">
        <is>
          <t>ÖRNSKÖLDSVIK</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42915-2024</t>
        </is>
      </c>
      <c r="B10733" s="1" t="n">
        <v>45566</v>
      </c>
      <c r="C10733" s="1" t="n">
        <v>46185</v>
      </c>
      <c r="D10733" t="inlineStr">
        <is>
          <t>VÄSTERNORRLANDS LÄN</t>
        </is>
      </c>
      <c r="E10733" t="inlineStr">
        <is>
          <t>SOLLEFTEÅ</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43010-2024</t>
        </is>
      </c>
      <c r="B10734" s="1" t="n">
        <v>45567.38643518519</v>
      </c>
      <c r="C10734" s="1" t="n">
        <v>46185</v>
      </c>
      <c r="D10734" t="inlineStr">
        <is>
          <t>VÄSTERNORRLANDS LÄN</t>
        </is>
      </c>
      <c r="E10734" t="inlineStr">
        <is>
          <t>KRAMFORS</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23409-2025</t>
        </is>
      </c>
      <c r="B10735" s="1" t="n">
        <v>45792.34560185186</v>
      </c>
      <c r="C10735" s="1" t="n">
        <v>46185</v>
      </c>
      <c r="D10735" t="inlineStr">
        <is>
          <t>VÄSTERNORRLANDS LÄN</t>
        </is>
      </c>
      <c r="E10735" t="inlineStr">
        <is>
          <t>SOLLEFTEÅ</t>
        </is>
      </c>
      <c r="F10735" t="inlineStr">
        <is>
          <t>SCA</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23334-2025</t>
        </is>
      </c>
      <c r="B10736" s="1" t="n">
        <v>45791.65145833333</v>
      </c>
      <c r="C10736" s="1" t="n">
        <v>46185</v>
      </c>
      <c r="D10736" t="inlineStr">
        <is>
          <t>VÄSTERNORRLANDS LÄN</t>
        </is>
      </c>
      <c r="E10736" t="inlineStr">
        <is>
          <t>SUNDSVALL</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23173-2025</t>
        </is>
      </c>
      <c r="B10737" s="1" t="n">
        <v>45791.42796296296</v>
      </c>
      <c r="C10737" s="1" t="n">
        <v>46185</v>
      </c>
      <c r="D10737" t="inlineStr">
        <is>
          <t>VÄSTERNORRLANDS LÄN</t>
        </is>
      </c>
      <c r="E10737" t="inlineStr">
        <is>
          <t>TIMRÅ</t>
        </is>
      </c>
      <c r="G10737" t="n">
        <v>2.3</v>
      </c>
      <c r="H10737" t="n">
        <v>0</v>
      </c>
      <c r="I10737" t="n">
        <v>0</v>
      </c>
      <c r="J10737" t="n">
        <v>0</v>
      </c>
      <c r="K10737" t="n">
        <v>0</v>
      </c>
      <c r="L10737" t="n">
        <v>0</v>
      </c>
      <c r="M10737" t="n">
        <v>0</v>
      </c>
      <c r="N10737" t="n">
        <v>0</v>
      </c>
      <c r="O10737" t="n">
        <v>0</v>
      </c>
      <c r="P10737" t="n">
        <v>0</v>
      </c>
      <c r="Q10737" t="n">
        <v>0</v>
      </c>
      <c r="R10737" s="2" t="inlineStr"/>
      <c r="U10737">
        <f>HYPERLINK("https://klasma.github.io/Logging_2262/knärot/A 23173-2025 karta knärot.png", "A 23173-2025")</f>
        <v/>
      </c>
      <c r="V10737">
        <f>HYPERLINK("https://klasma.github.io/Logging_2262/klagomål/A 23173-2025 FSC-klagomål.docx", "A 23173-2025")</f>
        <v/>
      </c>
      <c r="W10737">
        <f>HYPERLINK("https://klasma.github.io/Logging_2262/klagomålsmail/A 23173-2025 FSC-klagomål mail.docx", "A 23173-2025")</f>
        <v/>
      </c>
      <c r="X10737">
        <f>HYPERLINK("https://klasma.github.io/Logging_2262/tillsyn/A 23173-2025 tillsynsbegäran.docx", "A 23173-2025")</f>
        <v/>
      </c>
      <c r="Y10737">
        <f>HYPERLINK("https://klasma.github.io/Logging_2262/tillsynsmail/A 23173-2025 tillsynsbegäran mail.docx", "A 23173-2025")</f>
        <v/>
      </c>
    </row>
    <row r="10738" ht="15" customHeight="1">
      <c r="A10738" t="inlineStr">
        <is>
          <t>A 23090-2025</t>
        </is>
      </c>
      <c r="B10738" s="1" t="n">
        <v>45791.34443287037</v>
      </c>
      <c r="C10738" s="1" t="n">
        <v>46185</v>
      </c>
      <c r="D10738" t="inlineStr">
        <is>
          <t>VÄSTERNORRLANDS LÄN</t>
        </is>
      </c>
      <c r="E10738" t="inlineStr">
        <is>
          <t>SOLLEFTEÅ</t>
        </is>
      </c>
      <c r="F10738" t="inlineStr">
        <is>
          <t>SCA</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44590-2024</t>
        </is>
      </c>
      <c r="B10739" s="1" t="n">
        <v>45574.50597222222</v>
      </c>
      <c r="C10739" s="1" t="n">
        <v>46185</v>
      </c>
      <c r="D10739" t="inlineStr">
        <is>
          <t>VÄSTERNORRLANDS LÄN</t>
        </is>
      </c>
      <c r="E10739" t="inlineStr">
        <is>
          <t>HÄRNÖSAND</t>
        </is>
      </c>
      <c r="G10739" t="n">
        <v>11.9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23410-2025</t>
        </is>
      </c>
      <c r="B10740" s="1" t="n">
        <v>45792.34569444445</v>
      </c>
      <c r="C10740" s="1" t="n">
        <v>46185</v>
      </c>
      <c r="D10740" t="inlineStr">
        <is>
          <t>VÄSTERNORRLANDS LÄN</t>
        </is>
      </c>
      <c r="E10740" t="inlineStr">
        <is>
          <t>SUNDSVALL</t>
        </is>
      </c>
      <c r="F10740" t="inlineStr">
        <is>
          <t>SCA</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19949-2024</t>
        </is>
      </c>
      <c r="B10741" s="1" t="n">
        <v>45433</v>
      </c>
      <c r="C10741" s="1" t="n">
        <v>46185</v>
      </c>
      <c r="D10741" t="inlineStr">
        <is>
          <t>VÄSTERNORRLANDS LÄN</t>
        </is>
      </c>
      <c r="E10741" t="inlineStr">
        <is>
          <t>HÄRNÖSAND</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918-2023</t>
        </is>
      </c>
      <c r="B10742" s="1" t="n">
        <v>44931.95329861111</v>
      </c>
      <c r="C10742" s="1" t="n">
        <v>46185</v>
      </c>
      <c r="D10742" t="inlineStr">
        <is>
          <t>VÄSTERNORRLANDS LÄN</t>
        </is>
      </c>
      <c r="E10742" t="inlineStr">
        <is>
          <t>SOLLEFTEÅ</t>
        </is>
      </c>
      <c r="F10742" t="inlineStr">
        <is>
          <t>SCA</t>
        </is>
      </c>
      <c r="G10742" t="n">
        <v>7.1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35341-2022</t>
        </is>
      </c>
      <c r="B10743" s="1" t="n">
        <v>44798.49653935185</v>
      </c>
      <c r="C10743" s="1" t="n">
        <v>46185</v>
      </c>
      <c r="D10743" t="inlineStr">
        <is>
          <t>VÄSTERNORRLANDS LÄN</t>
        </is>
      </c>
      <c r="E10743" t="inlineStr">
        <is>
          <t>ÖRNSKÖLDSVIK</t>
        </is>
      </c>
      <c r="F10743" t="inlineStr">
        <is>
          <t>Holmen skog AB</t>
        </is>
      </c>
      <c r="G10743" t="n">
        <v>6.5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54672-2024</t>
        </is>
      </c>
      <c r="B10744" s="1" t="n">
        <v>45618.34255787037</v>
      </c>
      <c r="C10744" s="1" t="n">
        <v>46185</v>
      </c>
      <c r="D10744" t="inlineStr">
        <is>
          <t>VÄSTERNORRLANDS LÄN</t>
        </is>
      </c>
      <c r="E10744" t="inlineStr">
        <is>
          <t>KRAMFORS</t>
        </is>
      </c>
      <c r="G10744" t="n">
        <v>6.9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55241-2023</t>
        </is>
      </c>
      <c r="B10745" s="1" t="n">
        <v>45231</v>
      </c>
      <c r="C10745" s="1" t="n">
        <v>46185</v>
      </c>
      <c r="D10745" t="inlineStr">
        <is>
          <t>VÄSTERNORRLANDS LÄN</t>
        </is>
      </c>
      <c r="E10745" t="inlineStr">
        <is>
          <t>KRAMFORS</t>
        </is>
      </c>
      <c r="G10745" t="n">
        <v>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2711-2025</t>
        </is>
      </c>
      <c r="B10746" s="1" t="n">
        <v>45677</v>
      </c>
      <c r="C10746" s="1" t="n">
        <v>46185</v>
      </c>
      <c r="D10746" t="inlineStr">
        <is>
          <t>VÄSTERNORRLANDS LÄN</t>
        </is>
      </c>
      <c r="E10746" t="inlineStr">
        <is>
          <t>SUNDSVALL</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56681-2023</t>
        </is>
      </c>
      <c r="B10747" s="1" t="n">
        <v>45243</v>
      </c>
      <c r="C10747" s="1" t="n">
        <v>46185</v>
      </c>
      <c r="D10747" t="inlineStr">
        <is>
          <t>VÄSTERNORRLANDS LÄN</t>
        </is>
      </c>
      <c r="E10747" t="inlineStr">
        <is>
          <t>SUNDSVALL</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23162-2025</t>
        </is>
      </c>
      <c r="B10748" s="1" t="n">
        <v>45791.40846064815</v>
      </c>
      <c r="C10748" s="1" t="n">
        <v>46185</v>
      </c>
      <c r="D10748" t="inlineStr">
        <is>
          <t>VÄSTERNORRLANDS LÄN</t>
        </is>
      </c>
      <c r="E10748" t="inlineStr">
        <is>
          <t>SUNDSVALL</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8475-2024</t>
        </is>
      </c>
      <c r="B10749" s="1" t="n">
        <v>45351</v>
      </c>
      <c r="C10749" s="1" t="n">
        <v>46185</v>
      </c>
      <c r="D10749" t="inlineStr">
        <is>
          <t>VÄSTERNORRLANDS LÄN</t>
        </is>
      </c>
      <c r="E10749" t="inlineStr">
        <is>
          <t>HÄRNÖSAND</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22514-2025</t>
        </is>
      </c>
      <c r="B10750" s="1" t="n">
        <v>45786.67755787037</v>
      </c>
      <c r="C10750" s="1" t="n">
        <v>46185</v>
      </c>
      <c r="D10750" t="inlineStr">
        <is>
          <t>VÄSTERNORRLANDS LÄN</t>
        </is>
      </c>
      <c r="E10750" t="inlineStr">
        <is>
          <t>SOLLEFTEÅ</t>
        </is>
      </c>
      <c r="F10750" t="inlineStr">
        <is>
          <t>SCA</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23252-2025</t>
        </is>
      </c>
      <c r="B10751" s="1" t="n">
        <v>45791.53157407408</v>
      </c>
      <c r="C10751" s="1" t="n">
        <v>46185</v>
      </c>
      <c r="D10751" t="inlineStr">
        <is>
          <t>VÄSTERNORRLANDS LÄN</t>
        </is>
      </c>
      <c r="E10751" t="inlineStr">
        <is>
          <t>ÅNGE</t>
        </is>
      </c>
      <c r="F10751" t="inlineStr">
        <is>
          <t>SCA</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23256-2025</t>
        </is>
      </c>
      <c r="B10752" s="1" t="n">
        <v>45791.53471064815</v>
      </c>
      <c r="C10752" s="1" t="n">
        <v>46185</v>
      </c>
      <c r="D10752" t="inlineStr">
        <is>
          <t>VÄSTERNORRLANDS LÄN</t>
        </is>
      </c>
      <c r="E10752" t="inlineStr">
        <is>
          <t>KRAMFORS</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23339-2025</t>
        </is>
      </c>
      <c r="B10753" s="1" t="n">
        <v>45791.65577546296</v>
      </c>
      <c r="C10753" s="1" t="n">
        <v>46185</v>
      </c>
      <c r="D10753" t="inlineStr">
        <is>
          <t>VÄSTERNORRLANDS LÄN</t>
        </is>
      </c>
      <c r="E10753" t="inlineStr">
        <is>
          <t>SOLLEFTEÅ</t>
        </is>
      </c>
      <c r="G10753" t="n">
        <v>3.9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23529-2025</t>
        </is>
      </c>
      <c r="B10754" s="1" t="n">
        <v>45792.53158564815</v>
      </c>
      <c r="C10754" s="1" t="n">
        <v>46185</v>
      </c>
      <c r="D10754" t="inlineStr">
        <is>
          <t>VÄSTERNORRLANDS LÄN</t>
        </is>
      </c>
      <c r="E10754" t="inlineStr">
        <is>
          <t>ÅNGE</t>
        </is>
      </c>
      <c r="F10754" t="inlineStr">
        <is>
          <t>SCA</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23542-2025</t>
        </is>
      </c>
      <c r="B10755" s="1" t="n">
        <v>45792.56184027778</v>
      </c>
      <c r="C10755" s="1" t="n">
        <v>46185</v>
      </c>
      <c r="D10755" t="inlineStr">
        <is>
          <t>VÄSTERNORRLANDS LÄN</t>
        </is>
      </c>
      <c r="E10755" t="inlineStr">
        <is>
          <t>SOLLEFTEÅ</t>
        </is>
      </c>
      <c r="F10755" t="inlineStr">
        <is>
          <t>Holmen skog AB</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23839-2025</t>
        </is>
      </c>
      <c r="B10756" s="1" t="n">
        <v>45793.61495370371</v>
      </c>
      <c r="C10756" s="1" t="n">
        <v>46185</v>
      </c>
      <c r="D10756" t="inlineStr">
        <is>
          <t>VÄSTERNORRLANDS LÄN</t>
        </is>
      </c>
      <c r="E10756" t="inlineStr">
        <is>
          <t>TIMRÅ</t>
        </is>
      </c>
      <c r="F10756" t="inlineStr">
        <is>
          <t>SCA</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18310-2025</t>
        </is>
      </c>
      <c r="B10757" s="1" t="n">
        <v>45762.44278935185</v>
      </c>
      <c r="C10757" s="1" t="n">
        <v>46185</v>
      </c>
      <c r="D10757" t="inlineStr">
        <is>
          <t>VÄSTERNORRLANDS LÄN</t>
        </is>
      </c>
      <c r="E10757" t="inlineStr">
        <is>
          <t>ÖRNSKÖLDSVIK</t>
        </is>
      </c>
      <c r="G10757" t="n">
        <v>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23748-2025</t>
        </is>
      </c>
      <c r="B10758" s="1" t="n">
        <v>45793.44755787037</v>
      </c>
      <c r="C10758" s="1" t="n">
        <v>46185</v>
      </c>
      <c r="D10758" t="inlineStr">
        <is>
          <t>VÄSTERNORRLANDS LÄN</t>
        </is>
      </c>
      <c r="E10758" t="inlineStr">
        <is>
          <t>ÅNGE</t>
        </is>
      </c>
      <c r="F10758" t="inlineStr">
        <is>
          <t>Sveaskog</t>
        </is>
      </c>
      <c r="G10758" t="n">
        <v>6.5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43145-2024</t>
        </is>
      </c>
      <c r="B10759" s="1" t="n">
        <v>45567.63030092593</v>
      </c>
      <c r="C10759" s="1" t="n">
        <v>46185</v>
      </c>
      <c r="D10759" t="inlineStr">
        <is>
          <t>VÄSTERNORRLANDS LÄN</t>
        </is>
      </c>
      <c r="E10759" t="inlineStr">
        <is>
          <t>ÅNGE</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33110-2024</t>
        </is>
      </c>
      <c r="B10760" s="1" t="n">
        <v>45517</v>
      </c>
      <c r="C10760" s="1" t="n">
        <v>46185</v>
      </c>
      <c r="D10760" t="inlineStr">
        <is>
          <t>VÄSTERNORRLANDS LÄN</t>
        </is>
      </c>
      <c r="E10760" t="inlineStr">
        <is>
          <t>SOLLEFTEÅ</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14671-2024</t>
        </is>
      </c>
      <c r="B10761" s="1" t="n">
        <v>45397</v>
      </c>
      <c r="C10761" s="1" t="n">
        <v>46185</v>
      </c>
      <c r="D10761" t="inlineStr">
        <is>
          <t>VÄSTERNORRLANDS LÄN</t>
        </is>
      </c>
      <c r="E10761" t="inlineStr">
        <is>
          <t>ÖRNSKÖLDSVIK</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15404-2024</t>
        </is>
      </c>
      <c r="B10762" s="1" t="n">
        <v>45401.34081018518</v>
      </c>
      <c r="C10762" s="1" t="n">
        <v>46185</v>
      </c>
      <c r="D10762" t="inlineStr">
        <is>
          <t>VÄSTERNORRLANDS LÄN</t>
        </is>
      </c>
      <c r="E10762" t="inlineStr">
        <is>
          <t>ÖRNSKÖLDSVIK</t>
        </is>
      </c>
      <c r="G10762" t="n">
        <v>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55610-2021</t>
        </is>
      </c>
      <c r="B10763" s="1" t="n">
        <v>44475.94237268518</v>
      </c>
      <c r="C10763" s="1" t="n">
        <v>46185</v>
      </c>
      <c r="D10763" t="inlineStr">
        <is>
          <t>VÄSTERNORRLANDS LÄN</t>
        </is>
      </c>
      <c r="E10763" t="inlineStr">
        <is>
          <t>SOLLEFTEÅ</t>
        </is>
      </c>
      <c r="F10763" t="inlineStr">
        <is>
          <t>SCA</t>
        </is>
      </c>
      <c r="G10763" t="n">
        <v>5.2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7152-2022</t>
        </is>
      </c>
      <c r="B10764" s="1" t="n">
        <v>44603.92236111111</v>
      </c>
      <c r="C10764" s="1" t="n">
        <v>46185</v>
      </c>
      <c r="D10764" t="inlineStr">
        <is>
          <t>VÄSTERNORRLANDS LÄN</t>
        </is>
      </c>
      <c r="E10764" t="inlineStr">
        <is>
          <t>TIMRÅ</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17574-2024</t>
        </is>
      </c>
      <c r="B10765" s="1" t="n">
        <v>45415</v>
      </c>
      <c r="C10765" s="1" t="n">
        <v>46185</v>
      </c>
      <c r="D10765" t="inlineStr">
        <is>
          <t>VÄSTERNORRLANDS LÄN</t>
        </is>
      </c>
      <c r="E10765" t="inlineStr">
        <is>
          <t>KRAMFORS</t>
        </is>
      </c>
      <c r="G10765" t="n">
        <v>7.2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6394-2025</t>
        </is>
      </c>
      <c r="B10766" s="1" t="n">
        <v>45699.43229166666</v>
      </c>
      <c r="C10766" s="1" t="n">
        <v>46185</v>
      </c>
      <c r="D10766" t="inlineStr">
        <is>
          <t>VÄSTERNORRLANDS LÄN</t>
        </is>
      </c>
      <c r="E10766" t="inlineStr">
        <is>
          <t>TIMRÅ</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31886-2024</t>
        </is>
      </c>
      <c r="B10767" s="1" t="n">
        <v>45509.95780092593</v>
      </c>
      <c r="C10767" s="1" t="n">
        <v>46185</v>
      </c>
      <c r="D10767" t="inlineStr">
        <is>
          <t>VÄSTERNORRLANDS LÄN</t>
        </is>
      </c>
      <c r="E10767" t="inlineStr">
        <is>
          <t>SOLLEFTEÅ</t>
        </is>
      </c>
      <c r="F10767" t="inlineStr">
        <is>
          <t>SCA</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62523-2023</t>
        </is>
      </c>
      <c r="B10768" s="1" t="n">
        <v>45267</v>
      </c>
      <c r="C10768" s="1" t="n">
        <v>46185</v>
      </c>
      <c r="D10768" t="inlineStr">
        <is>
          <t>VÄSTERNORRLANDS LÄN</t>
        </is>
      </c>
      <c r="E10768" t="inlineStr">
        <is>
          <t>SOLLEFTEÅ</t>
        </is>
      </c>
      <c r="G10768" t="n">
        <v>33.6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56188-2024</t>
        </is>
      </c>
      <c r="B10769" s="1" t="n">
        <v>45624.57800925926</v>
      </c>
      <c r="C10769" s="1" t="n">
        <v>46185</v>
      </c>
      <c r="D10769" t="inlineStr">
        <is>
          <t>VÄSTERNORRLANDS LÄN</t>
        </is>
      </c>
      <c r="E10769" t="inlineStr">
        <is>
          <t>ÅNGE</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22137-2024</t>
        </is>
      </c>
      <c r="B10770" s="1" t="n">
        <v>45444</v>
      </c>
      <c r="C10770" s="1" t="n">
        <v>46185</v>
      </c>
      <c r="D10770" t="inlineStr">
        <is>
          <t>VÄSTERNORRLANDS LÄN</t>
        </is>
      </c>
      <c r="E10770" t="inlineStr">
        <is>
          <t>ÖRNSKÖLDSVIK</t>
        </is>
      </c>
      <c r="F10770" t="inlineStr">
        <is>
          <t>SCA</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23983-2025</t>
        </is>
      </c>
      <c r="B10771" s="1" t="n">
        <v>45794</v>
      </c>
      <c r="C10771" s="1" t="n">
        <v>46185</v>
      </c>
      <c r="D10771" t="inlineStr">
        <is>
          <t>VÄSTERNORRLANDS LÄN</t>
        </is>
      </c>
      <c r="E10771" t="inlineStr">
        <is>
          <t>ÖRNSKÖLDSVIK</t>
        </is>
      </c>
      <c r="F10771" t="inlineStr">
        <is>
          <t>Kyrkan</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38992-2024</t>
        </is>
      </c>
      <c r="B10772" s="1" t="n">
        <v>45548</v>
      </c>
      <c r="C10772" s="1" t="n">
        <v>46185</v>
      </c>
      <c r="D10772" t="inlineStr">
        <is>
          <t>VÄSTERNORRLANDS LÄN</t>
        </is>
      </c>
      <c r="E10772" t="inlineStr">
        <is>
          <t>TIMRÅ</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34796-2023</t>
        </is>
      </c>
      <c r="B10773" s="1" t="n">
        <v>45141.58427083334</v>
      </c>
      <c r="C10773" s="1" t="n">
        <v>46185</v>
      </c>
      <c r="D10773" t="inlineStr">
        <is>
          <t>VÄSTERNORRLANDS LÄN</t>
        </is>
      </c>
      <c r="E10773" t="inlineStr">
        <is>
          <t>ÖRNSKÖLDSVIK</t>
        </is>
      </c>
      <c r="F10773" t="inlineStr">
        <is>
          <t>Holmen skog AB</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40749-2023</t>
        </is>
      </c>
      <c r="B10774" s="1" t="n">
        <v>45170</v>
      </c>
      <c r="C10774" s="1" t="n">
        <v>46185</v>
      </c>
      <c r="D10774" t="inlineStr">
        <is>
          <t>VÄSTERNORRLANDS LÄN</t>
        </is>
      </c>
      <c r="E10774" t="inlineStr">
        <is>
          <t>SUNDSVALL</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34983-2023</t>
        </is>
      </c>
      <c r="B10775" s="1" t="n">
        <v>45141</v>
      </c>
      <c r="C10775" s="1" t="n">
        <v>46185</v>
      </c>
      <c r="D10775" t="inlineStr">
        <is>
          <t>VÄSTERNORRLANDS LÄN</t>
        </is>
      </c>
      <c r="E10775" t="inlineStr">
        <is>
          <t>SOLLEFTEÅ</t>
        </is>
      </c>
      <c r="F10775" t="inlineStr">
        <is>
          <t>SCA</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17789-2024</t>
        </is>
      </c>
      <c r="B10776" s="1" t="n">
        <v>45418</v>
      </c>
      <c r="C10776" s="1" t="n">
        <v>46185</v>
      </c>
      <c r="D10776" t="inlineStr">
        <is>
          <t>VÄSTERNORRLANDS LÄN</t>
        </is>
      </c>
      <c r="E10776" t="inlineStr">
        <is>
          <t>KRAMFORS</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37648-2021</t>
        </is>
      </c>
      <c r="B10777" s="1" t="n">
        <v>44400</v>
      </c>
      <c r="C10777" s="1" t="n">
        <v>46185</v>
      </c>
      <c r="D10777" t="inlineStr">
        <is>
          <t>VÄSTERNORRLANDS LÄN</t>
        </is>
      </c>
      <c r="E10777" t="inlineStr">
        <is>
          <t>SOLLEFTEÅ</t>
        </is>
      </c>
      <c r="G10777" t="n">
        <v>33.6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13071-2025</t>
        </is>
      </c>
      <c r="B10778" s="1" t="n">
        <v>45734.61527777778</v>
      </c>
      <c r="C10778" s="1" t="n">
        <v>46185</v>
      </c>
      <c r="D10778" t="inlineStr">
        <is>
          <t>VÄSTERNORRLANDS LÄN</t>
        </is>
      </c>
      <c r="E10778" t="inlineStr">
        <is>
          <t>SUNDSVALL</t>
        </is>
      </c>
      <c r="F10778" t="inlineStr">
        <is>
          <t>SCA</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29663-2024</t>
        </is>
      </c>
      <c r="B10779" s="1" t="n">
        <v>45484.94004629629</v>
      </c>
      <c r="C10779" s="1" t="n">
        <v>46185</v>
      </c>
      <c r="D10779" t="inlineStr">
        <is>
          <t>VÄSTERNORRLANDS LÄN</t>
        </is>
      </c>
      <c r="E10779" t="inlineStr">
        <is>
          <t>SUNDSVALL</t>
        </is>
      </c>
      <c r="F10779" t="inlineStr">
        <is>
          <t>SCA</t>
        </is>
      </c>
      <c r="G10779" t="n">
        <v>44.6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60337-2022</t>
        </is>
      </c>
      <c r="B10780" s="1" t="n">
        <v>44910</v>
      </c>
      <c r="C10780" s="1" t="n">
        <v>46185</v>
      </c>
      <c r="D10780" t="inlineStr">
        <is>
          <t>VÄSTERNORRLANDS LÄN</t>
        </is>
      </c>
      <c r="E10780" t="inlineStr">
        <is>
          <t>ÖRNSKÖLDSVIK</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2699-2025</t>
        </is>
      </c>
      <c r="B10781" s="1" t="n">
        <v>45677.40665509259</v>
      </c>
      <c r="C10781" s="1" t="n">
        <v>46185</v>
      </c>
      <c r="D10781" t="inlineStr">
        <is>
          <t>VÄSTERNORRLANDS LÄN</t>
        </is>
      </c>
      <c r="E10781" t="inlineStr">
        <is>
          <t>SOLLEFTEÅ</t>
        </is>
      </c>
      <c r="F10781" t="inlineStr">
        <is>
          <t>SCA</t>
        </is>
      </c>
      <c r="G10781" t="n">
        <v>3.8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52602-2024</t>
        </is>
      </c>
      <c r="B10782" s="1" t="n">
        <v>45609</v>
      </c>
      <c r="C10782" s="1" t="n">
        <v>46185</v>
      </c>
      <c r="D10782" t="inlineStr">
        <is>
          <t>VÄSTERNORRLANDS LÄN</t>
        </is>
      </c>
      <c r="E10782" t="inlineStr">
        <is>
          <t>SOLLEFTEÅ</t>
        </is>
      </c>
      <c r="G10782" t="n">
        <v>10.8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23942-2025</t>
        </is>
      </c>
      <c r="B10783" s="1" t="n">
        <v>45796.33728009259</v>
      </c>
      <c r="C10783" s="1" t="n">
        <v>46185</v>
      </c>
      <c r="D10783" t="inlineStr">
        <is>
          <t>VÄSTERNORRLANDS LÄN</t>
        </is>
      </c>
      <c r="E10783" t="inlineStr">
        <is>
          <t>ÖRNSKÖLDSVIK</t>
        </is>
      </c>
      <c r="F10783" t="inlineStr">
        <is>
          <t>Holmen skog AB</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23957-2025</t>
        </is>
      </c>
      <c r="B10784" s="1" t="n">
        <v>45796.365</v>
      </c>
      <c r="C10784" s="1" t="n">
        <v>46185</v>
      </c>
      <c r="D10784" t="inlineStr">
        <is>
          <t>VÄSTERNORRLANDS LÄN</t>
        </is>
      </c>
      <c r="E10784" t="inlineStr">
        <is>
          <t>TIMRÅ</t>
        </is>
      </c>
      <c r="F10784" t="inlineStr">
        <is>
          <t>SCA</t>
        </is>
      </c>
      <c r="G10784" t="n">
        <v>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47959-2024</t>
        </is>
      </c>
      <c r="B10785" s="1" t="n">
        <v>45589</v>
      </c>
      <c r="C10785" s="1" t="n">
        <v>46185</v>
      </c>
      <c r="D10785" t="inlineStr">
        <is>
          <t>VÄSTERNORRLANDS LÄN</t>
        </is>
      </c>
      <c r="E10785" t="inlineStr">
        <is>
          <t>SUNDSVALL</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34586-2024</t>
        </is>
      </c>
      <c r="B10786" s="1" t="n">
        <v>45526</v>
      </c>
      <c r="C10786" s="1" t="n">
        <v>46185</v>
      </c>
      <c r="D10786" t="inlineStr">
        <is>
          <t>VÄSTERNORRLANDS LÄN</t>
        </is>
      </c>
      <c r="E10786" t="inlineStr">
        <is>
          <t>ÖRNSKÖLDSVIK</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36671-2022</t>
        </is>
      </c>
      <c r="B10787" s="1" t="n">
        <v>44804</v>
      </c>
      <c r="C10787" s="1" t="n">
        <v>46185</v>
      </c>
      <c r="D10787" t="inlineStr">
        <is>
          <t>VÄSTERNORRLANDS LÄN</t>
        </is>
      </c>
      <c r="E10787" t="inlineStr">
        <is>
          <t>KRAMFORS</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39622-2024</t>
        </is>
      </c>
      <c r="B10788" s="1" t="n">
        <v>45552</v>
      </c>
      <c r="C10788" s="1" t="n">
        <v>46185</v>
      </c>
      <c r="D10788" t="inlineStr">
        <is>
          <t>VÄSTERNORRLANDS LÄN</t>
        </is>
      </c>
      <c r="E10788" t="inlineStr">
        <is>
          <t>KRAMFORS</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41787-2024</t>
        </is>
      </c>
      <c r="B10789" s="1" t="n">
        <v>45561.34986111111</v>
      </c>
      <c r="C10789" s="1" t="n">
        <v>46185</v>
      </c>
      <c r="D10789" t="inlineStr">
        <is>
          <t>VÄSTERNORRLANDS LÄN</t>
        </is>
      </c>
      <c r="E10789" t="inlineStr">
        <is>
          <t>SOLLEFTEÅ</t>
        </is>
      </c>
      <c r="F10789" t="inlineStr">
        <is>
          <t>SCA</t>
        </is>
      </c>
      <c r="G10789" t="n">
        <v>3.9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23975-2025</t>
        </is>
      </c>
      <c r="B10790" s="1" t="n">
        <v>45796.38614583333</v>
      </c>
      <c r="C10790" s="1" t="n">
        <v>46185</v>
      </c>
      <c r="D10790" t="inlineStr">
        <is>
          <t>VÄSTERNORRLANDS LÄN</t>
        </is>
      </c>
      <c r="E10790" t="inlineStr">
        <is>
          <t>ÅNGE</t>
        </is>
      </c>
      <c r="F10790" t="inlineStr">
        <is>
          <t>SCA</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23976-2025</t>
        </is>
      </c>
      <c r="B10791" s="1" t="n">
        <v>45796.38625</v>
      </c>
      <c r="C10791" s="1" t="n">
        <v>46185</v>
      </c>
      <c r="D10791" t="inlineStr">
        <is>
          <t>VÄSTERNORRLANDS LÄN</t>
        </is>
      </c>
      <c r="E10791" t="inlineStr">
        <is>
          <t>ÅNGE</t>
        </is>
      </c>
      <c r="F10791" t="inlineStr">
        <is>
          <t>SCA</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23765-2025</t>
        </is>
      </c>
      <c r="B10792" s="1" t="n">
        <v>45793.46952546296</v>
      </c>
      <c r="C10792" s="1" t="n">
        <v>46185</v>
      </c>
      <c r="D10792" t="inlineStr">
        <is>
          <t>VÄSTERNORRLANDS LÄN</t>
        </is>
      </c>
      <c r="E10792" t="inlineStr">
        <is>
          <t>SUNDSVALL</t>
        </is>
      </c>
      <c r="F10792" t="inlineStr">
        <is>
          <t>SCA</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54079-2023</t>
        </is>
      </c>
      <c r="B10793" s="1" t="n">
        <v>45231</v>
      </c>
      <c r="C10793" s="1" t="n">
        <v>46185</v>
      </c>
      <c r="D10793" t="inlineStr">
        <is>
          <t>VÄSTERNORRLANDS LÄN</t>
        </is>
      </c>
      <c r="E10793" t="inlineStr">
        <is>
          <t>ÅNGE</t>
        </is>
      </c>
      <c r="F10793" t="inlineStr">
        <is>
          <t>SCA</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28290-2024</t>
        </is>
      </c>
      <c r="B10794" s="1" t="n">
        <v>45477.46743055555</v>
      </c>
      <c r="C10794" s="1" t="n">
        <v>46185</v>
      </c>
      <c r="D10794" t="inlineStr">
        <is>
          <t>VÄSTERNORRLANDS LÄN</t>
        </is>
      </c>
      <c r="E10794" t="inlineStr">
        <is>
          <t>SOLLEFTEÅ</t>
        </is>
      </c>
      <c r="F10794" t="inlineStr">
        <is>
          <t>Holmen skog AB</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29702-2024</t>
        </is>
      </c>
      <c r="B10795" s="1" t="n">
        <v>45485.31525462963</v>
      </c>
      <c r="C10795" s="1" t="n">
        <v>46185</v>
      </c>
      <c r="D10795" t="inlineStr">
        <is>
          <t>VÄSTERNORRLANDS LÄN</t>
        </is>
      </c>
      <c r="E10795" t="inlineStr">
        <is>
          <t>ÅNGE</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62271-2021</t>
        </is>
      </c>
      <c r="B10796" s="1" t="n">
        <v>44503.35984953704</v>
      </c>
      <c r="C10796" s="1" t="n">
        <v>46185</v>
      </c>
      <c r="D10796" t="inlineStr">
        <is>
          <t>VÄSTERNORRLANDS LÄN</t>
        </is>
      </c>
      <c r="E10796" t="inlineStr">
        <is>
          <t>KRAMFORS</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35358-2021</t>
        </is>
      </c>
      <c r="B10797" s="1" t="n">
        <v>44384.93591435185</v>
      </c>
      <c r="C10797" s="1" t="n">
        <v>46185</v>
      </c>
      <c r="D10797" t="inlineStr">
        <is>
          <t>VÄSTERNORRLANDS LÄN</t>
        </is>
      </c>
      <c r="E10797" t="inlineStr">
        <is>
          <t>SOLLEFTEÅ</t>
        </is>
      </c>
      <c r="F10797" t="inlineStr">
        <is>
          <t>SCA</t>
        </is>
      </c>
      <c r="G10797" t="n">
        <v>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23997-2025</t>
        </is>
      </c>
      <c r="B10798" s="1" t="n">
        <v>45796.42061342593</v>
      </c>
      <c r="C10798" s="1" t="n">
        <v>46185</v>
      </c>
      <c r="D10798" t="inlineStr">
        <is>
          <t>VÄSTERNORRLANDS LÄN</t>
        </is>
      </c>
      <c r="E10798" t="inlineStr">
        <is>
          <t>SOLLEFTEÅ</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1088-2022</t>
        </is>
      </c>
      <c r="B10799" s="1" t="n">
        <v>44571</v>
      </c>
      <c r="C10799" s="1" t="n">
        <v>46185</v>
      </c>
      <c r="D10799" t="inlineStr">
        <is>
          <t>VÄSTERNORRLANDS LÄN</t>
        </is>
      </c>
      <c r="E10799" t="inlineStr">
        <is>
          <t>HÄRNÖSAND</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24090-2025</t>
        </is>
      </c>
      <c r="B10800" s="1" t="n">
        <v>45796.57068287037</v>
      </c>
      <c r="C10800" s="1" t="n">
        <v>46185</v>
      </c>
      <c r="D10800" t="inlineStr">
        <is>
          <t>VÄSTERNORRLANDS LÄN</t>
        </is>
      </c>
      <c r="E10800" t="inlineStr">
        <is>
          <t>SUNDSVALL</t>
        </is>
      </c>
      <c r="G10800" t="n">
        <v>5.9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26641-2024</t>
        </is>
      </c>
      <c r="B10801" s="1" t="n">
        <v>45469.92836805555</v>
      </c>
      <c r="C10801" s="1" t="n">
        <v>46185</v>
      </c>
      <c r="D10801" t="inlineStr">
        <is>
          <t>VÄSTERNORRLANDS LÄN</t>
        </is>
      </c>
      <c r="E10801" t="inlineStr">
        <is>
          <t>ÅNGE</t>
        </is>
      </c>
      <c r="G10801" t="n">
        <v>4.5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23871-2025</t>
        </is>
      </c>
      <c r="B10802" s="1" t="n">
        <v>45793.67741898148</v>
      </c>
      <c r="C10802" s="1" t="n">
        <v>46185</v>
      </c>
      <c r="D10802" t="inlineStr">
        <is>
          <t>VÄSTERNORRLANDS LÄN</t>
        </is>
      </c>
      <c r="E10802" t="inlineStr">
        <is>
          <t>SOLLEFTEÅ</t>
        </is>
      </c>
      <c r="F10802" t="inlineStr">
        <is>
          <t>SCA</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1268-2024</t>
        </is>
      </c>
      <c r="B10803" s="1" t="n">
        <v>45302</v>
      </c>
      <c r="C10803" s="1" t="n">
        <v>46185</v>
      </c>
      <c r="D10803" t="inlineStr">
        <is>
          <t>VÄSTERNORRLANDS LÄN</t>
        </is>
      </c>
      <c r="E10803" t="inlineStr">
        <is>
          <t>SOLLEFTEÅ</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21100-2024</t>
        </is>
      </c>
      <c r="B10804" s="1" t="n">
        <v>45439.95072916667</v>
      </c>
      <c r="C10804" s="1" t="n">
        <v>46185</v>
      </c>
      <c r="D10804" t="inlineStr">
        <is>
          <t>VÄSTERNORRLANDS LÄN</t>
        </is>
      </c>
      <c r="E10804" t="inlineStr">
        <is>
          <t>SOLLEFTEÅ</t>
        </is>
      </c>
      <c r="F10804" t="inlineStr">
        <is>
          <t>SCA</t>
        </is>
      </c>
      <c r="G10804" t="n">
        <v>8.1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50699-2024</t>
        </is>
      </c>
      <c r="B10805" s="1" t="n">
        <v>45602</v>
      </c>
      <c r="C10805" s="1" t="n">
        <v>46185</v>
      </c>
      <c r="D10805" t="inlineStr">
        <is>
          <t>VÄSTERNORRLANDS LÄN</t>
        </is>
      </c>
      <c r="E10805" t="inlineStr">
        <is>
          <t>TIMRÅ</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41741-2023</t>
        </is>
      </c>
      <c r="B10806" s="1" t="n">
        <v>45176.42164351852</v>
      </c>
      <c r="C10806" s="1" t="n">
        <v>46185</v>
      </c>
      <c r="D10806" t="inlineStr">
        <is>
          <t>VÄSTERNORRLANDS LÄN</t>
        </is>
      </c>
      <c r="E10806" t="inlineStr">
        <is>
          <t>ÅNGE</t>
        </is>
      </c>
      <c r="G10806" t="n">
        <v>7.8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16365-2022</t>
        </is>
      </c>
      <c r="B10807" s="1" t="n">
        <v>44670.9406712963</v>
      </c>
      <c r="C10807" s="1" t="n">
        <v>46185</v>
      </c>
      <c r="D10807" t="inlineStr">
        <is>
          <t>VÄSTERNORRLANDS LÄN</t>
        </is>
      </c>
      <c r="E10807" t="inlineStr">
        <is>
          <t>SOLLEFTEÅ</t>
        </is>
      </c>
      <c r="F10807" t="inlineStr">
        <is>
          <t>SCA</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30972-2023</t>
        </is>
      </c>
      <c r="B10808" s="1" t="n">
        <v>45103</v>
      </c>
      <c r="C10808" s="1" t="n">
        <v>46185</v>
      </c>
      <c r="D10808" t="inlineStr">
        <is>
          <t>VÄSTERNORRLANDS LÄN</t>
        </is>
      </c>
      <c r="E10808" t="inlineStr">
        <is>
          <t>ÖRNSKÖLDSVIK</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37992-2024</t>
        </is>
      </c>
      <c r="B10809" s="1" t="n">
        <v>45544.59524305556</v>
      </c>
      <c r="C10809" s="1" t="n">
        <v>46185</v>
      </c>
      <c r="D10809" t="inlineStr">
        <is>
          <t>VÄSTERNORRLANDS LÄN</t>
        </is>
      </c>
      <c r="E10809" t="inlineStr">
        <is>
          <t>ÅNGE</t>
        </is>
      </c>
      <c r="G10809" t="n">
        <v>3.9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57516-2023</t>
        </is>
      </c>
      <c r="B10810" s="1" t="n">
        <v>45246.44665509259</v>
      </c>
      <c r="C10810" s="1" t="n">
        <v>46185</v>
      </c>
      <c r="D10810" t="inlineStr">
        <is>
          <t>VÄSTERNORRLANDS LÄN</t>
        </is>
      </c>
      <c r="E10810" t="inlineStr">
        <is>
          <t>ÅNGE</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23069-2024</t>
        </is>
      </c>
      <c r="B10811" s="1" t="n">
        <v>45450</v>
      </c>
      <c r="C10811" s="1" t="n">
        <v>46185</v>
      </c>
      <c r="D10811" t="inlineStr">
        <is>
          <t>VÄSTERNORRLANDS LÄN</t>
        </is>
      </c>
      <c r="E10811" t="inlineStr">
        <is>
          <t>ÅNGE</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41575-2024</t>
        </is>
      </c>
      <c r="B10812" s="1" t="n">
        <v>45560.55106481481</v>
      </c>
      <c r="C10812" s="1" t="n">
        <v>46185</v>
      </c>
      <c r="D10812" t="inlineStr">
        <is>
          <t>VÄSTERNORRLANDS LÄN</t>
        </is>
      </c>
      <c r="E10812" t="inlineStr">
        <is>
          <t>ÅNGE</t>
        </is>
      </c>
      <c r="F10812" t="inlineStr">
        <is>
          <t>Holmen skog AB</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45585-2024</t>
        </is>
      </c>
      <c r="B10813" s="1" t="n">
        <v>45579.40584490741</v>
      </c>
      <c r="C10813" s="1" t="n">
        <v>46185</v>
      </c>
      <c r="D10813" t="inlineStr">
        <is>
          <t>VÄSTERNORRLANDS LÄN</t>
        </is>
      </c>
      <c r="E10813" t="inlineStr">
        <is>
          <t>HÄRNÖSAND</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19007-2025</t>
        </is>
      </c>
      <c r="B10814" s="1" t="n">
        <v>45764.58515046296</v>
      </c>
      <c r="C10814" s="1" t="n">
        <v>46185</v>
      </c>
      <c r="D10814" t="inlineStr">
        <is>
          <t>VÄSTERNORRLANDS LÄN</t>
        </is>
      </c>
      <c r="E10814" t="inlineStr">
        <is>
          <t>ÅNGE</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30299-2024</t>
        </is>
      </c>
      <c r="B10815" s="1" t="n">
        <v>45490</v>
      </c>
      <c r="C10815" s="1" t="n">
        <v>46185</v>
      </c>
      <c r="D10815" t="inlineStr">
        <is>
          <t>VÄSTERNORRLANDS LÄN</t>
        </is>
      </c>
      <c r="E10815" t="inlineStr">
        <is>
          <t>SUNDSVALL</t>
        </is>
      </c>
      <c r="G10815" t="n">
        <v>4.4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23783-2025</t>
        </is>
      </c>
      <c r="B10816" s="1" t="n">
        <v>45793</v>
      </c>
      <c r="C10816" s="1" t="n">
        <v>46185</v>
      </c>
      <c r="D10816" t="inlineStr">
        <is>
          <t>VÄSTERNORRLANDS LÄN</t>
        </is>
      </c>
      <c r="E10816" t="inlineStr">
        <is>
          <t>HÄRNÖSAND</t>
        </is>
      </c>
      <c r="G10816" t="n">
        <v>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61944-2023</t>
        </is>
      </c>
      <c r="B10817" s="1" t="n">
        <v>45266.55423611111</v>
      </c>
      <c r="C10817" s="1" t="n">
        <v>46185</v>
      </c>
      <c r="D10817" t="inlineStr">
        <is>
          <t>VÄSTERNORRLANDS LÄN</t>
        </is>
      </c>
      <c r="E10817" t="inlineStr">
        <is>
          <t>HÄRNÖSAND</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60004-2023</t>
        </is>
      </c>
      <c r="B10818" s="1" t="n">
        <v>45257</v>
      </c>
      <c r="C10818" s="1" t="n">
        <v>46185</v>
      </c>
      <c r="D10818" t="inlineStr">
        <is>
          <t>VÄSTERNORRLANDS LÄN</t>
        </is>
      </c>
      <c r="E10818" t="inlineStr">
        <is>
          <t>ÅNGE</t>
        </is>
      </c>
      <c r="F10818" t="inlineStr">
        <is>
          <t>SCA</t>
        </is>
      </c>
      <c r="G10818" t="n">
        <v>9.199999999999999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60074-2023</t>
        </is>
      </c>
      <c r="B10819" s="1" t="n">
        <v>45258</v>
      </c>
      <c r="C10819" s="1" t="n">
        <v>46185</v>
      </c>
      <c r="D10819" t="inlineStr">
        <is>
          <t>VÄSTERNORRLANDS LÄN</t>
        </is>
      </c>
      <c r="E10819" t="inlineStr">
        <is>
          <t>TIMRÅ</t>
        </is>
      </c>
      <c r="G10819" t="n">
        <v>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20528-2024</t>
        </is>
      </c>
      <c r="B10820" s="1" t="n">
        <v>45435.94611111111</v>
      </c>
      <c r="C10820" s="1" t="n">
        <v>46185</v>
      </c>
      <c r="D10820" t="inlineStr">
        <is>
          <t>VÄSTERNORRLANDS LÄN</t>
        </is>
      </c>
      <c r="E10820" t="inlineStr">
        <is>
          <t>KRAMFORS</t>
        </is>
      </c>
      <c r="F10820" t="inlineStr">
        <is>
          <t>SCA</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14292-2025</t>
        </is>
      </c>
      <c r="B10821" s="1" t="n">
        <v>45740.67795138889</v>
      </c>
      <c r="C10821" s="1" t="n">
        <v>46185</v>
      </c>
      <c r="D10821" t="inlineStr">
        <is>
          <t>VÄSTERNORRLANDS LÄN</t>
        </is>
      </c>
      <c r="E10821" t="inlineStr">
        <is>
          <t>ÖRNSKÖLDSVIK</t>
        </is>
      </c>
      <c r="F10821" t="inlineStr">
        <is>
          <t>SCA</t>
        </is>
      </c>
      <c r="G10821" t="n">
        <v>40.7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35262-2021</t>
        </is>
      </c>
      <c r="B10822" s="1" t="n">
        <v>44384</v>
      </c>
      <c r="C10822" s="1" t="n">
        <v>46185</v>
      </c>
      <c r="D10822" t="inlineStr">
        <is>
          <t>VÄSTERNORRLANDS LÄN</t>
        </is>
      </c>
      <c r="E10822" t="inlineStr">
        <is>
          <t>TIMRÅ</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51047-2024</t>
        </is>
      </c>
      <c r="B10823" s="1" t="n">
        <v>45603.44611111111</v>
      </c>
      <c r="C10823" s="1" t="n">
        <v>46185</v>
      </c>
      <c r="D10823" t="inlineStr">
        <is>
          <t>VÄSTERNORRLANDS LÄN</t>
        </is>
      </c>
      <c r="E10823" t="inlineStr">
        <is>
          <t>SUNDSVALL</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32790-2024</t>
        </is>
      </c>
      <c r="B10824" s="1" t="n">
        <v>45516.53993055555</v>
      </c>
      <c r="C10824" s="1" t="n">
        <v>46185</v>
      </c>
      <c r="D10824" t="inlineStr">
        <is>
          <t>VÄSTERNORRLANDS LÄN</t>
        </is>
      </c>
      <c r="E10824" t="inlineStr">
        <is>
          <t>HÄRNÖSAND</t>
        </is>
      </c>
      <c r="G10824" t="n">
        <v>4.2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32105-2024</t>
        </is>
      </c>
      <c r="B10825" s="1" t="n">
        <v>45511</v>
      </c>
      <c r="C10825" s="1" t="n">
        <v>46185</v>
      </c>
      <c r="D10825" t="inlineStr">
        <is>
          <t>VÄSTERNORRLANDS LÄN</t>
        </is>
      </c>
      <c r="E10825" t="inlineStr">
        <is>
          <t>TIMRÅ</t>
        </is>
      </c>
      <c r="G10825" t="n">
        <v>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43622-2023</t>
        </is>
      </c>
      <c r="B10826" s="1" t="n">
        <v>45184.70777777778</v>
      </c>
      <c r="C10826" s="1" t="n">
        <v>46185</v>
      </c>
      <c r="D10826" t="inlineStr">
        <is>
          <t>VÄSTERNORRLANDS LÄN</t>
        </is>
      </c>
      <c r="E10826" t="inlineStr">
        <is>
          <t>ÅNGE</t>
        </is>
      </c>
      <c r="F10826" t="inlineStr">
        <is>
          <t>Holmen skog AB</t>
        </is>
      </c>
      <c r="G10826" t="n">
        <v>5.9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34745-2023</t>
        </is>
      </c>
      <c r="B10827" s="1" t="n">
        <v>45139</v>
      </c>
      <c r="C10827" s="1" t="n">
        <v>46185</v>
      </c>
      <c r="D10827" t="inlineStr">
        <is>
          <t>VÄSTERNORRLANDS LÄN</t>
        </is>
      </c>
      <c r="E10827" t="inlineStr">
        <is>
          <t>HÄRNÖSAND</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24693-2025</t>
        </is>
      </c>
      <c r="B10828" s="1" t="n">
        <v>45798.6775462963</v>
      </c>
      <c r="C10828" s="1" t="n">
        <v>46185</v>
      </c>
      <c r="D10828" t="inlineStr">
        <is>
          <t>VÄSTERNORRLANDS LÄN</t>
        </is>
      </c>
      <c r="E10828" t="inlineStr">
        <is>
          <t>SOLLEFTEÅ</t>
        </is>
      </c>
      <c r="F10828" t="inlineStr">
        <is>
          <t>SCA</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24488-2025</t>
        </is>
      </c>
      <c r="B10829" s="1" t="n">
        <v>45798.38576388889</v>
      </c>
      <c r="C10829" s="1" t="n">
        <v>46185</v>
      </c>
      <c r="D10829" t="inlineStr">
        <is>
          <t>VÄSTERNORRLANDS LÄN</t>
        </is>
      </c>
      <c r="E10829" t="inlineStr">
        <is>
          <t>SOLLEFTEÅ</t>
        </is>
      </c>
      <c r="F10829" t="inlineStr">
        <is>
          <t>SCA</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24393-2025</t>
        </is>
      </c>
      <c r="B10830" s="1" t="n">
        <v>45797.63653935185</v>
      </c>
      <c r="C10830" s="1" t="n">
        <v>46185</v>
      </c>
      <c r="D10830" t="inlineStr">
        <is>
          <t>VÄSTERNORRLANDS LÄN</t>
        </is>
      </c>
      <c r="E10830" t="inlineStr">
        <is>
          <t>SOLLEFTEÅ</t>
        </is>
      </c>
      <c r="F10830" t="inlineStr">
        <is>
          <t>SCA</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24458-2025</t>
        </is>
      </c>
      <c r="B10831" s="1" t="n">
        <v>45798.34476851852</v>
      </c>
      <c r="C10831" s="1" t="n">
        <v>46185</v>
      </c>
      <c r="D10831" t="inlineStr">
        <is>
          <t>VÄSTERNORRLANDS LÄN</t>
        </is>
      </c>
      <c r="E10831" t="inlineStr">
        <is>
          <t>ÅNGE</t>
        </is>
      </c>
      <c r="F10831" t="inlineStr">
        <is>
          <t>SCA</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24407-2025</t>
        </is>
      </c>
      <c r="B10832" s="1" t="n">
        <v>45797.65565972222</v>
      </c>
      <c r="C10832" s="1" t="n">
        <v>46185</v>
      </c>
      <c r="D10832" t="inlineStr">
        <is>
          <t>VÄSTERNORRLANDS LÄN</t>
        </is>
      </c>
      <c r="E10832" t="inlineStr">
        <is>
          <t>KRAMFORS</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52705-2022</t>
        </is>
      </c>
      <c r="B10833" s="1" t="n">
        <v>44874.92969907408</v>
      </c>
      <c r="C10833" s="1" t="n">
        <v>46185</v>
      </c>
      <c r="D10833" t="inlineStr">
        <is>
          <t>VÄSTERNORRLANDS LÄN</t>
        </is>
      </c>
      <c r="E10833" t="inlineStr">
        <is>
          <t>TIMRÅ</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61735-2022</t>
        </is>
      </c>
      <c r="B10834" s="1" t="n">
        <v>44917</v>
      </c>
      <c r="C10834" s="1" t="n">
        <v>46185</v>
      </c>
      <c r="D10834" t="inlineStr">
        <is>
          <t>VÄSTERNORRLANDS LÄN</t>
        </is>
      </c>
      <c r="E10834" t="inlineStr">
        <is>
          <t>SUNDSVALL</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54550-2024</t>
        </is>
      </c>
      <c r="B10835" s="1" t="n">
        <v>45617.61696759259</v>
      </c>
      <c r="C10835" s="1" t="n">
        <v>46185</v>
      </c>
      <c r="D10835" t="inlineStr">
        <is>
          <t>VÄSTERNORRLANDS LÄN</t>
        </is>
      </c>
      <c r="E10835" t="inlineStr">
        <is>
          <t>SUNDSVALL</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24409-2025</t>
        </is>
      </c>
      <c r="B10836" s="1" t="n">
        <v>45797.65944444444</v>
      </c>
      <c r="C10836" s="1" t="n">
        <v>46185</v>
      </c>
      <c r="D10836" t="inlineStr">
        <is>
          <t>VÄSTERNORRLANDS LÄN</t>
        </is>
      </c>
      <c r="E10836" t="inlineStr">
        <is>
          <t>KRAMFORS</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29390-2021</t>
        </is>
      </c>
      <c r="B10837" s="1" t="n">
        <v>44361</v>
      </c>
      <c r="C10837" s="1" t="n">
        <v>46185</v>
      </c>
      <c r="D10837" t="inlineStr">
        <is>
          <t>VÄSTERNORRLANDS LÄN</t>
        </is>
      </c>
      <c r="E10837" t="inlineStr">
        <is>
          <t>ÅNGE</t>
        </is>
      </c>
      <c r="F10837" t="inlineStr">
        <is>
          <t>Holmen skog AB</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26341-2023</t>
        </is>
      </c>
      <c r="B10838" s="1" t="n">
        <v>45091.92548611111</v>
      </c>
      <c r="C10838" s="1" t="n">
        <v>46185</v>
      </c>
      <c r="D10838" t="inlineStr">
        <is>
          <t>VÄSTERNORRLANDS LÄN</t>
        </is>
      </c>
      <c r="E10838" t="inlineStr">
        <is>
          <t>SUNDSVALL</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30054-2024</t>
        </is>
      </c>
      <c r="B10839" s="1" t="n">
        <v>45488.94758101852</v>
      </c>
      <c r="C10839" s="1" t="n">
        <v>46185</v>
      </c>
      <c r="D10839" t="inlineStr">
        <is>
          <t>VÄSTERNORRLANDS LÄN</t>
        </is>
      </c>
      <c r="E10839" t="inlineStr">
        <is>
          <t>ÅNGE</t>
        </is>
      </c>
      <c r="F10839" t="inlineStr">
        <is>
          <t>SCA</t>
        </is>
      </c>
      <c r="G10839" t="n">
        <v>11.7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24529-2025</t>
        </is>
      </c>
      <c r="B10840" s="1" t="n">
        <v>45798.42756944444</v>
      </c>
      <c r="C10840" s="1" t="n">
        <v>46185</v>
      </c>
      <c r="D10840" t="inlineStr">
        <is>
          <t>VÄSTERNORRLANDS LÄN</t>
        </is>
      </c>
      <c r="E10840" t="inlineStr">
        <is>
          <t>TIMRÅ</t>
        </is>
      </c>
      <c r="F10840" t="inlineStr">
        <is>
          <t>SCA</t>
        </is>
      </c>
      <c r="G10840" t="n">
        <v>6.9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49929-2024</t>
        </is>
      </c>
      <c r="B10841" s="1" t="n">
        <v>45597.57927083333</v>
      </c>
      <c r="C10841" s="1" t="n">
        <v>46185</v>
      </c>
      <c r="D10841" t="inlineStr">
        <is>
          <t>VÄSTERNORRLANDS LÄN</t>
        </is>
      </c>
      <c r="E10841" t="inlineStr">
        <is>
          <t>SUNDSVALL</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9470-2025</t>
        </is>
      </c>
      <c r="B10842" s="1" t="n">
        <v>45715.46928240741</v>
      </c>
      <c r="C10842" s="1" t="n">
        <v>46185</v>
      </c>
      <c r="D10842" t="inlineStr">
        <is>
          <t>VÄSTERNORRLANDS LÄN</t>
        </is>
      </c>
      <c r="E10842" t="inlineStr">
        <is>
          <t>SUNDSVALL</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50324-2024</t>
        </is>
      </c>
      <c r="B10843" s="1" t="n">
        <v>45600</v>
      </c>
      <c r="C10843" s="1" t="n">
        <v>46185</v>
      </c>
      <c r="D10843" t="inlineStr">
        <is>
          <t>VÄSTERNORRLANDS LÄN</t>
        </is>
      </c>
      <c r="E10843" t="inlineStr">
        <is>
          <t>SUNDSVALL</t>
        </is>
      </c>
      <c r="G10843" t="n">
        <v>10.1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24357-2025</t>
        </is>
      </c>
      <c r="B10844" s="1" t="n">
        <v>45797.59467592592</v>
      </c>
      <c r="C10844" s="1" t="n">
        <v>46185</v>
      </c>
      <c r="D10844" t="inlineStr">
        <is>
          <t>VÄSTERNORRLANDS LÄN</t>
        </is>
      </c>
      <c r="E10844" t="inlineStr">
        <is>
          <t>ÅNGE</t>
        </is>
      </c>
      <c r="F10844" t="inlineStr">
        <is>
          <t>SCA</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60314-2022</t>
        </is>
      </c>
      <c r="B10845" s="1" t="n">
        <v>44903</v>
      </c>
      <c r="C10845" s="1" t="n">
        <v>46185</v>
      </c>
      <c r="D10845" t="inlineStr">
        <is>
          <t>VÄSTERNORRLANDS LÄN</t>
        </is>
      </c>
      <c r="E10845" t="inlineStr">
        <is>
          <t>KRAMFORS</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53716-2023</t>
        </is>
      </c>
      <c r="B10846" s="1" t="n">
        <v>45230.71146990741</v>
      </c>
      <c r="C10846" s="1" t="n">
        <v>46185</v>
      </c>
      <c r="D10846" t="inlineStr">
        <is>
          <t>VÄSTERNORRLANDS LÄN</t>
        </is>
      </c>
      <c r="E10846" t="inlineStr">
        <is>
          <t>SUNDSVALL</t>
        </is>
      </c>
      <c r="G10846" t="n">
        <v>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24698-2025</t>
        </is>
      </c>
      <c r="B10847" s="1" t="n">
        <v>45798.7190625</v>
      </c>
      <c r="C10847" s="1" t="n">
        <v>46185</v>
      </c>
      <c r="D10847" t="inlineStr">
        <is>
          <t>VÄSTERNORRLANDS LÄN</t>
        </is>
      </c>
      <c r="E10847" t="inlineStr">
        <is>
          <t>KRAMFORS</t>
        </is>
      </c>
      <c r="F10847" t="inlineStr">
        <is>
          <t>SCA</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24213-2025</t>
        </is>
      </c>
      <c r="B10848" s="1" t="n">
        <v>45797.35148148148</v>
      </c>
      <c r="C10848" s="1" t="n">
        <v>46185</v>
      </c>
      <c r="D10848" t="inlineStr">
        <is>
          <t>VÄSTERNORRLANDS LÄN</t>
        </is>
      </c>
      <c r="E10848" t="inlineStr">
        <is>
          <t>ÖRNSKÖLDSVIK</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14914-2024</t>
        </is>
      </c>
      <c r="B10849" s="1" t="n">
        <v>45398</v>
      </c>
      <c r="C10849" s="1" t="n">
        <v>46185</v>
      </c>
      <c r="D10849" t="inlineStr">
        <is>
          <t>VÄSTERNORRLANDS LÄN</t>
        </is>
      </c>
      <c r="E10849" t="inlineStr">
        <is>
          <t>SUNDSVALL</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5646-2025</t>
        </is>
      </c>
      <c r="B10850" s="1" t="n">
        <v>45693</v>
      </c>
      <c r="C10850" s="1" t="n">
        <v>46185</v>
      </c>
      <c r="D10850" t="inlineStr">
        <is>
          <t>VÄSTERNORRLANDS LÄN</t>
        </is>
      </c>
      <c r="E10850" t="inlineStr">
        <is>
          <t>SUNDSVALL</t>
        </is>
      </c>
      <c r="G10850" t="n">
        <v>4.5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55583-2021</t>
        </is>
      </c>
      <c r="B10851" s="1" t="n">
        <v>44475</v>
      </c>
      <c r="C10851" s="1" t="n">
        <v>46185</v>
      </c>
      <c r="D10851" t="inlineStr">
        <is>
          <t>VÄSTERNORRLANDS LÄN</t>
        </is>
      </c>
      <c r="E10851" t="inlineStr">
        <is>
          <t>HÄRNÖSAND</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19455-2024</t>
        </is>
      </c>
      <c r="B10852" s="1" t="n">
        <v>45429</v>
      </c>
      <c r="C10852" s="1" t="n">
        <v>46185</v>
      </c>
      <c r="D10852" t="inlineStr">
        <is>
          <t>VÄSTERNORRLANDS LÄN</t>
        </is>
      </c>
      <c r="E10852" t="inlineStr">
        <is>
          <t>TIMRÅ</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24420-2025</t>
        </is>
      </c>
      <c r="B10853" s="1" t="n">
        <v>45797.67771990741</v>
      </c>
      <c r="C10853" s="1" t="n">
        <v>46185</v>
      </c>
      <c r="D10853" t="inlineStr">
        <is>
          <t>VÄSTERNORRLANDS LÄN</t>
        </is>
      </c>
      <c r="E10853" t="inlineStr">
        <is>
          <t>SOLLEFTEÅ</t>
        </is>
      </c>
      <c r="F10853" t="inlineStr">
        <is>
          <t>SCA</t>
        </is>
      </c>
      <c r="G10853" t="n">
        <v>5.3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24418-2025</t>
        </is>
      </c>
      <c r="B10854" s="1" t="n">
        <v>45797.67744212963</v>
      </c>
      <c r="C10854" s="1" t="n">
        <v>46185</v>
      </c>
      <c r="D10854" t="inlineStr">
        <is>
          <t>VÄSTERNORRLANDS LÄN</t>
        </is>
      </c>
      <c r="E10854" t="inlineStr">
        <is>
          <t>ÖRNSKÖLDSVIK</t>
        </is>
      </c>
      <c r="F10854" t="inlineStr">
        <is>
          <t>SCA</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7149-2024</t>
        </is>
      </c>
      <c r="B10855" s="1" t="n">
        <v>45344</v>
      </c>
      <c r="C10855" s="1" t="n">
        <v>46185</v>
      </c>
      <c r="D10855" t="inlineStr">
        <is>
          <t>VÄSTERNORRLANDS LÄN</t>
        </is>
      </c>
      <c r="E10855" t="inlineStr">
        <is>
          <t>SUNDSVALL</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24339-2025</t>
        </is>
      </c>
      <c r="B10856" s="1" t="n">
        <v>45797.57395833333</v>
      </c>
      <c r="C10856" s="1" t="n">
        <v>46185</v>
      </c>
      <c r="D10856" t="inlineStr">
        <is>
          <t>VÄSTERNORRLANDS LÄN</t>
        </is>
      </c>
      <c r="E10856" t="inlineStr">
        <is>
          <t>SUNDSVALL</t>
        </is>
      </c>
      <c r="F10856" t="inlineStr">
        <is>
          <t>Naturvårdsverket</t>
        </is>
      </c>
      <c r="G10856" t="n">
        <v>12.3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4142-2024</t>
        </is>
      </c>
      <c r="B10857" s="1" t="n">
        <v>45323</v>
      </c>
      <c r="C10857" s="1" t="n">
        <v>46185</v>
      </c>
      <c r="D10857" t="inlineStr">
        <is>
          <t>VÄSTERNORRLANDS LÄN</t>
        </is>
      </c>
      <c r="E10857" t="inlineStr">
        <is>
          <t>ÅNGE</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27853-2024</t>
        </is>
      </c>
      <c r="B10858" s="1" t="n">
        <v>45475</v>
      </c>
      <c r="C10858" s="1" t="n">
        <v>46185</v>
      </c>
      <c r="D10858" t="inlineStr">
        <is>
          <t>VÄSTERNORRLANDS LÄN</t>
        </is>
      </c>
      <c r="E10858" t="inlineStr">
        <is>
          <t>ÅNGE</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60149-2023</t>
        </is>
      </c>
      <c r="B10859" s="1" t="n">
        <v>45258</v>
      </c>
      <c r="C10859" s="1" t="n">
        <v>46185</v>
      </c>
      <c r="D10859" t="inlineStr">
        <is>
          <t>VÄSTERNORRLANDS LÄN</t>
        </is>
      </c>
      <c r="E10859" t="inlineStr">
        <is>
          <t>SUNDSVALL</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50627-2023</t>
        </is>
      </c>
      <c r="B10860" s="1" t="n">
        <v>45210</v>
      </c>
      <c r="C10860" s="1" t="n">
        <v>46185</v>
      </c>
      <c r="D10860" t="inlineStr">
        <is>
          <t>VÄSTERNORRLANDS LÄN</t>
        </is>
      </c>
      <c r="E10860" t="inlineStr">
        <is>
          <t>SUNDSVALL</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24028-2024</t>
        </is>
      </c>
      <c r="B10861" s="1" t="n">
        <v>45456</v>
      </c>
      <c r="C10861" s="1" t="n">
        <v>46185</v>
      </c>
      <c r="D10861" t="inlineStr">
        <is>
          <t>VÄSTERNORRLANDS LÄN</t>
        </is>
      </c>
      <c r="E10861" t="inlineStr">
        <is>
          <t>SUNDSVALL</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1188-2025</t>
        </is>
      </c>
      <c r="B10862" s="1" t="n">
        <v>45667.37030092593</v>
      </c>
      <c r="C10862" s="1" t="n">
        <v>46185</v>
      </c>
      <c r="D10862" t="inlineStr">
        <is>
          <t>VÄSTERNORRLANDS LÄN</t>
        </is>
      </c>
      <c r="E10862" t="inlineStr">
        <is>
          <t>SUNDSVALL</t>
        </is>
      </c>
      <c r="F10862" t="inlineStr">
        <is>
          <t>Holmen skog AB</t>
        </is>
      </c>
      <c r="G10862" t="n">
        <v>25.4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41652-2024</t>
        </is>
      </c>
      <c r="B10863" s="1" t="n">
        <v>45560.63778935185</v>
      </c>
      <c r="C10863" s="1" t="n">
        <v>46185</v>
      </c>
      <c r="D10863" t="inlineStr">
        <is>
          <t>VÄSTERNORRLANDS LÄN</t>
        </is>
      </c>
      <c r="E10863" t="inlineStr">
        <is>
          <t>SUNDSVALL</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10781-2024</t>
        </is>
      </c>
      <c r="B10864" s="1" t="n">
        <v>45369.59635416666</v>
      </c>
      <c r="C10864" s="1" t="n">
        <v>46185</v>
      </c>
      <c r="D10864" t="inlineStr">
        <is>
          <t>VÄSTERNORRLANDS LÄN</t>
        </is>
      </c>
      <c r="E10864" t="inlineStr">
        <is>
          <t>ÅNGE</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16975-2024</t>
        </is>
      </c>
      <c r="B10865" s="1" t="n">
        <v>45411</v>
      </c>
      <c r="C10865" s="1" t="n">
        <v>46185</v>
      </c>
      <c r="D10865" t="inlineStr">
        <is>
          <t>VÄSTERNORRLANDS LÄN</t>
        </is>
      </c>
      <c r="E10865" t="inlineStr">
        <is>
          <t>SUNDSVALL</t>
        </is>
      </c>
      <c r="G10865" t="n">
        <v>8.1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18213-2025</t>
        </is>
      </c>
      <c r="B10866" s="1" t="n">
        <v>45761.69885416667</v>
      </c>
      <c r="C10866" s="1" t="n">
        <v>46185</v>
      </c>
      <c r="D10866" t="inlineStr">
        <is>
          <t>VÄSTERNORRLANDS LÄN</t>
        </is>
      </c>
      <c r="E10866" t="inlineStr">
        <is>
          <t>SUNDSVALL</t>
        </is>
      </c>
      <c r="G10866" t="n">
        <v>4.4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24627-2025</t>
        </is>
      </c>
      <c r="B10867" s="1" t="n">
        <v>45798.59471064815</v>
      </c>
      <c r="C10867" s="1" t="n">
        <v>46185</v>
      </c>
      <c r="D10867" t="inlineStr">
        <is>
          <t>VÄSTERNORRLANDS LÄN</t>
        </is>
      </c>
      <c r="E10867" t="inlineStr">
        <is>
          <t>ÅNGE</t>
        </is>
      </c>
      <c r="F10867" t="inlineStr">
        <is>
          <t>SCA</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24209-2025</t>
        </is>
      </c>
      <c r="B10868" s="1" t="n">
        <v>45797.3446875</v>
      </c>
      <c r="C10868" s="1" t="n">
        <v>46185</v>
      </c>
      <c r="D10868" t="inlineStr">
        <is>
          <t>VÄSTERNORRLANDS LÄN</t>
        </is>
      </c>
      <c r="E10868" t="inlineStr">
        <is>
          <t>ÅNGE</t>
        </is>
      </c>
      <c r="F10868" t="inlineStr">
        <is>
          <t>SCA</t>
        </is>
      </c>
      <c r="G10868" t="n">
        <v>2.5</v>
      </c>
      <c r="H10868" t="n">
        <v>0</v>
      </c>
      <c r="I10868" t="n">
        <v>0</v>
      </c>
      <c r="J10868" t="n">
        <v>0</v>
      </c>
      <c r="K10868" t="n">
        <v>0</v>
      </c>
      <c r="L10868" t="n">
        <v>0</v>
      </c>
      <c r="M10868" t="n">
        <v>0</v>
      </c>
      <c r="N10868" t="n">
        <v>0</v>
      </c>
      <c r="O10868" t="n">
        <v>0</v>
      </c>
      <c r="P10868" t="n">
        <v>0</v>
      </c>
      <c r="Q10868" t="n">
        <v>0</v>
      </c>
      <c r="R10868" s="2" t="inlineStr"/>
    </row>
    <row r="10869">
      <c r="A10869" t="inlineStr">
        <is>
          <t>A 24232-2025</t>
        </is>
      </c>
      <c r="B10869" s="1" t="n">
        <v>45797.37846064815</v>
      </c>
      <c r="C10869" s="1" t="n">
        <v>46185</v>
      </c>
      <c r="D10869" t="inlineStr">
        <is>
          <t>VÄSTERNORRLANDS LÄN</t>
        </is>
      </c>
      <c r="E10869" t="inlineStr">
        <is>
          <t>ÅNGE</t>
        </is>
      </c>
      <c r="G10869" t="n">
        <v>2.8</v>
      </c>
      <c r="H10869" t="n">
        <v>0</v>
      </c>
      <c r="I10869" t="n">
        <v>0</v>
      </c>
      <c r="J10869" t="n">
        <v>0</v>
      </c>
      <c r="K10869" t="n">
        <v>0</v>
      </c>
      <c r="L10869" t="n">
        <v>0</v>
      </c>
      <c r="M10869" t="n">
        <v>0</v>
      </c>
      <c r="N10869" t="n">
        <v>0</v>
      </c>
      <c r="O10869" t="n">
        <v>0</v>
      </c>
      <c r="P10869" t="n">
        <v>0</v>
      </c>
      <c r="Q10869" t="n">
        <v>0</v>
      </c>
      <c r="R10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2026-06-12T09:29:32Z</dcterms:created>
  <dcterms:modified xmlns:dcterms="http://purl.org/dc/terms/" xmlns:xsi="http://www.w3.org/2001/XMLSchema-instance" xsi:type="dcterms:W3CDTF">2026-06-12T09:29:42Z</dcterms:modified>
</cp:coreProperties>
</file>